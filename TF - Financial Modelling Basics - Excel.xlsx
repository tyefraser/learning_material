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 codeName="ThisWorkbook"/>
  <xr:revisionPtr revIDLastSave="795" documentId="1_{AE6B2A3A-1609-45ED-A64A-833559E11E78}" xr6:coauthVersionLast="47" xr6:coauthVersionMax="47" xr10:uidLastSave="{30466EBB-F45B-4C6E-8E78-9268C21FE0F2}"/>
  <bookViews>
    <workbookView xWindow="14250" yWindow="-21600" windowWidth="26010" windowHeight="20985" tabRatio="692" activeTab="5" xr2:uid="{00000000-000D-0000-FFFF-FFFF00000000}"/>
    <workbookView xWindow="-108" yWindow="-108" windowWidth="23256" windowHeight="12456" activeTab="5" xr2:uid="{2D68FC9D-8234-480B-A516-9B950CE623FF}"/>
  </bookViews>
  <sheets>
    <sheet name="MODEL&gt;&gt;" sheetId="13" r:id="rId1"/>
    <sheet name="Outputs" sheetId="21" r:id="rId2"/>
    <sheet name="Inputs" sheetId="10" r:id="rId3"/>
    <sheet name="Control" sheetId="9" r:id="rId4"/>
    <sheet name="TRAINING &gt;&gt;" sheetId="14" r:id="rId5"/>
    <sheet name="Dates" sheetId="26" r:id="rId6"/>
    <sheet name="NPV" sheetId="25" r:id="rId7"/>
  </sheets>
  <definedNames>
    <definedName name="Company_Name">#REF!</definedName>
    <definedName name="Net_Profit">#REF!</definedName>
    <definedName name="RowTitleRegion1..C3">#REF!</definedName>
    <definedName name="RowTitleRegion1..C3.3">#REF!</definedName>
    <definedName name="RowTitleRegion1..C3.4">#REF!</definedName>
    <definedName name="RowTitleRegion1..C3.5">#REF!</definedName>
    <definedName name="RowTitleRegion1..C4">#REF!</definedName>
    <definedName name="RowTitleRegion2..H20">#REF!</definedName>
    <definedName name="Sales_Revenue">SUMIFS(#REF!,#REF!,"Sales Revenue")</definedName>
    <definedName name="Title1">#REF!</definedName>
    <definedName name="Title2">#REF!</definedName>
    <definedName name="Title3">#REF!</definedName>
    <definedName name="Title4">#REF!</definedName>
    <definedName name="Title5">#REF!</definedName>
    <definedName name="Title6">#REF!</definedName>
    <definedName name="Total_Cost_Sales">#REF!</definedName>
    <definedName name="Total_General_and_Administrative">#REF!</definedName>
    <definedName name="Total_Gross_Profit">#REF!</definedName>
    <definedName name="Total_Income_Operations">#REF!</definedName>
    <definedName name="Total_Operating_Expenses">#REF!</definedName>
    <definedName name="Total_Other_Expenses">#REF!</definedName>
    <definedName name="Total_Other_Income">#REF!</definedName>
    <definedName name="Total_Research_and_Development">#REF!</definedName>
    <definedName name="Total_Sales_and_Marketing">#REF!</definedName>
    <definedName name="Total_Sales_Revenue">#REF!</definedName>
    <definedName name="Total_Taxes">#REF!</definedName>
    <definedName name="Workbook_Dates">#REF!</definedName>
    <definedName name="Workbook_Title">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2" i="26" l="1"/>
  <c r="F121" i="26"/>
  <c r="F117" i="26"/>
  <c r="F116" i="26"/>
  <c r="F118" i="26" s="1"/>
  <c r="F115" i="26"/>
  <c r="F107" i="26"/>
  <c r="F109" i="26" s="1"/>
  <c r="F110" i="26" s="1"/>
  <c r="F101" i="26"/>
  <c r="F103" i="26" s="1"/>
  <c r="F95" i="26"/>
  <c r="F97" i="26" s="1"/>
  <c r="F69" i="26"/>
  <c r="F82" i="26" s="1"/>
  <c r="F79" i="26"/>
  <c r="F84" i="26" s="1"/>
  <c r="F57" i="26"/>
  <c r="B3" i="26"/>
  <c r="B2" i="26"/>
  <c r="B1" i="26"/>
  <c r="G3" i="10"/>
  <c r="G2" i="10"/>
  <c r="G4" i="10"/>
  <c r="F10" i="26"/>
  <c r="D12" i="25"/>
  <c r="C12" i="25"/>
  <c r="C9" i="25"/>
  <c r="Z7" i="25"/>
  <c r="Y7" i="25"/>
  <c r="X7" i="25"/>
  <c r="W7" i="25"/>
  <c r="V7" i="25"/>
  <c r="U7" i="25"/>
  <c r="T7" i="25"/>
  <c r="S7" i="25"/>
  <c r="R7" i="25"/>
  <c r="Q7" i="25"/>
  <c r="P7" i="25"/>
  <c r="O7" i="25"/>
  <c r="N7" i="25"/>
  <c r="M7" i="25"/>
  <c r="L7" i="25"/>
  <c r="K7" i="25"/>
  <c r="J7" i="25"/>
  <c r="I7" i="25"/>
  <c r="H7" i="25"/>
  <c r="G7" i="25"/>
  <c r="F7" i="25"/>
  <c r="E7" i="25"/>
  <c r="D7" i="25"/>
  <c r="C7" i="25"/>
  <c r="C3" i="25"/>
  <c r="D2" i="25"/>
  <c r="E2" i="25" s="1"/>
  <c r="G124" i="26"/>
  <c r="G123" i="26"/>
  <c r="G118" i="26"/>
  <c r="G117" i="26"/>
  <c r="G103" i="26"/>
  <c r="G101" i="26"/>
  <c r="G97" i="26"/>
  <c r="G96" i="26"/>
  <c r="G95" i="26"/>
  <c r="G89" i="26"/>
  <c r="G82" i="26"/>
  <c r="G72" i="26"/>
  <c r="G84" i="26"/>
  <c r="G79" i="26"/>
  <c r="G83" i="26"/>
  <c r="G81" i="26"/>
  <c r="G80" i="26"/>
  <c r="G74" i="26"/>
  <c r="G73" i="26"/>
  <c r="G71" i="26"/>
  <c r="G70" i="26"/>
  <c r="G69" i="26"/>
  <c r="H62" i="26"/>
  <c r="G62" i="26"/>
  <c r="F62" i="26"/>
  <c r="H61" i="26"/>
  <c r="G61" i="26"/>
  <c r="I62" i="26"/>
  <c r="F61" i="26"/>
  <c r="I61" i="26"/>
  <c r="F124" i="26" l="1"/>
  <c r="F123" i="26"/>
  <c r="F96" i="26"/>
  <c r="F89" i="26"/>
  <c r="F70" i="26"/>
  <c r="F80" i="26"/>
  <c r="F81" i="26" s="1"/>
  <c r="F72" i="26"/>
  <c r="F83" i="26"/>
  <c r="F71" i="26"/>
  <c r="F73" i="26"/>
  <c r="F74" i="26"/>
  <c r="F58" i="26"/>
  <c r="F13" i="26"/>
  <c r="F5" i="26" s="1"/>
  <c r="F12" i="26"/>
  <c r="F4" i="26" s="1"/>
  <c r="F11" i="26"/>
  <c r="E12" i="25"/>
  <c r="F2" i="25"/>
  <c r="D3" i="25"/>
  <c r="G57" i="26" l="1"/>
  <c r="F14" i="26"/>
  <c r="G10" i="26"/>
  <c r="F6" i="26"/>
  <c r="E3" i="25"/>
  <c r="D9" i="25"/>
  <c r="G2" i="25"/>
  <c r="F12" i="25"/>
  <c r="G58" i="26" l="1"/>
  <c r="G13" i="26"/>
  <c r="G5" i="26" s="1"/>
  <c r="G12" i="26"/>
  <c r="G4" i="26" s="1"/>
  <c r="G11" i="26"/>
  <c r="H2" i="25"/>
  <c r="G12" i="25"/>
  <c r="F3" i="25"/>
  <c r="E9" i="25"/>
  <c r="H57" i="26" l="1"/>
  <c r="H58" i="26" s="1"/>
  <c r="I57" i="26" s="1"/>
  <c r="I58" i="26" s="1"/>
  <c r="G14" i="26"/>
  <c r="G6" i="26"/>
  <c r="H10" i="26"/>
  <c r="F9" i="25"/>
  <c r="G3" i="25"/>
  <c r="I2" i="25"/>
  <c r="H12" i="25"/>
  <c r="H13" i="26" l="1"/>
  <c r="H5" i="26" s="1"/>
  <c r="H12" i="26"/>
  <c r="H4" i="26" s="1"/>
  <c r="H11" i="26"/>
  <c r="J2" i="25"/>
  <c r="I12" i="25"/>
  <c r="G9" i="25"/>
  <c r="H3" i="25"/>
  <c r="H14" i="26" l="1"/>
  <c r="H6" i="26"/>
  <c r="I10" i="26"/>
  <c r="H9" i="25"/>
  <c r="I3" i="25"/>
  <c r="K2" i="25"/>
  <c r="J12" i="25"/>
  <c r="I13" i="26" l="1"/>
  <c r="I5" i="26" s="1"/>
  <c r="I12" i="26"/>
  <c r="I4" i="26" s="1"/>
  <c r="I11" i="26"/>
  <c r="K12" i="25"/>
  <c r="L2" i="25"/>
  <c r="I9" i="25"/>
  <c r="J3" i="25"/>
  <c r="I14" i="26" l="1"/>
  <c r="I6" i="26"/>
  <c r="J10" i="26"/>
  <c r="J9" i="25"/>
  <c r="K3" i="25"/>
  <c r="L12" i="25"/>
  <c r="M2" i="25"/>
  <c r="J11" i="26" l="1"/>
  <c r="J13" i="26"/>
  <c r="J5" i="26" s="1"/>
  <c r="J12" i="26"/>
  <c r="J4" i="26" s="1"/>
  <c r="K9" i="25"/>
  <c r="L3" i="25"/>
  <c r="M12" i="25"/>
  <c r="N2" i="25"/>
  <c r="J14" i="26" l="1"/>
  <c r="K10" i="26"/>
  <c r="J6" i="26"/>
  <c r="N12" i="25"/>
  <c r="O2" i="25"/>
  <c r="M3" i="25"/>
  <c r="L9" i="25"/>
  <c r="K13" i="26" l="1"/>
  <c r="K5" i="26" s="1"/>
  <c r="K11" i="26"/>
  <c r="K12" i="26"/>
  <c r="K4" i="26" s="1"/>
  <c r="N3" i="25"/>
  <c r="M9" i="25"/>
  <c r="P2" i="25"/>
  <c r="O12" i="25"/>
  <c r="K14" i="26" l="1"/>
  <c r="L10" i="26"/>
  <c r="K6" i="26"/>
  <c r="Q2" i="25"/>
  <c r="P12" i="25"/>
  <c r="O3" i="25"/>
  <c r="N9" i="25"/>
  <c r="L13" i="26" l="1"/>
  <c r="L5" i="26" s="1"/>
  <c r="L12" i="26"/>
  <c r="L4" i="26" s="1"/>
  <c r="L11" i="26"/>
  <c r="P3" i="25"/>
  <c r="O9" i="25"/>
  <c r="Q12" i="25"/>
  <c r="R2" i="25"/>
  <c r="L14" i="26" l="1"/>
  <c r="M10" i="26"/>
  <c r="L6" i="26"/>
  <c r="Q3" i="25"/>
  <c r="P9" i="25"/>
  <c r="S2" i="25"/>
  <c r="R12" i="25"/>
  <c r="M12" i="26" l="1"/>
  <c r="M4" i="26" s="1"/>
  <c r="M11" i="26"/>
  <c r="M13" i="26"/>
  <c r="M5" i="26" s="1"/>
  <c r="T2" i="25"/>
  <c r="S12" i="25"/>
  <c r="R3" i="25"/>
  <c r="Q9" i="25"/>
  <c r="M14" i="26" l="1"/>
  <c r="N10" i="26"/>
  <c r="M6" i="26"/>
  <c r="U2" i="25"/>
  <c r="T12" i="25"/>
  <c r="S3" i="25"/>
  <c r="R9" i="25"/>
  <c r="N13" i="26" l="1"/>
  <c r="N5" i="26" s="1"/>
  <c r="N12" i="26"/>
  <c r="N4" i="26" s="1"/>
  <c r="N11" i="26"/>
  <c r="T3" i="25"/>
  <c r="S9" i="25"/>
  <c r="V2" i="25"/>
  <c r="U12" i="25"/>
  <c r="N14" i="26" l="1"/>
  <c r="O10" i="26"/>
  <c r="N6" i="26"/>
  <c r="W2" i="25"/>
  <c r="V12" i="25"/>
  <c r="T9" i="25"/>
  <c r="U3" i="25"/>
  <c r="O13" i="26" l="1"/>
  <c r="O5" i="26" s="1"/>
  <c r="O12" i="26"/>
  <c r="O4" i="26" s="1"/>
  <c r="O11" i="26"/>
  <c r="U9" i="25"/>
  <c r="V3" i="25"/>
  <c r="X2" i="25"/>
  <c r="W12" i="25"/>
  <c r="O14" i="26" l="1"/>
  <c r="O6" i="26"/>
  <c r="P10" i="26"/>
  <c r="Y2" i="25"/>
  <c r="X12" i="25"/>
  <c r="V9" i="25"/>
  <c r="W3" i="25"/>
  <c r="P13" i="26" l="1"/>
  <c r="P5" i="26" s="1"/>
  <c r="P12" i="26"/>
  <c r="P4" i="26" s="1"/>
  <c r="P11" i="26"/>
  <c r="W9" i="25"/>
  <c r="X3" i="25"/>
  <c r="Z2" i="25"/>
  <c r="Y12" i="25"/>
  <c r="P14" i="26" l="1"/>
  <c r="P6" i="26"/>
  <c r="Q10" i="26"/>
  <c r="X9" i="25"/>
  <c r="Y3" i="25"/>
  <c r="AA2" i="25"/>
  <c r="AA12" i="25" s="1"/>
  <c r="Z12" i="25"/>
  <c r="Q13" i="26" l="1"/>
  <c r="Q5" i="26" s="1"/>
  <c r="Q12" i="26"/>
  <c r="Q4" i="26" s="1"/>
  <c r="Q11" i="26"/>
  <c r="Z3" i="25"/>
  <c r="Y9" i="25"/>
  <c r="C13" i="25"/>
  <c r="C14" i="25" s="1"/>
  <c r="Q14" i="26" l="1"/>
  <c r="Q6" i="26"/>
  <c r="R10" i="26"/>
  <c r="Z9" i="25"/>
  <c r="AA3" i="25"/>
  <c r="W6" i="25" s="1"/>
  <c r="V6" i="25"/>
  <c r="Y6" i="25"/>
  <c r="R11" i="26" l="1"/>
  <c r="R13" i="26"/>
  <c r="R5" i="26" s="1"/>
  <c r="R12" i="26"/>
  <c r="R4" i="26" s="1"/>
  <c r="AA9" i="25"/>
  <c r="C10" i="25" s="1"/>
  <c r="AA6" i="25"/>
  <c r="C6" i="25"/>
  <c r="E6" i="25"/>
  <c r="D6" i="25"/>
  <c r="G6" i="25"/>
  <c r="F6" i="25"/>
  <c r="H6" i="25"/>
  <c r="J6" i="25"/>
  <c r="I6" i="25"/>
  <c r="N6" i="25"/>
  <c r="K6" i="25"/>
  <c r="L6" i="25"/>
  <c r="P6" i="25"/>
  <c r="O6" i="25"/>
  <c r="M6" i="25"/>
  <c r="R6" i="25"/>
  <c r="Q6" i="25"/>
  <c r="T6" i="25"/>
  <c r="S6" i="25"/>
  <c r="U6" i="25"/>
  <c r="X6" i="25"/>
  <c r="Z6" i="25"/>
  <c r="M176" i="21"/>
  <c r="M161" i="21"/>
  <c r="M148" i="21"/>
  <c r="M147" i="21"/>
  <c r="KI143" i="21"/>
  <c r="KH143" i="21"/>
  <c r="KG143" i="21"/>
  <c r="KF143" i="21"/>
  <c r="KE143" i="21"/>
  <c r="KD143" i="21"/>
  <c r="KC143" i="21"/>
  <c r="KB143" i="21"/>
  <c r="KA143" i="21"/>
  <c r="JZ143" i="21"/>
  <c r="JY143" i="21"/>
  <c r="JX143" i="21"/>
  <c r="JW143" i="21"/>
  <c r="JV143" i="21"/>
  <c r="JU143" i="21"/>
  <c r="JT143" i="21"/>
  <c r="JS143" i="21"/>
  <c r="JR143" i="21"/>
  <c r="JQ143" i="21"/>
  <c r="JP143" i="21"/>
  <c r="JO143" i="21"/>
  <c r="JN143" i="21"/>
  <c r="JM143" i="21"/>
  <c r="JL143" i="21"/>
  <c r="JK143" i="21"/>
  <c r="JJ143" i="21"/>
  <c r="JI143" i="21"/>
  <c r="JH143" i="21"/>
  <c r="JG143" i="21"/>
  <c r="JF143" i="21"/>
  <c r="JE143" i="21"/>
  <c r="JD143" i="21"/>
  <c r="JC143" i="21"/>
  <c r="JB143" i="21"/>
  <c r="JA143" i="21"/>
  <c r="IZ143" i="21"/>
  <c r="IY143" i="21"/>
  <c r="IX143" i="21"/>
  <c r="IW143" i="21"/>
  <c r="IV143" i="21"/>
  <c r="IU143" i="21"/>
  <c r="IT143" i="21"/>
  <c r="IS143" i="21"/>
  <c r="IR143" i="21"/>
  <c r="IQ143" i="21"/>
  <c r="IP143" i="21"/>
  <c r="IO143" i="21"/>
  <c r="IN143" i="21"/>
  <c r="IM143" i="21"/>
  <c r="IL143" i="21"/>
  <c r="IK143" i="21"/>
  <c r="IJ143" i="21"/>
  <c r="II143" i="21"/>
  <c r="IH143" i="21"/>
  <c r="IG143" i="21"/>
  <c r="IF143" i="21"/>
  <c r="IE143" i="21"/>
  <c r="ID143" i="21"/>
  <c r="IC143" i="21"/>
  <c r="IB143" i="21"/>
  <c r="IA143" i="21"/>
  <c r="HZ143" i="21"/>
  <c r="HY143" i="21"/>
  <c r="HX143" i="21"/>
  <c r="HW143" i="21"/>
  <c r="HV143" i="21"/>
  <c r="HU143" i="21"/>
  <c r="HT143" i="21"/>
  <c r="HS143" i="21"/>
  <c r="HR143" i="21"/>
  <c r="HQ143" i="21"/>
  <c r="HP143" i="21"/>
  <c r="HO143" i="21"/>
  <c r="HN143" i="21"/>
  <c r="HM143" i="21"/>
  <c r="HL143" i="21"/>
  <c r="HK143" i="21"/>
  <c r="HJ143" i="21"/>
  <c r="HI143" i="21"/>
  <c r="HH143" i="21"/>
  <c r="HG143" i="21"/>
  <c r="HF143" i="21"/>
  <c r="HE143" i="21"/>
  <c r="HD143" i="21"/>
  <c r="HC143" i="21"/>
  <c r="HB143" i="21"/>
  <c r="HA143" i="21"/>
  <c r="GZ143" i="21"/>
  <c r="GY143" i="21"/>
  <c r="GX143" i="21"/>
  <c r="GW143" i="21"/>
  <c r="GV143" i="21"/>
  <c r="GU143" i="21"/>
  <c r="GT143" i="21"/>
  <c r="GS143" i="21"/>
  <c r="GR143" i="21"/>
  <c r="GQ143" i="21"/>
  <c r="GP143" i="21"/>
  <c r="GO143" i="21"/>
  <c r="GN143" i="21"/>
  <c r="GM143" i="21"/>
  <c r="GL143" i="21"/>
  <c r="GK143" i="21"/>
  <c r="GJ143" i="21"/>
  <c r="GI143" i="21"/>
  <c r="GH143" i="21"/>
  <c r="GG143" i="21"/>
  <c r="GF143" i="21"/>
  <c r="GE143" i="21"/>
  <c r="GD143" i="21"/>
  <c r="GC143" i="21"/>
  <c r="GB143" i="21"/>
  <c r="GA143" i="21"/>
  <c r="FZ143" i="21"/>
  <c r="FY143" i="21"/>
  <c r="FX143" i="21"/>
  <c r="FW143" i="21"/>
  <c r="FV143" i="21"/>
  <c r="FU143" i="21"/>
  <c r="FT143" i="21"/>
  <c r="FS143" i="21"/>
  <c r="FR143" i="21"/>
  <c r="FQ143" i="21"/>
  <c r="FP143" i="21"/>
  <c r="FO143" i="21"/>
  <c r="FN143" i="21"/>
  <c r="FM143" i="21"/>
  <c r="FL143" i="21"/>
  <c r="FK143" i="21"/>
  <c r="FJ143" i="21"/>
  <c r="FI143" i="21"/>
  <c r="FH143" i="21"/>
  <c r="FG143" i="21"/>
  <c r="FF143" i="21"/>
  <c r="FE143" i="21"/>
  <c r="FD143" i="21"/>
  <c r="FC143" i="21"/>
  <c r="FB143" i="21"/>
  <c r="FA143" i="21"/>
  <c r="EZ143" i="21"/>
  <c r="EY143" i="21"/>
  <c r="EX143" i="21"/>
  <c r="EW143" i="21"/>
  <c r="EV143" i="21"/>
  <c r="EU143" i="21"/>
  <c r="ET143" i="21"/>
  <c r="ES143" i="21"/>
  <c r="ER143" i="21"/>
  <c r="EQ143" i="21"/>
  <c r="EP143" i="21"/>
  <c r="EO143" i="21"/>
  <c r="EN143" i="21"/>
  <c r="EM143" i="21"/>
  <c r="EL143" i="21"/>
  <c r="EK143" i="21"/>
  <c r="EJ143" i="21"/>
  <c r="EI143" i="21"/>
  <c r="EH143" i="21"/>
  <c r="EG143" i="21"/>
  <c r="EF143" i="21"/>
  <c r="EE143" i="21"/>
  <c r="ED143" i="21"/>
  <c r="EC143" i="21"/>
  <c r="EB143" i="21"/>
  <c r="EA143" i="21"/>
  <c r="DZ143" i="21"/>
  <c r="DY143" i="21"/>
  <c r="DX143" i="21"/>
  <c r="DW143" i="21"/>
  <c r="DV143" i="21"/>
  <c r="DU143" i="21"/>
  <c r="DT143" i="21"/>
  <c r="DS143" i="21"/>
  <c r="DR143" i="21"/>
  <c r="DQ143" i="21"/>
  <c r="DP143" i="21"/>
  <c r="DO143" i="21"/>
  <c r="DN143" i="21"/>
  <c r="DM143" i="21"/>
  <c r="DL143" i="21"/>
  <c r="DK143" i="21"/>
  <c r="DJ143" i="21"/>
  <c r="DI143" i="21"/>
  <c r="DH143" i="21"/>
  <c r="DG143" i="21"/>
  <c r="DF143" i="21"/>
  <c r="DE143" i="21"/>
  <c r="DD143" i="21"/>
  <c r="DC143" i="21"/>
  <c r="DB143" i="21"/>
  <c r="DA143" i="21"/>
  <c r="CZ143" i="21"/>
  <c r="CY143" i="21"/>
  <c r="CX143" i="21"/>
  <c r="CW143" i="21"/>
  <c r="CV143" i="21"/>
  <c r="CU143" i="21"/>
  <c r="CT143" i="21"/>
  <c r="CS143" i="21"/>
  <c r="CR143" i="21"/>
  <c r="CQ143" i="21"/>
  <c r="CP143" i="21"/>
  <c r="CO143" i="21"/>
  <c r="CN143" i="21"/>
  <c r="CM143" i="21"/>
  <c r="CL143" i="21"/>
  <c r="CK143" i="21"/>
  <c r="CJ143" i="21"/>
  <c r="CI143" i="21"/>
  <c r="CH143" i="21"/>
  <c r="CG143" i="21"/>
  <c r="CF143" i="21"/>
  <c r="CE143" i="21"/>
  <c r="CD143" i="21"/>
  <c r="CC143" i="21"/>
  <c r="CB143" i="21"/>
  <c r="CA143" i="21"/>
  <c r="BZ143" i="21"/>
  <c r="BY143" i="21"/>
  <c r="BX143" i="21"/>
  <c r="BW143" i="21"/>
  <c r="BV143" i="21"/>
  <c r="BU143" i="21"/>
  <c r="BT143" i="21"/>
  <c r="BS143" i="21"/>
  <c r="BR143" i="21"/>
  <c r="BQ143" i="21"/>
  <c r="BP143" i="21"/>
  <c r="BO143" i="21"/>
  <c r="BN143" i="21"/>
  <c r="BM143" i="21"/>
  <c r="BL143" i="21"/>
  <c r="BK143" i="21"/>
  <c r="BJ143" i="21"/>
  <c r="BI143" i="21"/>
  <c r="BH143" i="21"/>
  <c r="BG143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N141" i="21"/>
  <c r="N138" i="21"/>
  <c r="KI193" i="21"/>
  <c r="KI194" i="21" s="1"/>
  <c r="KH193" i="21"/>
  <c r="KH194" i="21" s="1"/>
  <c r="KG193" i="21"/>
  <c r="KG194" i="21" s="1"/>
  <c r="KF193" i="21"/>
  <c r="KF194" i="21" s="1"/>
  <c r="KE193" i="21"/>
  <c r="KE194" i="21" s="1"/>
  <c r="KD193" i="21"/>
  <c r="KD194" i="21" s="1"/>
  <c r="KC193" i="21"/>
  <c r="KC194" i="21" s="1"/>
  <c r="KB193" i="21"/>
  <c r="KB194" i="21" s="1"/>
  <c r="KA193" i="21"/>
  <c r="KA194" i="21" s="1"/>
  <c r="JZ193" i="21"/>
  <c r="JZ194" i="21" s="1"/>
  <c r="JY193" i="21"/>
  <c r="JY194" i="21" s="1"/>
  <c r="JX193" i="21"/>
  <c r="JX194" i="21" s="1"/>
  <c r="JW193" i="21"/>
  <c r="JW194" i="21" s="1"/>
  <c r="JV193" i="21"/>
  <c r="JV194" i="21" s="1"/>
  <c r="JU193" i="21"/>
  <c r="JU194" i="21" s="1"/>
  <c r="JT193" i="21"/>
  <c r="JT194" i="21" s="1"/>
  <c r="JS193" i="21"/>
  <c r="JS194" i="21" s="1"/>
  <c r="JR193" i="21"/>
  <c r="JR194" i="21" s="1"/>
  <c r="JQ193" i="21"/>
  <c r="JQ194" i="21" s="1"/>
  <c r="JP193" i="21"/>
  <c r="JP194" i="21" s="1"/>
  <c r="JO193" i="21"/>
  <c r="JO194" i="21" s="1"/>
  <c r="JN193" i="21"/>
  <c r="JN194" i="21" s="1"/>
  <c r="JM193" i="21"/>
  <c r="JM194" i="21" s="1"/>
  <c r="JL193" i="21"/>
  <c r="JL194" i="21" s="1"/>
  <c r="JK193" i="21"/>
  <c r="JK194" i="21" s="1"/>
  <c r="JJ193" i="21"/>
  <c r="JJ194" i="21" s="1"/>
  <c r="JI193" i="21"/>
  <c r="JI194" i="21" s="1"/>
  <c r="JH193" i="21"/>
  <c r="JH194" i="21" s="1"/>
  <c r="JG193" i="21"/>
  <c r="JG194" i="21" s="1"/>
  <c r="JF193" i="21"/>
  <c r="JF194" i="21" s="1"/>
  <c r="JE193" i="21"/>
  <c r="JE194" i="21" s="1"/>
  <c r="JD193" i="21"/>
  <c r="JD194" i="21" s="1"/>
  <c r="JC193" i="21"/>
  <c r="JC194" i="21" s="1"/>
  <c r="JB193" i="21"/>
  <c r="JB194" i="21" s="1"/>
  <c r="JA193" i="21"/>
  <c r="JA194" i="21" s="1"/>
  <c r="IZ193" i="21"/>
  <c r="IZ194" i="21" s="1"/>
  <c r="IY193" i="21"/>
  <c r="IY194" i="21" s="1"/>
  <c r="IX193" i="21"/>
  <c r="IX194" i="21" s="1"/>
  <c r="IW193" i="21"/>
  <c r="IW194" i="21" s="1"/>
  <c r="IV193" i="21"/>
  <c r="IV194" i="21" s="1"/>
  <c r="IU193" i="21"/>
  <c r="IU194" i="21" s="1"/>
  <c r="IT193" i="21"/>
  <c r="IT194" i="21" s="1"/>
  <c r="IS193" i="21"/>
  <c r="IS194" i="21" s="1"/>
  <c r="IR193" i="21"/>
  <c r="IR194" i="21" s="1"/>
  <c r="IQ193" i="21"/>
  <c r="IQ194" i="21" s="1"/>
  <c r="IP193" i="21"/>
  <c r="IP194" i="21" s="1"/>
  <c r="IO193" i="21"/>
  <c r="IO194" i="21" s="1"/>
  <c r="IN193" i="21"/>
  <c r="IN194" i="21" s="1"/>
  <c r="IM193" i="21"/>
  <c r="IM194" i="21" s="1"/>
  <c r="IL193" i="21"/>
  <c r="IL194" i="21" s="1"/>
  <c r="IK193" i="21"/>
  <c r="IK194" i="21" s="1"/>
  <c r="IJ193" i="21"/>
  <c r="IJ194" i="21" s="1"/>
  <c r="II193" i="21"/>
  <c r="II194" i="21" s="1"/>
  <c r="IH193" i="21"/>
  <c r="IH194" i="21" s="1"/>
  <c r="IG193" i="21"/>
  <c r="IG194" i="21" s="1"/>
  <c r="IF193" i="21"/>
  <c r="IF194" i="21" s="1"/>
  <c r="IE193" i="21"/>
  <c r="IE194" i="21" s="1"/>
  <c r="ID193" i="21"/>
  <c r="ID194" i="21" s="1"/>
  <c r="IC193" i="21"/>
  <c r="IC194" i="21" s="1"/>
  <c r="IB193" i="21"/>
  <c r="IB194" i="21" s="1"/>
  <c r="IA193" i="21"/>
  <c r="IA194" i="21" s="1"/>
  <c r="HZ193" i="21"/>
  <c r="HZ194" i="21" s="1"/>
  <c r="HY193" i="21"/>
  <c r="HY194" i="21" s="1"/>
  <c r="HX193" i="21"/>
  <c r="HX194" i="21" s="1"/>
  <c r="HW193" i="21"/>
  <c r="HW194" i="21" s="1"/>
  <c r="HV193" i="21"/>
  <c r="HV194" i="21" s="1"/>
  <c r="HU193" i="21"/>
  <c r="HU194" i="21" s="1"/>
  <c r="HT193" i="21"/>
  <c r="HT194" i="21" s="1"/>
  <c r="HS193" i="21"/>
  <c r="HS194" i="21" s="1"/>
  <c r="HR193" i="21"/>
  <c r="HR194" i="21" s="1"/>
  <c r="HQ193" i="21"/>
  <c r="HQ194" i="21" s="1"/>
  <c r="HP193" i="21"/>
  <c r="HP194" i="21" s="1"/>
  <c r="HO193" i="21"/>
  <c r="HO194" i="21" s="1"/>
  <c r="HN193" i="21"/>
  <c r="HN194" i="21" s="1"/>
  <c r="HM193" i="21"/>
  <c r="HM194" i="21" s="1"/>
  <c r="HL193" i="21"/>
  <c r="HL194" i="21" s="1"/>
  <c r="HK193" i="21"/>
  <c r="HK194" i="21" s="1"/>
  <c r="HJ193" i="21"/>
  <c r="HJ194" i="21" s="1"/>
  <c r="HI193" i="21"/>
  <c r="HI194" i="21" s="1"/>
  <c r="HH193" i="21"/>
  <c r="HH194" i="21" s="1"/>
  <c r="HG193" i="21"/>
  <c r="HG194" i="21" s="1"/>
  <c r="HF193" i="21"/>
  <c r="HF194" i="21" s="1"/>
  <c r="HE193" i="21"/>
  <c r="HE194" i="21" s="1"/>
  <c r="HD193" i="21"/>
  <c r="HD194" i="21" s="1"/>
  <c r="HC193" i="21"/>
  <c r="HC194" i="21" s="1"/>
  <c r="HB193" i="21"/>
  <c r="HB194" i="21" s="1"/>
  <c r="HA193" i="21"/>
  <c r="HA194" i="21" s="1"/>
  <c r="GZ193" i="21"/>
  <c r="GZ194" i="21" s="1"/>
  <c r="GY193" i="21"/>
  <c r="GY194" i="21" s="1"/>
  <c r="GX193" i="21"/>
  <c r="GX194" i="21" s="1"/>
  <c r="GW193" i="21"/>
  <c r="GW194" i="21" s="1"/>
  <c r="GV193" i="21"/>
  <c r="GV194" i="21" s="1"/>
  <c r="GU193" i="21"/>
  <c r="GU194" i="21" s="1"/>
  <c r="GT193" i="21"/>
  <c r="GT194" i="21" s="1"/>
  <c r="GS193" i="21"/>
  <c r="GS194" i="21" s="1"/>
  <c r="GR193" i="21"/>
  <c r="GR194" i="21" s="1"/>
  <c r="GQ193" i="21"/>
  <c r="GQ194" i="21" s="1"/>
  <c r="GP193" i="21"/>
  <c r="GP194" i="21" s="1"/>
  <c r="GO193" i="21"/>
  <c r="GO194" i="21" s="1"/>
  <c r="GN193" i="21"/>
  <c r="GN194" i="21" s="1"/>
  <c r="GM193" i="21"/>
  <c r="GM194" i="21" s="1"/>
  <c r="GL193" i="21"/>
  <c r="GL194" i="21" s="1"/>
  <c r="GK193" i="21"/>
  <c r="GK194" i="21" s="1"/>
  <c r="GJ193" i="21"/>
  <c r="GJ194" i="21" s="1"/>
  <c r="GI193" i="21"/>
  <c r="GI194" i="21" s="1"/>
  <c r="GH193" i="21"/>
  <c r="GH194" i="21" s="1"/>
  <c r="GG193" i="21"/>
  <c r="GG194" i="21" s="1"/>
  <c r="GF193" i="21"/>
  <c r="GF194" i="21" s="1"/>
  <c r="GE193" i="21"/>
  <c r="GE194" i="21" s="1"/>
  <c r="GD193" i="21"/>
  <c r="GD194" i="21" s="1"/>
  <c r="GC193" i="21"/>
  <c r="GC194" i="21" s="1"/>
  <c r="GB193" i="21"/>
  <c r="GB194" i="21" s="1"/>
  <c r="GA193" i="21"/>
  <c r="GA194" i="21" s="1"/>
  <c r="FZ193" i="21"/>
  <c r="FZ194" i="21" s="1"/>
  <c r="FY193" i="21"/>
  <c r="FY194" i="21" s="1"/>
  <c r="FX193" i="21"/>
  <c r="FX194" i="21" s="1"/>
  <c r="FW193" i="21"/>
  <c r="FW194" i="21" s="1"/>
  <c r="FV193" i="21"/>
  <c r="FV194" i="21" s="1"/>
  <c r="FU193" i="21"/>
  <c r="FU194" i="21" s="1"/>
  <c r="FT193" i="21"/>
  <c r="FT194" i="21" s="1"/>
  <c r="FS193" i="21"/>
  <c r="FS194" i="21" s="1"/>
  <c r="FR193" i="21"/>
  <c r="FR194" i="21" s="1"/>
  <c r="FQ193" i="21"/>
  <c r="FQ194" i="21" s="1"/>
  <c r="FP193" i="21"/>
  <c r="FP194" i="21" s="1"/>
  <c r="FO193" i="21"/>
  <c r="FO194" i="21" s="1"/>
  <c r="FN193" i="21"/>
  <c r="FN194" i="21" s="1"/>
  <c r="FM193" i="21"/>
  <c r="FM194" i="21" s="1"/>
  <c r="FL193" i="21"/>
  <c r="FL194" i="21" s="1"/>
  <c r="FK193" i="21"/>
  <c r="FK194" i="21" s="1"/>
  <c r="FJ193" i="21"/>
  <c r="FJ194" i="21" s="1"/>
  <c r="FI193" i="21"/>
  <c r="FI194" i="21" s="1"/>
  <c r="FH193" i="21"/>
  <c r="FH194" i="21" s="1"/>
  <c r="FG193" i="21"/>
  <c r="FG194" i="21" s="1"/>
  <c r="FF193" i="21"/>
  <c r="FF194" i="21" s="1"/>
  <c r="FE193" i="21"/>
  <c r="FE194" i="21" s="1"/>
  <c r="FD193" i="21"/>
  <c r="FD194" i="21" s="1"/>
  <c r="FC193" i="21"/>
  <c r="FC194" i="21" s="1"/>
  <c r="FB193" i="21"/>
  <c r="FB194" i="21" s="1"/>
  <c r="FA193" i="21"/>
  <c r="FA194" i="21" s="1"/>
  <c r="EZ193" i="21"/>
  <c r="EZ194" i="21" s="1"/>
  <c r="EY193" i="21"/>
  <c r="EY194" i="21" s="1"/>
  <c r="EX193" i="21"/>
  <c r="EX194" i="21" s="1"/>
  <c r="EW193" i="21"/>
  <c r="EW194" i="21" s="1"/>
  <c r="EV193" i="21"/>
  <c r="EV194" i="21" s="1"/>
  <c r="EU193" i="21"/>
  <c r="EU194" i="21" s="1"/>
  <c r="ET193" i="21"/>
  <c r="ET194" i="21" s="1"/>
  <c r="ES193" i="21"/>
  <c r="ES194" i="21" s="1"/>
  <c r="ER193" i="21"/>
  <c r="ER194" i="21" s="1"/>
  <c r="EQ193" i="21"/>
  <c r="EQ194" i="21" s="1"/>
  <c r="EP193" i="21"/>
  <c r="EP194" i="21" s="1"/>
  <c r="EO193" i="21"/>
  <c r="EO194" i="21" s="1"/>
  <c r="EN193" i="21"/>
  <c r="EN194" i="21" s="1"/>
  <c r="EM193" i="21"/>
  <c r="EM194" i="21" s="1"/>
  <c r="EL193" i="21"/>
  <c r="EL194" i="21" s="1"/>
  <c r="EK193" i="21"/>
  <c r="EK194" i="21" s="1"/>
  <c r="EJ193" i="21"/>
  <c r="EJ194" i="21" s="1"/>
  <c r="EI193" i="21"/>
  <c r="EI194" i="21" s="1"/>
  <c r="EH193" i="21"/>
  <c r="EH194" i="21" s="1"/>
  <c r="EG193" i="21"/>
  <c r="EG194" i="21" s="1"/>
  <c r="EF193" i="21"/>
  <c r="EF194" i="21" s="1"/>
  <c r="EE193" i="21"/>
  <c r="EE194" i="21" s="1"/>
  <c r="ED193" i="21"/>
  <c r="ED194" i="21" s="1"/>
  <c r="EC193" i="21"/>
  <c r="EC194" i="21" s="1"/>
  <c r="EB193" i="21"/>
  <c r="EB194" i="21" s="1"/>
  <c r="EA193" i="21"/>
  <c r="EA194" i="21" s="1"/>
  <c r="DZ193" i="21"/>
  <c r="DZ194" i="21" s="1"/>
  <c r="DY193" i="21"/>
  <c r="DY194" i="21" s="1"/>
  <c r="DX193" i="21"/>
  <c r="DX194" i="21" s="1"/>
  <c r="DW193" i="21"/>
  <c r="DW194" i="21" s="1"/>
  <c r="DV193" i="21"/>
  <c r="DV194" i="21" s="1"/>
  <c r="DU193" i="21"/>
  <c r="DU194" i="21" s="1"/>
  <c r="DT193" i="21"/>
  <c r="DT194" i="21" s="1"/>
  <c r="DS193" i="21"/>
  <c r="DS194" i="21" s="1"/>
  <c r="DR193" i="21"/>
  <c r="DR194" i="21" s="1"/>
  <c r="DQ193" i="21"/>
  <c r="DQ194" i="21" s="1"/>
  <c r="DP193" i="21"/>
  <c r="DP194" i="21" s="1"/>
  <c r="DO193" i="21"/>
  <c r="DO194" i="21" s="1"/>
  <c r="DN193" i="21"/>
  <c r="DN194" i="21" s="1"/>
  <c r="DM193" i="21"/>
  <c r="DM194" i="21" s="1"/>
  <c r="DL193" i="21"/>
  <c r="DL194" i="21" s="1"/>
  <c r="DK193" i="21"/>
  <c r="DK194" i="21" s="1"/>
  <c r="DJ193" i="21"/>
  <c r="DJ194" i="21" s="1"/>
  <c r="DI193" i="21"/>
  <c r="DI194" i="21" s="1"/>
  <c r="DH193" i="21"/>
  <c r="DH194" i="21" s="1"/>
  <c r="DG193" i="21"/>
  <c r="DG194" i="21" s="1"/>
  <c r="DF193" i="21"/>
  <c r="DF194" i="21" s="1"/>
  <c r="DE193" i="21"/>
  <c r="DE194" i="21" s="1"/>
  <c r="DD193" i="21"/>
  <c r="DD194" i="21" s="1"/>
  <c r="DC193" i="21"/>
  <c r="DC194" i="21" s="1"/>
  <c r="DB193" i="21"/>
  <c r="DB194" i="21" s="1"/>
  <c r="DA193" i="21"/>
  <c r="DA194" i="21" s="1"/>
  <c r="CZ193" i="21"/>
  <c r="CZ194" i="21" s="1"/>
  <c r="CY193" i="21"/>
  <c r="CY194" i="21" s="1"/>
  <c r="CX193" i="21"/>
  <c r="CX194" i="21" s="1"/>
  <c r="CW193" i="21"/>
  <c r="CW194" i="21" s="1"/>
  <c r="CV193" i="21"/>
  <c r="CV194" i="21" s="1"/>
  <c r="CU193" i="21"/>
  <c r="CU194" i="21" s="1"/>
  <c r="CT193" i="21"/>
  <c r="CT194" i="21" s="1"/>
  <c r="CS193" i="21"/>
  <c r="CS194" i="21" s="1"/>
  <c r="CR193" i="21"/>
  <c r="CR194" i="21" s="1"/>
  <c r="CQ193" i="21"/>
  <c r="CQ194" i="21" s="1"/>
  <c r="CP193" i="21"/>
  <c r="CP194" i="21" s="1"/>
  <c r="CO193" i="21"/>
  <c r="CO194" i="21" s="1"/>
  <c r="CN193" i="21"/>
  <c r="CN194" i="21" s="1"/>
  <c r="CM193" i="21"/>
  <c r="CM194" i="21" s="1"/>
  <c r="CL193" i="21"/>
  <c r="CL194" i="21" s="1"/>
  <c r="CK193" i="21"/>
  <c r="CK194" i="21" s="1"/>
  <c r="CJ193" i="21"/>
  <c r="CJ194" i="21" s="1"/>
  <c r="CI193" i="21"/>
  <c r="CI194" i="21" s="1"/>
  <c r="CH193" i="21"/>
  <c r="CH194" i="21" s="1"/>
  <c r="CG193" i="21"/>
  <c r="CG194" i="21" s="1"/>
  <c r="CF193" i="21"/>
  <c r="CF194" i="21" s="1"/>
  <c r="CE193" i="21"/>
  <c r="CE194" i="21" s="1"/>
  <c r="CD193" i="21"/>
  <c r="CD194" i="21" s="1"/>
  <c r="CC193" i="21"/>
  <c r="CC194" i="21" s="1"/>
  <c r="CB193" i="21"/>
  <c r="CB194" i="21" s="1"/>
  <c r="CA193" i="21"/>
  <c r="CA194" i="21" s="1"/>
  <c r="BZ193" i="21"/>
  <c r="BZ194" i="21" s="1"/>
  <c r="BY193" i="21"/>
  <c r="BY194" i="21" s="1"/>
  <c r="BX193" i="21"/>
  <c r="BX194" i="21" s="1"/>
  <c r="BW193" i="21"/>
  <c r="BW194" i="21" s="1"/>
  <c r="BV193" i="21"/>
  <c r="BV194" i="21" s="1"/>
  <c r="BU193" i="21"/>
  <c r="BU194" i="21" s="1"/>
  <c r="BT193" i="21"/>
  <c r="BT194" i="21" s="1"/>
  <c r="BS193" i="21"/>
  <c r="BS194" i="21" s="1"/>
  <c r="BR193" i="21"/>
  <c r="BR194" i="21" s="1"/>
  <c r="BQ193" i="21"/>
  <c r="BQ194" i="21" s="1"/>
  <c r="BP193" i="21"/>
  <c r="BP194" i="21" s="1"/>
  <c r="BO193" i="21"/>
  <c r="BO194" i="21" s="1"/>
  <c r="BN193" i="21"/>
  <c r="BN194" i="21" s="1"/>
  <c r="BM193" i="21"/>
  <c r="BM194" i="21" s="1"/>
  <c r="BL193" i="21"/>
  <c r="BL194" i="21" s="1"/>
  <c r="BK193" i="21"/>
  <c r="BK194" i="21" s="1"/>
  <c r="BJ193" i="21"/>
  <c r="BJ194" i="21" s="1"/>
  <c r="BI193" i="21"/>
  <c r="BI194" i="21" s="1"/>
  <c r="BH193" i="21"/>
  <c r="BH194" i="21" s="1"/>
  <c r="BG193" i="21"/>
  <c r="BG194" i="21" s="1"/>
  <c r="BF193" i="21"/>
  <c r="BF194" i="21" s="1"/>
  <c r="BE193" i="21"/>
  <c r="BE194" i="21" s="1"/>
  <c r="BD193" i="21"/>
  <c r="BD194" i="21" s="1"/>
  <c r="BC193" i="21"/>
  <c r="BC194" i="21" s="1"/>
  <c r="BB193" i="21"/>
  <c r="BB194" i="21" s="1"/>
  <c r="BA193" i="21"/>
  <c r="BA194" i="21" s="1"/>
  <c r="AZ193" i="21"/>
  <c r="AZ194" i="21" s="1"/>
  <c r="AY193" i="21"/>
  <c r="AY194" i="21" s="1"/>
  <c r="AX193" i="21"/>
  <c r="AX194" i="21" s="1"/>
  <c r="AW193" i="21"/>
  <c r="AW194" i="21" s="1"/>
  <c r="AV193" i="21"/>
  <c r="AV194" i="21" s="1"/>
  <c r="AU193" i="21"/>
  <c r="AU194" i="21" s="1"/>
  <c r="AT193" i="21"/>
  <c r="AT194" i="21" s="1"/>
  <c r="AS193" i="21"/>
  <c r="AS194" i="21" s="1"/>
  <c r="AR193" i="21"/>
  <c r="AR194" i="21" s="1"/>
  <c r="AQ193" i="21"/>
  <c r="AQ194" i="21" s="1"/>
  <c r="AP193" i="21"/>
  <c r="AP194" i="21" s="1"/>
  <c r="AO193" i="21"/>
  <c r="AO194" i="21" s="1"/>
  <c r="AN193" i="21"/>
  <c r="AN194" i="21" s="1"/>
  <c r="AM193" i="21"/>
  <c r="AM194" i="21" s="1"/>
  <c r="AL193" i="21"/>
  <c r="AL194" i="21" s="1"/>
  <c r="AK193" i="21"/>
  <c r="AK194" i="21" s="1"/>
  <c r="AJ193" i="21"/>
  <c r="AJ194" i="21" s="1"/>
  <c r="AI193" i="21"/>
  <c r="AI194" i="21" s="1"/>
  <c r="AH193" i="21"/>
  <c r="AH194" i="21" s="1"/>
  <c r="AG193" i="21"/>
  <c r="AG194" i="21" s="1"/>
  <c r="AF193" i="21"/>
  <c r="AF194" i="21" s="1"/>
  <c r="AE193" i="21"/>
  <c r="AE194" i="21" s="1"/>
  <c r="AD193" i="21"/>
  <c r="AD194" i="21" s="1"/>
  <c r="AC193" i="21"/>
  <c r="AC194" i="21" s="1"/>
  <c r="AB193" i="21"/>
  <c r="AB194" i="21" s="1"/>
  <c r="AA193" i="21"/>
  <c r="AA194" i="21" s="1"/>
  <c r="Z193" i="21"/>
  <c r="Z194" i="21" s="1"/>
  <c r="Y193" i="21"/>
  <c r="Y194" i="21" s="1"/>
  <c r="X193" i="21"/>
  <c r="X194" i="21" s="1"/>
  <c r="W193" i="21"/>
  <c r="W194" i="21" s="1"/>
  <c r="V193" i="21"/>
  <c r="V194" i="21" s="1"/>
  <c r="U193" i="21"/>
  <c r="U194" i="21" s="1"/>
  <c r="T193" i="21"/>
  <c r="T194" i="21" s="1"/>
  <c r="S193" i="21"/>
  <c r="S194" i="21" s="1"/>
  <c r="R193" i="21"/>
  <c r="R194" i="21" s="1"/>
  <c r="Q193" i="21"/>
  <c r="Q194" i="21" s="1"/>
  <c r="P193" i="21"/>
  <c r="P194" i="21" s="1"/>
  <c r="O193" i="21"/>
  <c r="O194" i="21" s="1"/>
  <c r="N193" i="21"/>
  <c r="N194" i="21" s="1"/>
  <c r="KI190" i="21"/>
  <c r="KH190" i="21"/>
  <c r="KG190" i="21"/>
  <c r="KF190" i="21"/>
  <c r="KE190" i="21"/>
  <c r="KD190" i="21"/>
  <c r="KC190" i="21"/>
  <c r="KB190" i="21"/>
  <c r="KA190" i="21"/>
  <c r="JZ190" i="21"/>
  <c r="JY190" i="21"/>
  <c r="JX190" i="21"/>
  <c r="JW190" i="21"/>
  <c r="JV190" i="21"/>
  <c r="JU190" i="21"/>
  <c r="JT190" i="21"/>
  <c r="JS190" i="21"/>
  <c r="JR190" i="21"/>
  <c r="JQ190" i="21"/>
  <c r="JP190" i="21"/>
  <c r="JO190" i="21"/>
  <c r="JN190" i="21"/>
  <c r="JM190" i="21"/>
  <c r="JL190" i="21"/>
  <c r="JK190" i="21"/>
  <c r="JJ190" i="21"/>
  <c r="JI190" i="21"/>
  <c r="JH190" i="21"/>
  <c r="JG190" i="21"/>
  <c r="JF190" i="21"/>
  <c r="JE190" i="21"/>
  <c r="JD190" i="21"/>
  <c r="JC190" i="21"/>
  <c r="JB190" i="21"/>
  <c r="JA190" i="21"/>
  <c r="IZ190" i="21"/>
  <c r="IY190" i="21"/>
  <c r="IX190" i="21"/>
  <c r="IW190" i="21"/>
  <c r="IV190" i="21"/>
  <c r="IU190" i="21"/>
  <c r="IT190" i="21"/>
  <c r="IS190" i="21"/>
  <c r="IR190" i="21"/>
  <c r="IQ190" i="21"/>
  <c r="IP190" i="21"/>
  <c r="IO190" i="21"/>
  <c r="IN190" i="21"/>
  <c r="IM190" i="21"/>
  <c r="IL190" i="21"/>
  <c r="IK190" i="21"/>
  <c r="IJ190" i="21"/>
  <c r="II190" i="21"/>
  <c r="IH190" i="21"/>
  <c r="IG190" i="21"/>
  <c r="IF190" i="21"/>
  <c r="IE190" i="21"/>
  <c r="ID190" i="21"/>
  <c r="IC190" i="21"/>
  <c r="IB190" i="21"/>
  <c r="IA190" i="21"/>
  <c r="HZ190" i="21"/>
  <c r="HY190" i="21"/>
  <c r="HX190" i="21"/>
  <c r="HW190" i="21"/>
  <c r="HV190" i="21"/>
  <c r="HU190" i="21"/>
  <c r="HT190" i="21"/>
  <c r="HS190" i="21"/>
  <c r="HR190" i="21"/>
  <c r="HQ190" i="21"/>
  <c r="HP190" i="21"/>
  <c r="HO190" i="21"/>
  <c r="HN190" i="21"/>
  <c r="HM190" i="21"/>
  <c r="HL190" i="21"/>
  <c r="HK190" i="21"/>
  <c r="HJ190" i="21"/>
  <c r="HI190" i="21"/>
  <c r="HH190" i="21"/>
  <c r="HG190" i="21"/>
  <c r="HF190" i="21"/>
  <c r="HE190" i="21"/>
  <c r="HD190" i="21"/>
  <c r="HC190" i="21"/>
  <c r="HB190" i="21"/>
  <c r="HA190" i="21"/>
  <c r="GZ190" i="21"/>
  <c r="GY190" i="21"/>
  <c r="GX190" i="21"/>
  <c r="GW190" i="21"/>
  <c r="GV190" i="21"/>
  <c r="GU190" i="21"/>
  <c r="GT190" i="21"/>
  <c r="GS190" i="21"/>
  <c r="GR190" i="21"/>
  <c r="GQ190" i="21"/>
  <c r="GP190" i="21"/>
  <c r="GO190" i="21"/>
  <c r="GN190" i="21"/>
  <c r="GM190" i="21"/>
  <c r="GL190" i="21"/>
  <c r="GK190" i="21"/>
  <c r="GJ190" i="21"/>
  <c r="GI190" i="21"/>
  <c r="GH190" i="21"/>
  <c r="GG190" i="21"/>
  <c r="GF190" i="21"/>
  <c r="GE190" i="21"/>
  <c r="GD190" i="21"/>
  <c r="GC190" i="21"/>
  <c r="GB190" i="21"/>
  <c r="GA190" i="21"/>
  <c r="FZ190" i="21"/>
  <c r="FY190" i="21"/>
  <c r="FX190" i="21"/>
  <c r="FW190" i="21"/>
  <c r="FV190" i="21"/>
  <c r="FU190" i="21"/>
  <c r="FT190" i="21"/>
  <c r="FS190" i="21"/>
  <c r="FR190" i="21"/>
  <c r="FQ190" i="21"/>
  <c r="FP190" i="21"/>
  <c r="FO190" i="21"/>
  <c r="FN190" i="21"/>
  <c r="FM190" i="21"/>
  <c r="FL190" i="21"/>
  <c r="FK190" i="21"/>
  <c r="FJ190" i="21"/>
  <c r="FI190" i="21"/>
  <c r="FH190" i="21"/>
  <c r="FG190" i="21"/>
  <c r="FF190" i="21"/>
  <c r="FE190" i="21"/>
  <c r="FD190" i="21"/>
  <c r="FC190" i="21"/>
  <c r="FB190" i="21"/>
  <c r="FA190" i="21"/>
  <c r="EZ190" i="21"/>
  <c r="EY190" i="21"/>
  <c r="EX190" i="21"/>
  <c r="EW190" i="21"/>
  <c r="EV190" i="21"/>
  <c r="EU190" i="21"/>
  <c r="ET190" i="21"/>
  <c r="ES190" i="21"/>
  <c r="ER190" i="21"/>
  <c r="EQ190" i="21"/>
  <c r="EP190" i="21"/>
  <c r="EO190" i="21"/>
  <c r="EN190" i="21"/>
  <c r="EM190" i="21"/>
  <c r="EL190" i="21"/>
  <c r="EK190" i="21"/>
  <c r="EJ190" i="21"/>
  <c r="EI190" i="21"/>
  <c r="EH190" i="21"/>
  <c r="EG190" i="21"/>
  <c r="EF190" i="21"/>
  <c r="EE190" i="21"/>
  <c r="ED190" i="21"/>
  <c r="EC190" i="21"/>
  <c r="EB190" i="21"/>
  <c r="EA190" i="21"/>
  <c r="DZ190" i="21"/>
  <c r="DY190" i="21"/>
  <c r="DX190" i="21"/>
  <c r="DW190" i="21"/>
  <c r="DV190" i="21"/>
  <c r="DU190" i="21"/>
  <c r="DT190" i="21"/>
  <c r="DS190" i="21"/>
  <c r="DR190" i="21"/>
  <c r="DQ190" i="21"/>
  <c r="DP190" i="21"/>
  <c r="DO190" i="21"/>
  <c r="DN190" i="21"/>
  <c r="DM190" i="21"/>
  <c r="DL190" i="21"/>
  <c r="DK190" i="21"/>
  <c r="DJ190" i="21"/>
  <c r="DI190" i="21"/>
  <c r="DH190" i="21"/>
  <c r="DG190" i="21"/>
  <c r="DF190" i="21"/>
  <c r="DE190" i="21"/>
  <c r="DD190" i="21"/>
  <c r="DC190" i="21"/>
  <c r="DB190" i="21"/>
  <c r="DA190" i="21"/>
  <c r="CZ190" i="21"/>
  <c r="CY190" i="21"/>
  <c r="CX190" i="21"/>
  <c r="CW190" i="21"/>
  <c r="CV190" i="21"/>
  <c r="CU190" i="21"/>
  <c r="CT190" i="21"/>
  <c r="CS190" i="21"/>
  <c r="CR190" i="21"/>
  <c r="CQ190" i="21"/>
  <c r="CP190" i="21"/>
  <c r="CO190" i="21"/>
  <c r="CN190" i="21"/>
  <c r="CM190" i="21"/>
  <c r="CL190" i="21"/>
  <c r="CK190" i="21"/>
  <c r="CJ190" i="21"/>
  <c r="CI190" i="21"/>
  <c r="CH190" i="21"/>
  <c r="CG190" i="21"/>
  <c r="CF190" i="21"/>
  <c r="CE190" i="21"/>
  <c r="CD190" i="21"/>
  <c r="CC190" i="21"/>
  <c r="CB190" i="21"/>
  <c r="CA190" i="21"/>
  <c r="BZ190" i="21"/>
  <c r="BY190" i="21"/>
  <c r="BX190" i="21"/>
  <c r="BW190" i="21"/>
  <c r="BV190" i="21"/>
  <c r="BU190" i="21"/>
  <c r="BT190" i="21"/>
  <c r="BS190" i="21"/>
  <c r="BR190" i="21"/>
  <c r="BQ190" i="21"/>
  <c r="BP190" i="21"/>
  <c r="BO190" i="21"/>
  <c r="BN190" i="21"/>
  <c r="BM190" i="21"/>
  <c r="BL190" i="21"/>
  <c r="BK190" i="21"/>
  <c r="BJ190" i="21"/>
  <c r="BI190" i="21"/>
  <c r="BH190" i="21"/>
  <c r="BG190" i="21"/>
  <c r="BF190" i="21"/>
  <c r="BE190" i="21"/>
  <c r="BD190" i="21"/>
  <c r="BC190" i="21"/>
  <c r="BB190" i="21"/>
  <c r="BA190" i="21"/>
  <c r="AZ190" i="21"/>
  <c r="AY190" i="21"/>
  <c r="AX190" i="21"/>
  <c r="AW190" i="21"/>
  <c r="AV190" i="21"/>
  <c r="AU190" i="21"/>
  <c r="AT190" i="21"/>
  <c r="AS190" i="21"/>
  <c r="AR190" i="21"/>
  <c r="AQ190" i="21"/>
  <c r="AP190" i="21"/>
  <c r="AO190" i="21"/>
  <c r="AN190" i="21"/>
  <c r="AM190" i="21"/>
  <c r="AL190" i="21"/>
  <c r="AK190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86" i="21"/>
  <c r="N60" i="21"/>
  <c r="O60" i="21" s="1"/>
  <c r="P60" i="21" s="1"/>
  <c r="N57" i="21"/>
  <c r="O57" i="21" s="1"/>
  <c r="P57" i="21" s="1"/>
  <c r="N63" i="21"/>
  <c r="N62" i="21"/>
  <c r="O62" i="21" s="1"/>
  <c r="P62" i="21" s="1"/>
  <c r="N56" i="21"/>
  <c r="G39" i="21"/>
  <c r="N125" i="21"/>
  <c r="H25" i="9" a="1"/>
  <c r="H25" i="9" s="1"/>
  <c r="K134" i="10" s="1"/>
  <c r="H62" i="9" a="1"/>
  <c r="H62" i="9" s="1"/>
  <c r="H61" i="9" a="1"/>
  <c r="H61" i="9" s="1"/>
  <c r="H60" i="9" a="1"/>
  <c r="H60" i="9" s="1"/>
  <c r="H59" i="9" a="1"/>
  <c r="H59" i="9" s="1"/>
  <c r="H58" i="9" a="1"/>
  <c r="H58" i="9" s="1"/>
  <c r="H57" i="9" a="1"/>
  <c r="H57" i="9" s="1"/>
  <c r="H56" i="9" a="1"/>
  <c r="H56" i="9" s="1"/>
  <c r="H55" i="9" a="1"/>
  <c r="H55" i="9" s="1"/>
  <c r="H54" i="9" a="1"/>
  <c r="H54" i="9" s="1"/>
  <c r="G54" i="9"/>
  <c r="G55" i="9" s="1"/>
  <c r="G56" i="9" s="1"/>
  <c r="G57" i="9" s="1"/>
  <c r="G58" i="9" s="1"/>
  <c r="G59" i="9" s="1"/>
  <c r="G60" i="9" s="1"/>
  <c r="G61" i="9" s="1"/>
  <c r="G62" i="9" s="1"/>
  <c r="H53" i="9" a="1"/>
  <c r="H53" i="9" s="1"/>
  <c r="H46" i="9" a="1"/>
  <c r="H46" i="9" s="1"/>
  <c r="N95" i="21" s="1"/>
  <c r="H45" i="9" a="1"/>
  <c r="H45" i="9" s="1"/>
  <c r="H44" i="9" a="1"/>
  <c r="H44" i="9" s="1"/>
  <c r="N80" i="21" s="1"/>
  <c r="H43" i="9" a="1"/>
  <c r="H43" i="9" s="1"/>
  <c r="G87" i="21" s="1"/>
  <c r="H42" i="9" a="1"/>
  <c r="H42" i="9" s="1"/>
  <c r="R41" i="9"/>
  <c r="Q41" i="9"/>
  <c r="P41" i="9"/>
  <c r="O41" i="9"/>
  <c r="N41" i="9"/>
  <c r="M41" i="9"/>
  <c r="L41" i="9"/>
  <c r="K41" i="9"/>
  <c r="J41" i="9"/>
  <c r="H41" i="9" s="1" a="1"/>
  <c r="H41" i="9" s="1"/>
  <c r="H40" i="9" a="1"/>
  <c r="H40" i="9" s="1"/>
  <c r="R39" i="9"/>
  <c r="Q39" i="9"/>
  <c r="P39" i="9"/>
  <c r="O39" i="9"/>
  <c r="N39" i="9"/>
  <c r="M39" i="9"/>
  <c r="L39" i="9"/>
  <c r="K39" i="9"/>
  <c r="J39" i="9"/>
  <c r="H39" i="9" s="1" a="1"/>
  <c r="H39" i="9" s="1"/>
  <c r="R14" i="26" l="1"/>
  <c r="S10" i="26"/>
  <c r="R6" i="26"/>
  <c r="C11" i="25"/>
  <c r="N157" i="21"/>
  <c r="Q60" i="21"/>
  <c r="Q62" i="21"/>
  <c r="Q57" i="21"/>
  <c r="N64" i="21"/>
  <c r="N176" i="21" s="1"/>
  <c r="H48" i="9"/>
  <c r="H49" i="9" s="1"/>
  <c r="G96" i="21" s="1"/>
  <c r="H47" i="9"/>
  <c r="G73" i="21"/>
  <c r="S13" i="26" l="1"/>
  <c r="S5" i="26" s="1"/>
  <c r="S11" i="26"/>
  <c r="S12" i="26"/>
  <c r="S4" i="26" s="1"/>
  <c r="R62" i="21"/>
  <c r="R60" i="21"/>
  <c r="R57" i="21"/>
  <c r="T10" i="26" l="1"/>
  <c r="S14" i="26"/>
  <c r="S6" i="26"/>
  <c r="S60" i="21"/>
  <c r="S62" i="21"/>
  <c r="S57" i="21"/>
  <c r="T13" i="26" l="1"/>
  <c r="T5" i="26" s="1"/>
  <c r="T12" i="26"/>
  <c r="T4" i="26" s="1"/>
  <c r="T11" i="26"/>
  <c r="T62" i="21"/>
  <c r="T60" i="21"/>
  <c r="T57" i="21"/>
  <c r="T14" i="26" l="1"/>
  <c r="U10" i="26"/>
  <c r="T6" i="26"/>
  <c r="U60" i="21"/>
  <c r="U62" i="21"/>
  <c r="U57" i="21"/>
  <c r="U13" i="26" l="1"/>
  <c r="U5" i="26" s="1"/>
  <c r="U12" i="26"/>
  <c r="U4" i="26" s="1"/>
  <c r="U11" i="26"/>
  <c r="V62" i="21"/>
  <c r="V60" i="21"/>
  <c r="V57" i="21"/>
  <c r="U14" i="26" l="1"/>
  <c r="V10" i="26"/>
  <c r="U6" i="26"/>
  <c r="W60" i="21"/>
  <c r="W62" i="21"/>
  <c r="W57" i="21"/>
  <c r="V13" i="26" l="1"/>
  <c r="V5" i="26" s="1"/>
  <c r="V12" i="26"/>
  <c r="V4" i="26" s="1"/>
  <c r="V11" i="26"/>
  <c r="X62" i="21"/>
  <c r="X60" i="21"/>
  <c r="X57" i="21"/>
  <c r="V14" i="26" l="1"/>
  <c r="W10" i="26"/>
  <c r="V6" i="26"/>
  <c r="Y60" i="21"/>
  <c r="Y62" i="21"/>
  <c r="Y57" i="21"/>
  <c r="W13" i="26" l="1"/>
  <c r="W5" i="26" s="1"/>
  <c r="W12" i="26"/>
  <c r="W4" i="26" s="1"/>
  <c r="W11" i="26"/>
  <c r="Z62" i="21"/>
  <c r="Z60" i="21"/>
  <c r="Z57" i="21"/>
  <c r="W14" i="26" l="1"/>
  <c r="W6" i="26"/>
  <c r="X10" i="26"/>
  <c r="AA60" i="21"/>
  <c r="AA62" i="21"/>
  <c r="AA57" i="21"/>
  <c r="X13" i="26" l="1"/>
  <c r="X5" i="26" s="1"/>
  <c r="X12" i="26"/>
  <c r="X4" i="26" s="1"/>
  <c r="X11" i="26"/>
  <c r="AB62" i="21"/>
  <c r="AB60" i="21"/>
  <c r="AB57" i="21"/>
  <c r="X14" i="26" l="1"/>
  <c r="X6" i="26"/>
  <c r="Y10" i="26"/>
  <c r="AC60" i="21"/>
  <c r="AC62" i="21"/>
  <c r="AC57" i="21"/>
  <c r="Y13" i="26" l="1"/>
  <c r="Y5" i="26" s="1"/>
  <c r="Y12" i="26"/>
  <c r="Y4" i="26" s="1"/>
  <c r="Y11" i="26"/>
  <c r="AD62" i="21"/>
  <c r="AD60" i="21"/>
  <c r="AD57" i="21"/>
  <c r="Y14" i="26" l="1"/>
  <c r="Y6" i="26"/>
  <c r="Z10" i="26"/>
  <c r="AE60" i="21"/>
  <c r="AE62" i="21"/>
  <c r="AE57" i="21"/>
  <c r="Z11" i="26" l="1"/>
  <c r="Z13" i="26"/>
  <c r="Z5" i="26" s="1"/>
  <c r="Z12" i="26"/>
  <c r="Z4" i="26" s="1"/>
  <c r="AF62" i="21"/>
  <c r="AF60" i="21"/>
  <c r="AF57" i="21"/>
  <c r="Z14" i="26" l="1"/>
  <c r="AA10" i="26"/>
  <c r="Z6" i="26"/>
  <c r="AG60" i="21"/>
  <c r="AG62" i="21"/>
  <c r="AG57" i="21"/>
  <c r="AA13" i="26" l="1"/>
  <c r="AA5" i="26" s="1"/>
  <c r="AA11" i="26"/>
  <c r="AA12" i="26"/>
  <c r="AA4" i="26" s="1"/>
  <c r="AH62" i="21"/>
  <c r="AH60" i="21"/>
  <c r="AH57" i="21"/>
  <c r="AA14" i="26" l="1"/>
  <c r="AB10" i="26"/>
  <c r="AA6" i="26"/>
  <c r="AI60" i="21"/>
  <c r="AI62" i="21"/>
  <c r="AI57" i="21"/>
  <c r="AB13" i="26" l="1"/>
  <c r="AB5" i="26" s="1"/>
  <c r="AB12" i="26"/>
  <c r="AB4" i="26" s="1"/>
  <c r="AB11" i="26"/>
  <c r="AJ60" i="21"/>
  <c r="AJ62" i="21"/>
  <c r="AJ57" i="21"/>
  <c r="AB14" i="26" l="1"/>
  <c r="AC10" i="26"/>
  <c r="AB6" i="26"/>
  <c r="AK62" i="21"/>
  <c r="AK60" i="21"/>
  <c r="AK57" i="21"/>
  <c r="AC13" i="26" l="1"/>
  <c r="AC5" i="26" s="1"/>
  <c r="AC12" i="26"/>
  <c r="AC4" i="26" s="1"/>
  <c r="AC11" i="26"/>
  <c r="AL60" i="21"/>
  <c r="AL62" i="21"/>
  <c r="AL57" i="21"/>
  <c r="AC14" i="26" l="1"/>
  <c r="AD10" i="26"/>
  <c r="AC6" i="26"/>
  <c r="AM60" i="21"/>
  <c r="AM62" i="21"/>
  <c r="AM57" i="21"/>
  <c r="AD13" i="26" l="1"/>
  <c r="AD5" i="26" s="1"/>
  <c r="AD12" i="26"/>
  <c r="AD4" i="26" s="1"/>
  <c r="AD11" i="26"/>
  <c r="AN60" i="21"/>
  <c r="AN62" i="21"/>
  <c r="AN57" i="21"/>
  <c r="AD14" i="26" l="1"/>
  <c r="AE10" i="26"/>
  <c r="AD6" i="26"/>
  <c r="AO60" i="21"/>
  <c r="AO62" i="21"/>
  <c r="AO57" i="21"/>
  <c r="AE13" i="26" l="1"/>
  <c r="AE5" i="26" s="1"/>
  <c r="AE12" i="26"/>
  <c r="AE4" i="26" s="1"/>
  <c r="AE11" i="26"/>
  <c r="AP62" i="21"/>
  <c r="AP60" i="21"/>
  <c r="AP57" i="21"/>
  <c r="AE14" i="26" l="1"/>
  <c r="AE6" i="26"/>
  <c r="AF10" i="26"/>
  <c r="AQ60" i="21"/>
  <c r="AQ62" i="21"/>
  <c r="AQ57" i="21"/>
  <c r="AF13" i="26" l="1"/>
  <c r="AF5" i="26" s="1"/>
  <c r="AF12" i="26"/>
  <c r="AF4" i="26" s="1"/>
  <c r="AF11" i="26"/>
  <c r="AR62" i="21"/>
  <c r="AR60" i="21"/>
  <c r="AR57" i="21"/>
  <c r="AF14" i="26" l="1"/>
  <c r="AF6" i="26"/>
  <c r="AG10" i="26"/>
  <c r="AS60" i="21"/>
  <c r="AS62" i="21"/>
  <c r="AS57" i="21"/>
  <c r="AG13" i="26" l="1"/>
  <c r="AG5" i="26" s="1"/>
  <c r="AG12" i="26"/>
  <c r="AG4" i="26" s="1"/>
  <c r="AG11" i="26"/>
  <c r="AT62" i="21"/>
  <c r="AT60" i="21"/>
  <c r="AT57" i="21"/>
  <c r="AG14" i="26" l="1"/>
  <c r="AG6" i="26"/>
  <c r="AH10" i="26"/>
  <c r="AU60" i="21"/>
  <c r="AU62" i="21"/>
  <c r="AU57" i="21"/>
  <c r="AH13" i="26" l="1"/>
  <c r="AH5" i="26" s="1"/>
  <c r="AH11" i="26"/>
  <c r="AH12" i="26"/>
  <c r="AH4" i="26" s="1"/>
  <c r="AV62" i="21"/>
  <c r="AV60" i="21"/>
  <c r="AV57" i="21"/>
  <c r="AH14" i="26" l="1"/>
  <c r="AI10" i="26"/>
  <c r="AH6" i="26"/>
  <c r="AW60" i="21"/>
  <c r="AW62" i="21"/>
  <c r="AW57" i="21"/>
  <c r="AI13" i="26" l="1"/>
  <c r="AI5" i="26" s="1"/>
  <c r="AI11" i="26"/>
  <c r="AI12" i="26"/>
  <c r="AI4" i="26" s="1"/>
  <c r="AX62" i="21"/>
  <c r="AX60" i="21"/>
  <c r="AX57" i="21"/>
  <c r="AI14" i="26" l="1"/>
  <c r="AJ10" i="26"/>
  <c r="AI6" i="26"/>
  <c r="AY60" i="21"/>
  <c r="AY62" i="21"/>
  <c r="AY57" i="21"/>
  <c r="AJ13" i="26" l="1"/>
  <c r="AJ5" i="26" s="1"/>
  <c r="AJ12" i="26"/>
  <c r="AJ4" i="26" s="1"/>
  <c r="AJ11" i="26"/>
  <c r="AZ62" i="21"/>
  <c r="AZ60" i="21"/>
  <c r="AZ57" i="21"/>
  <c r="AJ14" i="26" l="1"/>
  <c r="AK10" i="26"/>
  <c r="AJ6" i="26"/>
  <c r="BA60" i="21"/>
  <c r="BA62" i="21"/>
  <c r="BA57" i="21"/>
  <c r="AK13" i="26" l="1"/>
  <c r="AK5" i="26" s="1"/>
  <c r="AK12" i="26"/>
  <c r="AK4" i="26" s="1"/>
  <c r="AK11" i="26"/>
  <c r="BB62" i="21"/>
  <c r="BB60" i="21"/>
  <c r="BB57" i="21"/>
  <c r="AK14" i="26" l="1"/>
  <c r="AL10" i="26"/>
  <c r="AK6" i="26"/>
  <c r="BC60" i="21"/>
  <c r="BC62" i="21"/>
  <c r="BC57" i="21"/>
  <c r="AL13" i="26" l="1"/>
  <c r="AL5" i="26" s="1"/>
  <c r="AL12" i="26"/>
  <c r="AL4" i="26" s="1"/>
  <c r="AL11" i="26"/>
  <c r="BD62" i="21"/>
  <c r="BD60" i="21"/>
  <c r="BD57" i="21"/>
  <c r="AL14" i="26" l="1"/>
  <c r="AM10" i="26"/>
  <c r="AL6" i="26"/>
  <c r="BE60" i="21"/>
  <c r="BE62" i="21"/>
  <c r="BE57" i="21"/>
  <c r="AM13" i="26" l="1"/>
  <c r="AM5" i="26" s="1"/>
  <c r="AM12" i="26"/>
  <c r="AM4" i="26" s="1"/>
  <c r="AM11" i="26"/>
  <c r="BF62" i="21"/>
  <c r="BF60" i="21"/>
  <c r="BF57" i="21"/>
  <c r="AM14" i="26" l="1"/>
  <c r="AM6" i="26"/>
  <c r="AN10" i="26"/>
  <c r="BG60" i="21"/>
  <c r="BG62" i="21"/>
  <c r="BG57" i="21"/>
  <c r="AN13" i="26" l="1"/>
  <c r="AN5" i="26" s="1"/>
  <c r="AN12" i="26"/>
  <c r="AN4" i="26" s="1"/>
  <c r="AN11" i="26"/>
  <c r="BH62" i="21"/>
  <c r="BH60" i="21"/>
  <c r="BH57" i="21"/>
  <c r="AN14" i="26" l="1"/>
  <c r="AN6" i="26"/>
  <c r="AO10" i="26"/>
  <c r="BI60" i="21"/>
  <c r="BI62" i="21"/>
  <c r="BI57" i="21"/>
  <c r="AO13" i="26" l="1"/>
  <c r="AO5" i="26" s="1"/>
  <c r="AO12" i="26"/>
  <c r="AO4" i="26" s="1"/>
  <c r="AO11" i="26"/>
  <c r="BJ62" i="21"/>
  <c r="BJ60" i="21"/>
  <c r="BJ57" i="21"/>
  <c r="AO14" i="26" l="1"/>
  <c r="AO6" i="26"/>
  <c r="AP10" i="26"/>
  <c r="BK62" i="21"/>
  <c r="BK60" i="21"/>
  <c r="BK57" i="21"/>
  <c r="AP11" i="26" l="1"/>
  <c r="AP13" i="26"/>
  <c r="AP5" i="26" s="1"/>
  <c r="AP12" i="26"/>
  <c r="AP4" i="26" s="1"/>
  <c r="BL60" i="21"/>
  <c r="BL62" i="21"/>
  <c r="BL57" i="21"/>
  <c r="AP14" i="26" l="1"/>
  <c r="AQ10" i="26"/>
  <c r="AP6" i="26"/>
  <c r="BM62" i="21"/>
  <c r="BM60" i="21"/>
  <c r="BM57" i="21"/>
  <c r="AQ13" i="26" l="1"/>
  <c r="AQ5" i="26" s="1"/>
  <c r="AQ11" i="26"/>
  <c r="AQ12" i="26"/>
  <c r="AQ4" i="26" s="1"/>
  <c r="BN60" i="21"/>
  <c r="BN62" i="21"/>
  <c r="BN57" i="21"/>
  <c r="AQ14" i="26" l="1"/>
  <c r="AR10" i="26"/>
  <c r="AQ6" i="26"/>
  <c r="BO62" i="21"/>
  <c r="BO60" i="21"/>
  <c r="BO57" i="21"/>
  <c r="AR13" i="26" l="1"/>
  <c r="AR5" i="26" s="1"/>
  <c r="AR12" i="26"/>
  <c r="AR4" i="26" s="1"/>
  <c r="AR11" i="26"/>
  <c r="BP60" i="21"/>
  <c r="BP62" i="21"/>
  <c r="BP57" i="21"/>
  <c r="AR14" i="26" l="1"/>
  <c r="AS10" i="26"/>
  <c r="AR6" i="26"/>
  <c r="BQ62" i="21"/>
  <c r="BQ60" i="21"/>
  <c r="BQ57" i="21"/>
  <c r="AS12" i="26" l="1"/>
  <c r="AS4" i="26" s="1"/>
  <c r="AS13" i="26"/>
  <c r="AS5" i="26" s="1"/>
  <c r="AS11" i="26"/>
  <c r="BR60" i="21"/>
  <c r="BR62" i="21"/>
  <c r="BR57" i="21"/>
  <c r="AS14" i="26" l="1"/>
  <c r="AT10" i="26"/>
  <c r="AS6" i="26"/>
  <c r="BS60" i="21"/>
  <c r="BS62" i="21"/>
  <c r="BS57" i="21"/>
  <c r="AT13" i="26" l="1"/>
  <c r="AT5" i="26" s="1"/>
  <c r="AT12" i="26"/>
  <c r="AT4" i="26" s="1"/>
  <c r="AT11" i="26"/>
  <c r="BT62" i="21"/>
  <c r="BT60" i="21"/>
  <c r="BT57" i="21"/>
  <c r="AT14" i="26" l="1"/>
  <c r="AU10" i="26"/>
  <c r="AT6" i="26"/>
  <c r="BU60" i="21"/>
  <c r="BU62" i="21"/>
  <c r="BU57" i="21"/>
  <c r="AU13" i="26" l="1"/>
  <c r="AU5" i="26" s="1"/>
  <c r="AU12" i="26"/>
  <c r="AU4" i="26" s="1"/>
  <c r="AU11" i="26"/>
  <c r="BV60" i="21"/>
  <c r="BV62" i="21"/>
  <c r="BV57" i="21"/>
  <c r="AU14" i="26" l="1"/>
  <c r="AU6" i="26"/>
  <c r="AV10" i="26"/>
  <c r="BW62" i="21"/>
  <c r="BW60" i="21"/>
  <c r="BW57" i="21"/>
  <c r="AV13" i="26" l="1"/>
  <c r="AV5" i="26" s="1"/>
  <c r="AV12" i="26"/>
  <c r="AV4" i="26" s="1"/>
  <c r="AV11" i="26"/>
  <c r="BX60" i="21"/>
  <c r="BX62" i="21"/>
  <c r="BX57" i="21"/>
  <c r="AV14" i="26" l="1"/>
  <c r="AV6" i="26"/>
  <c r="AW10" i="26"/>
  <c r="BY62" i="21"/>
  <c r="BY60" i="21"/>
  <c r="BY57" i="21"/>
  <c r="AW13" i="26" l="1"/>
  <c r="AW5" i="26" s="1"/>
  <c r="AW12" i="26"/>
  <c r="AW4" i="26" s="1"/>
  <c r="AW11" i="26"/>
  <c r="BZ60" i="21"/>
  <c r="BZ62" i="21"/>
  <c r="BZ57" i="21"/>
  <c r="AW14" i="26" l="1"/>
  <c r="AW6" i="26"/>
  <c r="AX10" i="26"/>
  <c r="CA62" i="21"/>
  <c r="CA60" i="21"/>
  <c r="CA57" i="21"/>
  <c r="AX11" i="26" l="1"/>
  <c r="AX13" i="26"/>
  <c r="AX5" i="26" s="1"/>
  <c r="AX12" i="26"/>
  <c r="AX4" i="26" s="1"/>
  <c r="CB60" i="21"/>
  <c r="CB62" i="21"/>
  <c r="CB57" i="21"/>
  <c r="AX14" i="26" l="1"/>
  <c r="AY10" i="26"/>
  <c r="AX6" i="26"/>
  <c r="CC62" i="21"/>
  <c r="CC60" i="21"/>
  <c r="CC57" i="21"/>
  <c r="AY13" i="26" l="1"/>
  <c r="AY5" i="26" s="1"/>
  <c r="AY11" i="26"/>
  <c r="AY12" i="26"/>
  <c r="AY4" i="26" s="1"/>
  <c r="CD60" i="21"/>
  <c r="CD62" i="21"/>
  <c r="CD57" i="21"/>
  <c r="AY14" i="26" l="1"/>
  <c r="AZ10" i="26"/>
  <c r="AY6" i="26"/>
  <c r="CE62" i="21"/>
  <c r="CE60" i="21"/>
  <c r="CE57" i="21"/>
  <c r="AZ13" i="26" l="1"/>
  <c r="AZ5" i="26" s="1"/>
  <c r="AZ12" i="26"/>
  <c r="AZ4" i="26" s="1"/>
  <c r="AZ11" i="26"/>
  <c r="CF62" i="21"/>
  <c r="CF60" i="21"/>
  <c r="CF57" i="21"/>
  <c r="AZ14" i="26" l="1"/>
  <c r="BA10" i="26"/>
  <c r="AZ6" i="26"/>
  <c r="CG60" i="21"/>
  <c r="CG62" i="21"/>
  <c r="CG57" i="21"/>
  <c r="BA13" i="26" l="1"/>
  <c r="BA5" i="26" s="1"/>
  <c r="BA12" i="26"/>
  <c r="BA4" i="26" s="1"/>
  <c r="BA11" i="26"/>
  <c r="CH62" i="21"/>
  <c r="CH60" i="21"/>
  <c r="CH57" i="21"/>
  <c r="BA14" i="26" l="1"/>
  <c r="BB10" i="26"/>
  <c r="BA6" i="26"/>
  <c r="CI60" i="21"/>
  <c r="CI62" i="21"/>
  <c r="CI57" i="21"/>
  <c r="BB13" i="26" l="1"/>
  <c r="BB5" i="26" s="1"/>
  <c r="BB12" i="26"/>
  <c r="BB4" i="26" s="1"/>
  <c r="BB11" i="26"/>
  <c r="CJ62" i="21"/>
  <c r="CJ60" i="21"/>
  <c r="CJ57" i="21"/>
  <c r="BB14" i="26" l="1"/>
  <c r="BC10" i="26"/>
  <c r="BB6" i="26"/>
  <c r="CK60" i="21"/>
  <c r="CK62" i="21"/>
  <c r="CK57" i="21"/>
  <c r="BC13" i="26" l="1"/>
  <c r="BC5" i="26" s="1"/>
  <c r="BC12" i="26"/>
  <c r="BC4" i="26" s="1"/>
  <c r="BC11" i="26"/>
  <c r="CL62" i="21"/>
  <c r="CL60" i="21"/>
  <c r="CL57" i="21"/>
  <c r="BC14" i="26" l="1"/>
  <c r="BC6" i="26"/>
  <c r="BD10" i="26"/>
  <c r="CM60" i="21"/>
  <c r="CM62" i="21"/>
  <c r="CM57" i="21"/>
  <c r="BD13" i="26" l="1"/>
  <c r="BD5" i="26" s="1"/>
  <c r="BD12" i="26"/>
  <c r="BD4" i="26" s="1"/>
  <c r="BD11" i="26"/>
  <c r="CN62" i="21"/>
  <c r="CN60" i="21"/>
  <c r="CN57" i="21"/>
  <c r="BD14" i="26" l="1"/>
  <c r="BD6" i="26"/>
  <c r="BE10" i="26"/>
  <c r="CO60" i="21"/>
  <c r="CO62" i="21"/>
  <c r="CO57" i="21"/>
  <c r="BE13" i="26" l="1"/>
  <c r="BE5" i="26" s="1"/>
  <c r="BE12" i="26"/>
  <c r="BE4" i="26" s="1"/>
  <c r="BE11" i="26"/>
  <c r="CP62" i="21"/>
  <c r="CP60" i="21"/>
  <c r="CP57" i="21"/>
  <c r="BE14" i="26" l="1"/>
  <c r="BE6" i="26"/>
  <c r="BF10" i="26"/>
  <c r="CQ60" i="21"/>
  <c r="CQ62" i="21"/>
  <c r="CQ57" i="21"/>
  <c r="BF11" i="26" l="1"/>
  <c r="BF13" i="26"/>
  <c r="BF5" i="26" s="1"/>
  <c r="BF12" i="26"/>
  <c r="BF4" i="26" s="1"/>
  <c r="CR62" i="21"/>
  <c r="CR60" i="21"/>
  <c r="CR57" i="21"/>
  <c r="BF14" i="26" l="1"/>
  <c r="BG10" i="26"/>
  <c r="BF6" i="26"/>
  <c r="CS60" i="21"/>
  <c r="CS62" i="21"/>
  <c r="CS57" i="21"/>
  <c r="BG13" i="26" l="1"/>
  <c r="BG5" i="26" s="1"/>
  <c r="BG11" i="26"/>
  <c r="BG12" i="26"/>
  <c r="BG4" i="26" s="1"/>
  <c r="CT62" i="21"/>
  <c r="CT60" i="21"/>
  <c r="CT57" i="21"/>
  <c r="BG14" i="26" l="1"/>
  <c r="BH10" i="26"/>
  <c r="BG6" i="26"/>
  <c r="CU60" i="21"/>
  <c r="CU62" i="21"/>
  <c r="CU57" i="21"/>
  <c r="BH13" i="26" l="1"/>
  <c r="BH5" i="26" s="1"/>
  <c r="BH12" i="26"/>
  <c r="BH4" i="26" s="1"/>
  <c r="BH11" i="26"/>
  <c r="CV62" i="21"/>
  <c r="CV60" i="21"/>
  <c r="CV57" i="21"/>
  <c r="BH14" i="26" l="1"/>
  <c r="BI10" i="26"/>
  <c r="BH6" i="26"/>
  <c r="CW60" i="21"/>
  <c r="CW62" i="21"/>
  <c r="CW57" i="21"/>
  <c r="BI13" i="26" l="1"/>
  <c r="BI5" i="26" s="1"/>
  <c r="BI12" i="26"/>
  <c r="BI4" i="26" s="1"/>
  <c r="BI11" i="26"/>
  <c r="CX62" i="21"/>
  <c r="CX60" i="21"/>
  <c r="CX57" i="21"/>
  <c r="BI14" i="26" l="1"/>
  <c r="BJ10" i="26"/>
  <c r="BI6" i="26"/>
  <c r="CY60" i="21"/>
  <c r="CY62" i="21"/>
  <c r="CY57" i="21"/>
  <c r="BJ13" i="26" l="1"/>
  <c r="BJ5" i="26" s="1"/>
  <c r="BJ12" i="26"/>
  <c r="BJ4" i="26" s="1"/>
  <c r="BJ11" i="26"/>
  <c r="CZ62" i="21"/>
  <c r="CZ60" i="21"/>
  <c r="CZ57" i="21"/>
  <c r="BJ14" i="26" l="1"/>
  <c r="BK10" i="26"/>
  <c r="BJ6" i="26"/>
  <c r="DA60" i="21"/>
  <c r="DA62" i="21"/>
  <c r="DA57" i="21"/>
  <c r="BK13" i="26" l="1"/>
  <c r="BK5" i="26" s="1"/>
  <c r="BK12" i="26"/>
  <c r="BK4" i="26" s="1"/>
  <c r="BK11" i="26"/>
  <c r="DB62" i="21"/>
  <c r="DB60" i="21"/>
  <c r="DB57" i="21"/>
  <c r="BK14" i="26" l="1"/>
  <c r="BK6" i="26"/>
  <c r="BL10" i="26"/>
  <c r="DC60" i="21"/>
  <c r="DC62" i="21"/>
  <c r="DC57" i="21"/>
  <c r="BL13" i="26" l="1"/>
  <c r="BL5" i="26" s="1"/>
  <c r="BL12" i="26"/>
  <c r="BL4" i="26" s="1"/>
  <c r="BL11" i="26"/>
  <c r="DD62" i="21"/>
  <c r="DD60" i="21"/>
  <c r="DD57" i="21"/>
  <c r="BL14" i="26" l="1"/>
  <c r="BL6" i="26"/>
  <c r="BM10" i="26"/>
  <c r="DE60" i="21"/>
  <c r="DE62" i="21"/>
  <c r="DE57" i="21"/>
  <c r="BM13" i="26" l="1"/>
  <c r="BM5" i="26" s="1"/>
  <c r="BM12" i="26"/>
  <c r="BM4" i="26" s="1"/>
  <c r="BM11" i="26"/>
  <c r="DF62" i="21"/>
  <c r="DF60" i="21"/>
  <c r="DF57" i="21"/>
  <c r="BM14" i="26" l="1"/>
  <c r="BM6" i="26"/>
  <c r="BN10" i="26"/>
  <c r="DG60" i="21"/>
  <c r="DG62" i="21"/>
  <c r="DG57" i="21"/>
  <c r="BN13" i="26" l="1"/>
  <c r="BN5" i="26" s="1"/>
  <c r="BN11" i="26"/>
  <c r="BN12" i="26"/>
  <c r="BN4" i="26" s="1"/>
  <c r="DH62" i="21"/>
  <c r="DH60" i="21"/>
  <c r="DH57" i="21"/>
  <c r="BN14" i="26" l="1"/>
  <c r="BO10" i="26"/>
  <c r="BN6" i="26"/>
  <c r="DI60" i="21"/>
  <c r="DI62" i="21"/>
  <c r="DI57" i="21"/>
  <c r="BO13" i="26" l="1"/>
  <c r="BO5" i="26" s="1"/>
  <c r="BO11" i="26"/>
  <c r="BO12" i="26"/>
  <c r="BO4" i="26" s="1"/>
  <c r="DJ62" i="21"/>
  <c r="DJ60" i="21"/>
  <c r="DJ57" i="21"/>
  <c r="BO14" i="26" l="1"/>
  <c r="BP10" i="26"/>
  <c r="BO6" i="26"/>
  <c r="DK60" i="21"/>
  <c r="DK62" i="21"/>
  <c r="DK57" i="21"/>
  <c r="BP13" i="26" l="1"/>
  <c r="BP5" i="26" s="1"/>
  <c r="BP12" i="26"/>
  <c r="BP4" i="26" s="1"/>
  <c r="BP11" i="26"/>
  <c r="DL62" i="21"/>
  <c r="DL60" i="21"/>
  <c r="DL57" i="21"/>
  <c r="BP14" i="26" l="1"/>
  <c r="BQ10" i="26"/>
  <c r="BP6" i="26"/>
  <c r="DM60" i="21"/>
  <c r="DM62" i="21"/>
  <c r="DM57" i="21"/>
  <c r="BQ13" i="26" l="1"/>
  <c r="BQ5" i="26" s="1"/>
  <c r="BQ12" i="26"/>
  <c r="BQ4" i="26" s="1"/>
  <c r="BQ11" i="26"/>
  <c r="DN62" i="21"/>
  <c r="DN60" i="21"/>
  <c r="DN57" i="21"/>
  <c r="BQ14" i="26" l="1"/>
  <c r="BR10" i="26"/>
  <c r="BQ6" i="26"/>
  <c r="DO62" i="21"/>
  <c r="DO60" i="21"/>
  <c r="DO57" i="21"/>
  <c r="BR13" i="26" l="1"/>
  <c r="BR5" i="26" s="1"/>
  <c r="BR12" i="26"/>
  <c r="BR4" i="26" s="1"/>
  <c r="BR11" i="26"/>
  <c r="DP60" i="21"/>
  <c r="DP62" i="21"/>
  <c r="DP57" i="21"/>
  <c r="BR14" i="26" l="1"/>
  <c r="BS10" i="26"/>
  <c r="BR6" i="26"/>
  <c r="DQ62" i="21"/>
  <c r="DQ60" i="21"/>
  <c r="DQ57" i="21"/>
  <c r="BS13" i="26" l="1"/>
  <c r="BS5" i="26" s="1"/>
  <c r="BS12" i="26"/>
  <c r="BS4" i="26" s="1"/>
  <c r="BS11" i="26"/>
  <c r="DR60" i="21"/>
  <c r="DR62" i="21"/>
  <c r="DR57" i="21"/>
  <c r="BS14" i="26" l="1"/>
  <c r="BS6" i="26"/>
  <c r="BT10" i="26"/>
  <c r="DS62" i="21"/>
  <c r="DS60" i="21"/>
  <c r="DS57" i="21"/>
  <c r="BT13" i="26" l="1"/>
  <c r="BT5" i="26" s="1"/>
  <c r="BT12" i="26"/>
  <c r="BT4" i="26" s="1"/>
  <c r="BT11" i="26"/>
  <c r="DT60" i="21"/>
  <c r="DT62" i="21"/>
  <c r="DT57" i="21"/>
  <c r="BT14" i="26" l="1"/>
  <c r="BT6" i="26"/>
  <c r="BU10" i="26"/>
  <c r="DU62" i="21"/>
  <c r="DU60" i="21"/>
  <c r="DU57" i="21"/>
  <c r="BU13" i="26" l="1"/>
  <c r="BU5" i="26" s="1"/>
  <c r="BU12" i="26"/>
  <c r="BU4" i="26" s="1"/>
  <c r="BU11" i="26"/>
  <c r="DV60" i="21"/>
  <c r="DV62" i="21"/>
  <c r="DV57" i="21"/>
  <c r="BU14" i="26" l="1"/>
  <c r="BU6" i="26"/>
  <c r="BV10" i="26"/>
  <c r="DW62" i="21"/>
  <c r="DW60" i="21"/>
  <c r="DW57" i="21"/>
  <c r="BV11" i="26" l="1"/>
  <c r="BV13" i="26"/>
  <c r="BV5" i="26" s="1"/>
  <c r="BV12" i="26"/>
  <c r="BV4" i="26" s="1"/>
  <c r="DX60" i="21"/>
  <c r="DX62" i="21"/>
  <c r="DX57" i="21"/>
  <c r="BV14" i="26" l="1"/>
  <c r="BW10" i="26"/>
  <c r="BV6" i="26"/>
  <c r="DY62" i="21"/>
  <c r="DY60" i="21"/>
  <c r="DY57" i="21"/>
  <c r="BW13" i="26" l="1"/>
  <c r="BW5" i="26" s="1"/>
  <c r="BW11" i="26"/>
  <c r="BW12" i="26"/>
  <c r="BW4" i="26" s="1"/>
  <c r="DZ60" i="21"/>
  <c r="DZ62" i="21"/>
  <c r="DZ57" i="21"/>
  <c r="BW14" i="26" l="1"/>
  <c r="BX10" i="26"/>
  <c r="BW6" i="26"/>
  <c r="EA62" i="21"/>
  <c r="EA60" i="21"/>
  <c r="EA57" i="21"/>
  <c r="BX13" i="26" l="1"/>
  <c r="BX5" i="26" s="1"/>
  <c r="BX12" i="26"/>
  <c r="BX4" i="26" s="1"/>
  <c r="BX11" i="26"/>
  <c r="EB60" i="21"/>
  <c r="EB62" i="21"/>
  <c r="EB57" i="21"/>
  <c r="BX14" i="26" l="1"/>
  <c r="BY10" i="26"/>
  <c r="BX6" i="26"/>
  <c r="EC62" i="21"/>
  <c r="EC60" i="21"/>
  <c r="EC57" i="21"/>
  <c r="BY12" i="26" l="1"/>
  <c r="BY4" i="26" s="1"/>
  <c r="BY11" i="26"/>
  <c r="BY13" i="26"/>
  <c r="BY5" i="26" s="1"/>
  <c r="ED62" i="21"/>
  <c r="ED60" i="21"/>
  <c r="ED57" i="21"/>
  <c r="BY14" i="26" l="1"/>
  <c r="BZ10" i="26"/>
  <c r="BY6" i="26"/>
  <c r="EE62" i="21"/>
  <c r="EE60" i="21"/>
  <c r="EE57" i="21"/>
  <c r="BZ13" i="26" l="1"/>
  <c r="BZ5" i="26" s="1"/>
  <c r="BZ12" i="26"/>
  <c r="BZ4" i="26" s="1"/>
  <c r="BZ11" i="26"/>
  <c r="EF60" i="21"/>
  <c r="EF62" i="21"/>
  <c r="EF57" i="21"/>
  <c r="BZ14" i="26" l="1"/>
  <c r="CA10" i="26"/>
  <c r="BZ6" i="26"/>
  <c r="EG62" i="21"/>
  <c r="EG60" i="21"/>
  <c r="EG57" i="21"/>
  <c r="CA13" i="26" l="1"/>
  <c r="CA5" i="26" s="1"/>
  <c r="CA12" i="26"/>
  <c r="CA4" i="26" s="1"/>
  <c r="CA11" i="26"/>
  <c r="EH60" i="21"/>
  <c r="EH62" i="21"/>
  <c r="EH57" i="21"/>
  <c r="CA14" i="26" l="1"/>
  <c r="CA6" i="26"/>
  <c r="CB10" i="26"/>
  <c r="EI62" i="21"/>
  <c r="EI60" i="21"/>
  <c r="EI57" i="21"/>
  <c r="CB13" i="26" l="1"/>
  <c r="CB5" i="26" s="1"/>
  <c r="CB12" i="26"/>
  <c r="CB4" i="26" s="1"/>
  <c r="CB11" i="26"/>
  <c r="EJ62" i="21"/>
  <c r="EJ60" i="21"/>
  <c r="EJ57" i="21"/>
  <c r="CB14" i="26" l="1"/>
  <c r="CB6" i="26"/>
  <c r="CC10" i="26"/>
  <c r="EK60" i="21"/>
  <c r="EK62" i="21"/>
  <c r="EK57" i="21"/>
  <c r="CC13" i="26" l="1"/>
  <c r="CC5" i="26" s="1"/>
  <c r="CC12" i="26"/>
  <c r="CC4" i="26" s="1"/>
  <c r="CC11" i="26"/>
  <c r="EL62" i="21"/>
  <c r="EL60" i="21"/>
  <c r="EL57" i="21"/>
  <c r="CC14" i="26" l="1"/>
  <c r="CC6" i="26"/>
  <c r="CD10" i="26"/>
  <c r="EM60" i="21"/>
  <c r="EM62" i="21"/>
  <c r="EM57" i="21"/>
  <c r="CD11" i="26" l="1"/>
  <c r="CD13" i="26"/>
  <c r="CD5" i="26" s="1"/>
  <c r="CD12" i="26"/>
  <c r="CD4" i="26" s="1"/>
  <c r="EN62" i="21"/>
  <c r="EN60" i="21"/>
  <c r="EN57" i="21"/>
  <c r="CD14" i="26" l="1"/>
  <c r="CE10" i="26"/>
  <c r="CD6" i="26"/>
  <c r="EO60" i="21"/>
  <c r="EO62" i="21"/>
  <c r="EO57" i="21"/>
  <c r="CE13" i="26" l="1"/>
  <c r="CE5" i="26" s="1"/>
  <c r="CE11" i="26"/>
  <c r="CE12" i="26"/>
  <c r="CE4" i="26" s="1"/>
  <c r="EP62" i="21"/>
  <c r="EP60" i="21"/>
  <c r="EP57" i="21"/>
  <c r="CE14" i="26" l="1"/>
  <c r="CF10" i="26"/>
  <c r="CE6" i="26"/>
  <c r="EQ60" i="21"/>
  <c r="EQ62" i="21"/>
  <c r="EQ57" i="21"/>
  <c r="CF13" i="26" l="1"/>
  <c r="CF5" i="26" s="1"/>
  <c r="CF12" i="26"/>
  <c r="CF4" i="26" s="1"/>
  <c r="CF11" i="26"/>
  <c r="ER60" i="21"/>
  <c r="ER62" i="21"/>
  <c r="ER57" i="21"/>
  <c r="CF14" i="26" l="1"/>
  <c r="CG10" i="26"/>
  <c r="CF6" i="26"/>
  <c r="ES62" i="21"/>
  <c r="ES60" i="21"/>
  <c r="ES57" i="21"/>
  <c r="CG13" i="26" l="1"/>
  <c r="CG5" i="26" s="1"/>
  <c r="CG12" i="26"/>
  <c r="CG4" i="26" s="1"/>
  <c r="CG11" i="26"/>
  <c r="ET60" i="21"/>
  <c r="ET62" i="21"/>
  <c r="ET57" i="21"/>
  <c r="CG14" i="26" l="1"/>
  <c r="CH10" i="26"/>
  <c r="CG6" i="26"/>
  <c r="EU62" i="21"/>
  <c r="EU60" i="21"/>
  <c r="EU57" i="21"/>
  <c r="CH13" i="26" l="1"/>
  <c r="CH5" i="26" s="1"/>
  <c r="CH12" i="26"/>
  <c r="CH4" i="26" s="1"/>
  <c r="CH11" i="26"/>
  <c r="EV60" i="21"/>
  <c r="EV62" i="21"/>
  <c r="EV57" i="21"/>
  <c r="CH14" i="26" l="1"/>
  <c r="CI10" i="26"/>
  <c r="CH6" i="26"/>
  <c r="EW62" i="21"/>
  <c r="EW60" i="21"/>
  <c r="EW57" i="21"/>
  <c r="CI13" i="26" l="1"/>
  <c r="CI5" i="26" s="1"/>
  <c r="CI12" i="26"/>
  <c r="CI4" i="26" s="1"/>
  <c r="CI11" i="26"/>
  <c r="EX62" i="21"/>
  <c r="EX60" i="21"/>
  <c r="EX57" i="21"/>
  <c r="CI14" i="26" l="1"/>
  <c r="CI6" i="26"/>
  <c r="CJ10" i="26"/>
  <c r="EY60" i="21"/>
  <c r="EY62" i="21"/>
  <c r="EY57" i="21"/>
  <c r="CJ13" i="26" l="1"/>
  <c r="CJ5" i="26" s="1"/>
  <c r="CJ12" i="26"/>
  <c r="CJ4" i="26" s="1"/>
  <c r="CJ11" i="26"/>
  <c r="EZ62" i="21"/>
  <c r="EZ60" i="21"/>
  <c r="EZ57" i="21"/>
  <c r="CJ14" i="26" l="1"/>
  <c r="CJ6" i="26"/>
  <c r="CK10" i="26"/>
  <c r="FA60" i="21"/>
  <c r="FA62" i="21"/>
  <c r="FA57" i="21"/>
  <c r="CK13" i="26" l="1"/>
  <c r="CK5" i="26" s="1"/>
  <c r="CK12" i="26"/>
  <c r="CK4" i="26" s="1"/>
  <c r="CK11" i="26"/>
  <c r="FB62" i="21"/>
  <c r="FB60" i="21"/>
  <c r="FB57" i="21"/>
  <c r="CK14" i="26" l="1"/>
  <c r="CK6" i="26"/>
  <c r="CL10" i="26"/>
  <c r="FC60" i="21"/>
  <c r="FC62" i="21"/>
  <c r="FC57" i="21"/>
  <c r="CL11" i="26" l="1"/>
  <c r="CL13" i="26"/>
  <c r="CL5" i="26" s="1"/>
  <c r="CL12" i="26"/>
  <c r="CL4" i="26" s="1"/>
  <c r="FD62" i="21"/>
  <c r="FD60" i="21"/>
  <c r="FD57" i="21"/>
  <c r="CL14" i="26" l="1"/>
  <c r="CM10" i="26"/>
  <c r="CL6" i="26"/>
  <c r="FE60" i="21"/>
  <c r="FE62" i="21"/>
  <c r="FE57" i="21"/>
  <c r="CM13" i="26" l="1"/>
  <c r="CM5" i="26" s="1"/>
  <c r="CM11" i="26"/>
  <c r="CM12" i="26"/>
  <c r="CM4" i="26" s="1"/>
  <c r="FF62" i="21"/>
  <c r="FF60" i="21"/>
  <c r="FF57" i="21"/>
  <c r="CM14" i="26" l="1"/>
  <c r="CN10" i="26"/>
  <c r="CM6" i="26"/>
  <c r="FG60" i="21"/>
  <c r="FG62" i="21"/>
  <c r="FG57" i="21"/>
  <c r="CN13" i="26" l="1"/>
  <c r="CN5" i="26" s="1"/>
  <c r="CN12" i="26"/>
  <c r="CN4" i="26" s="1"/>
  <c r="CN11" i="26"/>
  <c r="FH62" i="21"/>
  <c r="FH60" i="21"/>
  <c r="FH57" i="21"/>
  <c r="CN14" i="26" l="1"/>
  <c r="CO10" i="26"/>
  <c r="CN6" i="26"/>
  <c r="FI60" i="21"/>
  <c r="FI62" i="21"/>
  <c r="FI57" i="21"/>
  <c r="CO13" i="26" l="1"/>
  <c r="CO5" i="26" s="1"/>
  <c r="CO12" i="26"/>
  <c r="CO4" i="26" s="1"/>
  <c r="CO11" i="26"/>
  <c r="FJ62" i="21"/>
  <c r="FJ60" i="21"/>
  <c r="FJ57" i="21"/>
  <c r="CO14" i="26" l="1"/>
  <c r="CP10" i="26"/>
  <c r="CO6" i="26"/>
  <c r="FK60" i="21"/>
  <c r="FK62" i="21"/>
  <c r="FK57" i="21"/>
  <c r="CP13" i="26" l="1"/>
  <c r="CP5" i="26" s="1"/>
  <c r="CP12" i="26"/>
  <c r="CP4" i="26" s="1"/>
  <c r="CP11" i="26"/>
  <c r="FL60" i="21"/>
  <c r="FL62" i="21"/>
  <c r="FL57" i="21"/>
  <c r="CP14" i="26" l="1"/>
  <c r="CQ10" i="26"/>
  <c r="CP6" i="26"/>
  <c r="FM60" i="21"/>
  <c r="FM62" i="21"/>
  <c r="FM57" i="21"/>
  <c r="CQ13" i="26" l="1"/>
  <c r="CQ5" i="26" s="1"/>
  <c r="CQ12" i="26"/>
  <c r="CQ4" i="26" s="1"/>
  <c r="CQ11" i="26"/>
  <c r="FN62" i="21"/>
  <c r="FN60" i="21"/>
  <c r="FN57" i="21"/>
  <c r="CQ14" i="26" l="1"/>
  <c r="CQ6" i="26"/>
  <c r="CR10" i="26"/>
  <c r="FO60" i="21"/>
  <c r="FO62" i="21"/>
  <c r="FO57" i="21"/>
  <c r="CR13" i="26" l="1"/>
  <c r="CR5" i="26" s="1"/>
  <c r="CR12" i="26"/>
  <c r="CR4" i="26" s="1"/>
  <c r="CR11" i="26"/>
  <c r="FP60" i="21"/>
  <c r="FP62" i="21"/>
  <c r="FP57" i="21"/>
  <c r="CR14" i="26" l="1"/>
  <c r="CR6" i="26"/>
  <c r="CS10" i="26"/>
  <c r="FQ62" i="21"/>
  <c r="FQ60" i="21"/>
  <c r="FQ57" i="21"/>
  <c r="CS13" i="26" l="1"/>
  <c r="CS5" i="26" s="1"/>
  <c r="CS12" i="26"/>
  <c r="CS4" i="26" s="1"/>
  <c r="CS11" i="26"/>
  <c r="FR60" i="21"/>
  <c r="FR62" i="21"/>
  <c r="FR57" i="21"/>
  <c r="CS14" i="26" l="1"/>
  <c r="CS6" i="26"/>
  <c r="CT10" i="26"/>
  <c r="FS62" i="21"/>
  <c r="FS60" i="21"/>
  <c r="FS57" i="21"/>
  <c r="CT13" i="26" l="1"/>
  <c r="CT5" i="26" s="1"/>
  <c r="CT11" i="26"/>
  <c r="CT12" i="26"/>
  <c r="CT4" i="26" s="1"/>
  <c r="FT60" i="21"/>
  <c r="FT62" i="21"/>
  <c r="FT57" i="21"/>
  <c r="CT14" i="26" l="1"/>
  <c r="CU10" i="26"/>
  <c r="CT6" i="26"/>
  <c r="FU62" i="21"/>
  <c r="FU60" i="21"/>
  <c r="FU57" i="21"/>
  <c r="CU13" i="26" l="1"/>
  <c r="CU5" i="26" s="1"/>
  <c r="CU11" i="26"/>
  <c r="CU12" i="26"/>
  <c r="CU4" i="26" s="1"/>
  <c r="FV60" i="21"/>
  <c r="FV62" i="21"/>
  <c r="FV57" i="21"/>
  <c r="CU14" i="26" l="1"/>
  <c r="CV10" i="26"/>
  <c r="CU6" i="26"/>
  <c r="FW62" i="21"/>
  <c r="FW60" i="21"/>
  <c r="FW57" i="21"/>
  <c r="CV13" i="26" l="1"/>
  <c r="CV5" i="26" s="1"/>
  <c r="CV12" i="26"/>
  <c r="CV4" i="26" s="1"/>
  <c r="CV11" i="26"/>
  <c r="FX60" i="21"/>
  <c r="FX62" i="21"/>
  <c r="FX57" i="21"/>
  <c r="CV14" i="26" l="1"/>
  <c r="CW10" i="26"/>
  <c r="CV6" i="26"/>
  <c r="FY62" i="21"/>
  <c r="FY60" i="21"/>
  <c r="FY57" i="21"/>
  <c r="CW13" i="26" l="1"/>
  <c r="CW5" i="26" s="1"/>
  <c r="CW12" i="26"/>
  <c r="CW4" i="26" s="1"/>
  <c r="CW11" i="26"/>
  <c r="FZ60" i="21"/>
  <c r="FZ62" i="21"/>
  <c r="FZ57" i="21"/>
  <c r="CW14" i="26" l="1"/>
  <c r="CX10" i="26"/>
  <c r="CW6" i="26"/>
  <c r="GA62" i="21"/>
  <c r="GA60" i="21"/>
  <c r="GA57" i="21"/>
  <c r="CX13" i="26" l="1"/>
  <c r="CX5" i="26" s="1"/>
  <c r="CX12" i="26"/>
  <c r="CX4" i="26" s="1"/>
  <c r="CX11" i="26"/>
  <c r="GB60" i="21"/>
  <c r="GB62" i="21"/>
  <c r="GB57" i="21"/>
  <c r="CX14" i="26" l="1"/>
  <c r="CY10" i="26"/>
  <c r="CX6" i="26"/>
  <c r="GC62" i="21"/>
  <c r="GC60" i="21"/>
  <c r="GC57" i="21"/>
  <c r="CY13" i="26" l="1"/>
  <c r="CY5" i="26" s="1"/>
  <c r="CY12" i="26"/>
  <c r="CY4" i="26" s="1"/>
  <c r="CY11" i="26"/>
  <c r="GD60" i="21"/>
  <c r="GD62" i="21"/>
  <c r="GD57" i="21"/>
  <c r="CY14" i="26" l="1"/>
  <c r="CY6" i="26"/>
  <c r="CZ10" i="26"/>
  <c r="GE62" i="21"/>
  <c r="GE60" i="21"/>
  <c r="GE57" i="21"/>
  <c r="CZ13" i="26" l="1"/>
  <c r="CZ5" i="26" s="1"/>
  <c r="CZ12" i="26"/>
  <c r="CZ4" i="26" s="1"/>
  <c r="CZ11" i="26"/>
  <c r="GF60" i="21"/>
  <c r="GF62" i="21"/>
  <c r="GF57" i="21"/>
  <c r="CZ6" i="26" l="1"/>
  <c r="CZ14" i="26"/>
  <c r="DA10" i="26"/>
  <c r="GG62" i="21"/>
  <c r="GG60" i="21"/>
  <c r="GG57" i="21"/>
  <c r="DA13" i="26" l="1"/>
  <c r="DA5" i="26" s="1"/>
  <c r="DA12" i="26"/>
  <c r="DA4" i="26" s="1"/>
  <c r="DA11" i="26"/>
  <c r="GH60" i="21"/>
  <c r="GH62" i="21"/>
  <c r="GH57" i="21"/>
  <c r="DA14" i="26" l="1"/>
  <c r="DA6" i="26"/>
  <c r="DB10" i="26"/>
  <c r="GI60" i="21"/>
  <c r="GI62" i="21"/>
  <c r="GI57" i="21"/>
  <c r="DB11" i="26" l="1"/>
  <c r="DB13" i="26"/>
  <c r="DB5" i="26" s="1"/>
  <c r="DB12" i="26"/>
  <c r="DB4" i="26" s="1"/>
  <c r="GJ62" i="21"/>
  <c r="GJ60" i="21"/>
  <c r="GJ57" i="21"/>
  <c r="DB14" i="26" l="1"/>
  <c r="DC10" i="26"/>
  <c r="DB6" i="26"/>
  <c r="GK60" i="21"/>
  <c r="GK62" i="21"/>
  <c r="GK57" i="21"/>
  <c r="DC13" i="26" l="1"/>
  <c r="DC5" i="26" s="1"/>
  <c r="DC11" i="26"/>
  <c r="DC12" i="26"/>
  <c r="DC4" i="26" s="1"/>
  <c r="GL62" i="21"/>
  <c r="GL60" i="21"/>
  <c r="GL57" i="21"/>
  <c r="DC14" i="26" l="1"/>
  <c r="DD10" i="26"/>
  <c r="DC6" i="26"/>
  <c r="GM60" i="21"/>
  <c r="GM62" i="21"/>
  <c r="GM57" i="21"/>
  <c r="DD13" i="26" l="1"/>
  <c r="DD5" i="26" s="1"/>
  <c r="DD12" i="26"/>
  <c r="DD4" i="26" s="1"/>
  <c r="DD11" i="26"/>
  <c r="GN62" i="21"/>
  <c r="GN60" i="21"/>
  <c r="GN57" i="21"/>
  <c r="DD14" i="26" l="1"/>
  <c r="DE10" i="26"/>
  <c r="DD6" i="26"/>
  <c r="GO60" i="21"/>
  <c r="GO62" i="21"/>
  <c r="GO57" i="21"/>
  <c r="DE12" i="26" l="1"/>
  <c r="DE4" i="26" s="1"/>
  <c r="DE13" i="26"/>
  <c r="DE5" i="26" s="1"/>
  <c r="DE11" i="26"/>
  <c r="GP62" i="21"/>
  <c r="GP60" i="21"/>
  <c r="GP57" i="21"/>
  <c r="DE14" i="26" l="1"/>
  <c r="DF10" i="26"/>
  <c r="DE6" i="26"/>
  <c r="GQ60" i="21"/>
  <c r="GQ62" i="21"/>
  <c r="GQ57" i="21"/>
  <c r="DF13" i="26" l="1"/>
  <c r="DF5" i="26" s="1"/>
  <c r="DF12" i="26"/>
  <c r="DF4" i="26" s="1"/>
  <c r="DF11" i="26"/>
  <c r="GR62" i="21"/>
  <c r="GR60" i="21"/>
  <c r="GR57" i="21"/>
  <c r="DF14" i="26" l="1"/>
  <c r="DG10" i="26"/>
  <c r="DF6" i="26"/>
  <c r="GS62" i="21"/>
  <c r="GS60" i="21"/>
  <c r="GS57" i="21"/>
  <c r="DG13" i="26" l="1"/>
  <c r="DG5" i="26" s="1"/>
  <c r="DG12" i="26"/>
  <c r="DG4" i="26" s="1"/>
  <c r="DG11" i="26"/>
  <c r="GT60" i="21"/>
  <c r="GT62" i="21"/>
  <c r="GT57" i="21"/>
  <c r="DG14" i="26" l="1"/>
  <c r="DG6" i="26"/>
  <c r="DH10" i="26"/>
  <c r="GU62" i="21"/>
  <c r="GU60" i="21"/>
  <c r="GU57" i="21"/>
  <c r="DH13" i="26" l="1"/>
  <c r="DH5" i="26" s="1"/>
  <c r="DH12" i="26"/>
  <c r="DH4" i="26" s="1"/>
  <c r="DH11" i="26"/>
  <c r="GV60" i="21"/>
  <c r="GV62" i="21"/>
  <c r="GV57" i="21"/>
  <c r="DH14" i="26" l="1"/>
  <c r="DH6" i="26"/>
  <c r="DI10" i="26"/>
  <c r="GW62" i="21"/>
  <c r="GW60" i="21"/>
  <c r="GW57" i="21"/>
  <c r="DI13" i="26" l="1"/>
  <c r="DI5" i="26" s="1"/>
  <c r="DI12" i="26"/>
  <c r="DI4" i="26" s="1"/>
  <c r="DI11" i="26"/>
  <c r="GX60" i="21"/>
  <c r="GX62" i="21"/>
  <c r="GX57" i="21"/>
  <c r="DI14" i="26" l="1"/>
  <c r="DI6" i="26"/>
  <c r="DJ10" i="26"/>
  <c r="GY62" i="21"/>
  <c r="GY60" i="21"/>
  <c r="GY57" i="21"/>
  <c r="DJ11" i="26" l="1"/>
  <c r="DJ13" i="26"/>
  <c r="DJ5" i="26" s="1"/>
  <c r="DJ12" i="26"/>
  <c r="DJ4" i="26" s="1"/>
  <c r="GZ60" i="21"/>
  <c r="GZ62" i="21"/>
  <c r="GZ57" i="21"/>
  <c r="DJ14" i="26" l="1"/>
  <c r="DK10" i="26"/>
  <c r="DJ6" i="26"/>
  <c r="HA62" i="21"/>
  <c r="HA60" i="21"/>
  <c r="HA57" i="21"/>
  <c r="DK13" i="26" l="1"/>
  <c r="DK5" i="26" s="1"/>
  <c r="DK11" i="26"/>
  <c r="DK12" i="26"/>
  <c r="DK4" i="26" s="1"/>
  <c r="HB60" i="21"/>
  <c r="HB62" i="21"/>
  <c r="HB57" i="21"/>
  <c r="DK14" i="26" l="1"/>
  <c r="DL10" i="26"/>
  <c r="DK6" i="26"/>
  <c r="HC62" i="21"/>
  <c r="HC60" i="21"/>
  <c r="HC57" i="21"/>
  <c r="DL13" i="26" l="1"/>
  <c r="DL5" i="26" s="1"/>
  <c r="DL12" i="26"/>
  <c r="DL4" i="26" s="1"/>
  <c r="DL11" i="26"/>
  <c r="HD60" i="21"/>
  <c r="HD62" i="21"/>
  <c r="HD57" i="21"/>
  <c r="DL14" i="26" l="1"/>
  <c r="DM10" i="26"/>
  <c r="DL6" i="26"/>
  <c r="HE62" i="21"/>
  <c r="HE60" i="21"/>
  <c r="HE57" i="21"/>
  <c r="DM13" i="26" l="1"/>
  <c r="DM5" i="26" s="1"/>
  <c r="DM12" i="26"/>
  <c r="DM4" i="26" s="1"/>
  <c r="DM11" i="26"/>
  <c r="HF60" i="21"/>
  <c r="HF62" i="21"/>
  <c r="HF57" i="21"/>
  <c r="DM14" i="26" l="1"/>
  <c r="DN10" i="26"/>
  <c r="DM6" i="26"/>
  <c r="HG62" i="21"/>
  <c r="HG60" i="21"/>
  <c r="HG57" i="21"/>
  <c r="DN13" i="26" l="1"/>
  <c r="DN5" i="26" s="1"/>
  <c r="DN12" i="26"/>
  <c r="DN4" i="26" s="1"/>
  <c r="DN11" i="26"/>
  <c r="HH60" i="21"/>
  <c r="HH62" i="21"/>
  <c r="HH57" i="21"/>
  <c r="DN14" i="26" l="1"/>
  <c r="DO10" i="26"/>
  <c r="DN6" i="26"/>
  <c r="HI62" i="21"/>
  <c r="HI60" i="21"/>
  <c r="HI57" i="21"/>
  <c r="DO13" i="26" l="1"/>
  <c r="DO5" i="26" s="1"/>
  <c r="DO12" i="26"/>
  <c r="DO4" i="26" s="1"/>
  <c r="DO11" i="26"/>
  <c r="HJ60" i="21"/>
  <c r="HJ62" i="21"/>
  <c r="HJ57" i="21"/>
  <c r="DO14" i="26" l="1"/>
  <c r="DO6" i="26"/>
  <c r="DP10" i="26"/>
  <c r="HK62" i="21"/>
  <c r="HK60" i="21"/>
  <c r="HK57" i="21"/>
  <c r="DP13" i="26" l="1"/>
  <c r="DP5" i="26" s="1"/>
  <c r="DP12" i="26"/>
  <c r="DP4" i="26" s="1"/>
  <c r="DP11" i="26"/>
  <c r="HL60" i="21"/>
  <c r="HL62" i="21"/>
  <c r="HL57" i="21"/>
  <c r="DP14" i="26" l="1"/>
  <c r="DP6" i="26"/>
  <c r="DQ10" i="26"/>
  <c r="HM62" i="21"/>
  <c r="HM60" i="21"/>
  <c r="HM57" i="21"/>
  <c r="DQ13" i="26" l="1"/>
  <c r="DQ5" i="26" s="1"/>
  <c r="DQ12" i="26"/>
  <c r="DQ4" i="26" s="1"/>
  <c r="DQ11" i="26"/>
  <c r="HN60" i="21"/>
  <c r="HN62" i="21"/>
  <c r="HN57" i="21"/>
  <c r="DQ14" i="26" l="1"/>
  <c r="DQ6" i="26"/>
  <c r="DR10" i="26"/>
  <c r="HO62" i="21"/>
  <c r="HO60" i="21"/>
  <c r="HO57" i="21"/>
  <c r="DR11" i="26" l="1"/>
  <c r="DR13" i="26"/>
  <c r="DR5" i="26" s="1"/>
  <c r="DR12" i="26"/>
  <c r="DR4" i="26" s="1"/>
  <c r="HP60" i="21"/>
  <c r="HP62" i="21"/>
  <c r="HP57" i="21"/>
  <c r="DR14" i="26" l="1"/>
  <c r="DS10" i="26"/>
  <c r="DR6" i="26"/>
  <c r="HQ62" i="21"/>
  <c r="HQ60" i="21"/>
  <c r="HQ57" i="21"/>
  <c r="DS13" i="26" l="1"/>
  <c r="DS5" i="26" s="1"/>
  <c r="DS11" i="26"/>
  <c r="DS12" i="26"/>
  <c r="DS4" i="26" s="1"/>
  <c r="HR60" i="21"/>
  <c r="HR62" i="21"/>
  <c r="HR57" i="21"/>
  <c r="DS14" i="26" l="1"/>
  <c r="DT10" i="26"/>
  <c r="DS6" i="26"/>
  <c r="HS62" i="21"/>
  <c r="HS60" i="21"/>
  <c r="HS57" i="21"/>
  <c r="DT13" i="26" l="1"/>
  <c r="DT5" i="26" s="1"/>
  <c r="DT12" i="26"/>
  <c r="DT4" i="26" s="1"/>
  <c r="DT11" i="26"/>
  <c r="HT60" i="21"/>
  <c r="HT62" i="21"/>
  <c r="HT57" i="21"/>
  <c r="DT14" i="26" l="1"/>
  <c r="DU10" i="26"/>
  <c r="DT6" i="26"/>
  <c r="HU62" i="21"/>
  <c r="HU60" i="21"/>
  <c r="HU57" i="21"/>
  <c r="DU13" i="26" l="1"/>
  <c r="DU5" i="26" s="1"/>
  <c r="DU12" i="26"/>
  <c r="DU4" i="26" s="1"/>
  <c r="DU11" i="26"/>
  <c r="HV62" i="21"/>
  <c r="HV60" i="21"/>
  <c r="HV57" i="21"/>
  <c r="DU14" i="26" l="1"/>
  <c r="DV10" i="26"/>
  <c r="DU6" i="26"/>
  <c r="HW60" i="21"/>
  <c r="HW62" i="21"/>
  <c r="HW57" i="21"/>
  <c r="DV13" i="26" l="1"/>
  <c r="DV5" i="26" s="1"/>
  <c r="DV12" i="26"/>
  <c r="DV4" i="26" s="1"/>
  <c r="DV11" i="26"/>
  <c r="HX62" i="21"/>
  <c r="HX60" i="21"/>
  <c r="HX57" i="21"/>
  <c r="DV14" i="26" l="1"/>
  <c r="DW10" i="26"/>
  <c r="DV6" i="26"/>
  <c r="HY60" i="21"/>
  <c r="HY62" i="21"/>
  <c r="HY57" i="21"/>
  <c r="DW13" i="26" l="1"/>
  <c r="DW5" i="26" s="1"/>
  <c r="DW12" i="26"/>
  <c r="DW4" i="26" s="1"/>
  <c r="DW11" i="26"/>
  <c r="HZ62" i="21"/>
  <c r="HZ60" i="21"/>
  <c r="HZ57" i="21"/>
  <c r="DW14" i="26" l="1"/>
  <c r="DW6" i="26"/>
  <c r="DX10" i="26"/>
  <c r="IA60" i="21"/>
  <c r="IA62" i="21"/>
  <c r="IA57" i="21"/>
  <c r="DX13" i="26" l="1"/>
  <c r="DX5" i="26" s="1"/>
  <c r="DX12" i="26"/>
  <c r="DX4" i="26" s="1"/>
  <c r="DX11" i="26"/>
  <c r="IB62" i="21"/>
  <c r="IB60" i="21"/>
  <c r="IB57" i="21"/>
  <c r="DX14" i="26" l="1"/>
  <c r="DX6" i="26"/>
  <c r="DY10" i="26"/>
  <c r="IC60" i="21"/>
  <c r="IC62" i="21"/>
  <c r="IC57" i="21"/>
  <c r="DY13" i="26" l="1"/>
  <c r="DY5" i="26" s="1"/>
  <c r="DY12" i="26"/>
  <c r="DY4" i="26" s="1"/>
  <c r="DY11" i="26"/>
  <c r="ID62" i="21"/>
  <c r="ID60" i="21"/>
  <c r="ID57" i="21"/>
  <c r="DY14" i="26" l="1"/>
  <c r="DY6" i="26"/>
  <c r="DZ10" i="26"/>
  <c r="IE60" i="21"/>
  <c r="IE62" i="21"/>
  <c r="IE57" i="21"/>
  <c r="DZ13" i="26" l="1"/>
  <c r="DZ5" i="26" s="1"/>
  <c r="DZ11" i="26"/>
  <c r="DZ12" i="26"/>
  <c r="DZ4" i="26" s="1"/>
  <c r="IF62" i="21"/>
  <c r="IF60" i="21"/>
  <c r="IF57" i="21"/>
  <c r="DZ14" i="26" l="1"/>
  <c r="EA10" i="26"/>
  <c r="DZ6" i="26"/>
  <c r="IG60" i="21"/>
  <c r="IG62" i="21"/>
  <c r="IG57" i="21"/>
  <c r="EA13" i="26" l="1"/>
  <c r="EA5" i="26" s="1"/>
  <c r="EA11" i="26"/>
  <c r="EA12" i="26"/>
  <c r="EA4" i="26" s="1"/>
  <c r="IH62" i="21"/>
  <c r="IH60" i="21"/>
  <c r="IH57" i="21"/>
  <c r="EA14" i="26" l="1"/>
  <c r="EB10" i="26"/>
  <c r="EA6" i="26"/>
  <c r="II60" i="21"/>
  <c r="II62" i="21"/>
  <c r="II57" i="21"/>
  <c r="EB13" i="26" l="1"/>
  <c r="EB5" i="26" s="1"/>
  <c r="EB12" i="26"/>
  <c r="EB4" i="26" s="1"/>
  <c r="EB11" i="26"/>
  <c r="IJ60" i="21"/>
  <c r="IJ62" i="21"/>
  <c r="IJ57" i="21"/>
  <c r="EB14" i="26" l="1"/>
  <c r="EC10" i="26"/>
  <c r="EB6" i="26"/>
  <c r="IK62" i="21"/>
  <c r="IK60" i="21"/>
  <c r="IK57" i="21"/>
  <c r="EC13" i="26" l="1"/>
  <c r="EC5" i="26" s="1"/>
  <c r="EC12" i="26"/>
  <c r="EC4" i="26" s="1"/>
  <c r="EC11" i="26"/>
  <c r="IL60" i="21"/>
  <c r="IL62" i="21"/>
  <c r="IL57" i="21"/>
  <c r="EC14" i="26" l="1"/>
  <c r="ED10" i="26"/>
  <c r="EC6" i="26"/>
  <c r="IM62" i="21"/>
  <c r="IM60" i="21"/>
  <c r="IM57" i="21"/>
  <c r="ED13" i="26" l="1"/>
  <c r="ED5" i="26" s="1"/>
  <c r="ED12" i="26"/>
  <c r="ED4" i="26" s="1"/>
  <c r="ED11" i="26"/>
  <c r="IN60" i="21"/>
  <c r="IN62" i="21"/>
  <c r="IN57" i="21"/>
  <c r="ED14" i="26" l="1"/>
  <c r="EE10" i="26"/>
  <c r="ED6" i="26"/>
  <c r="IO62" i="21"/>
  <c r="IO60" i="21"/>
  <c r="IO57" i="21"/>
  <c r="EE13" i="26" l="1"/>
  <c r="EE5" i="26" s="1"/>
  <c r="EE12" i="26"/>
  <c r="EE4" i="26" s="1"/>
  <c r="EE11" i="26"/>
  <c r="IP62" i="21"/>
  <c r="IP60" i="21"/>
  <c r="IP57" i="21"/>
  <c r="EE14" i="26" l="1"/>
  <c r="EE6" i="26"/>
  <c r="EF10" i="26"/>
  <c r="IQ60" i="21"/>
  <c r="IQ62" i="21"/>
  <c r="IQ57" i="21"/>
  <c r="EF13" i="26" l="1"/>
  <c r="EF5" i="26" s="1"/>
  <c r="EF12" i="26"/>
  <c r="EF4" i="26" s="1"/>
  <c r="EF11" i="26"/>
  <c r="IR62" i="21"/>
  <c r="IR60" i="21"/>
  <c r="IR57" i="21"/>
  <c r="EF14" i="26" l="1"/>
  <c r="EF6" i="26"/>
  <c r="EG10" i="26"/>
  <c r="IS60" i="21"/>
  <c r="IS62" i="21"/>
  <c r="IS57" i="21"/>
  <c r="EG13" i="26" l="1"/>
  <c r="EG5" i="26" s="1"/>
  <c r="EG12" i="26"/>
  <c r="EG4" i="26" s="1"/>
  <c r="EG11" i="26"/>
  <c r="IT62" i="21"/>
  <c r="IT60" i="21"/>
  <c r="IT57" i="21"/>
  <c r="EG14" i="26" l="1"/>
  <c r="EG6" i="26"/>
  <c r="EH10" i="26"/>
  <c r="IU60" i="21"/>
  <c r="IU62" i="21"/>
  <c r="IU57" i="21"/>
  <c r="EH11" i="26" l="1"/>
  <c r="EH13" i="26"/>
  <c r="EH5" i="26" s="1"/>
  <c r="EH12" i="26"/>
  <c r="EH4" i="26" s="1"/>
  <c r="IV62" i="21"/>
  <c r="IV60" i="21"/>
  <c r="IV57" i="21"/>
  <c r="EH14" i="26" l="1"/>
  <c r="EI10" i="26"/>
  <c r="EH6" i="26"/>
  <c r="IW62" i="21"/>
  <c r="IW60" i="21"/>
  <c r="IW57" i="21"/>
  <c r="EI13" i="26" l="1"/>
  <c r="EI5" i="26" s="1"/>
  <c r="EI11" i="26"/>
  <c r="EI12" i="26"/>
  <c r="EI4" i="26" s="1"/>
  <c r="IX60" i="21"/>
  <c r="IX62" i="21"/>
  <c r="IX57" i="21"/>
  <c r="EI14" i="26" l="1"/>
  <c r="EJ10" i="26"/>
  <c r="EI6" i="26"/>
  <c r="IY62" i="21"/>
  <c r="IY60" i="21"/>
  <c r="IY57" i="21"/>
  <c r="EJ13" i="26" l="1"/>
  <c r="EJ5" i="26" s="1"/>
  <c r="EJ12" i="26"/>
  <c r="EJ4" i="26" s="1"/>
  <c r="EJ11" i="26"/>
  <c r="IZ60" i="21"/>
  <c r="IZ62" i="21"/>
  <c r="IZ57" i="21"/>
  <c r="EJ14" i="26" l="1"/>
  <c r="EK10" i="26"/>
  <c r="EJ6" i="26"/>
  <c r="JA62" i="21"/>
  <c r="JA60" i="21"/>
  <c r="JA57" i="21"/>
  <c r="EK12" i="26" l="1"/>
  <c r="EK4" i="26" s="1"/>
  <c r="EK11" i="26"/>
  <c r="EK13" i="26"/>
  <c r="EK5" i="26" s="1"/>
  <c r="JB60" i="21"/>
  <c r="JB62" i="21"/>
  <c r="JB57" i="21"/>
  <c r="EK14" i="26" l="1"/>
  <c r="EL10" i="26"/>
  <c r="EK6" i="26"/>
  <c r="JC62" i="21"/>
  <c r="JC60" i="21"/>
  <c r="JC57" i="21"/>
  <c r="EL13" i="26" l="1"/>
  <c r="EL5" i="26" s="1"/>
  <c r="EL12" i="26"/>
  <c r="EL4" i="26" s="1"/>
  <c r="EL11" i="26"/>
  <c r="JD60" i="21"/>
  <c r="JD62" i="21"/>
  <c r="JD57" i="21"/>
  <c r="EL14" i="26" l="1"/>
  <c r="EM10" i="26"/>
  <c r="EL6" i="26"/>
  <c r="JE60" i="21"/>
  <c r="JE62" i="21"/>
  <c r="JE57" i="21"/>
  <c r="EM13" i="26" l="1"/>
  <c r="EM5" i="26" s="1"/>
  <c r="EM12" i="26"/>
  <c r="EM4" i="26" s="1"/>
  <c r="EM11" i="26"/>
  <c r="JF62" i="21"/>
  <c r="JF60" i="21"/>
  <c r="JF57" i="21"/>
  <c r="EM14" i="26" l="1"/>
  <c r="EM6" i="26"/>
  <c r="EN10" i="26"/>
  <c r="JG60" i="21"/>
  <c r="JG62" i="21"/>
  <c r="JG57" i="21"/>
  <c r="EN13" i="26" l="1"/>
  <c r="EN5" i="26" s="1"/>
  <c r="EN12" i="26"/>
  <c r="EN4" i="26" s="1"/>
  <c r="EN11" i="26"/>
  <c r="JH62" i="21"/>
  <c r="JH60" i="21"/>
  <c r="JH57" i="21"/>
  <c r="EN14" i="26" l="1"/>
  <c r="EN6" i="26"/>
  <c r="EO10" i="26"/>
  <c r="JI60" i="21"/>
  <c r="JI62" i="21"/>
  <c r="JI57" i="21"/>
  <c r="EO13" i="26" l="1"/>
  <c r="EO5" i="26" s="1"/>
  <c r="EO12" i="26"/>
  <c r="EO4" i="26" s="1"/>
  <c r="EO11" i="26"/>
  <c r="JJ62" i="21"/>
  <c r="JJ60" i="21"/>
  <c r="JJ57" i="21"/>
  <c r="EO14" i="26" l="1"/>
  <c r="EO6" i="26"/>
  <c r="EP10" i="26"/>
  <c r="JK60" i="21"/>
  <c r="JK62" i="21"/>
  <c r="JK57" i="21"/>
  <c r="EP11" i="26" l="1"/>
  <c r="EP13" i="26"/>
  <c r="EP5" i="26" s="1"/>
  <c r="EP12" i="26"/>
  <c r="EP4" i="26" s="1"/>
  <c r="JL62" i="21"/>
  <c r="JL60" i="21"/>
  <c r="JL57" i="21"/>
  <c r="EP14" i="26" l="1"/>
  <c r="EQ10" i="26"/>
  <c r="EP6" i="26"/>
  <c r="JM60" i="21"/>
  <c r="JM62" i="21"/>
  <c r="JM57" i="21"/>
  <c r="EQ13" i="26" l="1"/>
  <c r="EQ5" i="26" s="1"/>
  <c r="EQ11" i="26"/>
  <c r="EQ12" i="26"/>
  <c r="EQ4" i="26" s="1"/>
  <c r="JN62" i="21"/>
  <c r="JN60" i="21"/>
  <c r="JN57" i="21"/>
  <c r="EQ14" i="26" l="1"/>
  <c r="ER10" i="26"/>
  <c r="EQ6" i="26"/>
  <c r="JO60" i="21"/>
  <c r="JO62" i="21"/>
  <c r="JO57" i="21"/>
  <c r="ER13" i="26" l="1"/>
  <c r="ER5" i="26" s="1"/>
  <c r="ER12" i="26"/>
  <c r="ER4" i="26" s="1"/>
  <c r="ER11" i="26"/>
  <c r="JP62" i="21"/>
  <c r="JP60" i="21"/>
  <c r="JP57" i="21"/>
  <c r="ER14" i="26" l="1"/>
  <c r="ES10" i="26"/>
  <c r="ER6" i="26"/>
  <c r="JQ60" i="21"/>
  <c r="JQ62" i="21"/>
  <c r="JQ57" i="21"/>
  <c r="ES13" i="26" l="1"/>
  <c r="ES5" i="26" s="1"/>
  <c r="ES12" i="26"/>
  <c r="ES4" i="26" s="1"/>
  <c r="ES11" i="26"/>
  <c r="JR62" i="21"/>
  <c r="JR60" i="21"/>
  <c r="JR57" i="21"/>
  <c r="ES14" i="26" l="1"/>
  <c r="ET10" i="26"/>
  <c r="ES6" i="26"/>
  <c r="JS60" i="21"/>
  <c r="JS62" i="21"/>
  <c r="JS57" i="21"/>
  <c r="ET13" i="26" l="1"/>
  <c r="ET5" i="26" s="1"/>
  <c r="ET12" i="26"/>
  <c r="ET4" i="26" s="1"/>
  <c r="ET11" i="26"/>
  <c r="JT62" i="21"/>
  <c r="JT60" i="21"/>
  <c r="JT57" i="21"/>
  <c r="ET14" i="26" l="1"/>
  <c r="EU10" i="26"/>
  <c r="ET6" i="26"/>
  <c r="JU60" i="21"/>
  <c r="JU62" i="21"/>
  <c r="JU57" i="21"/>
  <c r="EU13" i="26" l="1"/>
  <c r="EU5" i="26" s="1"/>
  <c r="EU12" i="26"/>
  <c r="EU4" i="26" s="1"/>
  <c r="EU11" i="26"/>
  <c r="JV62" i="21"/>
  <c r="JV60" i="21"/>
  <c r="JV57" i="21"/>
  <c r="EU14" i="26" l="1"/>
  <c r="EU6" i="26"/>
  <c r="EV10" i="26"/>
  <c r="JW60" i="21"/>
  <c r="JW62" i="21"/>
  <c r="JW57" i="21"/>
  <c r="EV13" i="26" l="1"/>
  <c r="EV5" i="26" s="1"/>
  <c r="EV12" i="26"/>
  <c r="EV4" i="26" s="1"/>
  <c r="EV11" i="26"/>
  <c r="JX62" i="21"/>
  <c r="JX60" i="21"/>
  <c r="JX57" i="21"/>
  <c r="EV14" i="26" l="1"/>
  <c r="EV6" i="26"/>
  <c r="EW10" i="26"/>
  <c r="JY60" i="21"/>
  <c r="JY62" i="21"/>
  <c r="JY57" i="21"/>
  <c r="EW13" i="26" l="1"/>
  <c r="EW5" i="26" s="1"/>
  <c r="EW12" i="26"/>
  <c r="EW4" i="26" s="1"/>
  <c r="EW11" i="26"/>
  <c r="JZ60" i="21"/>
  <c r="JZ62" i="21"/>
  <c r="JZ57" i="21"/>
  <c r="EW14" i="26" l="1"/>
  <c r="EW6" i="26"/>
  <c r="EX10" i="26"/>
  <c r="KA62" i="21"/>
  <c r="KA60" i="21"/>
  <c r="KA57" i="21"/>
  <c r="EX11" i="26" l="1"/>
  <c r="EX13" i="26"/>
  <c r="EX5" i="26" s="1"/>
  <c r="EX12" i="26"/>
  <c r="EX4" i="26" s="1"/>
  <c r="KB60" i="21"/>
  <c r="KB62" i="21"/>
  <c r="KB57" i="21"/>
  <c r="EX14" i="26" l="1"/>
  <c r="EY10" i="26"/>
  <c r="EX6" i="26"/>
  <c r="KC62" i="21"/>
  <c r="KC60" i="21"/>
  <c r="KC57" i="21"/>
  <c r="EY13" i="26" l="1"/>
  <c r="EY5" i="26" s="1"/>
  <c r="EY11" i="26"/>
  <c r="EY12" i="26"/>
  <c r="EY4" i="26" s="1"/>
  <c r="KD60" i="21"/>
  <c r="KD62" i="21"/>
  <c r="KD57" i="21"/>
  <c r="EY14" i="26" l="1"/>
  <c r="EZ10" i="26"/>
  <c r="EY6" i="26"/>
  <c r="KE62" i="21"/>
  <c r="KE60" i="21"/>
  <c r="KE57" i="21"/>
  <c r="EZ13" i="26" l="1"/>
  <c r="EZ5" i="26" s="1"/>
  <c r="EZ12" i="26"/>
  <c r="EZ4" i="26" s="1"/>
  <c r="EZ11" i="26"/>
  <c r="KF60" i="21"/>
  <c r="KF62" i="21"/>
  <c r="KF57" i="21"/>
  <c r="EZ14" i="26" l="1"/>
  <c r="FA10" i="26"/>
  <c r="EZ6" i="26"/>
  <c r="KG62" i="21"/>
  <c r="KG60" i="21"/>
  <c r="KG57" i="21"/>
  <c r="FA13" i="26" l="1"/>
  <c r="FA5" i="26" s="1"/>
  <c r="FA12" i="26"/>
  <c r="FA4" i="26" s="1"/>
  <c r="FA11" i="26"/>
  <c r="KH60" i="21"/>
  <c r="KH62" i="21"/>
  <c r="KH57" i="21"/>
  <c r="FA14" i="26" l="1"/>
  <c r="FB10" i="26"/>
  <c r="FA6" i="26"/>
  <c r="KI62" i="21"/>
  <c r="KI60" i="21"/>
  <c r="KI57" i="21"/>
  <c r="FB13" i="26" l="1"/>
  <c r="FB5" i="26" s="1"/>
  <c r="FB12" i="26"/>
  <c r="FB4" i="26" s="1"/>
  <c r="FB11" i="26"/>
  <c r="N109" i="21"/>
  <c r="R67" i="9"/>
  <c r="Q67" i="9"/>
  <c r="P67" i="9"/>
  <c r="O67" i="9"/>
  <c r="N67" i="9"/>
  <c r="M67" i="9"/>
  <c r="L67" i="9"/>
  <c r="K67" i="9"/>
  <c r="J67" i="9"/>
  <c r="G103" i="21" s="1"/>
  <c r="H120" i="9" a="1"/>
  <c r="H120" i="9" s="1"/>
  <c r="N11" i="21"/>
  <c r="J3" i="21"/>
  <c r="J2" i="21"/>
  <c r="H127" i="9" a="1"/>
  <c r="H127" i="9" s="1"/>
  <c r="H128" i="9" a="1"/>
  <c r="H128" i="9" s="1"/>
  <c r="R65" i="9"/>
  <c r="Q65" i="9"/>
  <c r="P65" i="9"/>
  <c r="O65" i="9"/>
  <c r="N65" i="9"/>
  <c r="M65" i="9"/>
  <c r="L65" i="9"/>
  <c r="K65" i="9"/>
  <c r="J65" i="9"/>
  <c r="H65" i="9" s="1" a="1"/>
  <c r="H65" i="9" s="1"/>
  <c r="H117" i="9" a="1"/>
  <c r="H117" i="9" s="1"/>
  <c r="H116" i="9" a="1"/>
  <c r="H116" i="9" s="1"/>
  <c r="H115" i="9" a="1"/>
  <c r="H115" i="9" s="1"/>
  <c r="H110" i="9" a="1"/>
  <c r="H110" i="9" s="1"/>
  <c r="H109" i="9" a="1"/>
  <c r="H109" i="9" s="1"/>
  <c r="H108" i="9" a="1"/>
  <c r="H108" i="9" s="1"/>
  <c r="H107" i="9" a="1"/>
  <c r="H107" i="9" s="1"/>
  <c r="R106" i="9"/>
  <c r="Q106" i="9"/>
  <c r="P106" i="9"/>
  <c r="O106" i="9"/>
  <c r="N106" i="9"/>
  <c r="M106" i="9"/>
  <c r="L106" i="9"/>
  <c r="K106" i="9"/>
  <c r="J106" i="9"/>
  <c r="H105" i="9" a="1"/>
  <c r="H105" i="9" s="1"/>
  <c r="R104" i="9"/>
  <c r="Q104" i="9"/>
  <c r="P104" i="9"/>
  <c r="O104" i="9"/>
  <c r="N104" i="9"/>
  <c r="M104" i="9"/>
  <c r="L104" i="9"/>
  <c r="K104" i="9"/>
  <c r="J104" i="9"/>
  <c r="H34" i="9" a="1"/>
  <c r="H34" i="9" s="1"/>
  <c r="H98" i="9" a="1"/>
  <c r="H98" i="9" s="1"/>
  <c r="H97" i="9" a="1"/>
  <c r="H97" i="9" s="1"/>
  <c r="H96" i="9" a="1"/>
  <c r="H96" i="9" s="1"/>
  <c r="R95" i="9"/>
  <c r="Q95" i="9"/>
  <c r="P95" i="9"/>
  <c r="O95" i="9"/>
  <c r="N95" i="9"/>
  <c r="M95" i="9"/>
  <c r="L95" i="9"/>
  <c r="K95" i="9"/>
  <c r="J95" i="9"/>
  <c r="H95" i="9" s="1" a="1"/>
  <c r="H95" i="9" s="1"/>
  <c r="H94" i="9" a="1"/>
  <c r="H94" i="9" s="1"/>
  <c r="R93" i="9"/>
  <c r="Q93" i="9"/>
  <c r="P93" i="9"/>
  <c r="O93" i="9"/>
  <c r="N93" i="9"/>
  <c r="M93" i="9"/>
  <c r="L93" i="9"/>
  <c r="K93" i="9"/>
  <c r="J93" i="9"/>
  <c r="H70" i="9" a="1"/>
  <c r="H70" i="9" s="1"/>
  <c r="H90" i="9" a="1"/>
  <c r="H90" i="9" s="1"/>
  <c r="H89" i="9" a="1"/>
  <c r="H89" i="9" s="1"/>
  <c r="H88" i="9" a="1"/>
  <c r="H88" i="9" s="1"/>
  <c r="H87" i="9" a="1"/>
  <c r="H87" i="9" s="1"/>
  <c r="H86" i="9" a="1"/>
  <c r="H86" i="9" s="1"/>
  <c r="H85" i="9" a="1"/>
  <c r="H85" i="9" s="1"/>
  <c r="H84" i="9" a="1"/>
  <c r="H84" i="9" s="1"/>
  <c r="H83" i="9" a="1"/>
  <c r="H83" i="9" s="1"/>
  <c r="H82" i="9" a="1"/>
  <c r="H82" i="9" s="1"/>
  <c r="G82" i="9"/>
  <c r="G83" i="9" s="1"/>
  <c r="G84" i="9" s="1"/>
  <c r="G85" i="9" s="1"/>
  <c r="G86" i="9" s="1"/>
  <c r="G87" i="9" s="1"/>
  <c r="G88" i="9" s="1"/>
  <c r="G89" i="9" s="1"/>
  <c r="G90" i="9" s="1"/>
  <c r="H81" i="9" a="1"/>
  <c r="H81" i="9" s="1"/>
  <c r="H69" i="9" a="1"/>
  <c r="H69" i="9" s="1"/>
  <c r="G117" i="21" s="1"/>
  <c r="H68" i="9" a="1"/>
  <c r="H68" i="9" s="1"/>
  <c r="H66" i="9" a="1"/>
  <c r="H66" i="9" s="1"/>
  <c r="H33" i="9" a="1"/>
  <c r="H33" i="9" s="1"/>
  <c r="H32" i="9" a="1"/>
  <c r="H32" i="9" s="1"/>
  <c r="H24" i="9" a="1"/>
  <c r="H24" i="9" s="1"/>
  <c r="DG135" i="10" a="1"/>
  <c r="DG135" i="10" s="1"/>
  <c r="H23" i="9" a="1"/>
  <c r="H23" i="9" s="1"/>
  <c r="K118" i="10" s="1"/>
  <c r="KB119" i="10" s="1" a="1"/>
  <c r="KB119" i="10" s="1"/>
  <c r="KB120" i="10" s="1"/>
  <c r="KE38" i="21" s="1"/>
  <c r="H22" i="9" a="1"/>
  <c r="H22" i="9" s="1"/>
  <c r="K102" i="10" s="1"/>
  <c r="KE103" i="10" s="1" a="1"/>
  <c r="KE103" i="10" s="1"/>
  <c r="KE104" i="10" s="1"/>
  <c r="KH36" i="21" s="1"/>
  <c r="H21" i="9" a="1"/>
  <c r="H21" i="9" s="1"/>
  <c r="K86" i="10" s="1"/>
  <c r="HS87" i="10" s="1" a="1"/>
  <c r="HS87" i="10" s="1"/>
  <c r="HS88" i="10" s="1"/>
  <c r="HV35" i="21" s="1"/>
  <c r="H20" i="9" a="1"/>
  <c r="H20" i="9" s="1"/>
  <c r="K70" i="10" s="1"/>
  <c r="KF71" i="10" s="1" a="1"/>
  <c r="KF71" i="10" s="1"/>
  <c r="KF72" i="10" s="1"/>
  <c r="KI27" i="21" s="1"/>
  <c r="H19" i="9" a="1"/>
  <c r="H19" i="9" s="1"/>
  <c r="K54" i="10" s="1"/>
  <c r="H18" i="9" a="1"/>
  <c r="H18" i="9" s="1"/>
  <c r="K38" i="10" s="1"/>
  <c r="H17" i="9" a="1"/>
  <c r="H17" i="9" s="1"/>
  <c r="K22" i="10" s="1"/>
  <c r="H10" i="9" a="1"/>
  <c r="H10" i="9" s="1"/>
  <c r="D4" i="9" s="1"/>
  <c r="D3" i="9"/>
  <c r="K11" i="10"/>
  <c r="FB14" i="26" l="1"/>
  <c r="FC10" i="26"/>
  <c r="FB6" i="26"/>
  <c r="J4" i="21"/>
  <c r="KE46" i="21"/>
  <c r="KE148" i="21"/>
  <c r="N55" i="21"/>
  <c r="G110" i="21"/>
  <c r="DJ86" i="21"/>
  <c r="DJ116" i="21"/>
  <c r="G102" i="21"/>
  <c r="G74" i="21" s="1"/>
  <c r="G75" i="21" s="1"/>
  <c r="V71" i="10" a="1"/>
  <c r="V71" i="10" s="1"/>
  <c r="V72" i="10" s="1"/>
  <c r="Y27" i="21" s="1"/>
  <c r="AK71" i="10" a="1"/>
  <c r="AK71" i="10" s="1"/>
  <c r="AK72" i="10" s="1"/>
  <c r="AN27" i="21" s="1"/>
  <c r="AY71" i="10" a="1"/>
  <c r="AY71" i="10" s="1"/>
  <c r="AY72" i="10" s="1"/>
  <c r="BB27" i="21" s="1"/>
  <c r="BM71" i="10" a="1"/>
  <c r="BM71" i="10" s="1"/>
  <c r="BM72" i="10" s="1"/>
  <c r="BP27" i="21" s="1"/>
  <c r="CA71" i="10" a="1"/>
  <c r="CA71" i="10" s="1"/>
  <c r="CA72" i="10" s="1"/>
  <c r="CD27" i="21" s="1"/>
  <c r="DD71" i="10" a="1"/>
  <c r="DD71" i="10" s="1"/>
  <c r="DD72" i="10" s="1"/>
  <c r="DG27" i="21" s="1"/>
  <c r="DR71" i="10" a="1"/>
  <c r="DR71" i="10" s="1"/>
  <c r="DR72" i="10" s="1"/>
  <c r="DU27" i="21" s="1"/>
  <c r="EF71" i="10" a="1"/>
  <c r="EF71" i="10" s="1"/>
  <c r="EF72" i="10" s="1"/>
  <c r="EI27" i="21" s="1"/>
  <c r="ET71" i="10" a="1"/>
  <c r="ET71" i="10" s="1"/>
  <c r="ET72" i="10" s="1"/>
  <c r="EW27" i="21" s="1"/>
  <c r="FI71" i="10" a="1"/>
  <c r="FI71" i="10" s="1"/>
  <c r="FI72" i="10" s="1"/>
  <c r="FL27" i="21" s="1"/>
  <c r="FW71" i="10" a="1"/>
  <c r="FW71" i="10" s="1"/>
  <c r="FW72" i="10" s="1"/>
  <c r="FZ27" i="21" s="1"/>
  <c r="GK71" i="10" a="1"/>
  <c r="GK71" i="10" s="1"/>
  <c r="GK72" i="10" s="1"/>
  <c r="GN27" i="21" s="1"/>
  <c r="GY71" i="10" a="1"/>
  <c r="GY71" i="10" s="1"/>
  <c r="GY72" i="10" s="1"/>
  <c r="HB27" i="21" s="1"/>
  <c r="IB71" i="10" a="1"/>
  <c r="IB71" i="10" s="1"/>
  <c r="IB72" i="10" s="1"/>
  <c r="IE27" i="21" s="1"/>
  <c r="IP71" i="10" a="1"/>
  <c r="IP71" i="10" s="1"/>
  <c r="IP72" i="10" s="1"/>
  <c r="IS27" i="21" s="1"/>
  <c r="JD71" i="10" a="1"/>
  <c r="JD71" i="10" s="1"/>
  <c r="JD72" i="10" s="1"/>
  <c r="JG27" i="21" s="1"/>
  <c r="JR71" i="10" a="1"/>
  <c r="JR71" i="10" s="1"/>
  <c r="JR72" i="10" s="1"/>
  <c r="JU27" i="21" s="1"/>
  <c r="W71" i="10" a="1"/>
  <c r="W71" i="10" s="1"/>
  <c r="W72" i="10" s="1"/>
  <c r="Z27" i="21" s="1"/>
  <c r="AZ71" i="10" a="1"/>
  <c r="AZ71" i="10" s="1"/>
  <c r="AZ72" i="10" s="1"/>
  <c r="BC27" i="21" s="1"/>
  <c r="BN71" i="10" a="1"/>
  <c r="BN71" i="10" s="1"/>
  <c r="BN72" i="10" s="1"/>
  <c r="BQ27" i="21" s="1"/>
  <c r="CB71" i="10" a="1"/>
  <c r="CB71" i="10" s="1"/>
  <c r="CB72" i="10" s="1"/>
  <c r="CE27" i="21" s="1"/>
  <c r="CP71" i="10" a="1"/>
  <c r="CP71" i="10" s="1"/>
  <c r="CP72" i="10" s="1"/>
  <c r="CS27" i="21" s="1"/>
  <c r="DE71" i="10" a="1"/>
  <c r="DE71" i="10" s="1"/>
  <c r="DE72" i="10" s="1"/>
  <c r="DH27" i="21" s="1"/>
  <c r="DS71" i="10" a="1"/>
  <c r="DS71" i="10" s="1"/>
  <c r="DS72" i="10" s="1"/>
  <c r="DV27" i="21" s="1"/>
  <c r="EG71" i="10" a="1"/>
  <c r="EG71" i="10" s="1"/>
  <c r="EG72" i="10" s="1"/>
  <c r="EJ27" i="21" s="1"/>
  <c r="EU71" i="10" a="1"/>
  <c r="EU71" i="10" s="1"/>
  <c r="EU72" i="10" s="1"/>
  <c r="EX27" i="21" s="1"/>
  <c r="FX71" i="10" a="1"/>
  <c r="FX71" i="10" s="1"/>
  <c r="FX72" i="10" s="1"/>
  <c r="GA27" i="21" s="1"/>
  <c r="GL71" i="10" a="1"/>
  <c r="GL71" i="10" s="1"/>
  <c r="GL72" i="10" s="1"/>
  <c r="GO27" i="21" s="1"/>
  <c r="GZ71" i="10" a="1"/>
  <c r="GZ71" i="10" s="1"/>
  <c r="GZ72" i="10" s="1"/>
  <c r="HC27" i="21" s="1"/>
  <c r="HN71" i="10" a="1"/>
  <c r="HN71" i="10" s="1"/>
  <c r="HN72" i="10" s="1"/>
  <c r="HQ27" i="21" s="1"/>
  <c r="IC71" i="10" a="1"/>
  <c r="IC71" i="10" s="1"/>
  <c r="IC72" i="10" s="1"/>
  <c r="IF27" i="21" s="1"/>
  <c r="IQ71" i="10" a="1"/>
  <c r="IQ71" i="10" s="1"/>
  <c r="IQ72" i="10" s="1"/>
  <c r="IT27" i="21" s="1"/>
  <c r="JE71" i="10" a="1"/>
  <c r="JE71" i="10" s="1"/>
  <c r="JE72" i="10" s="1"/>
  <c r="JH27" i="21" s="1"/>
  <c r="JS71" i="10" a="1"/>
  <c r="JS71" i="10" s="1"/>
  <c r="JS72" i="10" s="1"/>
  <c r="JV27" i="21" s="1"/>
  <c r="X71" i="10" a="1"/>
  <c r="X71" i="10" s="1"/>
  <c r="X72" i="10" s="1"/>
  <c r="AA27" i="21" s="1"/>
  <c r="AL71" i="10" a="1"/>
  <c r="AL71" i="10" s="1"/>
  <c r="AL72" i="10" s="1"/>
  <c r="AO27" i="21" s="1"/>
  <c r="BA71" i="10" a="1"/>
  <c r="BA71" i="10" s="1"/>
  <c r="BA72" i="10" s="1"/>
  <c r="BD27" i="21" s="1"/>
  <c r="BO71" i="10" a="1"/>
  <c r="BO71" i="10" s="1"/>
  <c r="BO72" i="10" s="1"/>
  <c r="BR27" i="21" s="1"/>
  <c r="CC71" i="10" a="1"/>
  <c r="CC71" i="10" s="1"/>
  <c r="CC72" i="10" s="1"/>
  <c r="CF27" i="21" s="1"/>
  <c r="CQ71" i="10" a="1"/>
  <c r="CQ71" i="10" s="1"/>
  <c r="CQ72" i="10" s="1"/>
  <c r="CT27" i="21" s="1"/>
  <c r="DT71" i="10" a="1"/>
  <c r="DT71" i="10" s="1"/>
  <c r="DT72" i="10" s="1"/>
  <c r="DW27" i="21" s="1"/>
  <c r="EH71" i="10" a="1"/>
  <c r="EH71" i="10" s="1"/>
  <c r="EH72" i="10" s="1"/>
  <c r="EK27" i="21" s="1"/>
  <c r="EV71" i="10" a="1"/>
  <c r="EV71" i="10" s="1"/>
  <c r="EV72" i="10" s="1"/>
  <c r="EY27" i="21" s="1"/>
  <c r="FJ71" i="10" a="1"/>
  <c r="FJ71" i="10" s="1"/>
  <c r="FJ72" i="10" s="1"/>
  <c r="FM27" i="21" s="1"/>
  <c r="FY71" i="10" a="1"/>
  <c r="FY71" i="10" s="1"/>
  <c r="FY72" i="10" s="1"/>
  <c r="GB27" i="21" s="1"/>
  <c r="GM71" i="10" a="1"/>
  <c r="GM71" i="10" s="1"/>
  <c r="GM72" i="10" s="1"/>
  <c r="GP27" i="21" s="1"/>
  <c r="HA71" i="10" a="1"/>
  <c r="HA71" i="10" s="1"/>
  <c r="HA72" i="10" s="1"/>
  <c r="HD27" i="21" s="1"/>
  <c r="HO71" i="10" a="1"/>
  <c r="HO71" i="10" s="1"/>
  <c r="HO72" i="10" s="1"/>
  <c r="HR27" i="21" s="1"/>
  <c r="IR71" i="10" a="1"/>
  <c r="IR71" i="10" s="1"/>
  <c r="IR72" i="10" s="1"/>
  <c r="IU27" i="21" s="1"/>
  <c r="JF71" i="10" a="1"/>
  <c r="JF71" i="10" s="1"/>
  <c r="JF72" i="10" s="1"/>
  <c r="JI27" i="21" s="1"/>
  <c r="JT71" i="10" a="1"/>
  <c r="JT71" i="10" s="1"/>
  <c r="JT72" i="10" s="1"/>
  <c r="JW27" i="21" s="1"/>
  <c r="Y71" i="10" a="1"/>
  <c r="Y71" i="10" s="1"/>
  <c r="Y72" i="10" s="1"/>
  <c r="AB27" i="21" s="1"/>
  <c r="AM71" i="10" a="1"/>
  <c r="AM71" i="10" s="1"/>
  <c r="AM72" i="10" s="1"/>
  <c r="AP27" i="21" s="1"/>
  <c r="BP71" i="10" a="1"/>
  <c r="BP71" i="10" s="1"/>
  <c r="BP72" i="10" s="1"/>
  <c r="BS27" i="21" s="1"/>
  <c r="CD71" i="10" a="1"/>
  <c r="CD71" i="10" s="1"/>
  <c r="CD72" i="10" s="1"/>
  <c r="CG27" i="21" s="1"/>
  <c r="CR71" i="10" a="1"/>
  <c r="CR71" i="10" s="1"/>
  <c r="CR72" i="10" s="1"/>
  <c r="CU27" i="21" s="1"/>
  <c r="DF71" i="10" a="1"/>
  <c r="DF71" i="10" s="1"/>
  <c r="DF72" i="10" s="1"/>
  <c r="DI27" i="21" s="1"/>
  <c r="DU71" i="10" a="1"/>
  <c r="DU71" i="10" s="1"/>
  <c r="DU72" i="10" s="1"/>
  <c r="DX27" i="21" s="1"/>
  <c r="EI71" i="10" a="1"/>
  <c r="EI71" i="10" s="1"/>
  <c r="EI72" i="10" s="1"/>
  <c r="EL27" i="21" s="1"/>
  <c r="EW71" i="10" a="1"/>
  <c r="EW71" i="10" s="1"/>
  <c r="EW72" i="10" s="1"/>
  <c r="EZ27" i="21" s="1"/>
  <c r="FK71" i="10" a="1"/>
  <c r="FK71" i="10" s="1"/>
  <c r="FK72" i="10" s="1"/>
  <c r="FN27" i="21" s="1"/>
  <c r="GN71" i="10" a="1"/>
  <c r="GN71" i="10" s="1"/>
  <c r="GN72" i="10" s="1"/>
  <c r="GQ27" i="21" s="1"/>
  <c r="HB71" i="10" a="1"/>
  <c r="HB71" i="10" s="1"/>
  <c r="HB72" i="10" s="1"/>
  <c r="HE27" i="21" s="1"/>
  <c r="HP71" i="10" a="1"/>
  <c r="HP71" i="10" s="1"/>
  <c r="HP72" i="10" s="1"/>
  <c r="HS27" i="21" s="1"/>
  <c r="ID71" i="10" a="1"/>
  <c r="ID71" i="10" s="1"/>
  <c r="ID72" i="10" s="1"/>
  <c r="IG27" i="21" s="1"/>
  <c r="IS71" i="10" a="1"/>
  <c r="IS71" i="10" s="1"/>
  <c r="IS72" i="10" s="1"/>
  <c r="IV27" i="21" s="1"/>
  <c r="JG71" i="10" a="1"/>
  <c r="JG71" i="10" s="1"/>
  <c r="JG72" i="10" s="1"/>
  <c r="JJ27" i="21" s="1"/>
  <c r="JU71" i="10" a="1"/>
  <c r="JU71" i="10" s="1"/>
  <c r="JU72" i="10" s="1"/>
  <c r="JX27" i="21" s="1"/>
  <c r="L71" i="10" a="1"/>
  <c r="L71" i="10" s="1"/>
  <c r="L72" i="10" s="1"/>
  <c r="O27" i="21" s="1"/>
  <c r="Z71" i="10" a="1"/>
  <c r="Z71" i="10" s="1"/>
  <c r="Z72" i="10" s="1"/>
  <c r="AC27" i="21" s="1"/>
  <c r="AN71" i="10" a="1"/>
  <c r="AN71" i="10" s="1"/>
  <c r="AN72" i="10" s="1"/>
  <c r="AQ27" i="21" s="1"/>
  <c r="BB71" i="10" a="1"/>
  <c r="BB71" i="10" s="1"/>
  <c r="BB72" i="10" s="1"/>
  <c r="BE27" i="21" s="1"/>
  <c r="BQ71" i="10" a="1"/>
  <c r="BQ71" i="10" s="1"/>
  <c r="BQ72" i="10" s="1"/>
  <c r="BT27" i="21" s="1"/>
  <c r="CE71" i="10" a="1"/>
  <c r="CE71" i="10" s="1"/>
  <c r="CE72" i="10" s="1"/>
  <c r="CH27" i="21" s="1"/>
  <c r="CS71" i="10" a="1"/>
  <c r="CS71" i="10" s="1"/>
  <c r="CS72" i="10" s="1"/>
  <c r="CV27" i="21" s="1"/>
  <c r="DG71" i="10" a="1"/>
  <c r="DG71" i="10" s="1"/>
  <c r="DG72" i="10" s="1"/>
  <c r="DJ27" i="21" s="1"/>
  <c r="EJ71" i="10" a="1"/>
  <c r="EJ71" i="10" s="1"/>
  <c r="EJ72" i="10" s="1"/>
  <c r="EM27" i="21" s="1"/>
  <c r="EX71" i="10" a="1"/>
  <c r="EX71" i="10" s="1"/>
  <c r="EX72" i="10" s="1"/>
  <c r="FA27" i="21" s="1"/>
  <c r="FL71" i="10" a="1"/>
  <c r="FL71" i="10" s="1"/>
  <c r="FL72" i="10" s="1"/>
  <c r="FO27" i="21" s="1"/>
  <c r="FZ71" i="10" a="1"/>
  <c r="FZ71" i="10" s="1"/>
  <c r="FZ72" i="10" s="1"/>
  <c r="GC27" i="21" s="1"/>
  <c r="GO71" i="10" a="1"/>
  <c r="GO71" i="10" s="1"/>
  <c r="GO72" i="10" s="1"/>
  <c r="GR27" i="21" s="1"/>
  <c r="HC71" i="10" a="1"/>
  <c r="HC71" i="10" s="1"/>
  <c r="HC72" i="10" s="1"/>
  <c r="HF27" i="21" s="1"/>
  <c r="HQ71" i="10" a="1"/>
  <c r="HQ71" i="10" s="1"/>
  <c r="HQ72" i="10" s="1"/>
  <c r="HT27" i="21" s="1"/>
  <c r="IE71" i="10" a="1"/>
  <c r="IE71" i="10" s="1"/>
  <c r="IE72" i="10" s="1"/>
  <c r="IH27" i="21" s="1"/>
  <c r="JH71" i="10" a="1"/>
  <c r="JH71" i="10" s="1"/>
  <c r="JH72" i="10" s="1"/>
  <c r="JK27" i="21" s="1"/>
  <c r="JV71" i="10" a="1"/>
  <c r="JV71" i="10" s="1"/>
  <c r="JV72" i="10" s="1"/>
  <c r="JY27" i="21" s="1"/>
  <c r="M71" i="10" a="1"/>
  <c r="M71" i="10" s="1"/>
  <c r="M72" i="10" s="1"/>
  <c r="P27" i="21" s="1"/>
  <c r="AA71" i="10" a="1"/>
  <c r="AA71" i="10" s="1"/>
  <c r="AA72" i="10" s="1"/>
  <c r="AD27" i="21" s="1"/>
  <c r="AO71" i="10" a="1"/>
  <c r="AO71" i="10" s="1"/>
  <c r="AO72" i="10" s="1"/>
  <c r="AR27" i="21" s="1"/>
  <c r="BC71" i="10" a="1"/>
  <c r="BC71" i="10" s="1"/>
  <c r="BC72" i="10" s="1"/>
  <c r="BF27" i="21" s="1"/>
  <c r="CF71" i="10" a="1"/>
  <c r="CF71" i="10" s="1"/>
  <c r="CF72" i="10" s="1"/>
  <c r="CI27" i="21" s="1"/>
  <c r="CT71" i="10" a="1"/>
  <c r="CT71" i="10" s="1"/>
  <c r="CT72" i="10" s="1"/>
  <c r="CW27" i="21" s="1"/>
  <c r="DH71" i="10" a="1"/>
  <c r="DH71" i="10" s="1"/>
  <c r="DH72" i="10" s="1"/>
  <c r="DK27" i="21" s="1"/>
  <c r="DV71" i="10" a="1"/>
  <c r="DV71" i="10" s="1"/>
  <c r="DV72" i="10" s="1"/>
  <c r="DY27" i="21" s="1"/>
  <c r="EK71" i="10" a="1"/>
  <c r="EK71" i="10" s="1"/>
  <c r="EK72" i="10" s="1"/>
  <c r="EN27" i="21" s="1"/>
  <c r="EY71" i="10" a="1"/>
  <c r="EY71" i="10" s="1"/>
  <c r="EY72" i="10" s="1"/>
  <c r="FB27" i="21" s="1"/>
  <c r="FM71" i="10" a="1"/>
  <c r="FM71" i="10" s="1"/>
  <c r="FM72" i="10" s="1"/>
  <c r="FP27" i="21" s="1"/>
  <c r="GA71" i="10" a="1"/>
  <c r="GA71" i="10" s="1"/>
  <c r="GA72" i="10" s="1"/>
  <c r="GD27" i="21" s="1"/>
  <c r="HD71" i="10" a="1"/>
  <c r="HD71" i="10" s="1"/>
  <c r="HD72" i="10" s="1"/>
  <c r="HG27" i="21" s="1"/>
  <c r="HR71" i="10" a="1"/>
  <c r="HR71" i="10" s="1"/>
  <c r="HR72" i="10" s="1"/>
  <c r="HU27" i="21" s="1"/>
  <c r="IF71" i="10" a="1"/>
  <c r="IF71" i="10" s="1"/>
  <c r="IF72" i="10" s="1"/>
  <c r="II27" i="21" s="1"/>
  <c r="IT71" i="10" a="1"/>
  <c r="IT71" i="10" s="1"/>
  <c r="IT72" i="10" s="1"/>
  <c r="IW27" i="21" s="1"/>
  <c r="JI71" i="10" a="1"/>
  <c r="JI71" i="10" s="1"/>
  <c r="JI72" i="10" s="1"/>
  <c r="JL27" i="21" s="1"/>
  <c r="JW71" i="10" a="1"/>
  <c r="JW71" i="10" s="1"/>
  <c r="JW72" i="10" s="1"/>
  <c r="JZ27" i="21" s="1"/>
  <c r="AB71" i="10" a="1"/>
  <c r="AB71" i="10" s="1"/>
  <c r="AB72" i="10" s="1"/>
  <c r="AE27" i="21" s="1"/>
  <c r="AP71" i="10" a="1"/>
  <c r="AP71" i="10" s="1"/>
  <c r="AP72" i="10" s="1"/>
  <c r="AS27" i="21" s="1"/>
  <c r="BD71" i="10" a="1"/>
  <c r="BD71" i="10" s="1"/>
  <c r="BD72" i="10" s="1"/>
  <c r="BG27" i="21" s="1"/>
  <c r="BR71" i="10" a="1"/>
  <c r="BR71" i="10" s="1"/>
  <c r="BR72" i="10" s="1"/>
  <c r="BU27" i="21" s="1"/>
  <c r="CG71" i="10" a="1"/>
  <c r="CG71" i="10" s="1"/>
  <c r="CG72" i="10" s="1"/>
  <c r="CJ27" i="21" s="1"/>
  <c r="CU71" i="10" a="1"/>
  <c r="CU71" i="10" s="1"/>
  <c r="CU72" i="10" s="1"/>
  <c r="CX27" i="21" s="1"/>
  <c r="DI71" i="10" a="1"/>
  <c r="DI71" i="10" s="1"/>
  <c r="DI72" i="10" s="1"/>
  <c r="DL27" i="21" s="1"/>
  <c r="DW71" i="10" a="1"/>
  <c r="DW71" i="10" s="1"/>
  <c r="DW72" i="10" s="1"/>
  <c r="DZ27" i="21" s="1"/>
  <c r="EZ71" i="10" a="1"/>
  <c r="EZ71" i="10" s="1"/>
  <c r="EZ72" i="10" s="1"/>
  <c r="FC27" i="21" s="1"/>
  <c r="FN71" i="10" a="1"/>
  <c r="FN71" i="10" s="1"/>
  <c r="FN72" i="10" s="1"/>
  <c r="FQ27" i="21" s="1"/>
  <c r="GB71" i="10" a="1"/>
  <c r="GB71" i="10" s="1"/>
  <c r="GB72" i="10" s="1"/>
  <c r="GE27" i="21" s="1"/>
  <c r="GP71" i="10" a="1"/>
  <c r="GP71" i="10" s="1"/>
  <c r="GP72" i="10" s="1"/>
  <c r="GS27" i="21" s="1"/>
  <c r="HE71" i="10" a="1"/>
  <c r="HE71" i="10" s="1"/>
  <c r="HE72" i="10" s="1"/>
  <c r="HH27" i="21" s="1"/>
  <c r="HS71" i="10" a="1"/>
  <c r="HS71" i="10" s="1"/>
  <c r="HS72" i="10" s="1"/>
  <c r="HV27" i="21" s="1"/>
  <c r="IG71" i="10" a="1"/>
  <c r="IG71" i="10" s="1"/>
  <c r="IG72" i="10" s="1"/>
  <c r="IJ27" i="21" s="1"/>
  <c r="IU71" i="10" a="1"/>
  <c r="IU71" i="10" s="1"/>
  <c r="IU72" i="10" s="1"/>
  <c r="IX27" i="21" s="1"/>
  <c r="JX71" i="10" a="1"/>
  <c r="JX71" i="10" s="1"/>
  <c r="JX72" i="10" s="1"/>
  <c r="KA27" i="21" s="1"/>
  <c r="N71" i="10" a="1"/>
  <c r="N71" i="10" s="1"/>
  <c r="N72" i="10" s="1"/>
  <c r="Q27" i="21" s="1"/>
  <c r="AC71" i="10" a="1"/>
  <c r="AC71" i="10" s="1"/>
  <c r="AC72" i="10" s="1"/>
  <c r="AF27" i="21" s="1"/>
  <c r="AQ71" i="10" a="1"/>
  <c r="AQ71" i="10" s="1"/>
  <c r="AQ72" i="10" s="1"/>
  <c r="AT27" i="21" s="1"/>
  <c r="BE71" i="10" a="1"/>
  <c r="BE71" i="10" s="1"/>
  <c r="BE72" i="10" s="1"/>
  <c r="BH27" i="21" s="1"/>
  <c r="BS71" i="10" a="1"/>
  <c r="BS71" i="10" s="1"/>
  <c r="BS72" i="10" s="1"/>
  <c r="BV27" i="21" s="1"/>
  <c r="CV71" i="10" a="1"/>
  <c r="CV71" i="10" s="1"/>
  <c r="CV72" i="10" s="1"/>
  <c r="CY27" i="21" s="1"/>
  <c r="DJ71" i="10" a="1"/>
  <c r="DJ71" i="10" s="1"/>
  <c r="DJ72" i="10" s="1"/>
  <c r="DM27" i="21" s="1"/>
  <c r="DX71" i="10" a="1"/>
  <c r="DX71" i="10" s="1"/>
  <c r="DX72" i="10" s="1"/>
  <c r="EA27" i="21" s="1"/>
  <c r="EL71" i="10" a="1"/>
  <c r="EL71" i="10" s="1"/>
  <c r="EL72" i="10" s="1"/>
  <c r="EO27" i="21" s="1"/>
  <c r="FA71" i="10" a="1"/>
  <c r="FA71" i="10" s="1"/>
  <c r="FA72" i="10" s="1"/>
  <c r="FD27" i="21" s="1"/>
  <c r="FO71" i="10" a="1"/>
  <c r="FO71" i="10" s="1"/>
  <c r="FO72" i="10" s="1"/>
  <c r="FR27" i="21" s="1"/>
  <c r="GC71" i="10" a="1"/>
  <c r="GC71" i="10" s="1"/>
  <c r="GC72" i="10" s="1"/>
  <c r="GF27" i="21" s="1"/>
  <c r="GQ71" i="10" a="1"/>
  <c r="GQ71" i="10" s="1"/>
  <c r="GQ72" i="10" s="1"/>
  <c r="GT27" i="21" s="1"/>
  <c r="HT71" i="10" a="1"/>
  <c r="HT71" i="10" s="1"/>
  <c r="HT72" i="10" s="1"/>
  <c r="HW27" i="21" s="1"/>
  <c r="IH71" i="10" a="1"/>
  <c r="IH71" i="10" s="1"/>
  <c r="IH72" i="10" s="1"/>
  <c r="IK27" i="21" s="1"/>
  <c r="IV71" i="10" a="1"/>
  <c r="IV71" i="10" s="1"/>
  <c r="IV72" i="10" s="1"/>
  <c r="IY27" i="21" s="1"/>
  <c r="JJ71" i="10" a="1"/>
  <c r="JJ71" i="10" s="1"/>
  <c r="JJ72" i="10" s="1"/>
  <c r="JM27" i="21" s="1"/>
  <c r="JY71" i="10" a="1"/>
  <c r="JY71" i="10" s="1"/>
  <c r="JY72" i="10" s="1"/>
  <c r="KB27" i="21" s="1"/>
  <c r="O71" i="10" a="1"/>
  <c r="O71" i="10" s="1"/>
  <c r="O72" i="10" s="1"/>
  <c r="R27" i="21" s="1"/>
  <c r="AR71" i="10" a="1"/>
  <c r="AR71" i="10" s="1"/>
  <c r="AR72" i="10" s="1"/>
  <c r="AU27" i="21" s="1"/>
  <c r="BF71" i="10" a="1"/>
  <c r="BF71" i="10" s="1"/>
  <c r="BF72" i="10" s="1"/>
  <c r="BI27" i="21" s="1"/>
  <c r="BT71" i="10" a="1"/>
  <c r="BT71" i="10" s="1"/>
  <c r="BT72" i="10" s="1"/>
  <c r="BW27" i="21" s="1"/>
  <c r="CH71" i="10" a="1"/>
  <c r="CH71" i="10" s="1"/>
  <c r="CH72" i="10" s="1"/>
  <c r="CK27" i="21" s="1"/>
  <c r="CW71" i="10" a="1"/>
  <c r="CW71" i="10" s="1"/>
  <c r="CW72" i="10" s="1"/>
  <c r="CZ27" i="21" s="1"/>
  <c r="DK71" i="10" a="1"/>
  <c r="DK71" i="10" s="1"/>
  <c r="DK72" i="10" s="1"/>
  <c r="DN27" i="21" s="1"/>
  <c r="DY71" i="10" a="1"/>
  <c r="DY71" i="10" s="1"/>
  <c r="DY72" i="10" s="1"/>
  <c r="EB27" i="21" s="1"/>
  <c r="EM71" i="10" a="1"/>
  <c r="EM71" i="10" s="1"/>
  <c r="EM72" i="10" s="1"/>
  <c r="EP27" i="21" s="1"/>
  <c r="FP71" i="10" a="1"/>
  <c r="FP71" i="10" s="1"/>
  <c r="FP72" i="10" s="1"/>
  <c r="FS27" i="21" s="1"/>
  <c r="GD71" i="10" a="1"/>
  <c r="GD71" i="10" s="1"/>
  <c r="GD72" i="10" s="1"/>
  <c r="GG27" i="21" s="1"/>
  <c r="GR71" i="10" a="1"/>
  <c r="GR71" i="10" s="1"/>
  <c r="GR72" i="10" s="1"/>
  <c r="GU27" i="21" s="1"/>
  <c r="HF71" i="10" a="1"/>
  <c r="HF71" i="10" s="1"/>
  <c r="HF72" i="10" s="1"/>
  <c r="HI27" i="21" s="1"/>
  <c r="HU71" i="10" a="1"/>
  <c r="HU71" i="10" s="1"/>
  <c r="HU72" i="10" s="1"/>
  <c r="HX27" i="21" s="1"/>
  <c r="II71" i="10" a="1"/>
  <c r="II71" i="10" s="1"/>
  <c r="II72" i="10" s="1"/>
  <c r="IL27" i="21" s="1"/>
  <c r="IW71" i="10" a="1"/>
  <c r="IW71" i="10" s="1"/>
  <c r="IW72" i="10" s="1"/>
  <c r="IZ27" i="21" s="1"/>
  <c r="JK71" i="10" a="1"/>
  <c r="JK71" i="10" s="1"/>
  <c r="JK72" i="10" s="1"/>
  <c r="JN27" i="21" s="1"/>
  <c r="P71" i="10" a="1"/>
  <c r="P71" i="10" s="1"/>
  <c r="P72" i="10" s="1"/>
  <c r="S27" i="21" s="1"/>
  <c r="AD71" i="10" a="1"/>
  <c r="AD71" i="10" s="1"/>
  <c r="AD72" i="10" s="1"/>
  <c r="AG27" i="21" s="1"/>
  <c r="AS71" i="10" a="1"/>
  <c r="AS71" i="10" s="1"/>
  <c r="AS72" i="10" s="1"/>
  <c r="AV27" i="21" s="1"/>
  <c r="BG71" i="10" a="1"/>
  <c r="BG71" i="10" s="1"/>
  <c r="BG72" i="10" s="1"/>
  <c r="BJ27" i="21" s="1"/>
  <c r="BU71" i="10" a="1"/>
  <c r="BU71" i="10" s="1"/>
  <c r="BU72" i="10" s="1"/>
  <c r="BX27" i="21" s="1"/>
  <c r="CI71" i="10" a="1"/>
  <c r="CI71" i="10" s="1"/>
  <c r="CI72" i="10" s="1"/>
  <c r="CL27" i="21" s="1"/>
  <c r="DL71" i="10" a="1"/>
  <c r="DL71" i="10" s="1"/>
  <c r="DL72" i="10" s="1"/>
  <c r="DO27" i="21" s="1"/>
  <c r="DZ71" i="10" a="1"/>
  <c r="DZ71" i="10" s="1"/>
  <c r="DZ72" i="10" s="1"/>
  <c r="EC27" i="21" s="1"/>
  <c r="EN71" i="10" a="1"/>
  <c r="EN71" i="10" s="1"/>
  <c r="EN72" i="10" s="1"/>
  <c r="EQ27" i="21" s="1"/>
  <c r="FB71" i="10" a="1"/>
  <c r="FB71" i="10" s="1"/>
  <c r="FB72" i="10" s="1"/>
  <c r="FE27" i="21" s="1"/>
  <c r="FQ71" i="10" a="1"/>
  <c r="FQ71" i="10" s="1"/>
  <c r="FQ72" i="10" s="1"/>
  <c r="FT27" i="21" s="1"/>
  <c r="GE71" i="10" a="1"/>
  <c r="GE71" i="10" s="1"/>
  <c r="GE72" i="10" s="1"/>
  <c r="GH27" i="21" s="1"/>
  <c r="GS71" i="10" a="1"/>
  <c r="GS71" i="10" s="1"/>
  <c r="GS72" i="10" s="1"/>
  <c r="GV27" i="21" s="1"/>
  <c r="HG71" i="10" a="1"/>
  <c r="HG71" i="10" s="1"/>
  <c r="HG72" i="10" s="1"/>
  <c r="HJ27" i="21" s="1"/>
  <c r="IJ71" i="10" a="1"/>
  <c r="IJ71" i="10" s="1"/>
  <c r="IJ72" i="10" s="1"/>
  <c r="IM27" i="21" s="1"/>
  <c r="IX71" i="10" a="1"/>
  <c r="IX71" i="10" s="1"/>
  <c r="IX72" i="10" s="1"/>
  <c r="JA27" i="21" s="1"/>
  <c r="JL71" i="10" a="1"/>
  <c r="JL71" i="10" s="1"/>
  <c r="JL72" i="10" s="1"/>
  <c r="JO27" i="21" s="1"/>
  <c r="JZ71" i="10" a="1"/>
  <c r="JZ71" i="10" s="1"/>
  <c r="JZ72" i="10" s="1"/>
  <c r="KC27" i="21" s="1"/>
  <c r="Q71" i="10" a="1"/>
  <c r="Q71" i="10" s="1"/>
  <c r="Q72" i="10" s="1"/>
  <c r="T27" i="21" s="1"/>
  <c r="AE71" i="10" a="1"/>
  <c r="AE71" i="10" s="1"/>
  <c r="AE72" i="10" s="1"/>
  <c r="AH27" i="21" s="1"/>
  <c r="BH71" i="10" a="1"/>
  <c r="BH71" i="10" s="1"/>
  <c r="BH72" i="10" s="1"/>
  <c r="BK27" i="21" s="1"/>
  <c r="BV71" i="10" a="1"/>
  <c r="BV71" i="10" s="1"/>
  <c r="BV72" i="10" s="1"/>
  <c r="BY27" i="21" s="1"/>
  <c r="CJ71" i="10" a="1"/>
  <c r="CJ71" i="10" s="1"/>
  <c r="CJ72" i="10" s="1"/>
  <c r="CM27" i="21" s="1"/>
  <c r="CX71" i="10" a="1"/>
  <c r="CX71" i="10" s="1"/>
  <c r="CX72" i="10" s="1"/>
  <c r="DA27" i="21" s="1"/>
  <c r="DM71" i="10" a="1"/>
  <c r="DM71" i="10" s="1"/>
  <c r="DM72" i="10" s="1"/>
  <c r="DP27" i="21" s="1"/>
  <c r="EA71" i="10" a="1"/>
  <c r="EA71" i="10" s="1"/>
  <c r="EA72" i="10" s="1"/>
  <c r="ED27" i="21" s="1"/>
  <c r="EO71" i="10" a="1"/>
  <c r="EO71" i="10" s="1"/>
  <c r="EO72" i="10" s="1"/>
  <c r="ER27" i="21" s="1"/>
  <c r="FC71" i="10" a="1"/>
  <c r="FC71" i="10" s="1"/>
  <c r="FC72" i="10" s="1"/>
  <c r="FF27" i="21" s="1"/>
  <c r="GF71" i="10" a="1"/>
  <c r="GF71" i="10" s="1"/>
  <c r="GF72" i="10" s="1"/>
  <c r="GI27" i="21" s="1"/>
  <c r="GT71" i="10" a="1"/>
  <c r="GT71" i="10" s="1"/>
  <c r="GT72" i="10" s="1"/>
  <c r="GW27" i="21" s="1"/>
  <c r="HH71" i="10" a="1"/>
  <c r="HH71" i="10" s="1"/>
  <c r="HH72" i="10" s="1"/>
  <c r="HK27" i="21" s="1"/>
  <c r="HV71" i="10" a="1"/>
  <c r="HV71" i="10" s="1"/>
  <c r="HV72" i="10" s="1"/>
  <c r="HY27" i="21" s="1"/>
  <c r="IK71" i="10" a="1"/>
  <c r="IK71" i="10" s="1"/>
  <c r="IK72" i="10" s="1"/>
  <c r="IN27" i="21" s="1"/>
  <c r="IY71" i="10" a="1"/>
  <c r="IY71" i="10" s="1"/>
  <c r="IY72" i="10" s="1"/>
  <c r="JB27" i="21" s="1"/>
  <c r="JM71" i="10" a="1"/>
  <c r="JM71" i="10" s="1"/>
  <c r="JM72" i="10" s="1"/>
  <c r="JP27" i="21" s="1"/>
  <c r="KA71" i="10" a="1"/>
  <c r="KA71" i="10" s="1"/>
  <c r="KA72" i="10" s="1"/>
  <c r="KD27" i="21" s="1"/>
  <c r="R71" i="10" a="1"/>
  <c r="R71" i="10" s="1"/>
  <c r="R72" i="10" s="1"/>
  <c r="U27" i="21" s="1"/>
  <c r="AF71" i="10" a="1"/>
  <c r="AF71" i="10" s="1"/>
  <c r="AF72" i="10" s="1"/>
  <c r="AI27" i="21" s="1"/>
  <c r="AT71" i="10" a="1"/>
  <c r="AT71" i="10" s="1"/>
  <c r="AT72" i="10" s="1"/>
  <c r="AW27" i="21" s="1"/>
  <c r="BI71" i="10" a="1"/>
  <c r="BI71" i="10" s="1"/>
  <c r="BI72" i="10" s="1"/>
  <c r="BL27" i="21" s="1"/>
  <c r="BW71" i="10" a="1"/>
  <c r="BW71" i="10" s="1"/>
  <c r="BW72" i="10" s="1"/>
  <c r="BZ27" i="21" s="1"/>
  <c r="CK71" i="10" a="1"/>
  <c r="CK71" i="10" s="1"/>
  <c r="CK72" i="10" s="1"/>
  <c r="CN27" i="21" s="1"/>
  <c r="CY71" i="10" a="1"/>
  <c r="CY71" i="10" s="1"/>
  <c r="CY72" i="10" s="1"/>
  <c r="DB27" i="21" s="1"/>
  <c r="EB71" i="10" a="1"/>
  <c r="EB71" i="10" s="1"/>
  <c r="EB72" i="10" s="1"/>
  <c r="EE27" i="21" s="1"/>
  <c r="EP71" i="10" a="1"/>
  <c r="EP71" i="10" s="1"/>
  <c r="EP72" i="10" s="1"/>
  <c r="ES27" i="21" s="1"/>
  <c r="FD71" i="10" a="1"/>
  <c r="FD71" i="10" s="1"/>
  <c r="FD72" i="10" s="1"/>
  <c r="FG27" i="21" s="1"/>
  <c r="FR71" i="10" a="1"/>
  <c r="FR71" i="10" s="1"/>
  <c r="FR72" i="10" s="1"/>
  <c r="FU27" i="21" s="1"/>
  <c r="GG71" i="10" a="1"/>
  <c r="GG71" i="10" s="1"/>
  <c r="GG72" i="10" s="1"/>
  <c r="GJ27" i="21" s="1"/>
  <c r="GU71" i="10" a="1"/>
  <c r="GU71" i="10" s="1"/>
  <c r="GU72" i="10" s="1"/>
  <c r="GX27" i="21" s="1"/>
  <c r="HI71" i="10" a="1"/>
  <c r="HI71" i="10" s="1"/>
  <c r="HI72" i="10" s="1"/>
  <c r="HL27" i="21" s="1"/>
  <c r="HW71" i="10" a="1"/>
  <c r="HW71" i="10" s="1"/>
  <c r="HW72" i="10" s="1"/>
  <c r="HZ27" i="21" s="1"/>
  <c r="IZ71" i="10" a="1"/>
  <c r="IZ71" i="10" s="1"/>
  <c r="IZ72" i="10" s="1"/>
  <c r="JC27" i="21" s="1"/>
  <c r="JN71" i="10" a="1"/>
  <c r="JN71" i="10" s="1"/>
  <c r="JN72" i="10" s="1"/>
  <c r="JQ27" i="21" s="1"/>
  <c r="KB71" i="10" a="1"/>
  <c r="KB71" i="10" s="1"/>
  <c r="KB72" i="10" s="1"/>
  <c r="KE27" i="21" s="1"/>
  <c r="S71" i="10" a="1"/>
  <c r="S71" i="10" s="1"/>
  <c r="S72" i="10" s="1"/>
  <c r="V27" i="21" s="1"/>
  <c r="AG71" i="10" a="1"/>
  <c r="AG71" i="10" s="1"/>
  <c r="AG72" i="10" s="1"/>
  <c r="AJ27" i="21" s="1"/>
  <c r="AU71" i="10" a="1"/>
  <c r="AU71" i="10" s="1"/>
  <c r="AU72" i="10" s="1"/>
  <c r="AX27" i="21" s="1"/>
  <c r="BX71" i="10" a="1"/>
  <c r="BX71" i="10" s="1"/>
  <c r="BX72" i="10" s="1"/>
  <c r="CA27" i="21" s="1"/>
  <c r="CL71" i="10" a="1"/>
  <c r="CL71" i="10" s="1"/>
  <c r="CL72" i="10" s="1"/>
  <c r="CO27" i="21" s="1"/>
  <c r="CZ71" i="10" a="1"/>
  <c r="CZ71" i="10" s="1"/>
  <c r="CZ72" i="10" s="1"/>
  <c r="DC27" i="21" s="1"/>
  <c r="DN71" i="10" a="1"/>
  <c r="DN71" i="10" s="1"/>
  <c r="DN72" i="10" s="1"/>
  <c r="DQ27" i="21" s="1"/>
  <c r="EC71" i="10" a="1"/>
  <c r="EC71" i="10" s="1"/>
  <c r="EC72" i="10" s="1"/>
  <c r="EF27" i="21" s="1"/>
  <c r="EQ71" i="10" a="1"/>
  <c r="EQ71" i="10" s="1"/>
  <c r="EQ72" i="10" s="1"/>
  <c r="ET27" i="21" s="1"/>
  <c r="FE71" i="10" a="1"/>
  <c r="FE71" i="10" s="1"/>
  <c r="FE72" i="10" s="1"/>
  <c r="FH27" i="21" s="1"/>
  <c r="FS71" i="10" a="1"/>
  <c r="FS71" i="10" s="1"/>
  <c r="FS72" i="10" s="1"/>
  <c r="FV27" i="21" s="1"/>
  <c r="GV71" i="10" a="1"/>
  <c r="GV71" i="10" s="1"/>
  <c r="GV72" i="10" s="1"/>
  <c r="GY27" i="21" s="1"/>
  <c r="HJ71" i="10" a="1"/>
  <c r="HJ71" i="10" s="1"/>
  <c r="HJ72" i="10" s="1"/>
  <c r="HM27" i="21" s="1"/>
  <c r="HX71" i="10" a="1"/>
  <c r="HX71" i="10" s="1"/>
  <c r="HX72" i="10" s="1"/>
  <c r="IA27" i="21" s="1"/>
  <c r="IL71" i="10" a="1"/>
  <c r="IL71" i="10" s="1"/>
  <c r="IL72" i="10" s="1"/>
  <c r="IO27" i="21" s="1"/>
  <c r="JA71" i="10" a="1"/>
  <c r="JA71" i="10" s="1"/>
  <c r="JA72" i="10" s="1"/>
  <c r="JD27" i="21" s="1"/>
  <c r="JO71" i="10" a="1"/>
  <c r="JO71" i="10" s="1"/>
  <c r="JO72" i="10" s="1"/>
  <c r="JR27" i="21" s="1"/>
  <c r="KC71" i="10" a="1"/>
  <c r="KC71" i="10" s="1"/>
  <c r="KC72" i="10" s="1"/>
  <c r="KF27" i="21" s="1"/>
  <c r="T71" i="10" a="1"/>
  <c r="T71" i="10" s="1"/>
  <c r="T72" i="10" s="1"/>
  <c r="W27" i="21" s="1"/>
  <c r="AH71" i="10" a="1"/>
  <c r="AH71" i="10" s="1"/>
  <c r="AH72" i="10" s="1"/>
  <c r="AK27" i="21" s="1"/>
  <c r="AV71" i="10" a="1"/>
  <c r="AV71" i="10" s="1"/>
  <c r="AV72" i="10" s="1"/>
  <c r="AY27" i="21" s="1"/>
  <c r="BJ71" i="10" a="1"/>
  <c r="BJ71" i="10" s="1"/>
  <c r="BJ72" i="10" s="1"/>
  <c r="BM27" i="21" s="1"/>
  <c r="BY71" i="10" a="1"/>
  <c r="BY71" i="10" s="1"/>
  <c r="BY72" i="10" s="1"/>
  <c r="CB27" i="21" s="1"/>
  <c r="CM71" i="10" a="1"/>
  <c r="CM71" i="10" s="1"/>
  <c r="CM72" i="10" s="1"/>
  <c r="CP27" i="21" s="1"/>
  <c r="DA71" i="10" a="1"/>
  <c r="DA71" i="10" s="1"/>
  <c r="DA72" i="10" s="1"/>
  <c r="DD27" i="21" s="1"/>
  <c r="DO71" i="10" a="1"/>
  <c r="DO71" i="10" s="1"/>
  <c r="DO72" i="10" s="1"/>
  <c r="DR27" i="21" s="1"/>
  <c r="ER71" i="10" a="1"/>
  <c r="ER71" i="10" s="1"/>
  <c r="ER72" i="10" s="1"/>
  <c r="EU27" i="21" s="1"/>
  <c r="FF71" i="10" a="1"/>
  <c r="FF71" i="10" s="1"/>
  <c r="FF72" i="10" s="1"/>
  <c r="FI27" i="21" s="1"/>
  <c r="FT71" i="10" a="1"/>
  <c r="FT71" i="10" s="1"/>
  <c r="FT72" i="10" s="1"/>
  <c r="FW27" i="21" s="1"/>
  <c r="GH71" i="10" a="1"/>
  <c r="GH71" i="10" s="1"/>
  <c r="GH72" i="10" s="1"/>
  <c r="GK27" i="21" s="1"/>
  <c r="GW71" i="10" a="1"/>
  <c r="GW71" i="10" s="1"/>
  <c r="GW72" i="10" s="1"/>
  <c r="GZ27" i="21" s="1"/>
  <c r="HK71" i="10" a="1"/>
  <c r="HK71" i="10" s="1"/>
  <c r="HK72" i="10" s="1"/>
  <c r="HN27" i="21" s="1"/>
  <c r="HY71" i="10" a="1"/>
  <c r="HY71" i="10" s="1"/>
  <c r="HY72" i="10" s="1"/>
  <c r="IB27" i="21" s="1"/>
  <c r="IM71" i="10" a="1"/>
  <c r="IM71" i="10" s="1"/>
  <c r="IM72" i="10" s="1"/>
  <c r="IP27" i="21" s="1"/>
  <c r="JP71" i="10" a="1"/>
  <c r="JP71" i="10" s="1"/>
  <c r="JP72" i="10" s="1"/>
  <c r="JS27" i="21" s="1"/>
  <c r="KD71" i="10" a="1"/>
  <c r="KD71" i="10" s="1"/>
  <c r="KD72" i="10" s="1"/>
  <c r="KG27" i="21" s="1"/>
  <c r="U71" i="10" a="1"/>
  <c r="U71" i="10" s="1"/>
  <c r="U72" i="10" s="1"/>
  <c r="X27" i="21" s="1"/>
  <c r="AI71" i="10" a="1"/>
  <c r="AI71" i="10" s="1"/>
  <c r="AI72" i="10" s="1"/>
  <c r="AL27" i="21" s="1"/>
  <c r="AW71" i="10" a="1"/>
  <c r="AW71" i="10" s="1"/>
  <c r="AW72" i="10" s="1"/>
  <c r="AZ27" i="21" s="1"/>
  <c r="BK71" i="10" a="1"/>
  <c r="BK71" i="10" s="1"/>
  <c r="BK72" i="10" s="1"/>
  <c r="BN27" i="21" s="1"/>
  <c r="CN71" i="10" a="1"/>
  <c r="CN71" i="10" s="1"/>
  <c r="CN72" i="10" s="1"/>
  <c r="CQ27" i="21" s="1"/>
  <c r="DB71" i="10" a="1"/>
  <c r="DB71" i="10" s="1"/>
  <c r="DB72" i="10" s="1"/>
  <c r="DE27" i="21" s="1"/>
  <c r="DP71" i="10" a="1"/>
  <c r="DP71" i="10" s="1"/>
  <c r="DP72" i="10" s="1"/>
  <c r="DS27" i="21" s="1"/>
  <c r="ED71" i="10" a="1"/>
  <c r="ED71" i="10" s="1"/>
  <c r="ED72" i="10" s="1"/>
  <c r="EG27" i="21" s="1"/>
  <c r="ES71" i="10" a="1"/>
  <c r="ES71" i="10" s="1"/>
  <c r="ES72" i="10" s="1"/>
  <c r="EV27" i="21" s="1"/>
  <c r="FG71" i="10" a="1"/>
  <c r="FG71" i="10" s="1"/>
  <c r="FG72" i="10" s="1"/>
  <c r="FJ27" i="21" s="1"/>
  <c r="FU71" i="10" a="1"/>
  <c r="FU71" i="10" s="1"/>
  <c r="FU72" i="10" s="1"/>
  <c r="FX27" i="21" s="1"/>
  <c r="GI71" i="10" a="1"/>
  <c r="GI71" i="10" s="1"/>
  <c r="GI72" i="10" s="1"/>
  <c r="GL27" i="21" s="1"/>
  <c r="HL71" i="10" a="1"/>
  <c r="HL71" i="10" s="1"/>
  <c r="HL72" i="10" s="1"/>
  <c r="HO27" i="21" s="1"/>
  <c r="HZ71" i="10" a="1"/>
  <c r="HZ71" i="10" s="1"/>
  <c r="HZ72" i="10" s="1"/>
  <c r="IC27" i="21" s="1"/>
  <c r="IN71" i="10" a="1"/>
  <c r="IN71" i="10" s="1"/>
  <c r="IN72" i="10" s="1"/>
  <c r="IQ27" i="21" s="1"/>
  <c r="JB71" i="10" a="1"/>
  <c r="JB71" i="10" s="1"/>
  <c r="JB72" i="10" s="1"/>
  <c r="JE27" i="21" s="1"/>
  <c r="JQ71" i="10" a="1"/>
  <c r="JQ71" i="10" s="1"/>
  <c r="JQ72" i="10" s="1"/>
  <c r="JT27" i="21" s="1"/>
  <c r="KE71" i="10" a="1"/>
  <c r="KE71" i="10" s="1"/>
  <c r="KE72" i="10" s="1"/>
  <c r="KH27" i="21" s="1"/>
  <c r="AJ71" i="10" a="1"/>
  <c r="AJ71" i="10" s="1"/>
  <c r="AJ72" i="10" s="1"/>
  <c r="AM27" i="21" s="1"/>
  <c r="AX71" i="10" a="1"/>
  <c r="AX71" i="10" s="1"/>
  <c r="AX72" i="10" s="1"/>
  <c r="BA27" i="21" s="1"/>
  <c r="BL71" i="10" a="1"/>
  <c r="BL71" i="10" s="1"/>
  <c r="BL72" i="10" s="1"/>
  <c r="BO27" i="21" s="1"/>
  <c r="BZ71" i="10" a="1"/>
  <c r="BZ71" i="10" s="1"/>
  <c r="BZ72" i="10" s="1"/>
  <c r="CC27" i="21" s="1"/>
  <c r="CO71" i="10" a="1"/>
  <c r="CO71" i="10" s="1"/>
  <c r="CO72" i="10" s="1"/>
  <c r="CR27" i="21" s="1"/>
  <c r="DC71" i="10" a="1"/>
  <c r="DC71" i="10" s="1"/>
  <c r="DC72" i="10" s="1"/>
  <c r="DF27" i="21" s="1"/>
  <c r="DQ71" i="10" a="1"/>
  <c r="DQ71" i="10" s="1"/>
  <c r="DQ72" i="10" s="1"/>
  <c r="DT27" i="21" s="1"/>
  <c r="EE71" i="10" a="1"/>
  <c r="EE71" i="10" s="1"/>
  <c r="EE72" i="10" s="1"/>
  <c r="EH27" i="21" s="1"/>
  <c r="FH71" i="10" a="1"/>
  <c r="FH71" i="10" s="1"/>
  <c r="FH72" i="10" s="1"/>
  <c r="FK27" i="21" s="1"/>
  <c r="FV71" i="10" a="1"/>
  <c r="FV71" i="10" s="1"/>
  <c r="FV72" i="10" s="1"/>
  <c r="FY27" i="21" s="1"/>
  <c r="GJ71" i="10" a="1"/>
  <c r="GJ71" i="10" s="1"/>
  <c r="GJ72" i="10" s="1"/>
  <c r="GM27" i="21" s="1"/>
  <c r="GX71" i="10" a="1"/>
  <c r="GX71" i="10" s="1"/>
  <c r="GX72" i="10" s="1"/>
  <c r="HA27" i="21" s="1"/>
  <c r="HM71" i="10" a="1"/>
  <c r="HM71" i="10" s="1"/>
  <c r="HM72" i="10" s="1"/>
  <c r="HP27" i="21" s="1"/>
  <c r="IA71" i="10" a="1"/>
  <c r="IA71" i="10" s="1"/>
  <c r="IA72" i="10" s="1"/>
  <c r="ID27" i="21" s="1"/>
  <c r="IO71" i="10" a="1"/>
  <c r="IO71" i="10" s="1"/>
  <c r="IO72" i="10" s="1"/>
  <c r="IR27" i="21" s="1"/>
  <c r="JC71" i="10" a="1"/>
  <c r="JC71" i="10" s="1"/>
  <c r="JC72" i="10" s="1"/>
  <c r="JF27" i="21" s="1"/>
  <c r="AH119" i="10" a="1"/>
  <c r="AH119" i="10" s="1"/>
  <c r="AH120" i="10" s="1"/>
  <c r="AK38" i="21" s="1"/>
  <c r="KD119" i="10" a="1"/>
  <c r="KD119" i="10" s="1"/>
  <c r="KD120" i="10" s="1"/>
  <c r="KG38" i="21" s="1"/>
  <c r="JD103" i="10" a="1"/>
  <c r="JD103" i="10" s="1"/>
  <c r="JD104" i="10" s="1"/>
  <c r="JG36" i="21" s="1"/>
  <c r="IR87" i="10" a="1"/>
  <c r="IR87" i="10" s="1"/>
  <c r="IR88" i="10" s="1"/>
  <c r="IU35" i="21" s="1"/>
  <c r="AV119" i="10" a="1"/>
  <c r="AV119" i="10" s="1"/>
  <c r="AV120" i="10" s="1"/>
  <c r="AY38" i="21" s="1"/>
  <c r="V103" i="10" a="1"/>
  <c r="V103" i="10" s="1"/>
  <c r="V104" i="10" s="1"/>
  <c r="Y36" i="21" s="1"/>
  <c r="JR103" i="10" a="1"/>
  <c r="JR103" i="10" s="1"/>
  <c r="JR104" i="10" s="1"/>
  <c r="JU36" i="21" s="1"/>
  <c r="FS135" i="10" a="1"/>
  <c r="FS135" i="10" s="1"/>
  <c r="BJ119" i="10" a="1"/>
  <c r="BJ119" i="10" s="1"/>
  <c r="BJ120" i="10" s="1"/>
  <c r="BM38" i="21" s="1"/>
  <c r="AK103" i="10" a="1"/>
  <c r="AK103" i="10" s="1"/>
  <c r="AK104" i="10" s="1"/>
  <c r="AN36" i="21" s="1"/>
  <c r="K87" i="10" a="1"/>
  <c r="K87" i="10" s="1"/>
  <c r="K88" i="10" s="1"/>
  <c r="N35" i="21" s="1"/>
  <c r="BY119" i="10" a="1"/>
  <c r="BY119" i="10" s="1"/>
  <c r="BY120" i="10" s="1"/>
  <c r="CB38" i="21" s="1"/>
  <c r="AY103" i="10" a="1"/>
  <c r="AY103" i="10" s="1"/>
  <c r="AY104" i="10" s="1"/>
  <c r="BB36" i="21" s="1"/>
  <c r="Y87" i="10" a="1"/>
  <c r="Y87" i="10" s="1"/>
  <c r="Y88" i="10" s="1"/>
  <c r="AB35" i="21" s="1"/>
  <c r="CM119" i="10" a="1"/>
  <c r="CM119" i="10" s="1"/>
  <c r="CM120" i="10" s="1"/>
  <c r="CP38" i="21" s="1"/>
  <c r="BM103" i="10" a="1"/>
  <c r="BM103" i="10" s="1"/>
  <c r="BM104" i="10" s="1"/>
  <c r="BP36" i="21" s="1"/>
  <c r="AM87" i="10" a="1"/>
  <c r="AM87" i="10" s="1"/>
  <c r="AM88" i="10" s="1"/>
  <c r="AP35" i="21" s="1"/>
  <c r="DA119" i="10" a="1"/>
  <c r="DA119" i="10" s="1"/>
  <c r="DA120" i="10" s="1"/>
  <c r="DD38" i="21" s="1"/>
  <c r="CA103" i="10" a="1"/>
  <c r="CA103" i="10" s="1"/>
  <c r="CA104" i="10" s="1"/>
  <c r="CD36" i="21" s="1"/>
  <c r="BP87" i="10" a="1"/>
  <c r="BP87" i="10" s="1"/>
  <c r="BP88" i="10" s="1"/>
  <c r="BS35" i="21" s="1"/>
  <c r="DO119" i="10" a="1"/>
  <c r="DO119" i="10" s="1"/>
  <c r="DO120" i="10" s="1"/>
  <c r="DR38" i="21" s="1"/>
  <c r="DD103" i="10" a="1"/>
  <c r="DD103" i="10" s="1"/>
  <c r="DD104" i="10" s="1"/>
  <c r="DG36" i="21" s="1"/>
  <c r="CD87" i="10" a="1"/>
  <c r="CD87" i="10" s="1"/>
  <c r="CD88" i="10" s="1"/>
  <c r="CG35" i="21" s="1"/>
  <c r="ER119" i="10" a="1"/>
  <c r="ER119" i="10" s="1"/>
  <c r="ER120" i="10" s="1"/>
  <c r="EU38" i="21" s="1"/>
  <c r="DR103" i="10" a="1"/>
  <c r="DR103" i="10" s="1"/>
  <c r="DR104" i="10" s="1"/>
  <c r="DU36" i="21" s="1"/>
  <c r="CR87" i="10" a="1"/>
  <c r="CR87" i="10" s="1"/>
  <c r="CR88" i="10" s="1"/>
  <c r="CU35" i="21" s="1"/>
  <c r="FF119" i="10" a="1"/>
  <c r="FF119" i="10" s="1"/>
  <c r="FF120" i="10" s="1"/>
  <c r="FI38" i="21" s="1"/>
  <c r="EF103" i="10" a="1"/>
  <c r="EF103" i="10" s="1"/>
  <c r="EF104" i="10" s="1"/>
  <c r="EI36" i="21" s="1"/>
  <c r="DF87" i="10" a="1"/>
  <c r="DF87" i="10" s="1"/>
  <c r="DF88" i="10" s="1"/>
  <c r="DI35" i="21" s="1"/>
  <c r="FT119" i="10" a="1"/>
  <c r="FT119" i="10" s="1"/>
  <c r="FT120" i="10" s="1"/>
  <c r="FW38" i="21" s="1"/>
  <c r="ET103" i="10" a="1"/>
  <c r="ET103" i="10" s="1"/>
  <c r="ET104" i="10" s="1"/>
  <c r="EW36" i="21" s="1"/>
  <c r="DU87" i="10" a="1"/>
  <c r="DU87" i="10" s="1"/>
  <c r="DU88" i="10" s="1"/>
  <c r="DX35" i="21" s="1"/>
  <c r="GH119" i="10" a="1"/>
  <c r="GH119" i="10" s="1"/>
  <c r="GH120" i="10" s="1"/>
  <c r="GK38" i="21" s="1"/>
  <c r="FI103" i="10" a="1"/>
  <c r="FI103" i="10" s="1"/>
  <c r="FI104" i="10" s="1"/>
  <c r="FL36" i="21" s="1"/>
  <c r="EI87" i="10" a="1"/>
  <c r="EI87" i="10" s="1"/>
  <c r="EI88" i="10" s="1"/>
  <c r="EL35" i="21" s="1"/>
  <c r="GW119" i="10" a="1"/>
  <c r="GW119" i="10" s="1"/>
  <c r="GW120" i="10" s="1"/>
  <c r="GZ38" i="21" s="1"/>
  <c r="FW103" i="10" a="1"/>
  <c r="FW103" i="10" s="1"/>
  <c r="FW104" i="10" s="1"/>
  <c r="FZ36" i="21" s="1"/>
  <c r="EW87" i="10" a="1"/>
  <c r="EW87" i="10" s="1"/>
  <c r="EW88" i="10" s="1"/>
  <c r="EZ35" i="21" s="1"/>
  <c r="HK119" i="10" a="1"/>
  <c r="HK119" i="10" s="1"/>
  <c r="HK120" i="10" s="1"/>
  <c r="HN38" i="21" s="1"/>
  <c r="GK103" i="10" a="1"/>
  <c r="GK103" i="10" s="1"/>
  <c r="GK104" i="10" s="1"/>
  <c r="GN36" i="21" s="1"/>
  <c r="FK87" i="10" a="1"/>
  <c r="FK87" i="10" s="1"/>
  <c r="FK88" i="10" s="1"/>
  <c r="FN35" i="21" s="1"/>
  <c r="HY119" i="10" a="1"/>
  <c r="HY119" i="10" s="1"/>
  <c r="HY120" i="10" s="1"/>
  <c r="IB38" i="21" s="1"/>
  <c r="GY103" i="10" a="1"/>
  <c r="GY103" i="10" s="1"/>
  <c r="GY104" i="10" s="1"/>
  <c r="HB36" i="21" s="1"/>
  <c r="GM87" i="10" a="1"/>
  <c r="GM87" i="10" s="1"/>
  <c r="GM88" i="10" s="1"/>
  <c r="GP35" i="21" s="1"/>
  <c r="IM119" i="10" a="1"/>
  <c r="IM119" i="10" s="1"/>
  <c r="IM120" i="10" s="1"/>
  <c r="IP38" i="21" s="1"/>
  <c r="IB103" i="10" a="1"/>
  <c r="IB103" i="10" s="1"/>
  <c r="IB104" i="10" s="1"/>
  <c r="IE36" i="21" s="1"/>
  <c r="GZ87" i="10" a="1"/>
  <c r="GZ87" i="10" s="1"/>
  <c r="GZ88" i="10" s="1"/>
  <c r="HC35" i="21" s="1"/>
  <c r="T119" i="10" a="1"/>
  <c r="T119" i="10" s="1"/>
  <c r="T120" i="10" s="1"/>
  <c r="W38" i="21" s="1"/>
  <c r="JP119" i="10" a="1"/>
  <c r="JP119" i="10" s="1"/>
  <c r="JP120" i="10" s="1"/>
  <c r="JS38" i="21" s="1"/>
  <c r="IP103" i="10" a="1"/>
  <c r="IP103" i="10" s="1"/>
  <c r="IP104" i="10" s="1"/>
  <c r="IS36" i="21" s="1"/>
  <c r="HM87" i="10" a="1"/>
  <c r="HM87" i="10" s="1"/>
  <c r="HM88" i="10" s="1"/>
  <c r="HP35" i="21" s="1"/>
  <c r="S119" i="10" a="1"/>
  <c r="S119" i="10" s="1"/>
  <c r="S120" i="10" s="1"/>
  <c r="V38" i="21" s="1"/>
  <c r="AG119" i="10" a="1"/>
  <c r="AG119" i="10" s="1"/>
  <c r="AG120" i="10" s="1"/>
  <c r="AJ38" i="21" s="1"/>
  <c r="AU119" i="10" a="1"/>
  <c r="AU119" i="10" s="1"/>
  <c r="AU120" i="10" s="1"/>
  <c r="AX38" i="21" s="1"/>
  <c r="BX119" i="10" a="1"/>
  <c r="BX119" i="10" s="1"/>
  <c r="BX120" i="10" s="1"/>
  <c r="CA38" i="21" s="1"/>
  <c r="CL119" i="10" a="1"/>
  <c r="CL119" i="10" s="1"/>
  <c r="CL120" i="10" s="1"/>
  <c r="CO38" i="21" s="1"/>
  <c r="CZ119" i="10" a="1"/>
  <c r="CZ119" i="10" s="1"/>
  <c r="CZ120" i="10" s="1"/>
  <c r="DC38" i="21" s="1"/>
  <c r="DN119" i="10" a="1"/>
  <c r="DN119" i="10" s="1"/>
  <c r="DN120" i="10" s="1"/>
  <c r="DQ38" i="21" s="1"/>
  <c r="EC119" i="10" a="1"/>
  <c r="EC119" i="10" s="1"/>
  <c r="EC120" i="10" s="1"/>
  <c r="EF38" i="21" s="1"/>
  <c r="EQ119" i="10" a="1"/>
  <c r="EQ119" i="10" s="1"/>
  <c r="EQ120" i="10" s="1"/>
  <c r="ET38" i="21" s="1"/>
  <c r="FE119" i="10" a="1"/>
  <c r="FE119" i="10" s="1"/>
  <c r="FE120" i="10" s="1"/>
  <c r="FH38" i="21" s="1"/>
  <c r="FS119" i="10" a="1"/>
  <c r="FS119" i="10" s="1"/>
  <c r="FS120" i="10" s="1"/>
  <c r="FV38" i="21" s="1"/>
  <c r="GV119" i="10" a="1"/>
  <c r="GV119" i="10" s="1"/>
  <c r="GV120" i="10" s="1"/>
  <c r="GY38" i="21" s="1"/>
  <c r="HJ119" i="10" a="1"/>
  <c r="HJ119" i="10" s="1"/>
  <c r="HJ120" i="10" s="1"/>
  <c r="HM38" i="21" s="1"/>
  <c r="HX119" i="10" a="1"/>
  <c r="HX119" i="10" s="1"/>
  <c r="HX120" i="10" s="1"/>
  <c r="IA38" i="21" s="1"/>
  <c r="IL119" i="10" a="1"/>
  <c r="IL119" i="10" s="1"/>
  <c r="IL120" i="10" s="1"/>
  <c r="IO38" i="21" s="1"/>
  <c r="JA119" i="10" a="1"/>
  <c r="JA119" i="10" s="1"/>
  <c r="JA120" i="10" s="1"/>
  <c r="JD38" i="21" s="1"/>
  <c r="JO119" i="10" a="1"/>
  <c r="JO119" i="10" s="1"/>
  <c r="JO120" i="10" s="1"/>
  <c r="JR38" i="21" s="1"/>
  <c r="KC119" i="10" a="1"/>
  <c r="KC119" i="10" s="1"/>
  <c r="KC120" i="10" s="1"/>
  <c r="KF38" i="21" s="1"/>
  <c r="AJ103" i="10" a="1"/>
  <c r="AJ103" i="10" s="1"/>
  <c r="AJ104" i="10" s="1"/>
  <c r="AM36" i="21" s="1"/>
  <c r="AX103" i="10" a="1"/>
  <c r="AX103" i="10" s="1"/>
  <c r="AX104" i="10" s="1"/>
  <c r="BA36" i="21" s="1"/>
  <c r="BL103" i="10" a="1"/>
  <c r="BL103" i="10" s="1"/>
  <c r="BL104" i="10" s="1"/>
  <c r="BO36" i="21" s="1"/>
  <c r="BZ103" i="10" a="1"/>
  <c r="BZ103" i="10" s="1"/>
  <c r="BZ104" i="10" s="1"/>
  <c r="CC36" i="21" s="1"/>
  <c r="CO103" i="10" a="1"/>
  <c r="CO103" i="10" s="1"/>
  <c r="CO104" i="10" s="1"/>
  <c r="CR36" i="21" s="1"/>
  <c r="DC103" i="10" a="1"/>
  <c r="DC103" i="10" s="1"/>
  <c r="DC104" i="10" s="1"/>
  <c r="DF36" i="21" s="1"/>
  <c r="DQ103" i="10" a="1"/>
  <c r="DQ103" i="10" s="1"/>
  <c r="DQ104" i="10" s="1"/>
  <c r="DT36" i="21" s="1"/>
  <c r="EE103" i="10" a="1"/>
  <c r="EE103" i="10" s="1"/>
  <c r="EE104" i="10" s="1"/>
  <c r="EH36" i="21" s="1"/>
  <c r="FH103" i="10" a="1"/>
  <c r="FH103" i="10" s="1"/>
  <c r="FH104" i="10" s="1"/>
  <c r="FK36" i="21" s="1"/>
  <c r="FV103" i="10" a="1"/>
  <c r="FV103" i="10" s="1"/>
  <c r="FV104" i="10" s="1"/>
  <c r="FY36" i="21" s="1"/>
  <c r="GJ103" i="10" a="1"/>
  <c r="GJ103" i="10" s="1"/>
  <c r="GJ104" i="10" s="1"/>
  <c r="GM36" i="21" s="1"/>
  <c r="GX103" i="10" a="1"/>
  <c r="GX103" i="10" s="1"/>
  <c r="GX104" i="10" s="1"/>
  <c r="HA36" i="21" s="1"/>
  <c r="HM103" i="10" a="1"/>
  <c r="HM103" i="10" s="1"/>
  <c r="HM104" i="10" s="1"/>
  <c r="HP36" i="21" s="1"/>
  <c r="IA103" i="10" a="1"/>
  <c r="IA103" i="10" s="1"/>
  <c r="IA104" i="10" s="1"/>
  <c r="ID36" i="21" s="1"/>
  <c r="IO103" i="10" a="1"/>
  <c r="IO103" i="10" s="1"/>
  <c r="IO104" i="10" s="1"/>
  <c r="IR36" i="21" s="1"/>
  <c r="JC103" i="10" a="1"/>
  <c r="JC103" i="10" s="1"/>
  <c r="JC104" i="10" s="1"/>
  <c r="JF36" i="21" s="1"/>
  <c r="KF103" i="10" a="1"/>
  <c r="KF103" i="10" s="1"/>
  <c r="KF104" i="10" s="1"/>
  <c r="KI36" i="21" s="1"/>
  <c r="X87" i="10" a="1"/>
  <c r="X87" i="10" s="1"/>
  <c r="X88" i="10" s="1"/>
  <c r="AA35" i="21" s="1"/>
  <c r="AL87" i="10" a="1"/>
  <c r="AL87" i="10" s="1"/>
  <c r="AL88" i="10" s="1"/>
  <c r="AO35" i="21" s="1"/>
  <c r="BA87" i="10" a="1"/>
  <c r="BA87" i="10" s="1"/>
  <c r="BA88" i="10" s="1"/>
  <c r="BD35" i="21" s="1"/>
  <c r="BO87" i="10" a="1"/>
  <c r="BO87" i="10" s="1"/>
  <c r="BO88" i="10" s="1"/>
  <c r="BR35" i="21" s="1"/>
  <c r="CC87" i="10" a="1"/>
  <c r="CC87" i="10" s="1"/>
  <c r="CC88" i="10" s="1"/>
  <c r="CF35" i="21" s="1"/>
  <c r="CQ87" i="10" a="1"/>
  <c r="CQ87" i="10" s="1"/>
  <c r="CQ88" i="10" s="1"/>
  <c r="CT35" i="21" s="1"/>
  <c r="DT87" i="10" a="1"/>
  <c r="DT87" i="10" s="1"/>
  <c r="DT88" i="10" s="1"/>
  <c r="DW35" i="21" s="1"/>
  <c r="EH87" i="10" a="1"/>
  <c r="EH87" i="10" s="1"/>
  <c r="EH88" i="10" s="1"/>
  <c r="EK35" i="21" s="1"/>
  <c r="EV87" i="10" a="1"/>
  <c r="EV87" i="10" s="1"/>
  <c r="EV88" i="10" s="1"/>
  <c r="EY35" i="21" s="1"/>
  <c r="FJ87" i="10" a="1"/>
  <c r="FJ87" i="10" s="1"/>
  <c r="FJ88" i="10" s="1"/>
  <c r="FM35" i="21" s="1"/>
  <c r="FY87" i="10" a="1"/>
  <c r="FY87" i="10" s="1"/>
  <c r="FY88" i="10" s="1"/>
  <c r="GB35" i="21" s="1"/>
  <c r="GY87" i="10" a="1"/>
  <c r="GY87" i="10" s="1"/>
  <c r="GY88" i="10" s="1"/>
  <c r="HB35" i="21" s="1"/>
  <c r="HL87" i="10" a="1"/>
  <c r="HL87" i="10" s="1"/>
  <c r="HL88" i="10" s="1"/>
  <c r="HO35" i="21" s="1"/>
  <c r="IE87" i="10" a="1"/>
  <c r="IE87" i="10" s="1"/>
  <c r="IE88" i="10" s="1"/>
  <c r="IH35" i="21" s="1"/>
  <c r="U119" i="10" a="1"/>
  <c r="U119" i="10" s="1"/>
  <c r="U120" i="10" s="1"/>
  <c r="X38" i="21" s="1"/>
  <c r="AI119" i="10" a="1"/>
  <c r="AI119" i="10" s="1"/>
  <c r="AI120" i="10" s="1"/>
  <c r="AL38" i="21" s="1"/>
  <c r="AW119" i="10" a="1"/>
  <c r="AW119" i="10" s="1"/>
  <c r="AW120" i="10" s="1"/>
  <c r="AZ38" i="21" s="1"/>
  <c r="BK119" i="10" a="1"/>
  <c r="BK119" i="10" s="1"/>
  <c r="BK120" i="10" s="1"/>
  <c r="BN38" i="21" s="1"/>
  <c r="CN119" i="10" a="1"/>
  <c r="CN119" i="10" s="1"/>
  <c r="CN120" i="10" s="1"/>
  <c r="CQ38" i="21" s="1"/>
  <c r="DB119" i="10" a="1"/>
  <c r="DB119" i="10" s="1"/>
  <c r="DB120" i="10" s="1"/>
  <c r="DE38" i="21" s="1"/>
  <c r="DP119" i="10" a="1"/>
  <c r="DP119" i="10" s="1"/>
  <c r="DP120" i="10" s="1"/>
  <c r="DS38" i="21" s="1"/>
  <c r="ED119" i="10" a="1"/>
  <c r="ED119" i="10" s="1"/>
  <c r="ED120" i="10" s="1"/>
  <c r="EG38" i="21" s="1"/>
  <c r="ES119" i="10" a="1"/>
  <c r="ES119" i="10" s="1"/>
  <c r="ES120" i="10" s="1"/>
  <c r="EV38" i="21" s="1"/>
  <c r="FG119" i="10" a="1"/>
  <c r="FG119" i="10" s="1"/>
  <c r="FG120" i="10" s="1"/>
  <c r="FJ38" i="21" s="1"/>
  <c r="FU119" i="10" a="1"/>
  <c r="FU119" i="10" s="1"/>
  <c r="FU120" i="10" s="1"/>
  <c r="FX38" i="21" s="1"/>
  <c r="GI119" i="10" a="1"/>
  <c r="GI119" i="10" s="1"/>
  <c r="GI120" i="10" s="1"/>
  <c r="GL38" i="21" s="1"/>
  <c r="HL119" i="10" a="1"/>
  <c r="HL119" i="10" s="1"/>
  <c r="HL120" i="10" s="1"/>
  <c r="HO38" i="21" s="1"/>
  <c r="HZ119" i="10" a="1"/>
  <c r="HZ119" i="10" s="1"/>
  <c r="HZ120" i="10" s="1"/>
  <c r="IC38" i="21" s="1"/>
  <c r="IN119" i="10" a="1"/>
  <c r="IN119" i="10" s="1"/>
  <c r="IN120" i="10" s="1"/>
  <c r="IQ38" i="21" s="1"/>
  <c r="JB119" i="10" a="1"/>
  <c r="JB119" i="10" s="1"/>
  <c r="JB120" i="10" s="1"/>
  <c r="JE38" i="21" s="1"/>
  <c r="JQ119" i="10" a="1"/>
  <c r="JQ119" i="10" s="1"/>
  <c r="JQ120" i="10" s="1"/>
  <c r="JT38" i="21" s="1"/>
  <c r="KE119" i="10" a="1"/>
  <c r="KE119" i="10" s="1"/>
  <c r="KE120" i="10" s="1"/>
  <c r="KH38" i="21" s="1"/>
  <c r="W103" i="10" a="1"/>
  <c r="W103" i="10" s="1"/>
  <c r="W104" i="10" s="1"/>
  <c r="Z36" i="21" s="1"/>
  <c r="AZ103" i="10" a="1"/>
  <c r="AZ103" i="10" s="1"/>
  <c r="AZ104" i="10" s="1"/>
  <c r="BC36" i="21" s="1"/>
  <c r="BN103" i="10" a="1"/>
  <c r="BN103" i="10" s="1"/>
  <c r="BN104" i="10" s="1"/>
  <c r="BQ36" i="21" s="1"/>
  <c r="CB103" i="10" a="1"/>
  <c r="CB103" i="10" s="1"/>
  <c r="CB104" i="10" s="1"/>
  <c r="CE36" i="21" s="1"/>
  <c r="CP103" i="10" a="1"/>
  <c r="CP103" i="10" s="1"/>
  <c r="CP104" i="10" s="1"/>
  <c r="CS36" i="21" s="1"/>
  <c r="DE103" i="10" a="1"/>
  <c r="DE103" i="10" s="1"/>
  <c r="DE104" i="10" s="1"/>
  <c r="DH36" i="21" s="1"/>
  <c r="DS103" i="10" a="1"/>
  <c r="DS103" i="10" s="1"/>
  <c r="DS104" i="10" s="1"/>
  <c r="DV36" i="21" s="1"/>
  <c r="EG103" i="10" a="1"/>
  <c r="EG103" i="10" s="1"/>
  <c r="EG104" i="10" s="1"/>
  <c r="EJ36" i="21" s="1"/>
  <c r="EU103" i="10" a="1"/>
  <c r="EU103" i="10" s="1"/>
  <c r="EU104" i="10" s="1"/>
  <c r="EX36" i="21" s="1"/>
  <c r="FX103" i="10" a="1"/>
  <c r="FX103" i="10" s="1"/>
  <c r="FX104" i="10" s="1"/>
  <c r="GA36" i="21" s="1"/>
  <c r="GL103" i="10" a="1"/>
  <c r="GL103" i="10" s="1"/>
  <c r="GL104" i="10" s="1"/>
  <c r="GO36" i="21" s="1"/>
  <c r="GZ103" i="10" a="1"/>
  <c r="GZ103" i="10" s="1"/>
  <c r="GZ104" i="10" s="1"/>
  <c r="HC36" i="21" s="1"/>
  <c r="HN103" i="10" a="1"/>
  <c r="HN103" i="10" s="1"/>
  <c r="HN104" i="10" s="1"/>
  <c r="HQ36" i="21" s="1"/>
  <c r="IC103" i="10" a="1"/>
  <c r="IC103" i="10" s="1"/>
  <c r="IC104" i="10" s="1"/>
  <c r="IF36" i="21" s="1"/>
  <c r="IQ103" i="10" a="1"/>
  <c r="IQ103" i="10" s="1"/>
  <c r="IQ104" i="10" s="1"/>
  <c r="IT36" i="21" s="1"/>
  <c r="JE103" i="10" a="1"/>
  <c r="JE103" i="10" s="1"/>
  <c r="JE104" i="10" s="1"/>
  <c r="JH36" i="21" s="1"/>
  <c r="JS103" i="10" a="1"/>
  <c r="JS103" i="10" s="1"/>
  <c r="JS104" i="10" s="1"/>
  <c r="JV36" i="21" s="1"/>
  <c r="L87" i="10" a="1"/>
  <c r="L87" i="10" s="1"/>
  <c r="L88" i="10" s="1"/>
  <c r="O35" i="21" s="1"/>
  <c r="Z87" i="10" a="1"/>
  <c r="Z87" i="10" s="1"/>
  <c r="Z88" i="10" s="1"/>
  <c r="AC35" i="21" s="1"/>
  <c r="AN87" i="10" a="1"/>
  <c r="AN87" i="10" s="1"/>
  <c r="AN88" i="10" s="1"/>
  <c r="AQ35" i="21" s="1"/>
  <c r="BB87" i="10" a="1"/>
  <c r="BB87" i="10" s="1"/>
  <c r="BB88" i="10" s="1"/>
  <c r="BE35" i="21" s="1"/>
  <c r="BQ87" i="10" a="1"/>
  <c r="BQ87" i="10" s="1"/>
  <c r="BQ88" i="10" s="1"/>
  <c r="BT35" i="21" s="1"/>
  <c r="CE87" i="10" a="1"/>
  <c r="CE87" i="10" s="1"/>
  <c r="CE88" i="10" s="1"/>
  <c r="CH35" i="21" s="1"/>
  <c r="CS87" i="10" a="1"/>
  <c r="CS87" i="10" s="1"/>
  <c r="CS88" i="10" s="1"/>
  <c r="CV35" i="21" s="1"/>
  <c r="DG87" i="10" a="1"/>
  <c r="DG87" i="10" s="1"/>
  <c r="DG88" i="10" s="1"/>
  <c r="DJ35" i="21" s="1"/>
  <c r="EJ87" i="10" a="1"/>
  <c r="EJ87" i="10" s="1"/>
  <c r="EJ88" i="10" s="1"/>
  <c r="EM35" i="21" s="1"/>
  <c r="EX87" i="10" a="1"/>
  <c r="EX87" i="10" s="1"/>
  <c r="EX88" i="10" s="1"/>
  <c r="FA35" i="21" s="1"/>
  <c r="FL87" i="10" a="1"/>
  <c r="FL87" i="10" s="1"/>
  <c r="FL88" i="10" s="1"/>
  <c r="FO35" i="21" s="1"/>
  <c r="FZ87" i="10" a="1"/>
  <c r="FZ87" i="10" s="1"/>
  <c r="FZ88" i="10" s="1"/>
  <c r="GC35" i="21" s="1"/>
  <c r="GN87" i="10" a="1"/>
  <c r="GN87" i="10" s="1"/>
  <c r="GN88" i="10" s="1"/>
  <c r="GQ35" i="21" s="1"/>
  <c r="HA87" i="10" a="1"/>
  <c r="HA87" i="10" s="1"/>
  <c r="HA88" i="10" s="1"/>
  <c r="HD35" i="21" s="1"/>
  <c r="JE87" i="10" a="1"/>
  <c r="JE87" i="10" s="1"/>
  <c r="JE88" i="10" s="1"/>
  <c r="JH35" i="21" s="1"/>
  <c r="GF135" i="10" a="1"/>
  <c r="GF135" i="10" s="1"/>
  <c r="AJ119" i="10" a="1"/>
  <c r="AJ119" i="10" s="1"/>
  <c r="AJ120" i="10" s="1"/>
  <c r="AM38" i="21" s="1"/>
  <c r="AX119" i="10" a="1"/>
  <c r="AX119" i="10" s="1"/>
  <c r="AX120" i="10" s="1"/>
  <c r="BA38" i="21" s="1"/>
  <c r="BL119" i="10" a="1"/>
  <c r="BL119" i="10" s="1"/>
  <c r="BL120" i="10" s="1"/>
  <c r="BO38" i="21" s="1"/>
  <c r="BZ119" i="10" a="1"/>
  <c r="BZ119" i="10" s="1"/>
  <c r="BZ120" i="10" s="1"/>
  <c r="CC38" i="21" s="1"/>
  <c r="CO119" i="10" a="1"/>
  <c r="CO119" i="10" s="1"/>
  <c r="CO120" i="10" s="1"/>
  <c r="CR38" i="21" s="1"/>
  <c r="DC119" i="10" a="1"/>
  <c r="DC119" i="10" s="1"/>
  <c r="DC120" i="10" s="1"/>
  <c r="DF38" i="21" s="1"/>
  <c r="DQ119" i="10" a="1"/>
  <c r="DQ119" i="10" s="1"/>
  <c r="DQ120" i="10" s="1"/>
  <c r="DT38" i="21" s="1"/>
  <c r="EE119" i="10" a="1"/>
  <c r="EE119" i="10" s="1"/>
  <c r="EE120" i="10" s="1"/>
  <c r="EH38" i="21" s="1"/>
  <c r="FH119" i="10" a="1"/>
  <c r="FH119" i="10" s="1"/>
  <c r="FH120" i="10" s="1"/>
  <c r="FK38" i="21" s="1"/>
  <c r="FV119" i="10" a="1"/>
  <c r="FV119" i="10" s="1"/>
  <c r="FV120" i="10" s="1"/>
  <c r="FY38" i="21" s="1"/>
  <c r="GJ119" i="10" a="1"/>
  <c r="GJ119" i="10" s="1"/>
  <c r="GJ120" i="10" s="1"/>
  <c r="GM38" i="21" s="1"/>
  <c r="GX119" i="10" a="1"/>
  <c r="GX119" i="10" s="1"/>
  <c r="GX120" i="10" s="1"/>
  <c r="HA38" i="21" s="1"/>
  <c r="HM119" i="10" a="1"/>
  <c r="HM119" i="10" s="1"/>
  <c r="HM120" i="10" s="1"/>
  <c r="HP38" i="21" s="1"/>
  <c r="IA119" i="10" a="1"/>
  <c r="IA119" i="10" s="1"/>
  <c r="IA120" i="10" s="1"/>
  <c r="ID38" i="21" s="1"/>
  <c r="IO119" i="10" a="1"/>
  <c r="IO119" i="10" s="1"/>
  <c r="IO120" i="10" s="1"/>
  <c r="IR38" i="21" s="1"/>
  <c r="JC119" i="10" a="1"/>
  <c r="JC119" i="10" s="1"/>
  <c r="JC120" i="10" s="1"/>
  <c r="JF38" i="21" s="1"/>
  <c r="KF119" i="10" a="1"/>
  <c r="KF119" i="10" s="1"/>
  <c r="KF120" i="10" s="1"/>
  <c r="KI38" i="21" s="1"/>
  <c r="X103" i="10" a="1"/>
  <c r="X103" i="10" s="1"/>
  <c r="X104" i="10" s="1"/>
  <c r="AA36" i="21" s="1"/>
  <c r="AL103" i="10" a="1"/>
  <c r="AL103" i="10" s="1"/>
  <c r="AL104" i="10" s="1"/>
  <c r="AO36" i="21" s="1"/>
  <c r="BA103" i="10" a="1"/>
  <c r="BA103" i="10" s="1"/>
  <c r="BA104" i="10" s="1"/>
  <c r="BD36" i="21" s="1"/>
  <c r="BO103" i="10" a="1"/>
  <c r="BO103" i="10" s="1"/>
  <c r="BO104" i="10" s="1"/>
  <c r="BR36" i="21" s="1"/>
  <c r="CC103" i="10" a="1"/>
  <c r="CC103" i="10" s="1"/>
  <c r="CC104" i="10" s="1"/>
  <c r="CF36" i="21" s="1"/>
  <c r="CQ103" i="10" a="1"/>
  <c r="CQ103" i="10" s="1"/>
  <c r="CQ104" i="10" s="1"/>
  <c r="CT36" i="21" s="1"/>
  <c r="DT103" i="10" a="1"/>
  <c r="DT103" i="10" s="1"/>
  <c r="DT104" i="10" s="1"/>
  <c r="DW36" i="21" s="1"/>
  <c r="EH103" i="10" a="1"/>
  <c r="EH103" i="10" s="1"/>
  <c r="EH104" i="10" s="1"/>
  <c r="EK36" i="21" s="1"/>
  <c r="EV103" i="10" a="1"/>
  <c r="EV103" i="10" s="1"/>
  <c r="EV104" i="10" s="1"/>
  <c r="EY36" i="21" s="1"/>
  <c r="FJ103" i="10" a="1"/>
  <c r="FJ103" i="10" s="1"/>
  <c r="FJ104" i="10" s="1"/>
  <c r="FM36" i="21" s="1"/>
  <c r="FY103" i="10" a="1"/>
  <c r="FY103" i="10" s="1"/>
  <c r="FY104" i="10" s="1"/>
  <c r="GB36" i="21" s="1"/>
  <c r="GM103" i="10" a="1"/>
  <c r="GM103" i="10" s="1"/>
  <c r="GM104" i="10" s="1"/>
  <c r="GP36" i="21" s="1"/>
  <c r="HA103" i="10" a="1"/>
  <c r="HA103" i="10" s="1"/>
  <c r="HA104" i="10" s="1"/>
  <c r="HD36" i="21" s="1"/>
  <c r="HO103" i="10" a="1"/>
  <c r="HO103" i="10" s="1"/>
  <c r="HO104" i="10" s="1"/>
  <c r="HR36" i="21" s="1"/>
  <c r="IR103" i="10" a="1"/>
  <c r="IR103" i="10" s="1"/>
  <c r="IR104" i="10" s="1"/>
  <c r="IU36" i="21" s="1"/>
  <c r="JF103" i="10" a="1"/>
  <c r="JF103" i="10" s="1"/>
  <c r="JF104" i="10" s="1"/>
  <c r="JI36" i="21" s="1"/>
  <c r="JT103" i="10" a="1"/>
  <c r="JT103" i="10" s="1"/>
  <c r="JT104" i="10" s="1"/>
  <c r="JW36" i="21" s="1"/>
  <c r="M87" i="10" a="1"/>
  <c r="M87" i="10" s="1"/>
  <c r="M88" i="10" s="1"/>
  <c r="P35" i="21" s="1"/>
  <c r="AA87" i="10" a="1"/>
  <c r="AA87" i="10" s="1"/>
  <c r="AA88" i="10" s="1"/>
  <c r="AD35" i="21" s="1"/>
  <c r="AO87" i="10" a="1"/>
  <c r="AO87" i="10" s="1"/>
  <c r="AO88" i="10" s="1"/>
  <c r="AR35" i="21" s="1"/>
  <c r="BC87" i="10" a="1"/>
  <c r="BC87" i="10" s="1"/>
  <c r="BC88" i="10" s="1"/>
  <c r="BF35" i="21" s="1"/>
  <c r="CF87" i="10" a="1"/>
  <c r="CF87" i="10" s="1"/>
  <c r="CF88" i="10" s="1"/>
  <c r="CI35" i="21" s="1"/>
  <c r="CT87" i="10" a="1"/>
  <c r="CT87" i="10" s="1"/>
  <c r="CT88" i="10" s="1"/>
  <c r="CW35" i="21" s="1"/>
  <c r="DH87" i="10" a="1"/>
  <c r="DH87" i="10" s="1"/>
  <c r="DH88" i="10" s="1"/>
  <c r="DK35" i="21" s="1"/>
  <c r="DV87" i="10" a="1"/>
  <c r="DV87" i="10" s="1"/>
  <c r="DV88" i="10" s="1"/>
  <c r="DY35" i="21" s="1"/>
  <c r="EK87" i="10" a="1"/>
  <c r="EK87" i="10" s="1"/>
  <c r="EK88" i="10" s="1"/>
  <c r="EN35" i="21" s="1"/>
  <c r="EY87" i="10" a="1"/>
  <c r="EY87" i="10" s="1"/>
  <c r="EY88" i="10" s="1"/>
  <c r="FB35" i="21" s="1"/>
  <c r="FM87" i="10" a="1"/>
  <c r="FM87" i="10" s="1"/>
  <c r="FM88" i="10" s="1"/>
  <c r="FP35" i="21" s="1"/>
  <c r="GA87" i="10" a="1"/>
  <c r="GA87" i="10" s="1"/>
  <c r="GA88" i="10" s="1"/>
  <c r="GD35" i="21" s="1"/>
  <c r="GO87" i="10" a="1"/>
  <c r="GO87" i="10" s="1"/>
  <c r="GO88" i="10" s="1"/>
  <c r="GR35" i="21" s="1"/>
  <c r="HB87" i="10" a="1"/>
  <c r="HB87" i="10" s="1"/>
  <c r="HB88" i="10" s="1"/>
  <c r="HE35" i="21" s="1"/>
  <c r="HN87" i="10" a="1"/>
  <c r="HN87" i="10" s="1"/>
  <c r="HN88" i="10" s="1"/>
  <c r="HQ35" i="21" s="1"/>
  <c r="GS135" i="10" a="1"/>
  <c r="GS135" i="10" s="1"/>
  <c r="V119" i="10" a="1"/>
  <c r="V119" i="10" s="1"/>
  <c r="V120" i="10" s="1"/>
  <c r="Y38" i="21" s="1"/>
  <c r="AK119" i="10" a="1"/>
  <c r="AK119" i="10" s="1"/>
  <c r="AK120" i="10" s="1"/>
  <c r="AN38" i="21" s="1"/>
  <c r="AY119" i="10" a="1"/>
  <c r="AY119" i="10" s="1"/>
  <c r="AY120" i="10" s="1"/>
  <c r="BB38" i="21" s="1"/>
  <c r="BM119" i="10" a="1"/>
  <c r="BM119" i="10" s="1"/>
  <c r="BM120" i="10" s="1"/>
  <c r="BP38" i="21" s="1"/>
  <c r="CA119" i="10" a="1"/>
  <c r="CA119" i="10" s="1"/>
  <c r="CA120" i="10" s="1"/>
  <c r="CD38" i="21" s="1"/>
  <c r="DD119" i="10" a="1"/>
  <c r="DD119" i="10" s="1"/>
  <c r="DD120" i="10" s="1"/>
  <c r="DG38" i="21" s="1"/>
  <c r="DR119" i="10" a="1"/>
  <c r="DR119" i="10" s="1"/>
  <c r="DR120" i="10" s="1"/>
  <c r="DU38" i="21" s="1"/>
  <c r="EF119" i="10" a="1"/>
  <c r="EF119" i="10" s="1"/>
  <c r="EF120" i="10" s="1"/>
  <c r="EI38" i="21" s="1"/>
  <c r="ET119" i="10" a="1"/>
  <c r="ET119" i="10" s="1"/>
  <c r="ET120" i="10" s="1"/>
  <c r="EW38" i="21" s="1"/>
  <c r="FI119" i="10" a="1"/>
  <c r="FI119" i="10" s="1"/>
  <c r="FI120" i="10" s="1"/>
  <c r="FL38" i="21" s="1"/>
  <c r="FW119" i="10" a="1"/>
  <c r="FW119" i="10" s="1"/>
  <c r="FW120" i="10" s="1"/>
  <c r="FZ38" i="21" s="1"/>
  <c r="GK119" i="10" a="1"/>
  <c r="GK119" i="10" s="1"/>
  <c r="GK120" i="10" s="1"/>
  <c r="GN38" i="21" s="1"/>
  <c r="GY119" i="10" a="1"/>
  <c r="GY119" i="10" s="1"/>
  <c r="GY120" i="10" s="1"/>
  <c r="HB38" i="21" s="1"/>
  <c r="IB119" i="10" a="1"/>
  <c r="IB119" i="10" s="1"/>
  <c r="IB120" i="10" s="1"/>
  <c r="IE38" i="21" s="1"/>
  <c r="IP119" i="10" a="1"/>
  <c r="IP119" i="10" s="1"/>
  <c r="IP120" i="10" s="1"/>
  <c r="IS38" i="21" s="1"/>
  <c r="JD119" i="10" a="1"/>
  <c r="JD119" i="10" s="1"/>
  <c r="JD120" i="10" s="1"/>
  <c r="JG38" i="21" s="1"/>
  <c r="JR119" i="10" a="1"/>
  <c r="JR119" i="10" s="1"/>
  <c r="JR120" i="10" s="1"/>
  <c r="JU38" i="21" s="1"/>
  <c r="K103" i="10" a="1"/>
  <c r="K103" i="10" s="1"/>
  <c r="K104" i="10" s="1"/>
  <c r="N36" i="21" s="1"/>
  <c r="Y103" i="10" a="1"/>
  <c r="Y103" i="10" s="1"/>
  <c r="Y104" i="10" s="1"/>
  <c r="AB36" i="21" s="1"/>
  <c r="AM103" i="10" a="1"/>
  <c r="AM103" i="10" s="1"/>
  <c r="AM104" i="10" s="1"/>
  <c r="AP36" i="21" s="1"/>
  <c r="BP103" i="10" a="1"/>
  <c r="BP103" i="10" s="1"/>
  <c r="BP104" i="10" s="1"/>
  <c r="BS36" i="21" s="1"/>
  <c r="CD103" i="10" a="1"/>
  <c r="CD103" i="10" s="1"/>
  <c r="CD104" i="10" s="1"/>
  <c r="CG36" i="21" s="1"/>
  <c r="CR103" i="10" a="1"/>
  <c r="CR103" i="10" s="1"/>
  <c r="CR104" i="10" s="1"/>
  <c r="CU36" i="21" s="1"/>
  <c r="DF103" i="10" a="1"/>
  <c r="DF103" i="10" s="1"/>
  <c r="DF104" i="10" s="1"/>
  <c r="DI36" i="21" s="1"/>
  <c r="DU103" i="10" a="1"/>
  <c r="DU103" i="10" s="1"/>
  <c r="DU104" i="10" s="1"/>
  <c r="DX36" i="21" s="1"/>
  <c r="EI103" i="10" a="1"/>
  <c r="EI103" i="10" s="1"/>
  <c r="EI104" i="10" s="1"/>
  <c r="EL36" i="21" s="1"/>
  <c r="EW103" i="10" a="1"/>
  <c r="EW103" i="10" s="1"/>
  <c r="EW104" i="10" s="1"/>
  <c r="EZ36" i="21" s="1"/>
  <c r="FK103" i="10" a="1"/>
  <c r="FK103" i="10" s="1"/>
  <c r="FK104" i="10" s="1"/>
  <c r="FN36" i="21" s="1"/>
  <c r="GN103" i="10" a="1"/>
  <c r="GN103" i="10" s="1"/>
  <c r="GN104" i="10" s="1"/>
  <c r="GQ36" i="21" s="1"/>
  <c r="HB103" i="10" a="1"/>
  <c r="HB103" i="10" s="1"/>
  <c r="HB104" i="10" s="1"/>
  <c r="HE36" i="21" s="1"/>
  <c r="HP103" i="10" a="1"/>
  <c r="HP103" i="10" s="1"/>
  <c r="HP104" i="10" s="1"/>
  <c r="HS36" i="21" s="1"/>
  <c r="ID103" i="10" a="1"/>
  <c r="ID103" i="10" s="1"/>
  <c r="ID104" i="10" s="1"/>
  <c r="IG36" i="21" s="1"/>
  <c r="IS103" i="10" a="1"/>
  <c r="IS103" i="10" s="1"/>
  <c r="IS104" i="10" s="1"/>
  <c r="IV36" i="21" s="1"/>
  <c r="JG103" i="10" a="1"/>
  <c r="JG103" i="10" s="1"/>
  <c r="JG104" i="10" s="1"/>
  <c r="JJ36" i="21" s="1"/>
  <c r="JU103" i="10" a="1"/>
  <c r="JU103" i="10" s="1"/>
  <c r="JU104" i="10" s="1"/>
  <c r="JX36" i="21" s="1"/>
  <c r="AB87" i="10" a="1"/>
  <c r="AB87" i="10" s="1"/>
  <c r="AB88" i="10" s="1"/>
  <c r="AE35" i="21" s="1"/>
  <c r="AP87" i="10" a="1"/>
  <c r="AP87" i="10" s="1"/>
  <c r="AP88" i="10" s="1"/>
  <c r="AS35" i="21" s="1"/>
  <c r="BD87" i="10" a="1"/>
  <c r="BD87" i="10" s="1"/>
  <c r="BD88" i="10" s="1"/>
  <c r="BG35" i="21" s="1"/>
  <c r="BR87" i="10" a="1"/>
  <c r="BR87" i="10" s="1"/>
  <c r="BR88" i="10" s="1"/>
  <c r="BU35" i="21" s="1"/>
  <c r="CG87" i="10" a="1"/>
  <c r="CG87" i="10" s="1"/>
  <c r="CG88" i="10" s="1"/>
  <c r="CJ35" i="21" s="1"/>
  <c r="CU87" i="10" a="1"/>
  <c r="CU87" i="10" s="1"/>
  <c r="CU88" i="10" s="1"/>
  <c r="CX35" i="21" s="1"/>
  <c r="DI87" i="10" a="1"/>
  <c r="DI87" i="10" s="1"/>
  <c r="DI88" i="10" s="1"/>
  <c r="DL35" i="21" s="1"/>
  <c r="DW87" i="10" a="1"/>
  <c r="DW87" i="10" s="1"/>
  <c r="DW88" i="10" s="1"/>
  <c r="DZ35" i="21" s="1"/>
  <c r="EZ87" i="10" a="1"/>
  <c r="EZ87" i="10" s="1"/>
  <c r="EZ88" i="10" s="1"/>
  <c r="FC35" i="21" s="1"/>
  <c r="FN87" i="10" a="1"/>
  <c r="FN87" i="10" s="1"/>
  <c r="FN88" i="10" s="1"/>
  <c r="FQ35" i="21" s="1"/>
  <c r="GB87" i="10" a="1"/>
  <c r="GB87" i="10" s="1"/>
  <c r="GB88" i="10" s="1"/>
  <c r="GE35" i="21" s="1"/>
  <c r="HO87" i="10" a="1"/>
  <c r="HO87" i="10" s="1"/>
  <c r="HO88" i="10" s="1"/>
  <c r="HR35" i="21" s="1"/>
  <c r="W119" i="10" a="1"/>
  <c r="W119" i="10" s="1"/>
  <c r="W120" i="10" s="1"/>
  <c r="Z38" i="21" s="1"/>
  <c r="AZ119" i="10" a="1"/>
  <c r="AZ119" i="10" s="1"/>
  <c r="AZ120" i="10" s="1"/>
  <c r="BC38" i="21" s="1"/>
  <c r="BN119" i="10" a="1"/>
  <c r="BN119" i="10" s="1"/>
  <c r="BN120" i="10" s="1"/>
  <c r="BQ38" i="21" s="1"/>
  <c r="CB119" i="10" a="1"/>
  <c r="CB119" i="10" s="1"/>
  <c r="CB120" i="10" s="1"/>
  <c r="CE38" i="21" s="1"/>
  <c r="CP119" i="10" a="1"/>
  <c r="CP119" i="10" s="1"/>
  <c r="CP120" i="10" s="1"/>
  <c r="CS38" i="21" s="1"/>
  <c r="DE119" i="10" a="1"/>
  <c r="DE119" i="10" s="1"/>
  <c r="DE120" i="10" s="1"/>
  <c r="DH38" i="21" s="1"/>
  <c r="DS119" i="10" a="1"/>
  <c r="DS119" i="10" s="1"/>
  <c r="DS120" i="10" s="1"/>
  <c r="DV38" i="21" s="1"/>
  <c r="EG119" i="10" a="1"/>
  <c r="EG119" i="10" s="1"/>
  <c r="EG120" i="10" s="1"/>
  <c r="EJ38" i="21" s="1"/>
  <c r="EU119" i="10" a="1"/>
  <c r="EU119" i="10" s="1"/>
  <c r="EU120" i="10" s="1"/>
  <c r="EX38" i="21" s="1"/>
  <c r="FX119" i="10" a="1"/>
  <c r="FX119" i="10" s="1"/>
  <c r="FX120" i="10" s="1"/>
  <c r="GA38" i="21" s="1"/>
  <c r="GL119" i="10" a="1"/>
  <c r="GL119" i="10" s="1"/>
  <c r="GL120" i="10" s="1"/>
  <c r="GO38" i="21" s="1"/>
  <c r="GZ119" i="10" a="1"/>
  <c r="GZ119" i="10" s="1"/>
  <c r="GZ120" i="10" s="1"/>
  <c r="HC38" i="21" s="1"/>
  <c r="HN119" i="10" a="1"/>
  <c r="HN119" i="10" s="1"/>
  <c r="HN120" i="10" s="1"/>
  <c r="HQ38" i="21" s="1"/>
  <c r="IC119" i="10" a="1"/>
  <c r="IC119" i="10" s="1"/>
  <c r="IC120" i="10" s="1"/>
  <c r="IF38" i="21" s="1"/>
  <c r="IQ119" i="10" a="1"/>
  <c r="IQ119" i="10" s="1"/>
  <c r="IQ120" i="10" s="1"/>
  <c r="IT38" i="21" s="1"/>
  <c r="JE119" i="10" a="1"/>
  <c r="JE119" i="10" s="1"/>
  <c r="JE120" i="10" s="1"/>
  <c r="JH38" i="21" s="1"/>
  <c r="JS119" i="10" a="1"/>
  <c r="JS119" i="10" s="1"/>
  <c r="JS120" i="10" s="1"/>
  <c r="JV38" i="21" s="1"/>
  <c r="L103" i="10" a="1"/>
  <c r="L103" i="10" s="1"/>
  <c r="L104" i="10" s="1"/>
  <c r="O36" i="21" s="1"/>
  <c r="Z103" i="10" a="1"/>
  <c r="Z103" i="10" s="1"/>
  <c r="Z104" i="10" s="1"/>
  <c r="AC36" i="21" s="1"/>
  <c r="AN103" i="10" a="1"/>
  <c r="AN103" i="10" s="1"/>
  <c r="AN104" i="10" s="1"/>
  <c r="AQ36" i="21" s="1"/>
  <c r="BB103" i="10" a="1"/>
  <c r="BB103" i="10" s="1"/>
  <c r="BB104" i="10" s="1"/>
  <c r="BE36" i="21" s="1"/>
  <c r="BQ103" i="10" a="1"/>
  <c r="BQ103" i="10" s="1"/>
  <c r="BQ104" i="10" s="1"/>
  <c r="BT36" i="21" s="1"/>
  <c r="CE103" i="10" a="1"/>
  <c r="CE103" i="10" s="1"/>
  <c r="CE104" i="10" s="1"/>
  <c r="CH36" i="21" s="1"/>
  <c r="CS103" i="10" a="1"/>
  <c r="CS103" i="10" s="1"/>
  <c r="CS104" i="10" s="1"/>
  <c r="CV36" i="21" s="1"/>
  <c r="DG103" i="10" a="1"/>
  <c r="DG103" i="10" s="1"/>
  <c r="DG104" i="10" s="1"/>
  <c r="DJ36" i="21" s="1"/>
  <c r="EJ103" i="10" a="1"/>
  <c r="EJ103" i="10" s="1"/>
  <c r="EJ104" i="10" s="1"/>
  <c r="EM36" i="21" s="1"/>
  <c r="EX103" i="10" a="1"/>
  <c r="EX103" i="10" s="1"/>
  <c r="EX104" i="10" s="1"/>
  <c r="FA36" i="21" s="1"/>
  <c r="FL103" i="10" a="1"/>
  <c r="FL103" i="10" s="1"/>
  <c r="FL104" i="10" s="1"/>
  <c r="FO36" i="21" s="1"/>
  <c r="FZ103" i="10" a="1"/>
  <c r="FZ103" i="10" s="1"/>
  <c r="FZ104" i="10" s="1"/>
  <c r="GC36" i="21" s="1"/>
  <c r="GO103" i="10" a="1"/>
  <c r="GO103" i="10" s="1"/>
  <c r="GO104" i="10" s="1"/>
  <c r="GR36" i="21" s="1"/>
  <c r="HC103" i="10" a="1"/>
  <c r="HC103" i="10" s="1"/>
  <c r="HC104" i="10" s="1"/>
  <c r="HF36" i="21" s="1"/>
  <c r="HQ103" i="10" a="1"/>
  <c r="HQ103" i="10" s="1"/>
  <c r="HQ104" i="10" s="1"/>
  <c r="HT36" i="21" s="1"/>
  <c r="IE103" i="10" a="1"/>
  <c r="IE103" i="10" s="1"/>
  <c r="IE104" i="10" s="1"/>
  <c r="IH36" i="21" s="1"/>
  <c r="JH103" i="10" a="1"/>
  <c r="JH103" i="10" s="1"/>
  <c r="JH104" i="10" s="1"/>
  <c r="JK36" i="21" s="1"/>
  <c r="JV103" i="10" a="1"/>
  <c r="JV103" i="10" s="1"/>
  <c r="JV104" i="10" s="1"/>
  <c r="JY36" i="21" s="1"/>
  <c r="N87" i="10" a="1"/>
  <c r="N87" i="10" s="1"/>
  <c r="N88" i="10" s="1"/>
  <c r="Q35" i="21" s="1"/>
  <c r="AC87" i="10" a="1"/>
  <c r="AC87" i="10" s="1"/>
  <c r="AC88" i="10" s="1"/>
  <c r="AF35" i="21" s="1"/>
  <c r="AQ87" i="10" a="1"/>
  <c r="AQ87" i="10" s="1"/>
  <c r="AQ88" i="10" s="1"/>
  <c r="AT35" i="21" s="1"/>
  <c r="BE87" i="10" a="1"/>
  <c r="BE87" i="10" s="1"/>
  <c r="BE88" i="10" s="1"/>
  <c r="BH35" i="21" s="1"/>
  <c r="BS87" i="10" a="1"/>
  <c r="BS87" i="10" s="1"/>
  <c r="BS88" i="10" s="1"/>
  <c r="BV35" i="21" s="1"/>
  <c r="CV87" i="10" a="1"/>
  <c r="CV87" i="10" s="1"/>
  <c r="CV88" i="10" s="1"/>
  <c r="CY35" i="21" s="1"/>
  <c r="DJ87" i="10" a="1"/>
  <c r="DJ87" i="10" s="1"/>
  <c r="DJ88" i="10" s="1"/>
  <c r="DM35" i="21" s="1"/>
  <c r="DX87" i="10" a="1"/>
  <c r="DX87" i="10" s="1"/>
  <c r="DX88" i="10" s="1"/>
  <c r="EA35" i="21" s="1"/>
  <c r="EL87" i="10" a="1"/>
  <c r="EL87" i="10" s="1"/>
  <c r="EL88" i="10" s="1"/>
  <c r="EO35" i="21" s="1"/>
  <c r="FA87" i="10" a="1"/>
  <c r="FA87" i="10" s="1"/>
  <c r="FA88" i="10" s="1"/>
  <c r="FD35" i="21" s="1"/>
  <c r="FO87" i="10" a="1"/>
  <c r="FO87" i="10" s="1"/>
  <c r="FO88" i="10" s="1"/>
  <c r="FR35" i="21" s="1"/>
  <c r="GC87" i="10" a="1"/>
  <c r="GC87" i="10" s="1"/>
  <c r="GC88" i="10" s="1"/>
  <c r="GF35" i="21" s="1"/>
  <c r="GP87" i="10" a="1"/>
  <c r="GP87" i="10" s="1"/>
  <c r="GP88" i="10" s="1"/>
  <c r="GS35" i="21" s="1"/>
  <c r="HC87" i="10" a="1"/>
  <c r="HC87" i="10" s="1"/>
  <c r="HC88" i="10" s="1"/>
  <c r="HF35" i="21" s="1"/>
  <c r="HP87" i="10" a="1"/>
  <c r="HP87" i="10" s="1"/>
  <c r="HP88" i="10" s="1"/>
  <c r="HS35" i="21" s="1"/>
  <c r="X119" i="10" a="1"/>
  <c r="X119" i="10" s="1"/>
  <c r="X120" i="10" s="1"/>
  <c r="AA38" i="21" s="1"/>
  <c r="AL119" i="10" a="1"/>
  <c r="AL119" i="10" s="1"/>
  <c r="AL120" i="10" s="1"/>
  <c r="AO38" i="21" s="1"/>
  <c r="BA119" i="10" a="1"/>
  <c r="BA119" i="10" s="1"/>
  <c r="BA120" i="10" s="1"/>
  <c r="BD38" i="21" s="1"/>
  <c r="BO119" i="10" a="1"/>
  <c r="BO119" i="10" s="1"/>
  <c r="BO120" i="10" s="1"/>
  <c r="BR38" i="21" s="1"/>
  <c r="CC119" i="10" a="1"/>
  <c r="CC119" i="10" s="1"/>
  <c r="CC120" i="10" s="1"/>
  <c r="CF38" i="21" s="1"/>
  <c r="CQ119" i="10" a="1"/>
  <c r="CQ119" i="10" s="1"/>
  <c r="CQ120" i="10" s="1"/>
  <c r="CT38" i="21" s="1"/>
  <c r="DT119" i="10" a="1"/>
  <c r="DT119" i="10" s="1"/>
  <c r="DT120" i="10" s="1"/>
  <c r="DW38" i="21" s="1"/>
  <c r="EH119" i="10" a="1"/>
  <c r="EH119" i="10" s="1"/>
  <c r="EH120" i="10" s="1"/>
  <c r="EK38" i="21" s="1"/>
  <c r="EV119" i="10" a="1"/>
  <c r="EV119" i="10" s="1"/>
  <c r="EV120" i="10" s="1"/>
  <c r="EY38" i="21" s="1"/>
  <c r="FJ119" i="10" a="1"/>
  <c r="FJ119" i="10" s="1"/>
  <c r="FJ120" i="10" s="1"/>
  <c r="FM38" i="21" s="1"/>
  <c r="FY119" i="10" a="1"/>
  <c r="FY119" i="10" s="1"/>
  <c r="FY120" i="10" s="1"/>
  <c r="GB38" i="21" s="1"/>
  <c r="GM119" i="10" a="1"/>
  <c r="GM119" i="10" s="1"/>
  <c r="GM120" i="10" s="1"/>
  <c r="GP38" i="21" s="1"/>
  <c r="HA119" i="10" a="1"/>
  <c r="HA119" i="10" s="1"/>
  <c r="HA120" i="10" s="1"/>
  <c r="HD38" i="21" s="1"/>
  <c r="HO119" i="10" a="1"/>
  <c r="HO119" i="10" s="1"/>
  <c r="HO120" i="10" s="1"/>
  <c r="HR38" i="21" s="1"/>
  <c r="IR119" i="10" a="1"/>
  <c r="IR119" i="10" s="1"/>
  <c r="IR120" i="10" s="1"/>
  <c r="IU38" i="21" s="1"/>
  <c r="JF119" i="10" a="1"/>
  <c r="JF119" i="10" s="1"/>
  <c r="JF120" i="10" s="1"/>
  <c r="JI38" i="21" s="1"/>
  <c r="JT119" i="10" a="1"/>
  <c r="JT119" i="10" s="1"/>
  <c r="JT120" i="10" s="1"/>
  <c r="JW38" i="21" s="1"/>
  <c r="M103" i="10" a="1"/>
  <c r="M103" i="10" s="1"/>
  <c r="M104" i="10" s="1"/>
  <c r="P36" i="21" s="1"/>
  <c r="AA103" i="10" a="1"/>
  <c r="AA103" i="10" s="1"/>
  <c r="AA104" i="10" s="1"/>
  <c r="AD36" i="21" s="1"/>
  <c r="AO103" i="10" a="1"/>
  <c r="AO103" i="10" s="1"/>
  <c r="AO104" i="10" s="1"/>
  <c r="AR36" i="21" s="1"/>
  <c r="BC103" i="10" a="1"/>
  <c r="BC103" i="10" s="1"/>
  <c r="BC104" i="10" s="1"/>
  <c r="BF36" i="21" s="1"/>
  <c r="CF103" i="10" a="1"/>
  <c r="CF103" i="10" s="1"/>
  <c r="CF104" i="10" s="1"/>
  <c r="CI36" i="21" s="1"/>
  <c r="CT103" i="10" a="1"/>
  <c r="CT103" i="10" s="1"/>
  <c r="CT104" i="10" s="1"/>
  <c r="CW36" i="21" s="1"/>
  <c r="DH103" i="10" a="1"/>
  <c r="DH103" i="10" s="1"/>
  <c r="DH104" i="10" s="1"/>
  <c r="DK36" i="21" s="1"/>
  <c r="DV103" i="10" a="1"/>
  <c r="DV103" i="10" s="1"/>
  <c r="DV104" i="10" s="1"/>
  <c r="DY36" i="21" s="1"/>
  <c r="EK103" i="10" a="1"/>
  <c r="EK103" i="10" s="1"/>
  <c r="EK104" i="10" s="1"/>
  <c r="EN36" i="21" s="1"/>
  <c r="EY103" i="10" a="1"/>
  <c r="EY103" i="10" s="1"/>
  <c r="EY104" i="10" s="1"/>
  <c r="FB36" i="21" s="1"/>
  <c r="FM103" i="10" a="1"/>
  <c r="FM103" i="10" s="1"/>
  <c r="FM104" i="10" s="1"/>
  <c r="FP36" i="21" s="1"/>
  <c r="GA103" i="10" a="1"/>
  <c r="GA103" i="10" s="1"/>
  <c r="GA104" i="10" s="1"/>
  <c r="GD36" i="21" s="1"/>
  <c r="HD103" i="10" a="1"/>
  <c r="HD103" i="10" s="1"/>
  <c r="HD104" i="10" s="1"/>
  <c r="HG36" i="21" s="1"/>
  <c r="HR103" i="10" a="1"/>
  <c r="HR103" i="10" s="1"/>
  <c r="HR104" i="10" s="1"/>
  <c r="HU36" i="21" s="1"/>
  <c r="IF103" i="10" a="1"/>
  <c r="IF103" i="10" s="1"/>
  <c r="IF104" i="10" s="1"/>
  <c r="II36" i="21" s="1"/>
  <c r="IT103" i="10" a="1"/>
  <c r="IT103" i="10" s="1"/>
  <c r="IT104" i="10" s="1"/>
  <c r="IW36" i="21" s="1"/>
  <c r="JI103" i="10" a="1"/>
  <c r="JI103" i="10" s="1"/>
  <c r="JI104" i="10" s="1"/>
  <c r="JL36" i="21" s="1"/>
  <c r="JW103" i="10" a="1"/>
  <c r="JW103" i="10" s="1"/>
  <c r="JW104" i="10" s="1"/>
  <c r="JZ36" i="21" s="1"/>
  <c r="O87" i="10" a="1"/>
  <c r="O87" i="10" s="1"/>
  <c r="O88" i="10" s="1"/>
  <c r="R35" i="21" s="1"/>
  <c r="AR87" i="10" a="1"/>
  <c r="AR87" i="10" s="1"/>
  <c r="AR88" i="10" s="1"/>
  <c r="AU35" i="21" s="1"/>
  <c r="BF87" i="10" a="1"/>
  <c r="BF87" i="10" s="1"/>
  <c r="BF88" i="10" s="1"/>
  <c r="BI35" i="21" s="1"/>
  <c r="BT87" i="10" a="1"/>
  <c r="BT87" i="10" s="1"/>
  <c r="BT88" i="10" s="1"/>
  <c r="BW35" i="21" s="1"/>
  <c r="CH87" i="10" a="1"/>
  <c r="CH87" i="10" s="1"/>
  <c r="CH88" i="10" s="1"/>
  <c r="CK35" i="21" s="1"/>
  <c r="CW87" i="10" a="1"/>
  <c r="CW87" i="10" s="1"/>
  <c r="CW88" i="10" s="1"/>
  <c r="CZ35" i="21" s="1"/>
  <c r="DK87" i="10" a="1"/>
  <c r="DK87" i="10" s="1"/>
  <c r="DK88" i="10" s="1"/>
  <c r="DN35" i="21" s="1"/>
  <c r="DY87" i="10" a="1"/>
  <c r="DY87" i="10" s="1"/>
  <c r="DY88" i="10" s="1"/>
  <c r="EB35" i="21" s="1"/>
  <c r="EM87" i="10" a="1"/>
  <c r="EM87" i="10" s="1"/>
  <c r="EM88" i="10" s="1"/>
  <c r="EP35" i="21" s="1"/>
  <c r="FP87" i="10" a="1"/>
  <c r="FP87" i="10" s="1"/>
  <c r="FP88" i="10" s="1"/>
  <c r="FS35" i="21" s="1"/>
  <c r="GD87" i="10" a="1"/>
  <c r="GD87" i="10" s="1"/>
  <c r="GD88" i="10" s="1"/>
  <c r="GG35" i="21" s="1"/>
  <c r="GQ87" i="10" a="1"/>
  <c r="GQ87" i="10" s="1"/>
  <c r="GQ88" i="10" s="1"/>
  <c r="GT35" i="21" s="1"/>
  <c r="HD87" i="10" a="1"/>
  <c r="HD87" i="10" s="1"/>
  <c r="HD88" i="10" s="1"/>
  <c r="HG35" i="21" s="1"/>
  <c r="HQ87" i="10" a="1"/>
  <c r="HQ87" i="10" s="1"/>
  <c r="HQ88" i="10" s="1"/>
  <c r="HT35" i="21" s="1"/>
  <c r="IE135" i="10" a="1"/>
  <c r="IE135" i="10" s="1"/>
  <c r="K119" i="10" a="1"/>
  <c r="K119" i="10" s="1"/>
  <c r="K120" i="10" s="1"/>
  <c r="N38" i="21" s="1"/>
  <c r="Y119" i="10" a="1"/>
  <c r="Y119" i="10" s="1"/>
  <c r="Y120" i="10" s="1"/>
  <c r="AB38" i="21" s="1"/>
  <c r="AM119" i="10" a="1"/>
  <c r="AM119" i="10" s="1"/>
  <c r="AM120" i="10" s="1"/>
  <c r="AP38" i="21" s="1"/>
  <c r="BP119" i="10" a="1"/>
  <c r="BP119" i="10" s="1"/>
  <c r="BP120" i="10" s="1"/>
  <c r="BS38" i="21" s="1"/>
  <c r="CD119" i="10" a="1"/>
  <c r="CD119" i="10" s="1"/>
  <c r="CD120" i="10" s="1"/>
  <c r="CG38" i="21" s="1"/>
  <c r="CR119" i="10" a="1"/>
  <c r="CR119" i="10" s="1"/>
  <c r="CR120" i="10" s="1"/>
  <c r="CU38" i="21" s="1"/>
  <c r="DF119" i="10" a="1"/>
  <c r="DF119" i="10" s="1"/>
  <c r="DF120" i="10" s="1"/>
  <c r="DI38" i="21" s="1"/>
  <c r="DU119" i="10" a="1"/>
  <c r="DU119" i="10" s="1"/>
  <c r="DU120" i="10" s="1"/>
  <c r="DX38" i="21" s="1"/>
  <c r="EI119" i="10" a="1"/>
  <c r="EI119" i="10" s="1"/>
  <c r="EI120" i="10" s="1"/>
  <c r="EL38" i="21" s="1"/>
  <c r="EW119" i="10" a="1"/>
  <c r="EW119" i="10" s="1"/>
  <c r="EW120" i="10" s="1"/>
  <c r="EZ38" i="21" s="1"/>
  <c r="FK119" i="10" a="1"/>
  <c r="FK119" i="10" s="1"/>
  <c r="FK120" i="10" s="1"/>
  <c r="FN38" i="21" s="1"/>
  <c r="GN119" i="10" a="1"/>
  <c r="GN119" i="10" s="1"/>
  <c r="GN120" i="10" s="1"/>
  <c r="GQ38" i="21" s="1"/>
  <c r="HB119" i="10" a="1"/>
  <c r="HB119" i="10" s="1"/>
  <c r="HB120" i="10" s="1"/>
  <c r="HE38" i="21" s="1"/>
  <c r="HP119" i="10" a="1"/>
  <c r="HP119" i="10" s="1"/>
  <c r="HP120" i="10" s="1"/>
  <c r="HS38" i="21" s="1"/>
  <c r="ID119" i="10" a="1"/>
  <c r="ID119" i="10" s="1"/>
  <c r="ID120" i="10" s="1"/>
  <c r="IG38" i="21" s="1"/>
  <c r="IS119" i="10" a="1"/>
  <c r="IS119" i="10" s="1"/>
  <c r="IS120" i="10" s="1"/>
  <c r="IV38" i="21" s="1"/>
  <c r="JG119" i="10" a="1"/>
  <c r="JG119" i="10" s="1"/>
  <c r="JG120" i="10" s="1"/>
  <c r="JJ38" i="21" s="1"/>
  <c r="JU119" i="10" a="1"/>
  <c r="JU119" i="10" s="1"/>
  <c r="JU120" i="10" s="1"/>
  <c r="JX38" i="21" s="1"/>
  <c r="AB103" i="10" a="1"/>
  <c r="AB103" i="10" s="1"/>
  <c r="AB104" i="10" s="1"/>
  <c r="AE36" i="21" s="1"/>
  <c r="AP103" i="10" a="1"/>
  <c r="AP103" i="10" s="1"/>
  <c r="AP104" i="10" s="1"/>
  <c r="AS36" i="21" s="1"/>
  <c r="BD103" i="10" a="1"/>
  <c r="BD103" i="10" s="1"/>
  <c r="BD104" i="10" s="1"/>
  <c r="BG36" i="21" s="1"/>
  <c r="BR103" i="10" a="1"/>
  <c r="BR103" i="10" s="1"/>
  <c r="BR104" i="10" s="1"/>
  <c r="BU36" i="21" s="1"/>
  <c r="CG103" i="10" a="1"/>
  <c r="CG103" i="10" s="1"/>
  <c r="CG104" i="10" s="1"/>
  <c r="CJ36" i="21" s="1"/>
  <c r="CU103" i="10" a="1"/>
  <c r="CU103" i="10" s="1"/>
  <c r="CU104" i="10" s="1"/>
  <c r="CX36" i="21" s="1"/>
  <c r="DI103" i="10" a="1"/>
  <c r="DI103" i="10" s="1"/>
  <c r="DI104" i="10" s="1"/>
  <c r="DL36" i="21" s="1"/>
  <c r="DW103" i="10" a="1"/>
  <c r="DW103" i="10" s="1"/>
  <c r="DW104" i="10" s="1"/>
  <c r="DZ36" i="21" s="1"/>
  <c r="EZ103" i="10" a="1"/>
  <c r="EZ103" i="10" s="1"/>
  <c r="EZ104" i="10" s="1"/>
  <c r="FC36" i="21" s="1"/>
  <c r="FN103" i="10" a="1"/>
  <c r="FN103" i="10" s="1"/>
  <c r="FN104" i="10" s="1"/>
  <c r="FQ36" i="21" s="1"/>
  <c r="GB103" i="10" a="1"/>
  <c r="GB103" i="10" s="1"/>
  <c r="GB104" i="10" s="1"/>
  <c r="GE36" i="21" s="1"/>
  <c r="GP103" i="10" a="1"/>
  <c r="GP103" i="10" s="1"/>
  <c r="GP104" i="10" s="1"/>
  <c r="GS36" i="21" s="1"/>
  <c r="HE103" i="10" a="1"/>
  <c r="HE103" i="10" s="1"/>
  <c r="HE104" i="10" s="1"/>
  <c r="HH36" i="21" s="1"/>
  <c r="HS103" i="10" a="1"/>
  <c r="HS103" i="10" s="1"/>
  <c r="HS104" i="10" s="1"/>
  <c r="HV36" i="21" s="1"/>
  <c r="IG103" i="10" a="1"/>
  <c r="IG103" i="10" s="1"/>
  <c r="IG104" i="10" s="1"/>
  <c r="IJ36" i="21" s="1"/>
  <c r="IU103" i="10" a="1"/>
  <c r="IU103" i="10" s="1"/>
  <c r="IU104" i="10" s="1"/>
  <c r="IX36" i="21" s="1"/>
  <c r="JX103" i="10" a="1"/>
  <c r="JX103" i="10" s="1"/>
  <c r="JX104" i="10" s="1"/>
  <c r="KA36" i="21" s="1"/>
  <c r="P87" i="10" a="1"/>
  <c r="P87" i="10" s="1"/>
  <c r="P88" i="10" s="1"/>
  <c r="S35" i="21" s="1"/>
  <c r="AD87" i="10" a="1"/>
  <c r="AD87" i="10" s="1"/>
  <c r="AD88" i="10" s="1"/>
  <c r="AG35" i="21" s="1"/>
  <c r="AS87" i="10" a="1"/>
  <c r="AS87" i="10" s="1"/>
  <c r="AS88" i="10" s="1"/>
  <c r="AV35" i="21" s="1"/>
  <c r="BG87" i="10" a="1"/>
  <c r="BG87" i="10" s="1"/>
  <c r="BG88" i="10" s="1"/>
  <c r="BJ35" i="21" s="1"/>
  <c r="BU87" i="10" a="1"/>
  <c r="BU87" i="10" s="1"/>
  <c r="BU88" i="10" s="1"/>
  <c r="BX35" i="21" s="1"/>
  <c r="CI87" i="10" a="1"/>
  <c r="CI87" i="10" s="1"/>
  <c r="CI88" i="10" s="1"/>
  <c r="CL35" i="21" s="1"/>
  <c r="DL87" i="10" a="1"/>
  <c r="DL87" i="10" s="1"/>
  <c r="DL88" i="10" s="1"/>
  <c r="DO35" i="21" s="1"/>
  <c r="DZ87" i="10" a="1"/>
  <c r="DZ87" i="10" s="1"/>
  <c r="DZ88" i="10" s="1"/>
  <c r="EC35" i="21" s="1"/>
  <c r="EN87" i="10" a="1"/>
  <c r="EN87" i="10" s="1"/>
  <c r="EN88" i="10" s="1"/>
  <c r="EQ35" i="21" s="1"/>
  <c r="FB87" i="10" a="1"/>
  <c r="FB87" i="10" s="1"/>
  <c r="FB88" i="10" s="1"/>
  <c r="FE35" i="21" s="1"/>
  <c r="FQ87" i="10" a="1"/>
  <c r="FQ87" i="10" s="1"/>
  <c r="FQ88" i="10" s="1"/>
  <c r="FT35" i="21" s="1"/>
  <c r="GE87" i="10" a="1"/>
  <c r="GE87" i="10" s="1"/>
  <c r="GE88" i="10" s="1"/>
  <c r="GH35" i="21" s="1"/>
  <c r="GR87" i="10" a="1"/>
  <c r="GR87" i="10" s="1"/>
  <c r="GR88" i="10" s="1"/>
  <c r="GU35" i="21" s="1"/>
  <c r="HE87" i="10" a="1"/>
  <c r="HE87" i="10" s="1"/>
  <c r="HE88" i="10" s="1"/>
  <c r="HH35" i="21" s="1"/>
  <c r="HR87" i="10" a="1"/>
  <c r="HR87" i="10" s="1"/>
  <c r="HR88" i="10" s="1"/>
  <c r="HU35" i="21" s="1"/>
  <c r="AU135" i="10" a="1"/>
  <c r="AU135" i="10" s="1"/>
  <c r="IR135" i="10" a="1"/>
  <c r="IR135" i="10" s="1"/>
  <c r="L119" i="10" a="1"/>
  <c r="L119" i="10" s="1"/>
  <c r="L120" i="10" s="1"/>
  <c r="O38" i="21" s="1"/>
  <c r="O148" i="21" s="1"/>
  <c r="Z119" i="10" a="1"/>
  <c r="Z119" i="10" s="1"/>
  <c r="Z120" i="10" s="1"/>
  <c r="AC38" i="21" s="1"/>
  <c r="AN119" i="10" a="1"/>
  <c r="AN119" i="10" s="1"/>
  <c r="AN120" i="10" s="1"/>
  <c r="AQ38" i="21" s="1"/>
  <c r="BB119" i="10" a="1"/>
  <c r="BB119" i="10" s="1"/>
  <c r="BB120" i="10" s="1"/>
  <c r="BE38" i="21" s="1"/>
  <c r="BQ119" i="10" a="1"/>
  <c r="BQ119" i="10" s="1"/>
  <c r="BQ120" i="10" s="1"/>
  <c r="BT38" i="21" s="1"/>
  <c r="CE119" i="10" a="1"/>
  <c r="CE119" i="10" s="1"/>
  <c r="CE120" i="10" s="1"/>
  <c r="CH38" i="21" s="1"/>
  <c r="CS119" i="10" a="1"/>
  <c r="CS119" i="10" s="1"/>
  <c r="CS120" i="10" s="1"/>
  <c r="CV38" i="21" s="1"/>
  <c r="DG119" i="10" a="1"/>
  <c r="DG119" i="10" s="1"/>
  <c r="DG120" i="10" s="1"/>
  <c r="DJ38" i="21" s="1"/>
  <c r="EJ119" i="10" a="1"/>
  <c r="EJ119" i="10" s="1"/>
  <c r="EJ120" i="10" s="1"/>
  <c r="EM38" i="21" s="1"/>
  <c r="EX119" i="10" a="1"/>
  <c r="EX119" i="10" s="1"/>
  <c r="EX120" i="10" s="1"/>
  <c r="FA38" i="21" s="1"/>
  <c r="FL119" i="10" a="1"/>
  <c r="FL119" i="10" s="1"/>
  <c r="FL120" i="10" s="1"/>
  <c r="FO38" i="21" s="1"/>
  <c r="FZ119" i="10" a="1"/>
  <c r="FZ119" i="10" s="1"/>
  <c r="FZ120" i="10" s="1"/>
  <c r="GC38" i="21" s="1"/>
  <c r="GO119" i="10" a="1"/>
  <c r="GO119" i="10" s="1"/>
  <c r="GO120" i="10" s="1"/>
  <c r="GR38" i="21" s="1"/>
  <c r="HC119" i="10" a="1"/>
  <c r="HC119" i="10" s="1"/>
  <c r="HC120" i="10" s="1"/>
  <c r="HF38" i="21" s="1"/>
  <c r="HQ119" i="10" a="1"/>
  <c r="HQ119" i="10" s="1"/>
  <c r="HQ120" i="10" s="1"/>
  <c r="HT38" i="21" s="1"/>
  <c r="IE119" i="10" a="1"/>
  <c r="IE119" i="10" s="1"/>
  <c r="IE120" i="10" s="1"/>
  <c r="IH38" i="21" s="1"/>
  <c r="JH119" i="10" a="1"/>
  <c r="JH119" i="10" s="1"/>
  <c r="JH120" i="10" s="1"/>
  <c r="JK38" i="21" s="1"/>
  <c r="JV119" i="10" a="1"/>
  <c r="JV119" i="10" s="1"/>
  <c r="JV120" i="10" s="1"/>
  <c r="JY38" i="21" s="1"/>
  <c r="N103" i="10" a="1"/>
  <c r="N103" i="10" s="1"/>
  <c r="N104" i="10" s="1"/>
  <c r="Q36" i="21" s="1"/>
  <c r="AC103" i="10" a="1"/>
  <c r="AC103" i="10" s="1"/>
  <c r="AC104" i="10" s="1"/>
  <c r="AF36" i="21" s="1"/>
  <c r="AQ103" i="10" a="1"/>
  <c r="AQ103" i="10" s="1"/>
  <c r="AQ104" i="10" s="1"/>
  <c r="AT36" i="21" s="1"/>
  <c r="BE103" i="10" a="1"/>
  <c r="BE103" i="10" s="1"/>
  <c r="BE104" i="10" s="1"/>
  <c r="BH36" i="21" s="1"/>
  <c r="BS103" i="10" a="1"/>
  <c r="BS103" i="10" s="1"/>
  <c r="BS104" i="10" s="1"/>
  <c r="BV36" i="21" s="1"/>
  <c r="CV103" i="10" a="1"/>
  <c r="CV103" i="10" s="1"/>
  <c r="CV104" i="10" s="1"/>
  <c r="CY36" i="21" s="1"/>
  <c r="DJ103" i="10" a="1"/>
  <c r="DJ103" i="10" s="1"/>
  <c r="DJ104" i="10" s="1"/>
  <c r="DM36" i="21" s="1"/>
  <c r="DX103" i="10" a="1"/>
  <c r="DX103" i="10" s="1"/>
  <c r="DX104" i="10" s="1"/>
  <c r="EA36" i="21" s="1"/>
  <c r="EL103" i="10" a="1"/>
  <c r="EL103" i="10" s="1"/>
  <c r="EL104" i="10" s="1"/>
  <c r="EO36" i="21" s="1"/>
  <c r="FA103" i="10" a="1"/>
  <c r="FA103" i="10" s="1"/>
  <c r="FA104" i="10" s="1"/>
  <c r="FD36" i="21" s="1"/>
  <c r="FO103" i="10" a="1"/>
  <c r="FO103" i="10" s="1"/>
  <c r="FO104" i="10" s="1"/>
  <c r="FR36" i="21" s="1"/>
  <c r="GC103" i="10" a="1"/>
  <c r="GC103" i="10" s="1"/>
  <c r="GC104" i="10" s="1"/>
  <c r="GF36" i="21" s="1"/>
  <c r="GQ103" i="10" a="1"/>
  <c r="GQ103" i="10" s="1"/>
  <c r="GQ104" i="10" s="1"/>
  <c r="GT36" i="21" s="1"/>
  <c r="HT103" i="10" a="1"/>
  <c r="HT103" i="10" s="1"/>
  <c r="HT104" i="10" s="1"/>
  <c r="HW36" i="21" s="1"/>
  <c r="IH103" i="10" a="1"/>
  <c r="IH103" i="10" s="1"/>
  <c r="IH104" i="10" s="1"/>
  <c r="IK36" i="21" s="1"/>
  <c r="IV103" i="10" a="1"/>
  <c r="IV103" i="10" s="1"/>
  <c r="IV104" i="10" s="1"/>
  <c r="IY36" i="21" s="1"/>
  <c r="JJ103" i="10" a="1"/>
  <c r="JJ103" i="10" s="1"/>
  <c r="JJ104" i="10" s="1"/>
  <c r="JM36" i="21" s="1"/>
  <c r="JY103" i="10" a="1"/>
  <c r="JY103" i="10" s="1"/>
  <c r="JY104" i="10" s="1"/>
  <c r="KB36" i="21" s="1"/>
  <c r="Q87" i="10" a="1"/>
  <c r="Q87" i="10" s="1"/>
  <c r="Q88" i="10" s="1"/>
  <c r="T35" i="21" s="1"/>
  <c r="AE87" i="10" a="1"/>
  <c r="AE87" i="10" s="1"/>
  <c r="AE88" i="10" s="1"/>
  <c r="AH35" i="21" s="1"/>
  <c r="BH87" i="10" a="1"/>
  <c r="BH87" i="10" s="1"/>
  <c r="BH88" i="10" s="1"/>
  <c r="BK35" i="21" s="1"/>
  <c r="BV87" i="10" a="1"/>
  <c r="BV87" i="10" s="1"/>
  <c r="BV88" i="10" s="1"/>
  <c r="BY35" i="21" s="1"/>
  <c r="CJ87" i="10" a="1"/>
  <c r="CJ87" i="10" s="1"/>
  <c r="CJ88" i="10" s="1"/>
  <c r="CM35" i="21" s="1"/>
  <c r="CX87" i="10" a="1"/>
  <c r="CX87" i="10" s="1"/>
  <c r="CX88" i="10" s="1"/>
  <c r="DA35" i="21" s="1"/>
  <c r="DM87" i="10" a="1"/>
  <c r="DM87" i="10" s="1"/>
  <c r="DM88" i="10" s="1"/>
  <c r="DP35" i="21" s="1"/>
  <c r="EA87" i="10" a="1"/>
  <c r="EA87" i="10" s="1"/>
  <c r="EA88" i="10" s="1"/>
  <c r="ED35" i="21" s="1"/>
  <c r="EO87" i="10" a="1"/>
  <c r="EO87" i="10" s="1"/>
  <c r="EO88" i="10" s="1"/>
  <c r="ER35" i="21" s="1"/>
  <c r="FC87" i="10" a="1"/>
  <c r="FC87" i="10" s="1"/>
  <c r="FC88" i="10" s="1"/>
  <c r="FF35" i="21" s="1"/>
  <c r="GF87" i="10" a="1"/>
  <c r="GF87" i="10" s="1"/>
  <c r="GF88" i="10" s="1"/>
  <c r="GI35" i="21" s="1"/>
  <c r="GS87" i="10" a="1"/>
  <c r="GS87" i="10" s="1"/>
  <c r="GS88" i="10" s="1"/>
  <c r="GV35" i="21" s="1"/>
  <c r="BH135" i="10" a="1"/>
  <c r="BH135" i="10" s="1"/>
  <c r="JE135" i="10" a="1"/>
  <c r="JE135" i="10" s="1"/>
  <c r="M119" i="10" a="1"/>
  <c r="M119" i="10" s="1"/>
  <c r="M120" i="10" s="1"/>
  <c r="P38" i="21" s="1"/>
  <c r="AA119" i="10" a="1"/>
  <c r="AA119" i="10" s="1"/>
  <c r="AA120" i="10" s="1"/>
  <c r="AD38" i="21" s="1"/>
  <c r="AO119" i="10" a="1"/>
  <c r="AO119" i="10" s="1"/>
  <c r="AO120" i="10" s="1"/>
  <c r="AR38" i="21" s="1"/>
  <c r="BC119" i="10" a="1"/>
  <c r="BC119" i="10" s="1"/>
  <c r="BC120" i="10" s="1"/>
  <c r="BF38" i="21" s="1"/>
  <c r="CF119" i="10" a="1"/>
  <c r="CF119" i="10" s="1"/>
  <c r="CF120" i="10" s="1"/>
  <c r="CI38" i="21" s="1"/>
  <c r="CT119" i="10" a="1"/>
  <c r="CT119" i="10" s="1"/>
  <c r="CT120" i="10" s="1"/>
  <c r="CW38" i="21" s="1"/>
  <c r="DH119" i="10" a="1"/>
  <c r="DH119" i="10" s="1"/>
  <c r="DH120" i="10" s="1"/>
  <c r="DK38" i="21" s="1"/>
  <c r="DV119" i="10" a="1"/>
  <c r="DV119" i="10" s="1"/>
  <c r="DV120" i="10" s="1"/>
  <c r="DY38" i="21" s="1"/>
  <c r="EK119" i="10" a="1"/>
  <c r="EK119" i="10" s="1"/>
  <c r="EK120" i="10" s="1"/>
  <c r="EN38" i="21" s="1"/>
  <c r="EY119" i="10" a="1"/>
  <c r="EY119" i="10" s="1"/>
  <c r="EY120" i="10" s="1"/>
  <c r="FB38" i="21" s="1"/>
  <c r="FM119" i="10" a="1"/>
  <c r="FM119" i="10" s="1"/>
  <c r="FM120" i="10" s="1"/>
  <c r="FP38" i="21" s="1"/>
  <c r="GA119" i="10" a="1"/>
  <c r="GA119" i="10" s="1"/>
  <c r="GA120" i="10" s="1"/>
  <c r="GD38" i="21" s="1"/>
  <c r="HD119" i="10" a="1"/>
  <c r="HD119" i="10" s="1"/>
  <c r="HD120" i="10" s="1"/>
  <c r="HG38" i="21" s="1"/>
  <c r="HR119" i="10" a="1"/>
  <c r="HR119" i="10" s="1"/>
  <c r="HR120" i="10" s="1"/>
  <c r="HU38" i="21" s="1"/>
  <c r="IF119" i="10" a="1"/>
  <c r="IF119" i="10" s="1"/>
  <c r="IF120" i="10" s="1"/>
  <c r="II38" i="21" s="1"/>
  <c r="IT119" i="10" a="1"/>
  <c r="IT119" i="10" s="1"/>
  <c r="IT120" i="10" s="1"/>
  <c r="IW38" i="21" s="1"/>
  <c r="JI119" i="10" a="1"/>
  <c r="JI119" i="10" s="1"/>
  <c r="JI120" i="10" s="1"/>
  <c r="JL38" i="21" s="1"/>
  <c r="JW119" i="10" a="1"/>
  <c r="JW119" i="10" s="1"/>
  <c r="JW120" i="10" s="1"/>
  <c r="JZ38" i="21" s="1"/>
  <c r="O103" i="10" a="1"/>
  <c r="O103" i="10" s="1"/>
  <c r="O104" i="10" s="1"/>
  <c r="R36" i="21" s="1"/>
  <c r="AR103" i="10" a="1"/>
  <c r="AR103" i="10" s="1"/>
  <c r="AR104" i="10" s="1"/>
  <c r="AU36" i="21" s="1"/>
  <c r="BF103" i="10" a="1"/>
  <c r="BF103" i="10" s="1"/>
  <c r="BF104" i="10" s="1"/>
  <c r="BI36" i="21" s="1"/>
  <c r="BT103" i="10" a="1"/>
  <c r="BT103" i="10" s="1"/>
  <c r="BT104" i="10" s="1"/>
  <c r="BW36" i="21" s="1"/>
  <c r="CH103" i="10" a="1"/>
  <c r="CH103" i="10" s="1"/>
  <c r="CH104" i="10" s="1"/>
  <c r="CK36" i="21" s="1"/>
  <c r="CW103" i="10" a="1"/>
  <c r="CW103" i="10" s="1"/>
  <c r="CW104" i="10" s="1"/>
  <c r="CZ36" i="21" s="1"/>
  <c r="DK103" i="10" a="1"/>
  <c r="DK103" i="10" s="1"/>
  <c r="DK104" i="10" s="1"/>
  <c r="DN36" i="21" s="1"/>
  <c r="DY103" i="10" a="1"/>
  <c r="DY103" i="10" s="1"/>
  <c r="DY104" i="10" s="1"/>
  <c r="EB36" i="21" s="1"/>
  <c r="EM103" i="10" a="1"/>
  <c r="EM103" i="10" s="1"/>
  <c r="EM104" i="10" s="1"/>
  <c r="EP36" i="21" s="1"/>
  <c r="FP103" i="10" a="1"/>
  <c r="FP103" i="10" s="1"/>
  <c r="FP104" i="10" s="1"/>
  <c r="FS36" i="21" s="1"/>
  <c r="GD103" i="10" a="1"/>
  <c r="GD103" i="10" s="1"/>
  <c r="GD104" i="10" s="1"/>
  <c r="GG36" i="21" s="1"/>
  <c r="GR103" i="10" a="1"/>
  <c r="GR103" i="10" s="1"/>
  <c r="GR104" i="10" s="1"/>
  <c r="GU36" i="21" s="1"/>
  <c r="HF103" i="10" a="1"/>
  <c r="HF103" i="10" s="1"/>
  <c r="HF104" i="10" s="1"/>
  <c r="HI36" i="21" s="1"/>
  <c r="HU103" i="10" a="1"/>
  <c r="HU103" i="10" s="1"/>
  <c r="HU104" i="10" s="1"/>
  <c r="HX36" i="21" s="1"/>
  <c r="II103" i="10" a="1"/>
  <c r="II103" i="10" s="1"/>
  <c r="II104" i="10" s="1"/>
  <c r="IL36" i="21" s="1"/>
  <c r="IW103" i="10" a="1"/>
  <c r="IW103" i="10" s="1"/>
  <c r="IW104" i="10" s="1"/>
  <c r="IZ36" i="21" s="1"/>
  <c r="JK103" i="10" a="1"/>
  <c r="JK103" i="10" s="1"/>
  <c r="JK104" i="10" s="1"/>
  <c r="JN36" i="21" s="1"/>
  <c r="R87" i="10" a="1"/>
  <c r="R87" i="10" s="1"/>
  <c r="R88" i="10" s="1"/>
  <c r="U35" i="21" s="1"/>
  <c r="AF87" i="10" a="1"/>
  <c r="AF87" i="10" s="1"/>
  <c r="AF88" i="10" s="1"/>
  <c r="AI35" i="21" s="1"/>
  <c r="AT87" i="10" a="1"/>
  <c r="AT87" i="10" s="1"/>
  <c r="AT88" i="10" s="1"/>
  <c r="AW35" i="21" s="1"/>
  <c r="BI87" i="10" a="1"/>
  <c r="BI87" i="10" s="1"/>
  <c r="BI88" i="10" s="1"/>
  <c r="BL35" i="21" s="1"/>
  <c r="BW87" i="10" a="1"/>
  <c r="BW87" i="10" s="1"/>
  <c r="BW88" i="10" s="1"/>
  <c r="BZ35" i="21" s="1"/>
  <c r="CK87" i="10" a="1"/>
  <c r="CK87" i="10" s="1"/>
  <c r="CK88" i="10" s="1"/>
  <c r="CN35" i="21" s="1"/>
  <c r="CY87" i="10" a="1"/>
  <c r="CY87" i="10" s="1"/>
  <c r="CY88" i="10" s="1"/>
  <c r="DB35" i="21" s="1"/>
  <c r="EB87" i="10" a="1"/>
  <c r="EB87" i="10" s="1"/>
  <c r="EB88" i="10" s="1"/>
  <c r="EE35" i="21" s="1"/>
  <c r="EP87" i="10" a="1"/>
  <c r="EP87" i="10" s="1"/>
  <c r="EP88" i="10" s="1"/>
  <c r="ES35" i="21" s="1"/>
  <c r="FD87" i="10" a="1"/>
  <c r="FD87" i="10" s="1"/>
  <c r="FD88" i="10" s="1"/>
  <c r="FG35" i="21" s="1"/>
  <c r="FR87" i="10" a="1"/>
  <c r="FR87" i="10" s="1"/>
  <c r="FR88" i="10" s="1"/>
  <c r="FU35" i="21" s="1"/>
  <c r="GG87" i="10" a="1"/>
  <c r="GG87" i="10" s="1"/>
  <c r="GG88" i="10" s="1"/>
  <c r="GJ35" i="21" s="1"/>
  <c r="GT87" i="10" a="1"/>
  <c r="GT87" i="10" s="1"/>
  <c r="GT88" i="10" s="1"/>
  <c r="GW35" i="21" s="1"/>
  <c r="HF87" i="10" a="1"/>
  <c r="HF87" i="10" s="1"/>
  <c r="HF88" i="10" s="1"/>
  <c r="HI35" i="21" s="1"/>
  <c r="BU135" i="10" a="1"/>
  <c r="BU135" i="10" s="1"/>
  <c r="JQ135" i="10" a="1"/>
  <c r="JQ135" i="10" s="1"/>
  <c r="KC87" i="10" a="1"/>
  <c r="KC87" i="10" s="1"/>
  <c r="KC88" i="10" s="1"/>
  <c r="KF35" i="21" s="1"/>
  <c r="JP87" i="10" a="1"/>
  <c r="JP87" i="10" s="1"/>
  <c r="JP88" i="10" s="1"/>
  <c r="JS35" i="21" s="1"/>
  <c r="JC87" i="10" a="1"/>
  <c r="JC87" i="10" s="1"/>
  <c r="JC88" i="10" s="1"/>
  <c r="JF35" i="21" s="1"/>
  <c r="KB87" i="10" a="1"/>
  <c r="KB87" i="10" s="1"/>
  <c r="KB88" i="10" s="1"/>
  <c r="KE35" i="21" s="1"/>
  <c r="JO87" i="10" a="1"/>
  <c r="JO87" i="10" s="1"/>
  <c r="JO88" i="10" s="1"/>
  <c r="JR35" i="21" s="1"/>
  <c r="JB87" i="10" a="1"/>
  <c r="JB87" i="10" s="1"/>
  <c r="JB88" i="10" s="1"/>
  <c r="JE35" i="21" s="1"/>
  <c r="IP87" i="10" a="1"/>
  <c r="IP87" i="10" s="1"/>
  <c r="IP88" i="10" s="1"/>
  <c r="IS35" i="21" s="1"/>
  <c r="IC87" i="10" a="1"/>
  <c r="IC87" i="10" s="1"/>
  <c r="IC88" i="10" s="1"/>
  <c r="IF35" i="21" s="1"/>
  <c r="KA87" i="10" a="1"/>
  <c r="KA87" i="10" s="1"/>
  <c r="KA88" i="10" s="1"/>
  <c r="KD35" i="21" s="1"/>
  <c r="IO87" i="10" a="1"/>
  <c r="IO87" i="10" s="1"/>
  <c r="IO88" i="10" s="1"/>
  <c r="IR35" i="21" s="1"/>
  <c r="IB87" i="10" a="1"/>
  <c r="IB87" i="10" s="1"/>
  <c r="IB88" i="10" s="1"/>
  <c r="IE35" i="21" s="1"/>
  <c r="JZ87" i="10" a="1"/>
  <c r="JZ87" i="10" s="1"/>
  <c r="JZ88" i="10" s="1"/>
  <c r="KC35" i="21" s="1"/>
  <c r="JN87" i="10" a="1"/>
  <c r="JN87" i="10" s="1"/>
  <c r="JN88" i="10" s="1"/>
  <c r="JQ35" i="21" s="1"/>
  <c r="JA87" i="10" a="1"/>
  <c r="JA87" i="10" s="1"/>
  <c r="JA88" i="10" s="1"/>
  <c r="JD35" i="21" s="1"/>
  <c r="IN87" i="10" a="1"/>
  <c r="IN87" i="10" s="1"/>
  <c r="IN88" i="10" s="1"/>
  <c r="IQ35" i="21" s="1"/>
  <c r="IA87" i="10" a="1"/>
  <c r="IA87" i="10" s="1"/>
  <c r="IA88" i="10" s="1"/>
  <c r="ID35" i="21" s="1"/>
  <c r="JM87" i="10" a="1"/>
  <c r="JM87" i="10" s="1"/>
  <c r="JM88" i="10" s="1"/>
  <c r="JP35" i="21" s="1"/>
  <c r="IZ87" i="10" a="1"/>
  <c r="IZ87" i="10" s="1"/>
  <c r="IZ88" i="10" s="1"/>
  <c r="JC35" i="21" s="1"/>
  <c r="IM87" i="10" a="1"/>
  <c r="IM87" i="10" s="1"/>
  <c r="IM88" i="10" s="1"/>
  <c r="IP35" i="21" s="1"/>
  <c r="JY87" i="10" a="1"/>
  <c r="JY87" i="10" s="1"/>
  <c r="JY88" i="10" s="1"/>
  <c r="KB35" i="21" s="1"/>
  <c r="JL87" i="10" a="1"/>
  <c r="JL87" i="10" s="1"/>
  <c r="JL88" i="10" s="1"/>
  <c r="JO35" i="21" s="1"/>
  <c r="IY87" i="10" a="1"/>
  <c r="IY87" i="10" s="1"/>
  <c r="IY88" i="10" s="1"/>
  <c r="JB35" i="21" s="1"/>
  <c r="IL87" i="10" a="1"/>
  <c r="IL87" i="10" s="1"/>
  <c r="IL88" i="10" s="1"/>
  <c r="IO35" i="21" s="1"/>
  <c r="HZ87" i="10" a="1"/>
  <c r="HZ87" i="10" s="1"/>
  <c r="HZ88" i="10" s="1"/>
  <c r="IC35" i="21" s="1"/>
  <c r="JX87" i="10" a="1"/>
  <c r="JX87" i="10" s="1"/>
  <c r="JX88" i="10" s="1"/>
  <c r="KA35" i="21" s="1"/>
  <c r="JK87" i="10" a="1"/>
  <c r="JK87" i="10" s="1"/>
  <c r="JK88" i="10" s="1"/>
  <c r="JN35" i="21" s="1"/>
  <c r="HY87" i="10" a="1"/>
  <c r="HY87" i="10" s="1"/>
  <c r="HY88" i="10" s="1"/>
  <c r="IB35" i="21" s="1"/>
  <c r="JW87" i="10" a="1"/>
  <c r="JW87" i="10" s="1"/>
  <c r="JW88" i="10" s="1"/>
  <c r="JZ35" i="21" s="1"/>
  <c r="JJ87" i="10" a="1"/>
  <c r="JJ87" i="10" s="1"/>
  <c r="JJ88" i="10" s="1"/>
  <c r="JM35" i="21" s="1"/>
  <c r="IX87" i="10" a="1"/>
  <c r="IX87" i="10" s="1"/>
  <c r="IX88" i="10" s="1"/>
  <c r="JA35" i="21" s="1"/>
  <c r="IK87" i="10" a="1"/>
  <c r="IK87" i="10" s="1"/>
  <c r="IK88" i="10" s="1"/>
  <c r="IN35" i="21" s="1"/>
  <c r="IW87" i="10" a="1"/>
  <c r="IW87" i="10" s="1"/>
  <c r="IW88" i="10" s="1"/>
  <c r="IZ35" i="21" s="1"/>
  <c r="IJ87" i="10" a="1"/>
  <c r="IJ87" i="10" s="1"/>
  <c r="IJ88" i="10" s="1"/>
  <c r="IM35" i="21" s="1"/>
  <c r="JV87" i="10" a="1"/>
  <c r="JV87" i="10" s="1"/>
  <c r="JV88" i="10" s="1"/>
  <c r="JY35" i="21" s="1"/>
  <c r="JI87" i="10" a="1"/>
  <c r="JI87" i="10" s="1"/>
  <c r="JI88" i="10" s="1"/>
  <c r="JL35" i="21" s="1"/>
  <c r="IV87" i="10" a="1"/>
  <c r="IV87" i="10" s="1"/>
  <c r="IV88" i="10" s="1"/>
  <c r="IY35" i="21" s="1"/>
  <c r="II87" i="10" a="1"/>
  <c r="II87" i="10" s="1"/>
  <c r="II88" i="10" s="1"/>
  <c r="IL35" i="21" s="1"/>
  <c r="JU87" i="10" a="1"/>
  <c r="JU87" i="10" s="1"/>
  <c r="JU88" i="10" s="1"/>
  <c r="JX35" i="21" s="1"/>
  <c r="JH87" i="10" a="1"/>
  <c r="JH87" i="10" s="1"/>
  <c r="JH88" i="10" s="1"/>
  <c r="JK35" i="21" s="1"/>
  <c r="IU87" i="10" a="1"/>
  <c r="IU87" i="10" s="1"/>
  <c r="IU88" i="10" s="1"/>
  <c r="IX35" i="21" s="1"/>
  <c r="JT87" i="10" a="1"/>
  <c r="JT87" i="10" s="1"/>
  <c r="JT88" i="10" s="1"/>
  <c r="JW35" i="21" s="1"/>
  <c r="JG87" i="10" a="1"/>
  <c r="JG87" i="10" s="1"/>
  <c r="JG88" i="10" s="1"/>
  <c r="JJ35" i="21" s="1"/>
  <c r="IT87" i="10" a="1"/>
  <c r="IT87" i="10" s="1"/>
  <c r="IT88" i="10" s="1"/>
  <c r="IW35" i="21" s="1"/>
  <c r="IH87" i="10" a="1"/>
  <c r="IH87" i="10" s="1"/>
  <c r="IH88" i="10" s="1"/>
  <c r="IK35" i="21" s="1"/>
  <c r="KF87" i="10" a="1"/>
  <c r="KF87" i="10" s="1"/>
  <c r="KF88" i="10" s="1"/>
  <c r="KI35" i="21" s="1"/>
  <c r="JS87" i="10" a="1"/>
  <c r="JS87" i="10" s="1"/>
  <c r="JS88" i="10" s="1"/>
  <c r="JV35" i="21" s="1"/>
  <c r="IG87" i="10" a="1"/>
  <c r="IG87" i="10" s="1"/>
  <c r="IG88" i="10" s="1"/>
  <c r="IJ35" i="21" s="1"/>
  <c r="KE87" i="10" a="1"/>
  <c r="KE87" i="10" s="1"/>
  <c r="KE88" i="10" s="1"/>
  <c r="KH35" i="21" s="1"/>
  <c r="JR87" i="10" a="1"/>
  <c r="JR87" i="10" s="1"/>
  <c r="JR88" i="10" s="1"/>
  <c r="JU35" i="21" s="1"/>
  <c r="JF87" i="10" a="1"/>
  <c r="JF87" i="10" s="1"/>
  <c r="JF88" i="10" s="1"/>
  <c r="JI35" i="21" s="1"/>
  <c r="IS87" i="10" a="1"/>
  <c r="IS87" i="10" s="1"/>
  <c r="IS88" i="10" s="1"/>
  <c r="IV35" i="21" s="1"/>
  <c r="IF87" i="10" a="1"/>
  <c r="IF87" i="10" s="1"/>
  <c r="IF88" i="10" s="1"/>
  <c r="II35" i="21" s="1"/>
  <c r="KD87" i="10" a="1"/>
  <c r="KD87" i="10" s="1"/>
  <c r="KD88" i="10" s="1"/>
  <c r="KG35" i="21" s="1"/>
  <c r="JQ87" i="10" a="1"/>
  <c r="JQ87" i="10" s="1"/>
  <c r="JQ88" i="10" s="1"/>
  <c r="JT35" i="21" s="1"/>
  <c r="JD87" i="10" a="1"/>
  <c r="JD87" i="10" s="1"/>
  <c r="JD88" i="10" s="1"/>
  <c r="JG35" i="21" s="1"/>
  <c r="IQ87" i="10" a="1"/>
  <c r="IQ87" i="10" s="1"/>
  <c r="IQ88" i="10" s="1"/>
  <c r="IT35" i="21" s="1"/>
  <c r="ID87" i="10" a="1"/>
  <c r="ID87" i="10" s="1"/>
  <c r="ID88" i="10" s="1"/>
  <c r="IG35" i="21" s="1"/>
  <c r="AB119" i="10" a="1"/>
  <c r="AB119" i="10" s="1"/>
  <c r="AB120" i="10" s="1"/>
  <c r="AE38" i="21" s="1"/>
  <c r="AP119" i="10" a="1"/>
  <c r="AP119" i="10" s="1"/>
  <c r="AP120" i="10" s="1"/>
  <c r="AS38" i="21" s="1"/>
  <c r="BD119" i="10" a="1"/>
  <c r="BD119" i="10" s="1"/>
  <c r="BD120" i="10" s="1"/>
  <c r="BG38" i="21" s="1"/>
  <c r="BR119" i="10" a="1"/>
  <c r="BR119" i="10" s="1"/>
  <c r="BR120" i="10" s="1"/>
  <c r="BU38" i="21" s="1"/>
  <c r="CG119" i="10" a="1"/>
  <c r="CG119" i="10" s="1"/>
  <c r="CG120" i="10" s="1"/>
  <c r="CJ38" i="21" s="1"/>
  <c r="CU119" i="10" a="1"/>
  <c r="CU119" i="10" s="1"/>
  <c r="CU120" i="10" s="1"/>
  <c r="CX38" i="21" s="1"/>
  <c r="DI119" i="10" a="1"/>
  <c r="DI119" i="10" s="1"/>
  <c r="DI120" i="10" s="1"/>
  <c r="DL38" i="21" s="1"/>
  <c r="DW119" i="10" a="1"/>
  <c r="DW119" i="10" s="1"/>
  <c r="DW120" i="10" s="1"/>
  <c r="DZ38" i="21" s="1"/>
  <c r="EZ119" i="10" a="1"/>
  <c r="EZ119" i="10" s="1"/>
  <c r="EZ120" i="10" s="1"/>
  <c r="FC38" i="21" s="1"/>
  <c r="FN119" i="10" a="1"/>
  <c r="FN119" i="10" s="1"/>
  <c r="FN120" i="10" s="1"/>
  <c r="FQ38" i="21" s="1"/>
  <c r="GB119" i="10" a="1"/>
  <c r="GB119" i="10" s="1"/>
  <c r="GB120" i="10" s="1"/>
  <c r="GE38" i="21" s="1"/>
  <c r="GP119" i="10" a="1"/>
  <c r="GP119" i="10" s="1"/>
  <c r="GP120" i="10" s="1"/>
  <c r="GS38" i="21" s="1"/>
  <c r="HE119" i="10" a="1"/>
  <c r="HE119" i="10" s="1"/>
  <c r="HE120" i="10" s="1"/>
  <c r="HH38" i="21" s="1"/>
  <c r="HS119" i="10" a="1"/>
  <c r="HS119" i="10" s="1"/>
  <c r="HS120" i="10" s="1"/>
  <c r="HV38" i="21" s="1"/>
  <c r="IG119" i="10" a="1"/>
  <c r="IG119" i="10" s="1"/>
  <c r="IG120" i="10" s="1"/>
  <c r="IJ38" i="21" s="1"/>
  <c r="IU119" i="10" a="1"/>
  <c r="IU119" i="10" s="1"/>
  <c r="IU120" i="10" s="1"/>
  <c r="IX38" i="21" s="1"/>
  <c r="JX119" i="10" a="1"/>
  <c r="JX119" i="10" s="1"/>
  <c r="JX120" i="10" s="1"/>
  <c r="KA38" i="21" s="1"/>
  <c r="P103" i="10" a="1"/>
  <c r="P103" i="10" s="1"/>
  <c r="P104" i="10" s="1"/>
  <c r="S36" i="21" s="1"/>
  <c r="AD103" i="10" a="1"/>
  <c r="AD103" i="10" s="1"/>
  <c r="AD104" i="10" s="1"/>
  <c r="AG36" i="21" s="1"/>
  <c r="AS103" i="10" a="1"/>
  <c r="AS103" i="10" s="1"/>
  <c r="AS104" i="10" s="1"/>
  <c r="AV36" i="21" s="1"/>
  <c r="BG103" i="10" a="1"/>
  <c r="BG103" i="10" s="1"/>
  <c r="BG104" i="10" s="1"/>
  <c r="BJ36" i="21" s="1"/>
  <c r="BU103" i="10" a="1"/>
  <c r="BU103" i="10" s="1"/>
  <c r="BU104" i="10" s="1"/>
  <c r="BX36" i="21" s="1"/>
  <c r="CI103" i="10" a="1"/>
  <c r="CI103" i="10" s="1"/>
  <c r="CI104" i="10" s="1"/>
  <c r="CL36" i="21" s="1"/>
  <c r="DL103" i="10" a="1"/>
  <c r="DL103" i="10" s="1"/>
  <c r="DL104" i="10" s="1"/>
  <c r="DO36" i="21" s="1"/>
  <c r="DZ103" i="10" a="1"/>
  <c r="DZ103" i="10" s="1"/>
  <c r="DZ104" i="10" s="1"/>
  <c r="EC36" i="21" s="1"/>
  <c r="EN103" i="10" a="1"/>
  <c r="EN103" i="10" s="1"/>
  <c r="EN104" i="10" s="1"/>
  <c r="EQ36" i="21" s="1"/>
  <c r="FB103" i="10" a="1"/>
  <c r="FB103" i="10" s="1"/>
  <c r="FB104" i="10" s="1"/>
  <c r="FE36" i="21" s="1"/>
  <c r="FQ103" i="10" a="1"/>
  <c r="FQ103" i="10" s="1"/>
  <c r="FQ104" i="10" s="1"/>
  <c r="FT36" i="21" s="1"/>
  <c r="GE103" i="10" a="1"/>
  <c r="GE103" i="10" s="1"/>
  <c r="GE104" i="10" s="1"/>
  <c r="GH36" i="21" s="1"/>
  <c r="GS103" i="10" a="1"/>
  <c r="GS103" i="10" s="1"/>
  <c r="GS104" i="10" s="1"/>
  <c r="GV36" i="21" s="1"/>
  <c r="HG103" i="10" a="1"/>
  <c r="HG103" i="10" s="1"/>
  <c r="HG104" i="10" s="1"/>
  <c r="HJ36" i="21" s="1"/>
  <c r="IJ103" i="10" a="1"/>
  <c r="IJ103" i="10" s="1"/>
  <c r="IJ104" i="10" s="1"/>
  <c r="IM36" i="21" s="1"/>
  <c r="IX103" i="10" a="1"/>
  <c r="IX103" i="10" s="1"/>
  <c r="IX104" i="10" s="1"/>
  <c r="JA36" i="21" s="1"/>
  <c r="JL103" i="10" a="1"/>
  <c r="JL103" i="10" s="1"/>
  <c r="JL104" i="10" s="1"/>
  <c r="JO36" i="21" s="1"/>
  <c r="JZ103" i="10" a="1"/>
  <c r="JZ103" i="10" s="1"/>
  <c r="JZ104" i="10" s="1"/>
  <c r="KC36" i="21" s="1"/>
  <c r="S87" i="10" a="1"/>
  <c r="S87" i="10" s="1"/>
  <c r="S88" i="10" s="1"/>
  <c r="V35" i="21" s="1"/>
  <c r="AG87" i="10" a="1"/>
  <c r="AG87" i="10" s="1"/>
  <c r="AG88" i="10" s="1"/>
  <c r="AJ35" i="21" s="1"/>
  <c r="AU87" i="10" a="1"/>
  <c r="AU87" i="10" s="1"/>
  <c r="AU88" i="10" s="1"/>
  <c r="AX35" i="21" s="1"/>
  <c r="BX87" i="10" a="1"/>
  <c r="BX87" i="10" s="1"/>
  <c r="BX88" i="10" s="1"/>
  <c r="CA35" i="21" s="1"/>
  <c r="CL87" i="10" a="1"/>
  <c r="CL87" i="10" s="1"/>
  <c r="CL88" i="10" s="1"/>
  <c r="CO35" i="21" s="1"/>
  <c r="CZ87" i="10" a="1"/>
  <c r="CZ87" i="10" s="1"/>
  <c r="CZ88" i="10" s="1"/>
  <c r="DC35" i="21" s="1"/>
  <c r="DN87" i="10" a="1"/>
  <c r="DN87" i="10" s="1"/>
  <c r="DN88" i="10" s="1"/>
  <c r="DQ35" i="21" s="1"/>
  <c r="EC87" i="10" a="1"/>
  <c r="EC87" i="10" s="1"/>
  <c r="EC88" i="10" s="1"/>
  <c r="EF35" i="21" s="1"/>
  <c r="EQ87" i="10" a="1"/>
  <c r="EQ87" i="10" s="1"/>
  <c r="EQ88" i="10" s="1"/>
  <c r="ET35" i="21" s="1"/>
  <c r="FE87" i="10" a="1"/>
  <c r="FE87" i="10" s="1"/>
  <c r="FE88" i="10" s="1"/>
  <c r="FH35" i="21" s="1"/>
  <c r="FS87" i="10" a="1"/>
  <c r="FS87" i="10" s="1"/>
  <c r="FS88" i="10" s="1"/>
  <c r="FV35" i="21" s="1"/>
  <c r="HG87" i="10" a="1"/>
  <c r="HG87" i="10" s="1"/>
  <c r="HG88" i="10" s="1"/>
  <c r="HJ35" i="21" s="1"/>
  <c r="HT87" i="10" a="1"/>
  <c r="HT87" i="10" s="1"/>
  <c r="HT88" i="10" s="1"/>
  <c r="HW35" i="21" s="1"/>
  <c r="KC135" i="10" a="1"/>
  <c r="KC135" i="10" s="1"/>
  <c r="N119" i="10" a="1"/>
  <c r="N119" i="10" s="1"/>
  <c r="N120" i="10" s="1"/>
  <c r="Q38" i="21" s="1"/>
  <c r="AC119" i="10" a="1"/>
  <c r="AC119" i="10" s="1"/>
  <c r="AC120" i="10" s="1"/>
  <c r="AF38" i="21" s="1"/>
  <c r="AQ119" i="10" a="1"/>
  <c r="AQ119" i="10" s="1"/>
  <c r="AQ120" i="10" s="1"/>
  <c r="AT38" i="21" s="1"/>
  <c r="BE119" i="10" a="1"/>
  <c r="BE119" i="10" s="1"/>
  <c r="BE120" i="10" s="1"/>
  <c r="BH38" i="21" s="1"/>
  <c r="BS119" i="10" a="1"/>
  <c r="BS119" i="10" s="1"/>
  <c r="BS120" i="10" s="1"/>
  <c r="BV38" i="21" s="1"/>
  <c r="CV119" i="10" a="1"/>
  <c r="CV119" i="10" s="1"/>
  <c r="CV120" i="10" s="1"/>
  <c r="CY38" i="21" s="1"/>
  <c r="DJ119" i="10" a="1"/>
  <c r="DJ119" i="10" s="1"/>
  <c r="DJ120" i="10" s="1"/>
  <c r="DM38" i="21" s="1"/>
  <c r="DX119" i="10" a="1"/>
  <c r="DX119" i="10" s="1"/>
  <c r="DX120" i="10" s="1"/>
  <c r="EA38" i="21" s="1"/>
  <c r="EL119" i="10" a="1"/>
  <c r="EL119" i="10" s="1"/>
  <c r="EL120" i="10" s="1"/>
  <c r="EO38" i="21" s="1"/>
  <c r="FA119" i="10" a="1"/>
  <c r="FA119" i="10" s="1"/>
  <c r="FA120" i="10" s="1"/>
  <c r="FD38" i="21" s="1"/>
  <c r="FO119" i="10" a="1"/>
  <c r="FO119" i="10" s="1"/>
  <c r="FO120" i="10" s="1"/>
  <c r="FR38" i="21" s="1"/>
  <c r="GC119" i="10" a="1"/>
  <c r="GC119" i="10" s="1"/>
  <c r="GC120" i="10" s="1"/>
  <c r="GF38" i="21" s="1"/>
  <c r="GQ119" i="10" a="1"/>
  <c r="GQ119" i="10" s="1"/>
  <c r="GQ120" i="10" s="1"/>
  <c r="GT38" i="21" s="1"/>
  <c r="HT119" i="10" a="1"/>
  <c r="HT119" i="10" s="1"/>
  <c r="HT120" i="10" s="1"/>
  <c r="HW38" i="21" s="1"/>
  <c r="IH119" i="10" a="1"/>
  <c r="IH119" i="10" s="1"/>
  <c r="IH120" i="10" s="1"/>
  <c r="IK38" i="21" s="1"/>
  <c r="IV119" i="10" a="1"/>
  <c r="IV119" i="10" s="1"/>
  <c r="IV120" i="10" s="1"/>
  <c r="IY38" i="21" s="1"/>
  <c r="JJ119" i="10" a="1"/>
  <c r="JJ119" i="10" s="1"/>
  <c r="JJ120" i="10" s="1"/>
  <c r="JM38" i="21" s="1"/>
  <c r="JY119" i="10" a="1"/>
  <c r="JY119" i="10" s="1"/>
  <c r="JY120" i="10" s="1"/>
  <c r="KB38" i="21" s="1"/>
  <c r="Q103" i="10" a="1"/>
  <c r="Q103" i="10" s="1"/>
  <c r="Q104" i="10" s="1"/>
  <c r="T36" i="21" s="1"/>
  <c r="AE103" i="10" a="1"/>
  <c r="AE103" i="10" s="1"/>
  <c r="AE104" i="10" s="1"/>
  <c r="AH36" i="21" s="1"/>
  <c r="BH103" i="10" a="1"/>
  <c r="BH103" i="10" s="1"/>
  <c r="BH104" i="10" s="1"/>
  <c r="BK36" i="21" s="1"/>
  <c r="BV103" i="10" a="1"/>
  <c r="BV103" i="10" s="1"/>
  <c r="BV104" i="10" s="1"/>
  <c r="BY36" i="21" s="1"/>
  <c r="CJ103" i="10" a="1"/>
  <c r="CJ103" i="10" s="1"/>
  <c r="CJ104" i="10" s="1"/>
  <c r="CM36" i="21" s="1"/>
  <c r="CX103" i="10" a="1"/>
  <c r="CX103" i="10" s="1"/>
  <c r="CX104" i="10" s="1"/>
  <c r="DA36" i="21" s="1"/>
  <c r="DM103" i="10" a="1"/>
  <c r="DM103" i="10" s="1"/>
  <c r="DM104" i="10" s="1"/>
  <c r="DP36" i="21" s="1"/>
  <c r="EA103" i="10" a="1"/>
  <c r="EA103" i="10" s="1"/>
  <c r="EA104" i="10" s="1"/>
  <c r="ED36" i="21" s="1"/>
  <c r="EO103" i="10" a="1"/>
  <c r="EO103" i="10" s="1"/>
  <c r="EO104" i="10" s="1"/>
  <c r="ER36" i="21" s="1"/>
  <c r="FC103" i="10" a="1"/>
  <c r="FC103" i="10" s="1"/>
  <c r="FC104" i="10" s="1"/>
  <c r="FF36" i="21" s="1"/>
  <c r="GF103" i="10" a="1"/>
  <c r="GF103" i="10" s="1"/>
  <c r="GF104" i="10" s="1"/>
  <c r="GI36" i="21" s="1"/>
  <c r="GT103" i="10" a="1"/>
  <c r="GT103" i="10" s="1"/>
  <c r="GT104" i="10" s="1"/>
  <c r="GW36" i="21" s="1"/>
  <c r="HH103" i="10" a="1"/>
  <c r="HH103" i="10" s="1"/>
  <c r="HH104" i="10" s="1"/>
  <c r="HK36" i="21" s="1"/>
  <c r="HV103" i="10" a="1"/>
  <c r="HV103" i="10" s="1"/>
  <c r="HV104" i="10" s="1"/>
  <c r="HY36" i="21" s="1"/>
  <c r="IK103" i="10" a="1"/>
  <c r="IK103" i="10" s="1"/>
  <c r="IK104" i="10" s="1"/>
  <c r="IN36" i="21" s="1"/>
  <c r="IY103" i="10" a="1"/>
  <c r="IY103" i="10" s="1"/>
  <c r="IY104" i="10" s="1"/>
  <c r="JB36" i="21" s="1"/>
  <c r="JM103" i="10" a="1"/>
  <c r="JM103" i="10" s="1"/>
  <c r="JM104" i="10" s="1"/>
  <c r="JP36" i="21" s="1"/>
  <c r="KA103" i="10" a="1"/>
  <c r="KA103" i="10" s="1"/>
  <c r="KA104" i="10" s="1"/>
  <c r="KD36" i="21" s="1"/>
  <c r="T87" i="10" a="1"/>
  <c r="T87" i="10" s="1"/>
  <c r="T88" i="10" s="1"/>
  <c r="W35" i="21" s="1"/>
  <c r="AH87" i="10" a="1"/>
  <c r="AH87" i="10" s="1"/>
  <c r="AH88" i="10" s="1"/>
  <c r="AK35" i="21" s="1"/>
  <c r="AV87" i="10" a="1"/>
  <c r="AV87" i="10" s="1"/>
  <c r="AV88" i="10" s="1"/>
  <c r="AY35" i="21" s="1"/>
  <c r="BJ87" i="10" a="1"/>
  <c r="BJ87" i="10" s="1"/>
  <c r="BJ88" i="10" s="1"/>
  <c r="BM35" i="21" s="1"/>
  <c r="BY87" i="10" a="1"/>
  <c r="BY87" i="10" s="1"/>
  <c r="BY88" i="10" s="1"/>
  <c r="CB35" i="21" s="1"/>
  <c r="CM87" i="10" a="1"/>
  <c r="CM87" i="10" s="1"/>
  <c r="CM88" i="10" s="1"/>
  <c r="CP35" i="21" s="1"/>
  <c r="DA87" i="10" a="1"/>
  <c r="DA87" i="10" s="1"/>
  <c r="DA88" i="10" s="1"/>
  <c r="DD35" i="21" s="1"/>
  <c r="DO87" i="10" a="1"/>
  <c r="DO87" i="10" s="1"/>
  <c r="DO88" i="10" s="1"/>
  <c r="DR35" i="21" s="1"/>
  <c r="ER87" i="10" a="1"/>
  <c r="ER87" i="10" s="1"/>
  <c r="ER88" i="10" s="1"/>
  <c r="EU35" i="21" s="1"/>
  <c r="FF87" i="10" a="1"/>
  <c r="FF87" i="10" s="1"/>
  <c r="FF88" i="10" s="1"/>
  <c r="FI35" i="21" s="1"/>
  <c r="FT87" i="10" a="1"/>
  <c r="FT87" i="10" s="1"/>
  <c r="FT88" i="10" s="1"/>
  <c r="FW35" i="21" s="1"/>
  <c r="GH87" i="10" a="1"/>
  <c r="GH87" i="10" s="1"/>
  <c r="GH88" i="10" s="1"/>
  <c r="GK35" i="21" s="1"/>
  <c r="GU87" i="10" a="1"/>
  <c r="GU87" i="10" s="1"/>
  <c r="GU88" i="10" s="1"/>
  <c r="GX35" i="21" s="1"/>
  <c r="HH87" i="10" a="1"/>
  <c r="HH87" i="10" s="1"/>
  <c r="HH88" i="10" s="1"/>
  <c r="HK35" i="21" s="1"/>
  <c r="HU87" i="10" a="1"/>
  <c r="HU87" i="10" s="1"/>
  <c r="HU88" i="10" s="1"/>
  <c r="HX35" i="21" s="1"/>
  <c r="O119" i="10" a="1"/>
  <c r="O119" i="10" s="1"/>
  <c r="O120" i="10" s="1"/>
  <c r="R38" i="21" s="1"/>
  <c r="AR119" i="10" a="1"/>
  <c r="AR119" i="10" s="1"/>
  <c r="AR120" i="10" s="1"/>
  <c r="AU38" i="21" s="1"/>
  <c r="BF119" i="10" a="1"/>
  <c r="BF119" i="10" s="1"/>
  <c r="BF120" i="10" s="1"/>
  <c r="BI38" i="21" s="1"/>
  <c r="BT119" i="10" a="1"/>
  <c r="BT119" i="10" s="1"/>
  <c r="BT120" i="10" s="1"/>
  <c r="BW38" i="21" s="1"/>
  <c r="CH119" i="10" a="1"/>
  <c r="CH119" i="10" s="1"/>
  <c r="CH120" i="10" s="1"/>
  <c r="CK38" i="21" s="1"/>
  <c r="CW119" i="10" a="1"/>
  <c r="CW119" i="10" s="1"/>
  <c r="CW120" i="10" s="1"/>
  <c r="CZ38" i="21" s="1"/>
  <c r="DK119" i="10" a="1"/>
  <c r="DK119" i="10" s="1"/>
  <c r="DK120" i="10" s="1"/>
  <c r="DN38" i="21" s="1"/>
  <c r="DY119" i="10" a="1"/>
  <c r="DY119" i="10" s="1"/>
  <c r="DY120" i="10" s="1"/>
  <c r="EB38" i="21" s="1"/>
  <c r="EM119" i="10" a="1"/>
  <c r="EM119" i="10" s="1"/>
  <c r="EM120" i="10" s="1"/>
  <c r="EP38" i="21" s="1"/>
  <c r="FP119" i="10" a="1"/>
  <c r="FP119" i="10" s="1"/>
  <c r="FP120" i="10" s="1"/>
  <c r="FS38" i="21" s="1"/>
  <c r="GD119" i="10" a="1"/>
  <c r="GD119" i="10" s="1"/>
  <c r="GD120" i="10" s="1"/>
  <c r="GG38" i="21" s="1"/>
  <c r="GR119" i="10" a="1"/>
  <c r="GR119" i="10" s="1"/>
  <c r="GR120" i="10" s="1"/>
  <c r="GU38" i="21" s="1"/>
  <c r="HF119" i="10" a="1"/>
  <c r="HF119" i="10" s="1"/>
  <c r="HF120" i="10" s="1"/>
  <c r="HI38" i="21" s="1"/>
  <c r="HU119" i="10" a="1"/>
  <c r="HU119" i="10" s="1"/>
  <c r="HU120" i="10" s="1"/>
  <c r="HX38" i="21" s="1"/>
  <c r="II119" i="10" a="1"/>
  <c r="II119" i="10" s="1"/>
  <c r="II120" i="10" s="1"/>
  <c r="IL38" i="21" s="1"/>
  <c r="IW119" i="10" a="1"/>
  <c r="IW119" i="10" s="1"/>
  <c r="IW120" i="10" s="1"/>
  <c r="IZ38" i="21" s="1"/>
  <c r="JK119" i="10" a="1"/>
  <c r="JK119" i="10" s="1"/>
  <c r="JK120" i="10" s="1"/>
  <c r="JN38" i="21" s="1"/>
  <c r="R103" i="10" a="1"/>
  <c r="R103" i="10" s="1"/>
  <c r="R104" i="10" s="1"/>
  <c r="U36" i="21" s="1"/>
  <c r="AF103" i="10" a="1"/>
  <c r="AF103" i="10" s="1"/>
  <c r="AF104" i="10" s="1"/>
  <c r="AI36" i="21" s="1"/>
  <c r="AT103" i="10" a="1"/>
  <c r="AT103" i="10" s="1"/>
  <c r="AT104" i="10" s="1"/>
  <c r="AW36" i="21" s="1"/>
  <c r="BI103" i="10" a="1"/>
  <c r="BI103" i="10" s="1"/>
  <c r="BI104" i="10" s="1"/>
  <c r="BL36" i="21" s="1"/>
  <c r="BW103" i="10" a="1"/>
  <c r="BW103" i="10" s="1"/>
  <c r="BW104" i="10" s="1"/>
  <c r="BZ36" i="21" s="1"/>
  <c r="CK103" i="10" a="1"/>
  <c r="CK103" i="10" s="1"/>
  <c r="CK104" i="10" s="1"/>
  <c r="CN36" i="21" s="1"/>
  <c r="CY103" i="10" a="1"/>
  <c r="CY103" i="10" s="1"/>
  <c r="CY104" i="10" s="1"/>
  <c r="DB36" i="21" s="1"/>
  <c r="EB103" i="10" a="1"/>
  <c r="EB103" i="10" s="1"/>
  <c r="EB104" i="10" s="1"/>
  <c r="EE36" i="21" s="1"/>
  <c r="EP103" i="10" a="1"/>
  <c r="EP103" i="10" s="1"/>
  <c r="EP104" i="10" s="1"/>
  <c r="ES36" i="21" s="1"/>
  <c r="FD103" i="10" a="1"/>
  <c r="FD103" i="10" s="1"/>
  <c r="FD104" i="10" s="1"/>
  <c r="FG36" i="21" s="1"/>
  <c r="FR103" i="10" a="1"/>
  <c r="FR103" i="10" s="1"/>
  <c r="FR104" i="10" s="1"/>
  <c r="FU36" i="21" s="1"/>
  <c r="GG103" i="10" a="1"/>
  <c r="GG103" i="10" s="1"/>
  <c r="GG104" i="10" s="1"/>
  <c r="GJ36" i="21" s="1"/>
  <c r="GU103" i="10" a="1"/>
  <c r="GU103" i="10" s="1"/>
  <c r="GU104" i="10" s="1"/>
  <c r="GX36" i="21" s="1"/>
  <c r="HI103" i="10" a="1"/>
  <c r="HI103" i="10" s="1"/>
  <c r="HI104" i="10" s="1"/>
  <c r="HL36" i="21" s="1"/>
  <c r="HW103" i="10" a="1"/>
  <c r="HW103" i="10" s="1"/>
  <c r="HW104" i="10" s="1"/>
  <c r="HZ36" i="21" s="1"/>
  <c r="IZ103" i="10" a="1"/>
  <c r="IZ103" i="10" s="1"/>
  <c r="IZ104" i="10" s="1"/>
  <c r="JC36" i="21" s="1"/>
  <c r="JN103" i="10" a="1"/>
  <c r="JN103" i="10" s="1"/>
  <c r="JN104" i="10" s="1"/>
  <c r="JQ36" i="21" s="1"/>
  <c r="KB103" i="10" a="1"/>
  <c r="KB103" i="10" s="1"/>
  <c r="KB104" i="10" s="1"/>
  <c r="KE36" i="21" s="1"/>
  <c r="U87" i="10" a="1"/>
  <c r="U87" i="10" s="1"/>
  <c r="U88" i="10" s="1"/>
  <c r="X35" i="21" s="1"/>
  <c r="AI87" i="10" a="1"/>
  <c r="AI87" i="10" s="1"/>
  <c r="AI88" i="10" s="1"/>
  <c r="AL35" i="21" s="1"/>
  <c r="AW87" i="10" a="1"/>
  <c r="AW87" i="10" s="1"/>
  <c r="AW88" i="10" s="1"/>
  <c r="AZ35" i="21" s="1"/>
  <c r="BK87" i="10" a="1"/>
  <c r="BK87" i="10" s="1"/>
  <c r="BK88" i="10" s="1"/>
  <c r="BN35" i="21" s="1"/>
  <c r="CN87" i="10" a="1"/>
  <c r="CN87" i="10" s="1"/>
  <c r="CN88" i="10" s="1"/>
  <c r="CQ35" i="21" s="1"/>
  <c r="DB87" i="10" a="1"/>
  <c r="DB87" i="10" s="1"/>
  <c r="DB88" i="10" s="1"/>
  <c r="DE35" i="21" s="1"/>
  <c r="DP87" i="10" a="1"/>
  <c r="DP87" i="10" s="1"/>
  <c r="DP88" i="10" s="1"/>
  <c r="DS35" i="21" s="1"/>
  <c r="ED87" i="10" a="1"/>
  <c r="ED87" i="10" s="1"/>
  <c r="ED88" i="10" s="1"/>
  <c r="EG35" i="21" s="1"/>
  <c r="ES87" i="10" a="1"/>
  <c r="ES87" i="10" s="1"/>
  <c r="ES88" i="10" s="1"/>
  <c r="EV35" i="21" s="1"/>
  <c r="FG87" i="10" a="1"/>
  <c r="FG87" i="10" s="1"/>
  <c r="FG88" i="10" s="1"/>
  <c r="FJ35" i="21" s="1"/>
  <c r="FU87" i="10" a="1"/>
  <c r="FU87" i="10" s="1"/>
  <c r="FU88" i="10" s="1"/>
  <c r="FX35" i="21" s="1"/>
  <c r="GI87" i="10" a="1"/>
  <c r="GI87" i="10" s="1"/>
  <c r="GI88" i="10" s="1"/>
  <c r="GL35" i="21" s="1"/>
  <c r="GV87" i="10" a="1"/>
  <c r="GV87" i="10" s="1"/>
  <c r="GV88" i="10" s="1"/>
  <c r="GY35" i="21" s="1"/>
  <c r="HI87" i="10" a="1"/>
  <c r="HI87" i="10" s="1"/>
  <c r="HI88" i="10" s="1"/>
  <c r="HL35" i="21" s="1"/>
  <c r="HV87" i="10" a="1"/>
  <c r="HV87" i="10" s="1"/>
  <c r="HV88" i="10" s="1"/>
  <c r="HY35" i="21" s="1"/>
  <c r="KA135" i="10" a="1"/>
  <c r="KA135" i="10" s="1"/>
  <c r="JO135" i="10" a="1"/>
  <c r="JO135" i="10" s="1"/>
  <c r="JC135" i="10" a="1"/>
  <c r="JC135" i="10" s="1"/>
  <c r="HQ135" i="10" a="1"/>
  <c r="HQ135" i="10" s="1"/>
  <c r="HD135" i="10" a="1"/>
  <c r="HD135" i="10" s="1"/>
  <c r="GQ135" i="10" a="1"/>
  <c r="GQ135" i="10" s="1"/>
  <c r="FE135" i="10" a="1"/>
  <c r="FE135" i="10" s="1"/>
  <c r="ER135" i="10" a="1"/>
  <c r="ER135" i="10" s="1"/>
  <c r="EE135" i="10" a="1"/>
  <c r="EE135" i="10" s="1"/>
  <c r="CS135" i="10" a="1"/>
  <c r="CS135" i="10" s="1"/>
  <c r="CF135" i="10" a="1"/>
  <c r="CF135" i="10" s="1"/>
  <c r="BS135" i="10" a="1"/>
  <c r="BS135" i="10" s="1"/>
  <c r="AG135" i="10" a="1"/>
  <c r="AG135" i="10" s="1"/>
  <c r="T135" i="10" a="1"/>
  <c r="T135" i="10" s="1"/>
  <c r="JB135" i="10" a="1"/>
  <c r="JB135" i="10" s="1"/>
  <c r="IP135" i="10" a="1"/>
  <c r="IP135" i="10" s="1"/>
  <c r="IC135" i="10" a="1"/>
  <c r="IC135" i="10" s="1"/>
  <c r="HP135" i="10" a="1"/>
  <c r="HP135" i="10" s="1"/>
  <c r="HC135" i="10" a="1"/>
  <c r="HC135" i="10" s="1"/>
  <c r="GP135" i="10" a="1"/>
  <c r="GP135" i="10" s="1"/>
  <c r="GD135" i="10" a="1"/>
  <c r="GD135" i="10" s="1"/>
  <c r="FQ135" i="10" a="1"/>
  <c r="FQ135" i="10" s="1"/>
  <c r="FD135" i="10" a="1"/>
  <c r="FD135" i="10" s="1"/>
  <c r="EQ135" i="10" a="1"/>
  <c r="EQ135" i="10" s="1"/>
  <c r="ED135" i="10" a="1"/>
  <c r="ED135" i="10" s="1"/>
  <c r="DR135" i="10" a="1"/>
  <c r="DR135" i="10" s="1"/>
  <c r="DE135" i="10" a="1"/>
  <c r="DE135" i="10" s="1"/>
  <c r="CR135" i="10" a="1"/>
  <c r="CR135" i="10" s="1"/>
  <c r="CE135" i="10" a="1"/>
  <c r="CE135" i="10" s="1"/>
  <c r="BR135" i="10" a="1"/>
  <c r="BR135" i="10" s="1"/>
  <c r="BF135" i="10" a="1"/>
  <c r="BF135" i="10" s="1"/>
  <c r="AS135" i="10" a="1"/>
  <c r="AS135" i="10" s="1"/>
  <c r="AF135" i="10" a="1"/>
  <c r="AF135" i="10" s="1"/>
  <c r="S135" i="10" a="1"/>
  <c r="S135" i="10" s="1"/>
  <c r="JZ135" i="10" a="1"/>
  <c r="JZ135" i="10" s="1"/>
  <c r="JN135" i="10" a="1"/>
  <c r="JN135" i="10" s="1"/>
  <c r="IO135" i="10" a="1"/>
  <c r="IO135" i="10" s="1"/>
  <c r="IB135" i="10" a="1"/>
  <c r="IB135" i="10" s="1"/>
  <c r="HO135" i="10" a="1"/>
  <c r="HO135" i="10" s="1"/>
  <c r="GC135" i="10" a="1"/>
  <c r="GC135" i="10" s="1"/>
  <c r="FP135" i="10" a="1"/>
  <c r="FP135" i="10" s="1"/>
  <c r="FC135" i="10" a="1"/>
  <c r="FC135" i="10" s="1"/>
  <c r="DQ135" i="10" a="1"/>
  <c r="DQ135" i="10" s="1"/>
  <c r="DD135" i="10" a="1"/>
  <c r="DD135" i="10" s="1"/>
  <c r="CQ135" i="10" a="1"/>
  <c r="CQ135" i="10" s="1"/>
  <c r="BE135" i="10" a="1"/>
  <c r="BE135" i="10" s="1"/>
  <c r="AR135" i="10" a="1"/>
  <c r="AR135" i="10" s="1"/>
  <c r="AE135" i="10" a="1"/>
  <c r="AE135" i="10" s="1"/>
  <c r="JM135" i="10" a="1"/>
  <c r="JM135" i="10" s="1"/>
  <c r="JA135" i="10" a="1"/>
  <c r="JA135" i="10" s="1"/>
  <c r="IN135" i="10" a="1"/>
  <c r="IN135" i="10" s="1"/>
  <c r="IA135" i="10" a="1"/>
  <c r="IA135" i="10" s="1"/>
  <c r="HN135" i="10" a="1"/>
  <c r="HN135" i="10" s="1"/>
  <c r="HB135" i="10" a="1"/>
  <c r="HB135" i="10" s="1"/>
  <c r="GO135" i="10" a="1"/>
  <c r="GO135" i="10" s="1"/>
  <c r="GB135" i="10" a="1"/>
  <c r="GB135" i="10" s="1"/>
  <c r="FO135" i="10" a="1"/>
  <c r="FO135" i="10" s="1"/>
  <c r="FB135" i="10" a="1"/>
  <c r="FB135" i="10" s="1"/>
  <c r="EP135" i="10" a="1"/>
  <c r="EP135" i="10" s="1"/>
  <c r="EC135" i="10" a="1"/>
  <c r="EC135" i="10" s="1"/>
  <c r="DP135" i="10" a="1"/>
  <c r="DP135" i="10" s="1"/>
  <c r="DC135" i="10" a="1"/>
  <c r="DC135" i="10" s="1"/>
  <c r="CP135" i="10" a="1"/>
  <c r="CP135" i="10" s="1"/>
  <c r="CD135" i="10" a="1"/>
  <c r="CD135" i="10" s="1"/>
  <c r="BQ135" i="10" a="1"/>
  <c r="BQ135" i="10" s="1"/>
  <c r="BD135" i="10" a="1"/>
  <c r="BD135" i="10" s="1"/>
  <c r="AQ135" i="10" a="1"/>
  <c r="AQ135" i="10" s="1"/>
  <c r="AD135" i="10" a="1"/>
  <c r="AD135" i="10" s="1"/>
  <c r="R135" i="10" a="1"/>
  <c r="R135" i="10" s="1"/>
  <c r="JY135" i="10" a="1"/>
  <c r="JY135" i="10" s="1"/>
  <c r="JL135" i="10" a="1"/>
  <c r="JL135" i="10" s="1"/>
  <c r="IZ135" i="10" a="1"/>
  <c r="IZ135" i="10" s="1"/>
  <c r="IM135" i="10" a="1"/>
  <c r="IM135" i="10" s="1"/>
  <c r="HA135" i="10" a="1"/>
  <c r="HA135" i="10" s="1"/>
  <c r="GN135" i="10" a="1"/>
  <c r="GN135" i="10" s="1"/>
  <c r="GA135" i="10" a="1"/>
  <c r="GA135" i="10" s="1"/>
  <c r="EO135" i="10" a="1"/>
  <c r="EO135" i="10" s="1"/>
  <c r="EB135" i="10" a="1"/>
  <c r="EB135" i="10" s="1"/>
  <c r="DO135" i="10" a="1"/>
  <c r="DO135" i="10" s="1"/>
  <c r="CC135" i="10" a="1"/>
  <c r="CC135" i="10" s="1"/>
  <c r="BP135" i="10" a="1"/>
  <c r="BP135" i="10" s="1"/>
  <c r="BC135" i="10" a="1"/>
  <c r="BC135" i="10" s="1"/>
  <c r="Q135" i="10" a="1"/>
  <c r="Q135" i="10" s="1"/>
  <c r="JX135" i="10" a="1"/>
  <c r="JX135" i="10" s="1"/>
  <c r="JK135" i="10" a="1"/>
  <c r="JK135" i="10" s="1"/>
  <c r="IY135" i="10" a="1"/>
  <c r="IY135" i="10" s="1"/>
  <c r="IL135" i="10" a="1"/>
  <c r="IL135" i="10" s="1"/>
  <c r="HZ135" i="10" a="1"/>
  <c r="HZ135" i="10" s="1"/>
  <c r="HM135" i="10" a="1"/>
  <c r="HM135" i="10" s="1"/>
  <c r="GZ135" i="10" a="1"/>
  <c r="GZ135" i="10" s="1"/>
  <c r="GM135" i="10" a="1"/>
  <c r="GM135" i="10" s="1"/>
  <c r="FZ135" i="10" a="1"/>
  <c r="FZ135" i="10" s="1"/>
  <c r="FN135" i="10" a="1"/>
  <c r="FN135" i="10" s="1"/>
  <c r="FA135" i="10" a="1"/>
  <c r="FA135" i="10" s="1"/>
  <c r="EN135" i="10" a="1"/>
  <c r="EN135" i="10" s="1"/>
  <c r="EA135" i="10" a="1"/>
  <c r="EA135" i="10" s="1"/>
  <c r="DN135" i="10" a="1"/>
  <c r="DN135" i="10" s="1"/>
  <c r="DB135" i="10" a="1"/>
  <c r="DB135" i="10" s="1"/>
  <c r="CO135" i="10" a="1"/>
  <c r="CO135" i="10" s="1"/>
  <c r="CB135" i="10" a="1"/>
  <c r="CB135" i="10" s="1"/>
  <c r="BO135" i="10" a="1"/>
  <c r="BO135" i="10" s="1"/>
  <c r="BB135" i="10" a="1"/>
  <c r="BB135" i="10" s="1"/>
  <c r="AP135" i="10" a="1"/>
  <c r="AP135" i="10" s="1"/>
  <c r="AC135" i="10" a="1"/>
  <c r="AC135" i="10" s="1"/>
  <c r="P135" i="10" a="1"/>
  <c r="P135" i="10" s="1"/>
  <c r="JW135" i="10" a="1"/>
  <c r="JW135" i="10" s="1"/>
  <c r="HY135" i="10" a="1"/>
  <c r="HY135" i="10" s="1"/>
  <c r="HL135" i="10" a="1"/>
  <c r="HL135" i="10" s="1"/>
  <c r="GY135" i="10" a="1"/>
  <c r="GY135" i="10" s="1"/>
  <c r="FM135" i="10" a="1"/>
  <c r="FM135" i="10" s="1"/>
  <c r="EZ135" i="10" a="1"/>
  <c r="EZ135" i="10" s="1"/>
  <c r="EM135" i="10" a="1"/>
  <c r="EM135" i="10" s="1"/>
  <c r="DA135" i="10" a="1"/>
  <c r="DA135" i="10" s="1"/>
  <c r="CN135" i="10" a="1"/>
  <c r="CN135" i="10" s="1"/>
  <c r="CA135" i="10" a="1"/>
  <c r="CA135" i="10" s="1"/>
  <c r="AO135" i="10" a="1"/>
  <c r="AO135" i="10" s="1"/>
  <c r="AB135" i="10" a="1"/>
  <c r="AB135" i="10" s="1"/>
  <c r="O135" i="10" a="1"/>
  <c r="O135" i="10" s="1"/>
  <c r="JJ135" i="10" a="1"/>
  <c r="JJ135" i="10" s="1"/>
  <c r="IX135" i="10" a="1"/>
  <c r="IX135" i="10" s="1"/>
  <c r="IK135" i="10" a="1"/>
  <c r="IK135" i="10" s="1"/>
  <c r="HX135" i="10" a="1"/>
  <c r="HX135" i="10" s="1"/>
  <c r="HK135" i="10" a="1"/>
  <c r="HK135" i="10" s="1"/>
  <c r="GX135" i="10" a="1"/>
  <c r="GX135" i="10" s="1"/>
  <c r="GL135" i="10" a="1"/>
  <c r="GL135" i="10" s="1"/>
  <c r="FY135" i="10" a="1"/>
  <c r="FY135" i="10" s="1"/>
  <c r="FL135" i="10" a="1"/>
  <c r="FL135" i="10" s="1"/>
  <c r="EY135" i="10" a="1"/>
  <c r="EY135" i="10" s="1"/>
  <c r="EL135" i="10" a="1"/>
  <c r="EL135" i="10" s="1"/>
  <c r="DZ135" i="10" a="1"/>
  <c r="DZ135" i="10" s="1"/>
  <c r="DM135" i="10" a="1"/>
  <c r="DM135" i="10" s="1"/>
  <c r="CZ135" i="10" a="1"/>
  <c r="CZ135" i="10" s="1"/>
  <c r="CM135" i="10" a="1"/>
  <c r="CM135" i="10" s="1"/>
  <c r="BZ135" i="10" a="1"/>
  <c r="BZ135" i="10" s="1"/>
  <c r="BN135" i="10" a="1"/>
  <c r="BN135" i="10" s="1"/>
  <c r="BA135" i="10" a="1"/>
  <c r="BA135" i="10" s="1"/>
  <c r="AN135" i="10" a="1"/>
  <c r="AN135" i="10" s="1"/>
  <c r="AA135" i="10" a="1"/>
  <c r="AA135" i="10" s="1"/>
  <c r="N135" i="10" a="1"/>
  <c r="N135" i="10" s="1"/>
  <c r="JV135" i="10" a="1"/>
  <c r="JV135" i="10" s="1"/>
  <c r="IW135" i="10" a="1"/>
  <c r="IW135" i="10" s="1"/>
  <c r="IJ135" i="10" a="1"/>
  <c r="IJ135" i="10" s="1"/>
  <c r="HW135" i="10" a="1"/>
  <c r="HW135" i="10" s="1"/>
  <c r="GK135" i="10" a="1"/>
  <c r="GK135" i="10" s="1"/>
  <c r="FX135" i="10" a="1"/>
  <c r="FX135" i="10" s="1"/>
  <c r="FK135" i="10" a="1"/>
  <c r="FK135" i="10" s="1"/>
  <c r="DY135" i="10" a="1"/>
  <c r="DY135" i="10" s="1"/>
  <c r="DL135" i="10" a="1"/>
  <c r="DL135" i="10" s="1"/>
  <c r="CY135" i="10" a="1"/>
  <c r="CY135" i="10" s="1"/>
  <c r="BM135" i="10" a="1"/>
  <c r="BM135" i="10" s="1"/>
  <c r="AZ135" i="10" a="1"/>
  <c r="AZ135" i="10" s="1"/>
  <c r="AM135" i="10" a="1"/>
  <c r="AM135" i="10" s="1"/>
  <c r="JU135" i="10" a="1"/>
  <c r="JU135" i="10" s="1"/>
  <c r="JI135" i="10" a="1"/>
  <c r="JI135" i="10" s="1"/>
  <c r="IV135" i="10" a="1"/>
  <c r="IV135" i="10" s="1"/>
  <c r="II135" i="10" a="1"/>
  <c r="II135" i="10" s="1"/>
  <c r="HV135" i="10" a="1"/>
  <c r="HV135" i="10" s="1"/>
  <c r="HJ135" i="10" a="1"/>
  <c r="HJ135" i="10" s="1"/>
  <c r="GW135" i="10" a="1"/>
  <c r="GW135" i="10" s="1"/>
  <c r="GJ135" i="10" a="1"/>
  <c r="GJ135" i="10" s="1"/>
  <c r="FW135" i="10" a="1"/>
  <c r="FW135" i="10" s="1"/>
  <c r="FJ135" i="10" a="1"/>
  <c r="FJ135" i="10" s="1"/>
  <c r="EX135" i="10" a="1"/>
  <c r="EX135" i="10" s="1"/>
  <c r="EK135" i="10" a="1"/>
  <c r="EK135" i="10" s="1"/>
  <c r="DX135" i="10" a="1"/>
  <c r="DX135" i="10" s="1"/>
  <c r="DK135" i="10" a="1"/>
  <c r="DK135" i="10" s="1"/>
  <c r="CX135" i="10" a="1"/>
  <c r="CX135" i="10" s="1"/>
  <c r="CL135" i="10" a="1"/>
  <c r="CL135" i="10" s="1"/>
  <c r="BY135" i="10" a="1"/>
  <c r="BY135" i="10" s="1"/>
  <c r="BL135" i="10" a="1"/>
  <c r="BL135" i="10" s="1"/>
  <c r="AY135" i="10" a="1"/>
  <c r="AY135" i="10" s="1"/>
  <c r="AL135" i="10" a="1"/>
  <c r="AL135" i="10" s="1"/>
  <c r="Z135" i="10" a="1"/>
  <c r="Z135" i="10" s="1"/>
  <c r="M135" i="10" a="1"/>
  <c r="M135" i="10" s="1"/>
  <c r="KF135" i="10" a="1"/>
  <c r="KF135" i="10" s="1"/>
  <c r="JT135" i="10" a="1"/>
  <c r="JT135" i="10" s="1"/>
  <c r="JH135" i="10" a="1"/>
  <c r="JH135" i="10" s="1"/>
  <c r="IU135" i="10" a="1"/>
  <c r="IU135" i="10" s="1"/>
  <c r="HI135" i="10" a="1"/>
  <c r="HI135" i="10" s="1"/>
  <c r="GV135" i="10" a="1"/>
  <c r="GV135" i="10" s="1"/>
  <c r="GI135" i="10" a="1"/>
  <c r="GI135" i="10" s="1"/>
  <c r="EW135" i="10" a="1"/>
  <c r="EW135" i="10" s="1"/>
  <c r="EJ135" i="10" a="1"/>
  <c r="EJ135" i="10" s="1"/>
  <c r="DW135" i="10" a="1"/>
  <c r="DW135" i="10" s="1"/>
  <c r="CK135" i="10" a="1"/>
  <c r="CK135" i="10" s="1"/>
  <c r="BX135" i="10" a="1"/>
  <c r="BX135" i="10" s="1"/>
  <c r="BK135" i="10" a="1"/>
  <c r="BK135" i="10" s="1"/>
  <c r="Y135" i="10" a="1"/>
  <c r="Y135" i="10" s="1"/>
  <c r="L135" i="10" a="1"/>
  <c r="L135" i="10" s="1"/>
  <c r="KE135" i="10" a="1"/>
  <c r="KE135" i="10" s="1"/>
  <c r="JS135" i="10" a="1"/>
  <c r="JS135" i="10" s="1"/>
  <c r="JG135" i="10" a="1"/>
  <c r="JG135" i="10" s="1"/>
  <c r="IT135" i="10" a="1"/>
  <c r="IT135" i="10" s="1"/>
  <c r="IH135" i="10" a="1"/>
  <c r="IH135" i="10" s="1"/>
  <c r="HU135" i="10" a="1"/>
  <c r="HU135" i="10" s="1"/>
  <c r="HH135" i="10" a="1"/>
  <c r="HH135" i="10" s="1"/>
  <c r="GU135" i="10" a="1"/>
  <c r="GU135" i="10" s="1"/>
  <c r="GH135" i="10" a="1"/>
  <c r="GH135" i="10" s="1"/>
  <c r="FV135" i="10" a="1"/>
  <c r="FV135" i="10" s="1"/>
  <c r="FI135" i="10" a="1"/>
  <c r="FI135" i="10" s="1"/>
  <c r="EV135" i="10" a="1"/>
  <c r="EV135" i="10" s="1"/>
  <c r="EI135" i="10" a="1"/>
  <c r="EI135" i="10" s="1"/>
  <c r="DV135" i="10" a="1"/>
  <c r="DV135" i="10" s="1"/>
  <c r="DJ135" i="10" a="1"/>
  <c r="DJ135" i="10" s="1"/>
  <c r="CW135" i="10" a="1"/>
  <c r="CW135" i="10" s="1"/>
  <c r="CJ135" i="10" a="1"/>
  <c r="CJ135" i="10" s="1"/>
  <c r="BW135" i="10" a="1"/>
  <c r="BW135" i="10" s="1"/>
  <c r="BJ135" i="10" a="1"/>
  <c r="BJ135" i="10" s="1"/>
  <c r="AX135" i="10" a="1"/>
  <c r="AX135" i="10" s="1"/>
  <c r="AK135" i="10" a="1"/>
  <c r="AK135" i="10" s="1"/>
  <c r="X135" i="10" a="1"/>
  <c r="X135" i="10" s="1"/>
  <c r="K135" i="10" a="1"/>
  <c r="K135" i="10" s="1"/>
  <c r="JR135" i="10" a="1"/>
  <c r="JR135" i="10" s="1"/>
  <c r="IG135" i="10" a="1"/>
  <c r="IG135" i="10" s="1"/>
  <c r="HT135" i="10" a="1"/>
  <c r="HT135" i="10" s="1"/>
  <c r="HG135" i="10" a="1"/>
  <c r="HG135" i="10" s="1"/>
  <c r="FU135" i="10" a="1"/>
  <c r="FU135" i="10" s="1"/>
  <c r="FH135" i="10" a="1"/>
  <c r="FH135" i="10" s="1"/>
  <c r="EU135" i="10" a="1"/>
  <c r="EU135" i="10" s="1"/>
  <c r="DI135" i="10" a="1"/>
  <c r="DI135" i="10" s="1"/>
  <c r="CV135" i="10" a="1"/>
  <c r="CV135" i="10" s="1"/>
  <c r="CI135" i="10" a="1"/>
  <c r="CI135" i="10" s="1"/>
  <c r="AW135" i="10" a="1"/>
  <c r="AW135" i="10" s="1"/>
  <c r="AJ135" i="10" a="1"/>
  <c r="AJ135" i="10" s="1"/>
  <c r="W135" i="10" a="1"/>
  <c r="W135" i="10" s="1"/>
  <c r="KD135" i="10" a="1"/>
  <c r="KD135" i="10" s="1"/>
  <c r="JF135" i="10" a="1"/>
  <c r="JF135" i="10" s="1"/>
  <c r="IS135" i="10" a="1"/>
  <c r="IS135" i="10" s="1"/>
  <c r="IF135" i="10" a="1"/>
  <c r="IF135" i="10" s="1"/>
  <c r="HS135" i="10" a="1"/>
  <c r="HS135" i="10" s="1"/>
  <c r="HF135" i="10" a="1"/>
  <c r="HF135" i="10" s="1"/>
  <c r="GT135" i="10" a="1"/>
  <c r="GT135" i="10" s="1"/>
  <c r="GG135" i="10" a="1"/>
  <c r="GG135" i="10" s="1"/>
  <c r="FT135" i="10" a="1"/>
  <c r="FT135" i="10" s="1"/>
  <c r="FG135" i="10" a="1"/>
  <c r="FG135" i="10" s="1"/>
  <c r="ET135" i="10" a="1"/>
  <c r="ET135" i="10" s="1"/>
  <c r="EH135" i="10" a="1"/>
  <c r="EH135" i="10" s="1"/>
  <c r="DU135" i="10" a="1"/>
  <c r="DU135" i="10" s="1"/>
  <c r="DH135" i="10" a="1"/>
  <c r="DH135" i="10" s="1"/>
  <c r="CU135" i="10" a="1"/>
  <c r="CU135" i="10" s="1"/>
  <c r="CH135" i="10" a="1"/>
  <c r="CH135" i="10" s="1"/>
  <c r="BV135" i="10" a="1"/>
  <c r="BV135" i="10" s="1"/>
  <c r="BI135" i="10" a="1"/>
  <c r="BI135" i="10" s="1"/>
  <c r="AV135" i="10" a="1"/>
  <c r="AV135" i="10" s="1"/>
  <c r="AI135" i="10" a="1"/>
  <c r="AI135" i="10" s="1"/>
  <c r="V135" i="10" a="1"/>
  <c r="V135" i="10" s="1"/>
  <c r="KB135" i="10" a="1"/>
  <c r="KB135" i="10" s="1"/>
  <c r="JP135" i="10" a="1"/>
  <c r="JP135" i="10" s="1"/>
  <c r="JD135" i="10" a="1"/>
  <c r="JD135" i="10" s="1"/>
  <c r="IQ135" i="10" a="1"/>
  <c r="IQ135" i="10" s="1"/>
  <c r="ID135" i="10" a="1"/>
  <c r="ID135" i="10" s="1"/>
  <c r="HR135" i="10" a="1"/>
  <c r="HR135" i="10" s="1"/>
  <c r="HE135" i="10" a="1"/>
  <c r="HE135" i="10" s="1"/>
  <c r="GR135" i="10" a="1"/>
  <c r="GR135" i="10" s="1"/>
  <c r="GE135" i="10" a="1"/>
  <c r="GE135" i="10" s="1"/>
  <c r="FR135" i="10" a="1"/>
  <c r="FR135" i="10" s="1"/>
  <c r="FF135" i="10" a="1"/>
  <c r="FF135" i="10" s="1"/>
  <c r="ES135" i="10" a="1"/>
  <c r="ES135" i="10" s="1"/>
  <c r="EF135" i="10" a="1"/>
  <c r="EF135" i="10" s="1"/>
  <c r="DS135" i="10" a="1"/>
  <c r="DS135" i="10" s="1"/>
  <c r="DF135" i="10" a="1"/>
  <c r="DF135" i="10" s="1"/>
  <c r="CT135" i="10" a="1"/>
  <c r="CT135" i="10" s="1"/>
  <c r="CG135" i="10" a="1"/>
  <c r="CG135" i="10" s="1"/>
  <c r="BT135" i="10" a="1"/>
  <c r="BT135" i="10" s="1"/>
  <c r="BG135" i="10" a="1"/>
  <c r="BG135" i="10" s="1"/>
  <c r="AT135" i="10" a="1"/>
  <c r="AT135" i="10" s="1"/>
  <c r="AH135" i="10" a="1"/>
  <c r="AH135" i="10" s="1"/>
  <c r="U135" i="10" a="1"/>
  <c r="U135" i="10" s="1"/>
  <c r="P119" i="10" a="1"/>
  <c r="P119" i="10" s="1"/>
  <c r="P120" i="10" s="1"/>
  <c r="S38" i="21" s="1"/>
  <c r="AD119" i="10" a="1"/>
  <c r="AD119" i="10" s="1"/>
  <c r="AD120" i="10" s="1"/>
  <c r="AG38" i="21" s="1"/>
  <c r="AS119" i="10" a="1"/>
  <c r="AS119" i="10" s="1"/>
  <c r="AS120" i="10" s="1"/>
  <c r="AV38" i="21" s="1"/>
  <c r="BG119" i="10" a="1"/>
  <c r="BG119" i="10" s="1"/>
  <c r="BG120" i="10" s="1"/>
  <c r="BJ38" i="21" s="1"/>
  <c r="BU119" i="10" a="1"/>
  <c r="BU119" i="10" s="1"/>
  <c r="BU120" i="10" s="1"/>
  <c r="BX38" i="21" s="1"/>
  <c r="CI119" i="10" a="1"/>
  <c r="CI119" i="10" s="1"/>
  <c r="CI120" i="10" s="1"/>
  <c r="CL38" i="21" s="1"/>
  <c r="DL119" i="10" a="1"/>
  <c r="DL119" i="10" s="1"/>
  <c r="DL120" i="10" s="1"/>
  <c r="DO38" i="21" s="1"/>
  <c r="DZ119" i="10" a="1"/>
  <c r="DZ119" i="10" s="1"/>
  <c r="DZ120" i="10" s="1"/>
  <c r="EC38" i="21" s="1"/>
  <c r="EN119" i="10" a="1"/>
  <c r="EN119" i="10" s="1"/>
  <c r="EN120" i="10" s="1"/>
  <c r="EQ38" i="21" s="1"/>
  <c r="FB119" i="10" a="1"/>
  <c r="FB119" i="10" s="1"/>
  <c r="FB120" i="10" s="1"/>
  <c r="FE38" i="21" s="1"/>
  <c r="FQ119" i="10" a="1"/>
  <c r="FQ119" i="10" s="1"/>
  <c r="FQ120" i="10" s="1"/>
  <c r="FT38" i="21" s="1"/>
  <c r="GE119" i="10" a="1"/>
  <c r="GE119" i="10" s="1"/>
  <c r="GE120" i="10" s="1"/>
  <c r="GH38" i="21" s="1"/>
  <c r="GS119" i="10" a="1"/>
  <c r="GS119" i="10" s="1"/>
  <c r="GS120" i="10" s="1"/>
  <c r="GV38" i="21" s="1"/>
  <c r="HG119" i="10" a="1"/>
  <c r="HG119" i="10" s="1"/>
  <c r="HG120" i="10" s="1"/>
  <c r="HJ38" i="21" s="1"/>
  <c r="IJ119" i="10" a="1"/>
  <c r="IJ119" i="10" s="1"/>
  <c r="IJ120" i="10" s="1"/>
  <c r="IM38" i="21" s="1"/>
  <c r="IX119" i="10" a="1"/>
  <c r="IX119" i="10" s="1"/>
  <c r="IX120" i="10" s="1"/>
  <c r="JA38" i="21" s="1"/>
  <c r="JL119" i="10" a="1"/>
  <c r="JL119" i="10" s="1"/>
  <c r="JL120" i="10" s="1"/>
  <c r="JO38" i="21" s="1"/>
  <c r="JZ119" i="10" a="1"/>
  <c r="JZ119" i="10" s="1"/>
  <c r="JZ120" i="10" s="1"/>
  <c r="KC38" i="21" s="1"/>
  <c r="S103" i="10" a="1"/>
  <c r="S103" i="10" s="1"/>
  <c r="S104" i="10" s="1"/>
  <c r="V36" i="21" s="1"/>
  <c r="AG103" i="10" a="1"/>
  <c r="AG103" i="10" s="1"/>
  <c r="AG104" i="10" s="1"/>
  <c r="AJ36" i="21" s="1"/>
  <c r="AU103" i="10" a="1"/>
  <c r="AU103" i="10" s="1"/>
  <c r="AU104" i="10" s="1"/>
  <c r="AX36" i="21" s="1"/>
  <c r="BX103" i="10" a="1"/>
  <c r="BX103" i="10" s="1"/>
  <c r="BX104" i="10" s="1"/>
  <c r="CA36" i="21" s="1"/>
  <c r="CL103" i="10" a="1"/>
  <c r="CL103" i="10" s="1"/>
  <c r="CL104" i="10" s="1"/>
  <c r="CO36" i="21" s="1"/>
  <c r="CZ103" i="10" a="1"/>
  <c r="CZ103" i="10" s="1"/>
  <c r="CZ104" i="10" s="1"/>
  <c r="DC36" i="21" s="1"/>
  <c r="DN103" i="10" a="1"/>
  <c r="DN103" i="10" s="1"/>
  <c r="DN104" i="10" s="1"/>
  <c r="DQ36" i="21" s="1"/>
  <c r="EC103" i="10" a="1"/>
  <c r="EC103" i="10" s="1"/>
  <c r="EC104" i="10" s="1"/>
  <c r="EF36" i="21" s="1"/>
  <c r="EQ103" i="10" a="1"/>
  <c r="EQ103" i="10" s="1"/>
  <c r="EQ104" i="10" s="1"/>
  <c r="ET36" i="21" s="1"/>
  <c r="FE103" i="10" a="1"/>
  <c r="FE103" i="10" s="1"/>
  <c r="FE104" i="10" s="1"/>
  <c r="FH36" i="21" s="1"/>
  <c r="FS103" i="10" a="1"/>
  <c r="FS103" i="10" s="1"/>
  <c r="FS104" i="10" s="1"/>
  <c r="FV36" i="21" s="1"/>
  <c r="GV103" i="10" a="1"/>
  <c r="GV103" i="10" s="1"/>
  <c r="GV104" i="10" s="1"/>
  <c r="GY36" i="21" s="1"/>
  <c r="HJ103" i="10" a="1"/>
  <c r="HJ103" i="10" s="1"/>
  <c r="HJ104" i="10" s="1"/>
  <c r="HM36" i="21" s="1"/>
  <c r="HX103" i="10" a="1"/>
  <c r="HX103" i="10" s="1"/>
  <c r="HX104" i="10" s="1"/>
  <c r="IA36" i="21" s="1"/>
  <c r="IL103" i="10" a="1"/>
  <c r="IL103" i="10" s="1"/>
  <c r="IL104" i="10" s="1"/>
  <c r="IO36" i="21" s="1"/>
  <c r="JA103" i="10" a="1"/>
  <c r="JA103" i="10" s="1"/>
  <c r="JA104" i="10" s="1"/>
  <c r="JD36" i="21" s="1"/>
  <c r="JO103" i="10" a="1"/>
  <c r="JO103" i="10" s="1"/>
  <c r="JO104" i="10" s="1"/>
  <c r="JR36" i="21" s="1"/>
  <c r="KC103" i="10" a="1"/>
  <c r="KC103" i="10" s="1"/>
  <c r="KC104" i="10" s="1"/>
  <c r="KF36" i="21" s="1"/>
  <c r="AJ87" i="10" a="1"/>
  <c r="AJ87" i="10" s="1"/>
  <c r="AJ88" i="10" s="1"/>
  <c r="AM35" i="21" s="1"/>
  <c r="AX87" i="10" a="1"/>
  <c r="AX87" i="10" s="1"/>
  <c r="AX88" i="10" s="1"/>
  <c r="BA35" i="21" s="1"/>
  <c r="BL87" i="10" a="1"/>
  <c r="BL87" i="10" s="1"/>
  <c r="BL88" i="10" s="1"/>
  <c r="BO35" i="21" s="1"/>
  <c r="BZ87" i="10" a="1"/>
  <c r="BZ87" i="10" s="1"/>
  <c r="BZ88" i="10" s="1"/>
  <c r="CC35" i="21" s="1"/>
  <c r="CO87" i="10" a="1"/>
  <c r="CO87" i="10" s="1"/>
  <c r="CO88" i="10" s="1"/>
  <c r="CR35" i="21" s="1"/>
  <c r="DC87" i="10" a="1"/>
  <c r="DC87" i="10" s="1"/>
  <c r="DC88" i="10" s="1"/>
  <c r="DF35" i="21" s="1"/>
  <c r="DQ87" i="10" a="1"/>
  <c r="DQ87" i="10" s="1"/>
  <c r="DQ88" i="10" s="1"/>
  <c r="DT35" i="21" s="1"/>
  <c r="EE87" i="10" a="1"/>
  <c r="EE87" i="10" s="1"/>
  <c r="EE88" i="10" s="1"/>
  <c r="EH35" i="21" s="1"/>
  <c r="FH87" i="10" a="1"/>
  <c r="FH87" i="10" s="1"/>
  <c r="FH88" i="10" s="1"/>
  <c r="FK35" i="21" s="1"/>
  <c r="FV87" i="10" a="1"/>
  <c r="FV87" i="10" s="1"/>
  <c r="FV88" i="10" s="1"/>
  <c r="FY35" i="21" s="1"/>
  <c r="GJ87" i="10" a="1"/>
  <c r="GJ87" i="10" s="1"/>
  <c r="GJ88" i="10" s="1"/>
  <c r="GM35" i="21" s="1"/>
  <c r="GW87" i="10" a="1"/>
  <c r="GW87" i="10" s="1"/>
  <c r="GW88" i="10" s="1"/>
  <c r="GZ35" i="21" s="1"/>
  <c r="HJ87" i="10" a="1"/>
  <c r="HJ87" i="10" s="1"/>
  <c r="HJ88" i="10" s="1"/>
  <c r="HM35" i="21" s="1"/>
  <c r="HW87" i="10" a="1"/>
  <c r="HW87" i="10" s="1"/>
  <c r="HW88" i="10" s="1"/>
  <c r="HZ35" i="21" s="1"/>
  <c r="DT135" i="10" a="1"/>
  <c r="DT135" i="10" s="1"/>
  <c r="Q119" i="10" a="1"/>
  <c r="Q119" i="10" s="1"/>
  <c r="Q120" i="10" s="1"/>
  <c r="T38" i="21" s="1"/>
  <c r="AE119" i="10" a="1"/>
  <c r="AE119" i="10" s="1"/>
  <c r="AE120" i="10" s="1"/>
  <c r="AH38" i="21" s="1"/>
  <c r="BH119" i="10" a="1"/>
  <c r="BH119" i="10" s="1"/>
  <c r="BH120" i="10" s="1"/>
  <c r="BK38" i="21" s="1"/>
  <c r="BV119" i="10" a="1"/>
  <c r="BV119" i="10" s="1"/>
  <c r="BV120" i="10" s="1"/>
  <c r="BY38" i="21" s="1"/>
  <c r="CJ119" i="10" a="1"/>
  <c r="CJ119" i="10" s="1"/>
  <c r="CJ120" i="10" s="1"/>
  <c r="CM38" i="21" s="1"/>
  <c r="CX119" i="10" a="1"/>
  <c r="CX119" i="10" s="1"/>
  <c r="CX120" i="10" s="1"/>
  <c r="DA38" i="21" s="1"/>
  <c r="DM119" i="10" a="1"/>
  <c r="DM119" i="10" s="1"/>
  <c r="DM120" i="10" s="1"/>
  <c r="DP38" i="21" s="1"/>
  <c r="EA119" i="10" a="1"/>
  <c r="EA119" i="10" s="1"/>
  <c r="EA120" i="10" s="1"/>
  <c r="ED38" i="21" s="1"/>
  <c r="EO119" i="10" a="1"/>
  <c r="EO119" i="10" s="1"/>
  <c r="EO120" i="10" s="1"/>
  <c r="ER38" i="21" s="1"/>
  <c r="FC119" i="10" a="1"/>
  <c r="FC119" i="10" s="1"/>
  <c r="FC120" i="10" s="1"/>
  <c r="FF38" i="21" s="1"/>
  <c r="GF119" i="10" a="1"/>
  <c r="GF119" i="10" s="1"/>
  <c r="GF120" i="10" s="1"/>
  <c r="GI38" i="21" s="1"/>
  <c r="GT119" i="10" a="1"/>
  <c r="GT119" i="10" s="1"/>
  <c r="GT120" i="10" s="1"/>
  <c r="GW38" i="21" s="1"/>
  <c r="HH119" i="10" a="1"/>
  <c r="HH119" i="10" s="1"/>
  <c r="HH120" i="10" s="1"/>
  <c r="HK38" i="21" s="1"/>
  <c r="HV119" i="10" a="1"/>
  <c r="HV119" i="10" s="1"/>
  <c r="HV120" i="10" s="1"/>
  <c r="HY38" i="21" s="1"/>
  <c r="IK119" i="10" a="1"/>
  <c r="IK119" i="10" s="1"/>
  <c r="IK120" i="10" s="1"/>
  <c r="IN38" i="21" s="1"/>
  <c r="IY119" i="10" a="1"/>
  <c r="IY119" i="10" s="1"/>
  <c r="IY120" i="10" s="1"/>
  <c r="JB38" i="21" s="1"/>
  <c r="JM119" i="10" a="1"/>
  <c r="JM119" i="10" s="1"/>
  <c r="JM120" i="10" s="1"/>
  <c r="JP38" i="21" s="1"/>
  <c r="KA119" i="10" a="1"/>
  <c r="KA119" i="10" s="1"/>
  <c r="KA120" i="10" s="1"/>
  <c r="KD38" i="21" s="1"/>
  <c r="T103" i="10" a="1"/>
  <c r="T103" i="10" s="1"/>
  <c r="T104" i="10" s="1"/>
  <c r="W36" i="21" s="1"/>
  <c r="AH103" i="10" a="1"/>
  <c r="AH103" i="10" s="1"/>
  <c r="AH104" i="10" s="1"/>
  <c r="AK36" i="21" s="1"/>
  <c r="AV103" i="10" a="1"/>
  <c r="AV103" i="10" s="1"/>
  <c r="AV104" i="10" s="1"/>
  <c r="AY36" i="21" s="1"/>
  <c r="BJ103" i="10" a="1"/>
  <c r="BJ103" i="10" s="1"/>
  <c r="BJ104" i="10" s="1"/>
  <c r="BM36" i="21" s="1"/>
  <c r="BY103" i="10" a="1"/>
  <c r="BY103" i="10" s="1"/>
  <c r="BY104" i="10" s="1"/>
  <c r="CB36" i="21" s="1"/>
  <c r="CM103" i="10" a="1"/>
  <c r="CM103" i="10" s="1"/>
  <c r="CM104" i="10" s="1"/>
  <c r="CP36" i="21" s="1"/>
  <c r="DA103" i="10" a="1"/>
  <c r="DA103" i="10" s="1"/>
  <c r="DA104" i="10" s="1"/>
  <c r="DD36" i="21" s="1"/>
  <c r="DO103" i="10" a="1"/>
  <c r="DO103" i="10" s="1"/>
  <c r="DO104" i="10" s="1"/>
  <c r="DR36" i="21" s="1"/>
  <c r="ER103" i="10" a="1"/>
  <c r="ER103" i="10" s="1"/>
  <c r="ER104" i="10" s="1"/>
  <c r="EU36" i="21" s="1"/>
  <c r="FF103" i="10" a="1"/>
  <c r="FF103" i="10" s="1"/>
  <c r="FF104" i="10" s="1"/>
  <c r="FI36" i="21" s="1"/>
  <c r="FT103" i="10" a="1"/>
  <c r="FT103" i="10" s="1"/>
  <c r="FT104" i="10" s="1"/>
  <c r="FW36" i="21" s="1"/>
  <c r="GH103" i="10" a="1"/>
  <c r="GH103" i="10" s="1"/>
  <c r="GH104" i="10" s="1"/>
  <c r="GK36" i="21" s="1"/>
  <c r="GW103" i="10" a="1"/>
  <c r="GW103" i="10" s="1"/>
  <c r="GW104" i="10" s="1"/>
  <c r="GZ36" i="21" s="1"/>
  <c r="HK103" i="10" a="1"/>
  <c r="HK103" i="10" s="1"/>
  <c r="HK104" i="10" s="1"/>
  <c r="HN36" i="21" s="1"/>
  <c r="HY103" i="10" a="1"/>
  <c r="HY103" i="10" s="1"/>
  <c r="HY104" i="10" s="1"/>
  <c r="IB36" i="21" s="1"/>
  <c r="IM103" i="10" a="1"/>
  <c r="IM103" i="10" s="1"/>
  <c r="IM104" i="10" s="1"/>
  <c r="IP36" i="21" s="1"/>
  <c r="JP103" i="10" a="1"/>
  <c r="JP103" i="10" s="1"/>
  <c r="JP104" i="10" s="1"/>
  <c r="JS36" i="21" s="1"/>
  <c r="KD103" i="10" a="1"/>
  <c r="KD103" i="10" s="1"/>
  <c r="KD104" i="10" s="1"/>
  <c r="KG36" i="21" s="1"/>
  <c r="V87" i="10" a="1"/>
  <c r="V87" i="10" s="1"/>
  <c r="V88" i="10" s="1"/>
  <c r="Y35" i="21" s="1"/>
  <c r="AK87" i="10" a="1"/>
  <c r="AK87" i="10" s="1"/>
  <c r="AK88" i="10" s="1"/>
  <c r="AN35" i="21" s="1"/>
  <c r="AY87" i="10" a="1"/>
  <c r="AY87" i="10" s="1"/>
  <c r="AY88" i="10" s="1"/>
  <c r="BB35" i="21" s="1"/>
  <c r="BM87" i="10" a="1"/>
  <c r="BM87" i="10" s="1"/>
  <c r="BM88" i="10" s="1"/>
  <c r="BP35" i="21" s="1"/>
  <c r="CA87" i="10" a="1"/>
  <c r="CA87" i="10" s="1"/>
  <c r="CA88" i="10" s="1"/>
  <c r="CD35" i="21" s="1"/>
  <c r="DD87" i="10" a="1"/>
  <c r="DD87" i="10" s="1"/>
  <c r="DD88" i="10" s="1"/>
  <c r="DG35" i="21" s="1"/>
  <c r="DR87" i="10" a="1"/>
  <c r="DR87" i="10" s="1"/>
  <c r="DR88" i="10" s="1"/>
  <c r="DU35" i="21" s="1"/>
  <c r="EF87" i="10" a="1"/>
  <c r="EF87" i="10" s="1"/>
  <c r="EF88" i="10" s="1"/>
  <c r="EI35" i="21" s="1"/>
  <c r="ET87" i="10" a="1"/>
  <c r="ET87" i="10" s="1"/>
  <c r="ET88" i="10" s="1"/>
  <c r="EW35" i="21" s="1"/>
  <c r="FI87" i="10" a="1"/>
  <c r="FI87" i="10" s="1"/>
  <c r="FI88" i="10" s="1"/>
  <c r="FL35" i="21" s="1"/>
  <c r="FW87" i="10" a="1"/>
  <c r="FW87" i="10" s="1"/>
  <c r="FW88" i="10" s="1"/>
  <c r="FZ35" i="21" s="1"/>
  <c r="GK87" i="10" a="1"/>
  <c r="GK87" i="10" s="1"/>
  <c r="GK88" i="10" s="1"/>
  <c r="GN35" i="21" s="1"/>
  <c r="HX87" i="10" a="1"/>
  <c r="HX87" i="10" s="1"/>
  <c r="HX88" i="10" s="1"/>
  <c r="IA35" i="21" s="1"/>
  <c r="EG135" i="10" a="1"/>
  <c r="EG135" i="10" s="1"/>
  <c r="R119" i="10" a="1"/>
  <c r="R119" i="10" s="1"/>
  <c r="R120" i="10" s="1"/>
  <c r="U38" i="21" s="1"/>
  <c r="AF119" i="10" a="1"/>
  <c r="AF119" i="10" s="1"/>
  <c r="AF120" i="10" s="1"/>
  <c r="AI38" i="21" s="1"/>
  <c r="AT119" i="10" a="1"/>
  <c r="AT119" i="10" s="1"/>
  <c r="AT120" i="10" s="1"/>
  <c r="AW38" i="21" s="1"/>
  <c r="BI119" i="10" a="1"/>
  <c r="BI119" i="10" s="1"/>
  <c r="BI120" i="10" s="1"/>
  <c r="BL38" i="21" s="1"/>
  <c r="BW119" i="10" a="1"/>
  <c r="BW119" i="10" s="1"/>
  <c r="BW120" i="10" s="1"/>
  <c r="BZ38" i="21" s="1"/>
  <c r="CK119" i="10" a="1"/>
  <c r="CK119" i="10" s="1"/>
  <c r="CK120" i="10" s="1"/>
  <c r="CN38" i="21" s="1"/>
  <c r="CY119" i="10" a="1"/>
  <c r="CY119" i="10" s="1"/>
  <c r="CY120" i="10" s="1"/>
  <c r="DB38" i="21" s="1"/>
  <c r="EB119" i="10" a="1"/>
  <c r="EB119" i="10" s="1"/>
  <c r="EB120" i="10" s="1"/>
  <c r="EE38" i="21" s="1"/>
  <c r="EP119" i="10" a="1"/>
  <c r="EP119" i="10" s="1"/>
  <c r="EP120" i="10" s="1"/>
  <c r="ES38" i="21" s="1"/>
  <c r="FD119" i="10" a="1"/>
  <c r="FD119" i="10" s="1"/>
  <c r="FD120" i="10" s="1"/>
  <c r="FG38" i="21" s="1"/>
  <c r="FR119" i="10" a="1"/>
  <c r="FR119" i="10" s="1"/>
  <c r="FR120" i="10" s="1"/>
  <c r="FU38" i="21" s="1"/>
  <c r="GG119" i="10" a="1"/>
  <c r="GG119" i="10" s="1"/>
  <c r="GG120" i="10" s="1"/>
  <c r="GJ38" i="21" s="1"/>
  <c r="GU119" i="10" a="1"/>
  <c r="GU119" i="10" s="1"/>
  <c r="GU120" i="10" s="1"/>
  <c r="GX38" i="21" s="1"/>
  <c r="HI119" i="10" a="1"/>
  <c r="HI119" i="10" s="1"/>
  <c r="HI120" i="10" s="1"/>
  <c r="HL38" i="21" s="1"/>
  <c r="HW119" i="10" a="1"/>
  <c r="HW119" i="10" s="1"/>
  <c r="HW120" i="10" s="1"/>
  <c r="HZ38" i="21" s="1"/>
  <c r="IZ119" i="10" a="1"/>
  <c r="IZ119" i="10" s="1"/>
  <c r="IZ120" i="10" s="1"/>
  <c r="JC38" i="21" s="1"/>
  <c r="JN119" i="10" a="1"/>
  <c r="JN119" i="10" s="1"/>
  <c r="JN120" i="10" s="1"/>
  <c r="JQ38" i="21" s="1"/>
  <c r="U103" i="10" a="1"/>
  <c r="U103" i="10" s="1"/>
  <c r="U104" i="10" s="1"/>
  <c r="X36" i="21" s="1"/>
  <c r="AI103" i="10" a="1"/>
  <c r="AI103" i="10" s="1"/>
  <c r="AI104" i="10" s="1"/>
  <c r="AL36" i="21" s="1"/>
  <c r="AW103" i="10" a="1"/>
  <c r="AW103" i="10" s="1"/>
  <c r="AW104" i="10" s="1"/>
  <c r="AZ36" i="21" s="1"/>
  <c r="BK103" i="10" a="1"/>
  <c r="BK103" i="10" s="1"/>
  <c r="BK104" i="10" s="1"/>
  <c r="BN36" i="21" s="1"/>
  <c r="CN103" i="10" a="1"/>
  <c r="CN103" i="10" s="1"/>
  <c r="CN104" i="10" s="1"/>
  <c r="CQ36" i="21" s="1"/>
  <c r="DB103" i="10" a="1"/>
  <c r="DB103" i="10" s="1"/>
  <c r="DB104" i="10" s="1"/>
  <c r="DE36" i="21" s="1"/>
  <c r="DP103" i="10" a="1"/>
  <c r="DP103" i="10" s="1"/>
  <c r="DP104" i="10" s="1"/>
  <c r="DS36" i="21" s="1"/>
  <c r="ED103" i="10" a="1"/>
  <c r="ED103" i="10" s="1"/>
  <c r="ED104" i="10" s="1"/>
  <c r="EG36" i="21" s="1"/>
  <c r="ES103" i="10" a="1"/>
  <c r="ES103" i="10" s="1"/>
  <c r="ES104" i="10" s="1"/>
  <c r="EV36" i="21" s="1"/>
  <c r="FG103" i="10" a="1"/>
  <c r="FG103" i="10" s="1"/>
  <c r="FG104" i="10" s="1"/>
  <c r="FJ36" i="21" s="1"/>
  <c r="FU103" i="10" a="1"/>
  <c r="FU103" i="10" s="1"/>
  <c r="FU104" i="10" s="1"/>
  <c r="FX36" i="21" s="1"/>
  <c r="GI103" i="10" a="1"/>
  <c r="GI103" i="10" s="1"/>
  <c r="GI104" i="10" s="1"/>
  <c r="GL36" i="21" s="1"/>
  <c r="HL103" i="10" a="1"/>
  <c r="HL103" i="10" s="1"/>
  <c r="HL104" i="10" s="1"/>
  <c r="HO36" i="21" s="1"/>
  <c r="HZ103" i="10" a="1"/>
  <c r="HZ103" i="10" s="1"/>
  <c r="HZ104" i="10" s="1"/>
  <c r="IC36" i="21" s="1"/>
  <c r="IN103" i="10" a="1"/>
  <c r="IN103" i="10" s="1"/>
  <c r="IN104" i="10" s="1"/>
  <c r="IQ36" i="21" s="1"/>
  <c r="JB103" i="10" a="1"/>
  <c r="JB103" i="10" s="1"/>
  <c r="JB104" i="10" s="1"/>
  <c r="JE36" i="21" s="1"/>
  <c r="JQ103" i="10" a="1"/>
  <c r="JQ103" i="10" s="1"/>
  <c r="JQ104" i="10" s="1"/>
  <c r="JT36" i="21" s="1"/>
  <c r="W87" i="10" a="1"/>
  <c r="W87" i="10" s="1"/>
  <c r="W88" i="10" s="1"/>
  <c r="Z35" i="21" s="1"/>
  <c r="AZ87" i="10" a="1"/>
  <c r="AZ87" i="10" s="1"/>
  <c r="AZ88" i="10" s="1"/>
  <c r="BC35" i="21" s="1"/>
  <c r="BN87" i="10" a="1"/>
  <c r="BN87" i="10" s="1"/>
  <c r="BN88" i="10" s="1"/>
  <c r="BQ35" i="21" s="1"/>
  <c r="CB87" i="10" a="1"/>
  <c r="CB87" i="10" s="1"/>
  <c r="CB88" i="10" s="1"/>
  <c r="CE35" i="21" s="1"/>
  <c r="CP87" i="10" a="1"/>
  <c r="CP87" i="10" s="1"/>
  <c r="CP88" i="10" s="1"/>
  <c r="CS35" i="21" s="1"/>
  <c r="DE87" i="10" a="1"/>
  <c r="DE87" i="10" s="1"/>
  <c r="DE88" i="10" s="1"/>
  <c r="DH35" i="21" s="1"/>
  <c r="DS87" i="10" a="1"/>
  <c r="DS87" i="10" s="1"/>
  <c r="DS88" i="10" s="1"/>
  <c r="DV35" i="21" s="1"/>
  <c r="EG87" i="10" a="1"/>
  <c r="EG87" i="10" s="1"/>
  <c r="EG88" i="10" s="1"/>
  <c r="EJ35" i="21" s="1"/>
  <c r="EU87" i="10" a="1"/>
  <c r="EU87" i="10" s="1"/>
  <c r="EU88" i="10" s="1"/>
  <c r="EX35" i="21" s="1"/>
  <c r="FX87" i="10" a="1"/>
  <c r="FX87" i="10" s="1"/>
  <c r="FX88" i="10" s="1"/>
  <c r="GA35" i="21" s="1"/>
  <c r="GL87" i="10" a="1"/>
  <c r="GL87" i="10" s="1"/>
  <c r="GL88" i="10" s="1"/>
  <c r="GO35" i="21" s="1"/>
  <c r="GX87" i="10" a="1"/>
  <c r="GX87" i="10" s="1"/>
  <c r="GX88" i="10" s="1"/>
  <c r="HA35" i="21" s="1"/>
  <c r="HK87" i="10" a="1"/>
  <c r="HK87" i="10" s="1"/>
  <c r="HK88" i="10" s="1"/>
  <c r="HN35" i="21" s="1"/>
  <c r="H67" i="9" a="1"/>
  <c r="H67" i="9" s="1"/>
  <c r="H77" i="9" s="1"/>
  <c r="Q71" i="9" s="1"/>
  <c r="N12" i="21"/>
  <c r="N132" i="21" s="1"/>
  <c r="N13" i="21"/>
  <c r="N5" i="21" s="1"/>
  <c r="N14" i="21"/>
  <c r="N6" i="21" s="1"/>
  <c r="H73" i="9"/>
  <c r="H93" i="9" a="1"/>
  <c r="H93" i="9" s="1"/>
  <c r="H106" i="9" a="1"/>
  <c r="H106" i="9" s="1"/>
  <c r="H100" i="9"/>
  <c r="H104" i="9" a="1"/>
  <c r="H104" i="9" s="1"/>
  <c r="H99" i="9" a="1"/>
  <c r="H99" i="9" s="1"/>
  <c r="H76" i="9"/>
  <c r="M55" i="10" a="1"/>
  <c r="M55" i="10" s="1"/>
  <c r="M56" i="10" s="1"/>
  <c r="P25" i="21" s="1"/>
  <c r="AC55" i="10" a="1"/>
  <c r="AC55" i="10" s="1"/>
  <c r="AC56" i="10" s="1"/>
  <c r="AF25" i="21" s="1"/>
  <c r="AS55" i="10" a="1"/>
  <c r="AS55" i="10" s="1"/>
  <c r="AS56" i="10" s="1"/>
  <c r="AV25" i="21" s="1"/>
  <c r="BI55" i="10" a="1"/>
  <c r="BI55" i="10" s="1"/>
  <c r="BI56" i="10" s="1"/>
  <c r="BL25" i="21" s="1"/>
  <c r="BY55" i="10" a="1"/>
  <c r="BY55" i="10" s="1"/>
  <c r="BY56" i="10" s="1"/>
  <c r="CB25" i="21" s="1"/>
  <c r="CO55" i="10" a="1"/>
  <c r="CO55" i="10" s="1"/>
  <c r="CO56" i="10" s="1"/>
  <c r="CR25" i="21" s="1"/>
  <c r="DU55" i="10" a="1"/>
  <c r="DU55" i="10" s="1"/>
  <c r="DU56" i="10" s="1"/>
  <c r="DX25" i="21" s="1"/>
  <c r="EK55" i="10" a="1"/>
  <c r="EK55" i="10" s="1"/>
  <c r="EK56" i="10" s="1"/>
  <c r="EN25" i="21" s="1"/>
  <c r="FA55" i="10" a="1"/>
  <c r="FA55" i="10" s="1"/>
  <c r="FA56" i="10" s="1"/>
  <c r="FD25" i="21" s="1"/>
  <c r="FQ55" i="10" a="1"/>
  <c r="FQ55" i="10" s="1"/>
  <c r="FQ56" i="10" s="1"/>
  <c r="FT25" i="21" s="1"/>
  <c r="GG55" i="10" a="1"/>
  <c r="GG55" i="10" s="1"/>
  <c r="GG56" i="10" s="1"/>
  <c r="GJ25" i="21" s="1"/>
  <c r="GW55" i="10" a="1"/>
  <c r="GW55" i="10" s="1"/>
  <c r="GW56" i="10" s="1"/>
  <c r="GZ25" i="21" s="1"/>
  <c r="HM55" i="10" a="1"/>
  <c r="HM55" i="10" s="1"/>
  <c r="HM56" i="10" s="1"/>
  <c r="HP25" i="21" s="1"/>
  <c r="IS55" i="10" a="1"/>
  <c r="IS55" i="10" s="1"/>
  <c r="IS56" i="10" s="1"/>
  <c r="IV25" i="21" s="1"/>
  <c r="JI55" i="10" a="1"/>
  <c r="JI55" i="10" s="1"/>
  <c r="JI56" i="10" s="1"/>
  <c r="JL25" i="21" s="1"/>
  <c r="JY55" i="10" a="1"/>
  <c r="JY55" i="10" s="1"/>
  <c r="JY56" i="10" s="1"/>
  <c r="KB25" i="21" s="1"/>
  <c r="N55" i="10" a="1"/>
  <c r="N55" i="10" s="1"/>
  <c r="N56" i="10" s="1"/>
  <c r="Q25" i="21" s="1"/>
  <c r="AD55" i="10" a="1"/>
  <c r="AD55" i="10" s="1"/>
  <c r="AD56" i="10" s="1"/>
  <c r="AG25" i="21" s="1"/>
  <c r="AT55" i="10" a="1"/>
  <c r="AT55" i="10" s="1"/>
  <c r="AT56" i="10" s="1"/>
  <c r="AW25" i="21" s="1"/>
  <c r="BJ55" i="10" a="1"/>
  <c r="BJ55" i="10" s="1"/>
  <c r="BJ56" i="10" s="1"/>
  <c r="BM25" i="21" s="1"/>
  <c r="BZ55" i="10" a="1"/>
  <c r="BZ55" i="10" s="1"/>
  <c r="BZ56" i="10" s="1"/>
  <c r="CC25" i="21" s="1"/>
  <c r="DF55" i="10" a="1"/>
  <c r="DF55" i="10" s="1"/>
  <c r="DF56" i="10" s="1"/>
  <c r="DI25" i="21" s="1"/>
  <c r="DV55" i="10" a="1"/>
  <c r="DV55" i="10" s="1"/>
  <c r="DV56" i="10" s="1"/>
  <c r="DY25" i="21" s="1"/>
  <c r="EL55" i="10" a="1"/>
  <c r="EL55" i="10" s="1"/>
  <c r="EL56" i="10" s="1"/>
  <c r="EO25" i="21" s="1"/>
  <c r="FB55" i="10" a="1"/>
  <c r="FB55" i="10" s="1"/>
  <c r="FB56" i="10" s="1"/>
  <c r="FE25" i="21" s="1"/>
  <c r="FR55" i="10" a="1"/>
  <c r="FR55" i="10" s="1"/>
  <c r="FR56" i="10" s="1"/>
  <c r="FU25" i="21" s="1"/>
  <c r="GH55" i="10" a="1"/>
  <c r="GH55" i="10" s="1"/>
  <c r="GH56" i="10" s="1"/>
  <c r="GK25" i="21" s="1"/>
  <c r="GX55" i="10" a="1"/>
  <c r="GX55" i="10" s="1"/>
  <c r="GX56" i="10" s="1"/>
  <c r="HA25" i="21" s="1"/>
  <c r="ID55" i="10" a="1"/>
  <c r="ID55" i="10" s="1"/>
  <c r="ID56" i="10" s="1"/>
  <c r="IG25" i="21" s="1"/>
  <c r="IT55" i="10" a="1"/>
  <c r="IT55" i="10" s="1"/>
  <c r="IT56" i="10" s="1"/>
  <c r="IW25" i="21" s="1"/>
  <c r="JJ55" i="10" a="1"/>
  <c r="JJ55" i="10" s="1"/>
  <c r="JJ56" i="10" s="1"/>
  <c r="JM25" i="21" s="1"/>
  <c r="JZ55" i="10" a="1"/>
  <c r="JZ55" i="10" s="1"/>
  <c r="JZ56" i="10" s="1"/>
  <c r="KC25" i="21" s="1"/>
  <c r="O55" i="10" a="1"/>
  <c r="O55" i="10" s="1"/>
  <c r="O56" i="10" s="1"/>
  <c r="R25" i="21" s="1"/>
  <c r="AE55" i="10" a="1"/>
  <c r="AE55" i="10" s="1"/>
  <c r="AE56" i="10" s="1"/>
  <c r="AH25" i="21" s="1"/>
  <c r="AU55" i="10" a="1"/>
  <c r="AU55" i="10" s="1"/>
  <c r="AU56" i="10" s="1"/>
  <c r="AX25" i="21" s="1"/>
  <c r="BK55" i="10" a="1"/>
  <c r="BK55" i="10" s="1"/>
  <c r="BK56" i="10" s="1"/>
  <c r="BN25" i="21" s="1"/>
  <c r="CA55" i="10" a="1"/>
  <c r="CA55" i="10" s="1"/>
  <c r="CA56" i="10" s="1"/>
  <c r="CD25" i="21" s="1"/>
  <c r="CQ55" i="10" a="1"/>
  <c r="CQ55" i="10" s="1"/>
  <c r="CQ56" i="10" s="1"/>
  <c r="CT25" i="21" s="1"/>
  <c r="DG55" i="10" a="1"/>
  <c r="DG55" i="10" s="1"/>
  <c r="DG56" i="10" s="1"/>
  <c r="DJ25" i="21" s="1"/>
  <c r="DW55" i="10" a="1"/>
  <c r="DW55" i="10" s="1"/>
  <c r="DW56" i="10" s="1"/>
  <c r="DZ25" i="21" s="1"/>
  <c r="EM55" i="10" a="1"/>
  <c r="EM55" i="10" s="1"/>
  <c r="EM56" i="10" s="1"/>
  <c r="EP25" i="21" s="1"/>
  <c r="FC55" i="10" a="1"/>
  <c r="FC55" i="10" s="1"/>
  <c r="FC56" i="10" s="1"/>
  <c r="FF25" i="21" s="1"/>
  <c r="FS55" i="10" a="1"/>
  <c r="FS55" i="10" s="1"/>
  <c r="FS56" i="10" s="1"/>
  <c r="FV25" i="21" s="1"/>
  <c r="GI55" i="10" a="1"/>
  <c r="GI55" i="10" s="1"/>
  <c r="GI56" i="10" s="1"/>
  <c r="GL25" i="21" s="1"/>
  <c r="GY55" i="10" a="1"/>
  <c r="GY55" i="10" s="1"/>
  <c r="GY56" i="10" s="1"/>
  <c r="HB25" i="21" s="1"/>
  <c r="HO55" i="10" a="1"/>
  <c r="HO55" i="10" s="1"/>
  <c r="HO56" i="10" s="1"/>
  <c r="HR25" i="21" s="1"/>
  <c r="IE55" i="10" a="1"/>
  <c r="IE55" i="10" s="1"/>
  <c r="IE56" i="10" s="1"/>
  <c r="IH25" i="21" s="1"/>
  <c r="IU55" i="10" a="1"/>
  <c r="IU55" i="10" s="1"/>
  <c r="IU56" i="10" s="1"/>
  <c r="IX25" i="21" s="1"/>
  <c r="JK55" i="10" a="1"/>
  <c r="JK55" i="10" s="1"/>
  <c r="JK56" i="10" s="1"/>
  <c r="JN25" i="21" s="1"/>
  <c r="KA55" i="10" a="1"/>
  <c r="KA55" i="10" s="1"/>
  <c r="KA56" i="10" s="1"/>
  <c r="KD25" i="21" s="1"/>
  <c r="P55" i="10" a="1"/>
  <c r="P55" i="10" s="1"/>
  <c r="P56" i="10" s="1"/>
  <c r="S25" i="21" s="1"/>
  <c r="AF55" i="10" a="1"/>
  <c r="AF55" i="10" s="1"/>
  <c r="AF56" i="10" s="1"/>
  <c r="AI25" i="21" s="1"/>
  <c r="AV55" i="10" a="1"/>
  <c r="AV55" i="10" s="1"/>
  <c r="AV56" i="10" s="1"/>
  <c r="AY25" i="21" s="1"/>
  <c r="BL55" i="10" a="1"/>
  <c r="BL55" i="10" s="1"/>
  <c r="BL56" i="10" s="1"/>
  <c r="BO25" i="21" s="1"/>
  <c r="CR55" i="10" a="1"/>
  <c r="CR55" i="10" s="1"/>
  <c r="CR56" i="10" s="1"/>
  <c r="CU25" i="21" s="1"/>
  <c r="DH55" i="10" a="1"/>
  <c r="DH55" i="10" s="1"/>
  <c r="DH56" i="10" s="1"/>
  <c r="DK25" i="21" s="1"/>
  <c r="DX55" i="10" a="1"/>
  <c r="DX55" i="10" s="1"/>
  <c r="DX56" i="10" s="1"/>
  <c r="EA25" i="21" s="1"/>
  <c r="EN55" i="10" a="1"/>
  <c r="EN55" i="10" s="1"/>
  <c r="EN56" i="10" s="1"/>
  <c r="EQ25" i="21" s="1"/>
  <c r="FD55" i="10" a="1"/>
  <c r="FD55" i="10" s="1"/>
  <c r="FD56" i="10" s="1"/>
  <c r="FG25" i="21" s="1"/>
  <c r="FT55" i="10" a="1"/>
  <c r="FT55" i="10" s="1"/>
  <c r="FT56" i="10" s="1"/>
  <c r="FW25" i="21" s="1"/>
  <c r="GJ55" i="10" a="1"/>
  <c r="GJ55" i="10" s="1"/>
  <c r="GJ56" i="10" s="1"/>
  <c r="GM25" i="21" s="1"/>
  <c r="HP55" i="10" a="1"/>
  <c r="HP55" i="10" s="1"/>
  <c r="HP56" i="10" s="1"/>
  <c r="HS25" i="21" s="1"/>
  <c r="IF55" i="10" a="1"/>
  <c r="IF55" i="10" s="1"/>
  <c r="IF56" i="10" s="1"/>
  <c r="II25" i="21" s="1"/>
  <c r="IV55" i="10" a="1"/>
  <c r="IV55" i="10" s="1"/>
  <c r="IV56" i="10" s="1"/>
  <c r="IY25" i="21" s="1"/>
  <c r="JL55" i="10" a="1"/>
  <c r="JL55" i="10" s="1"/>
  <c r="JL56" i="10" s="1"/>
  <c r="JO25" i="21" s="1"/>
  <c r="KB55" i="10" a="1"/>
  <c r="KB55" i="10" s="1"/>
  <c r="KB56" i="10" s="1"/>
  <c r="KE25" i="21" s="1"/>
  <c r="Q55" i="10" a="1"/>
  <c r="Q55" i="10" s="1"/>
  <c r="Q56" i="10" s="1"/>
  <c r="T25" i="21" s="1"/>
  <c r="AG55" i="10" a="1"/>
  <c r="AG55" i="10" s="1"/>
  <c r="AG56" i="10" s="1"/>
  <c r="AJ25" i="21" s="1"/>
  <c r="AW55" i="10" a="1"/>
  <c r="AW55" i="10" s="1"/>
  <c r="AW56" i="10" s="1"/>
  <c r="AZ25" i="21" s="1"/>
  <c r="BM55" i="10" a="1"/>
  <c r="BM55" i="10" s="1"/>
  <c r="BM56" i="10" s="1"/>
  <c r="BP25" i="21" s="1"/>
  <c r="CC55" i="10" a="1"/>
  <c r="CC55" i="10" s="1"/>
  <c r="CC56" i="10" s="1"/>
  <c r="CF25" i="21" s="1"/>
  <c r="CS55" i="10" a="1"/>
  <c r="CS55" i="10" s="1"/>
  <c r="CS56" i="10" s="1"/>
  <c r="CV25" i="21" s="1"/>
  <c r="DI55" i="10" a="1"/>
  <c r="DI55" i="10" s="1"/>
  <c r="DI56" i="10" s="1"/>
  <c r="DL25" i="21" s="1"/>
  <c r="DY55" i="10" a="1"/>
  <c r="DY55" i="10" s="1"/>
  <c r="DY56" i="10" s="1"/>
  <c r="EB25" i="21" s="1"/>
  <c r="EO55" i="10" a="1"/>
  <c r="EO55" i="10" s="1"/>
  <c r="EO56" i="10" s="1"/>
  <c r="ER25" i="21" s="1"/>
  <c r="FE55" i="10" a="1"/>
  <c r="FE55" i="10" s="1"/>
  <c r="FE56" i="10" s="1"/>
  <c r="FH25" i="21" s="1"/>
  <c r="FU55" i="10" a="1"/>
  <c r="FU55" i="10" s="1"/>
  <c r="FU56" i="10" s="1"/>
  <c r="FX25" i="21" s="1"/>
  <c r="GK55" i="10" a="1"/>
  <c r="GK55" i="10" s="1"/>
  <c r="GK56" i="10" s="1"/>
  <c r="GN25" i="21" s="1"/>
  <c r="HA55" i="10" a="1"/>
  <c r="HA55" i="10" s="1"/>
  <c r="HA56" i="10" s="1"/>
  <c r="HD25" i="21" s="1"/>
  <c r="HQ55" i="10" a="1"/>
  <c r="HQ55" i="10" s="1"/>
  <c r="HQ56" i="10" s="1"/>
  <c r="HT25" i="21" s="1"/>
  <c r="IG55" i="10" a="1"/>
  <c r="IG55" i="10" s="1"/>
  <c r="IG56" i="10" s="1"/>
  <c r="IJ25" i="21" s="1"/>
  <c r="IW55" i="10" a="1"/>
  <c r="IW55" i="10" s="1"/>
  <c r="IW56" i="10" s="1"/>
  <c r="IZ25" i="21" s="1"/>
  <c r="JM55" i="10" a="1"/>
  <c r="JM55" i="10" s="1"/>
  <c r="JM56" i="10" s="1"/>
  <c r="JP25" i="21" s="1"/>
  <c r="KC55" i="10" a="1"/>
  <c r="KC55" i="10" s="1"/>
  <c r="KC56" i="10" s="1"/>
  <c r="KF25" i="21" s="1"/>
  <c r="R55" i="10" a="1"/>
  <c r="R55" i="10" s="1"/>
  <c r="R56" i="10" s="1"/>
  <c r="U25" i="21" s="1"/>
  <c r="AH55" i="10" a="1"/>
  <c r="AH55" i="10" s="1"/>
  <c r="AH56" i="10" s="1"/>
  <c r="AK25" i="21" s="1"/>
  <c r="AX55" i="10" a="1"/>
  <c r="AX55" i="10" s="1"/>
  <c r="AX56" i="10" s="1"/>
  <c r="BA25" i="21" s="1"/>
  <c r="CD55" i="10" a="1"/>
  <c r="CD55" i="10" s="1"/>
  <c r="CD56" i="10" s="1"/>
  <c r="CG25" i="21" s="1"/>
  <c r="CT55" i="10" a="1"/>
  <c r="CT55" i="10" s="1"/>
  <c r="CT56" i="10" s="1"/>
  <c r="CW25" i="21" s="1"/>
  <c r="DJ55" i="10" a="1"/>
  <c r="DJ55" i="10" s="1"/>
  <c r="DJ56" i="10" s="1"/>
  <c r="DM25" i="21" s="1"/>
  <c r="DZ55" i="10" a="1"/>
  <c r="DZ55" i="10" s="1"/>
  <c r="DZ56" i="10" s="1"/>
  <c r="EC25" i="21" s="1"/>
  <c r="EP55" i="10" a="1"/>
  <c r="EP55" i="10" s="1"/>
  <c r="EP56" i="10" s="1"/>
  <c r="ES25" i="21" s="1"/>
  <c r="FF55" i="10" a="1"/>
  <c r="FF55" i="10" s="1"/>
  <c r="FF56" i="10" s="1"/>
  <c r="FI25" i="21" s="1"/>
  <c r="FV55" i="10" a="1"/>
  <c r="FV55" i="10" s="1"/>
  <c r="FV56" i="10" s="1"/>
  <c r="FY25" i="21" s="1"/>
  <c r="HB55" i="10" a="1"/>
  <c r="HB55" i="10" s="1"/>
  <c r="HB56" i="10" s="1"/>
  <c r="HE25" i="21" s="1"/>
  <c r="HR55" i="10" a="1"/>
  <c r="HR55" i="10" s="1"/>
  <c r="HR56" i="10" s="1"/>
  <c r="HU25" i="21" s="1"/>
  <c r="IH55" i="10" a="1"/>
  <c r="IH55" i="10" s="1"/>
  <c r="IH56" i="10" s="1"/>
  <c r="IK25" i="21" s="1"/>
  <c r="IX55" i="10" a="1"/>
  <c r="IX55" i="10" s="1"/>
  <c r="IX56" i="10" s="1"/>
  <c r="JA25" i="21" s="1"/>
  <c r="JN55" i="10" a="1"/>
  <c r="JN55" i="10" s="1"/>
  <c r="JN56" i="10" s="1"/>
  <c r="JQ25" i="21" s="1"/>
  <c r="KD55" i="10" a="1"/>
  <c r="KD55" i="10" s="1"/>
  <c r="KD56" i="10" s="1"/>
  <c r="KG25" i="21" s="1"/>
  <c r="S55" i="10" a="1"/>
  <c r="S55" i="10" s="1"/>
  <c r="S56" i="10" s="1"/>
  <c r="V25" i="21" s="1"/>
  <c r="AI55" i="10" a="1"/>
  <c r="AI55" i="10" s="1"/>
  <c r="AI56" i="10" s="1"/>
  <c r="AL25" i="21" s="1"/>
  <c r="AY55" i="10" a="1"/>
  <c r="AY55" i="10" s="1"/>
  <c r="AY56" i="10" s="1"/>
  <c r="BB25" i="21" s="1"/>
  <c r="BO55" i="10" a="1"/>
  <c r="BO55" i="10" s="1"/>
  <c r="BO56" i="10" s="1"/>
  <c r="BR25" i="21" s="1"/>
  <c r="CE55" i="10" a="1"/>
  <c r="CE55" i="10" s="1"/>
  <c r="CE56" i="10" s="1"/>
  <c r="CH25" i="21" s="1"/>
  <c r="CU55" i="10" a="1"/>
  <c r="CU55" i="10" s="1"/>
  <c r="CU56" i="10" s="1"/>
  <c r="CX25" i="21" s="1"/>
  <c r="DK55" i="10" a="1"/>
  <c r="DK55" i="10" s="1"/>
  <c r="DK56" i="10" s="1"/>
  <c r="DN25" i="21" s="1"/>
  <c r="EA55" i="10" a="1"/>
  <c r="EA55" i="10" s="1"/>
  <c r="EA56" i="10" s="1"/>
  <c r="ED25" i="21" s="1"/>
  <c r="EQ55" i="10" a="1"/>
  <c r="EQ55" i="10" s="1"/>
  <c r="EQ56" i="10" s="1"/>
  <c r="ET25" i="21" s="1"/>
  <c r="FG55" i="10" a="1"/>
  <c r="FG55" i="10" s="1"/>
  <c r="FG56" i="10" s="1"/>
  <c r="FJ25" i="21" s="1"/>
  <c r="FW55" i="10" a="1"/>
  <c r="FW55" i="10" s="1"/>
  <c r="FW56" i="10" s="1"/>
  <c r="FZ25" i="21" s="1"/>
  <c r="GM55" i="10" a="1"/>
  <c r="GM55" i="10" s="1"/>
  <c r="GM56" i="10" s="1"/>
  <c r="GP25" i="21" s="1"/>
  <c r="HC55" i="10" a="1"/>
  <c r="HC55" i="10" s="1"/>
  <c r="HC56" i="10" s="1"/>
  <c r="HF25" i="21" s="1"/>
  <c r="HS55" i="10" a="1"/>
  <c r="HS55" i="10" s="1"/>
  <c r="HS56" i="10" s="1"/>
  <c r="HV25" i="21" s="1"/>
  <c r="II55" i="10" a="1"/>
  <c r="II55" i="10" s="1"/>
  <c r="II56" i="10" s="1"/>
  <c r="IL25" i="21" s="1"/>
  <c r="IY55" i="10" a="1"/>
  <c r="IY55" i="10" s="1"/>
  <c r="IY56" i="10" s="1"/>
  <c r="JB25" i="21" s="1"/>
  <c r="JO55" i="10" a="1"/>
  <c r="JO55" i="10" s="1"/>
  <c r="JO56" i="10" s="1"/>
  <c r="JR25" i="21" s="1"/>
  <c r="KE55" i="10" a="1"/>
  <c r="KE55" i="10" s="1"/>
  <c r="KE56" i="10" s="1"/>
  <c r="KH25" i="21" s="1"/>
  <c r="T55" i="10" a="1"/>
  <c r="T55" i="10" s="1"/>
  <c r="T56" i="10" s="1"/>
  <c r="W25" i="21" s="1"/>
  <c r="AJ55" i="10" a="1"/>
  <c r="AJ55" i="10" s="1"/>
  <c r="AJ56" i="10" s="1"/>
  <c r="AM25" i="21" s="1"/>
  <c r="BP55" i="10" a="1"/>
  <c r="BP55" i="10" s="1"/>
  <c r="BP56" i="10" s="1"/>
  <c r="BS25" i="21" s="1"/>
  <c r="CF55" i="10" a="1"/>
  <c r="CF55" i="10" s="1"/>
  <c r="CF56" i="10" s="1"/>
  <c r="CI25" i="21" s="1"/>
  <c r="CV55" i="10" a="1"/>
  <c r="CV55" i="10" s="1"/>
  <c r="CV56" i="10" s="1"/>
  <c r="CY25" i="21" s="1"/>
  <c r="DL55" i="10" a="1"/>
  <c r="DL55" i="10" s="1"/>
  <c r="DL56" i="10" s="1"/>
  <c r="DO25" i="21" s="1"/>
  <c r="EB55" i="10" a="1"/>
  <c r="EB55" i="10" s="1"/>
  <c r="EB56" i="10" s="1"/>
  <c r="EE25" i="21" s="1"/>
  <c r="ER55" i="10" a="1"/>
  <c r="ER55" i="10" s="1"/>
  <c r="ER56" i="10" s="1"/>
  <c r="EU25" i="21" s="1"/>
  <c r="FH55" i="10" a="1"/>
  <c r="FH55" i="10" s="1"/>
  <c r="FH56" i="10" s="1"/>
  <c r="FK25" i="21" s="1"/>
  <c r="GN55" i="10" a="1"/>
  <c r="GN55" i="10" s="1"/>
  <c r="GN56" i="10" s="1"/>
  <c r="GQ25" i="21" s="1"/>
  <c r="HD55" i="10" a="1"/>
  <c r="HD55" i="10" s="1"/>
  <c r="HD56" i="10" s="1"/>
  <c r="HG25" i="21" s="1"/>
  <c r="HT55" i="10" a="1"/>
  <c r="HT55" i="10" s="1"/>
  <c r="HT56" i="10" s="1"/>
  <c r="HW25" i="21" s="1"/>
  <c r="IJ55" i="10" a="1"/>
  <c r="IJ55" i="10" s="1"/>
  <c r="IJ56" i="10" s="1"/>
  <c r="IM25" i="21" s="1"/>
  <c r="IZ55" i="10" a="1"/>
  <c r="IZ55" i="10" s="1"/>
  <c r="IZ56" i="10" s="1"/>
  <c r="JC25" i="21" s="1"/>
  <c r="JP55" i="10" a="1"/>
  <c r="JP55" i="10" s="1"/>
  <c r="JP56" i="10" s="1"/>
  <c r="JS25" i="21" s="1"/>
  <c r="KF55" i="10" a="1"/>
  <c r="KF55" i="10" s="1"/>
  <c r="KF56" i="10" s="1"/>
  <c r="KI25" i="21" s="1"/>
  <c r="U55" i="10" a="1"/>
  <c r="U55" i="10" s="1"/>
  <c r="U56" i="10" s="1"/>
  <c r="X25" i="21" s="1"/>
  <c r="AK55" i="10" a="1"/>
  <c r="AK55" i="10" s="1"/>
  <c r="AK56" i="10" s="1"/>
  <c r="AN25" i="21" s="1"/>
  <c r="BA55" i="10" a="1"/>
  <c r="BA55" i="10" s="1"/>
  <c r="BA56" i="10" s="1"/>
  <c r="BD25" i="21" s="1"/>
  <c r="BQ55" i="10" a="1"/>
  <c r="BQ55" i="10" s="1"/>
  <c r="BQ56" i="10" s="1"/>
  <c r="BT25" i="21" s="1"/>
  <c r="CG55" i="10" a="1"/>
  <c r="CG55" i="10" s="1"/>
  <c r="CG56" i="10" s="1"/>
  <c r="CJ25" i="21" s="1"/>
  <c r="CW55" i="10" a="1"/>
  <c r="CW55" i="10" s="1"/>
  <c r="CW56" i="10" s="1"/>
  <c r="CZ25" i="21" s="1"/>
  <c r="DM55" i="10" a="1"/>
  <c r="DM55" i="10" s="1"/>
  <c r="DM56" i="10" s="1"/>
  <c r="DP25" i="21" s="1"/>
  <c r="EC55" i="10" a="1"/>
  <c r="EC55" i="10" s="1"/>
  <c r="EC56" i="10" s="1"/>
  <c r="EF25" i="21" s="1"/>
  <c r="ES55" i="10" a="1"/>
  <c r="ES55" i="10" s="1"/>
  <c r="ES56" i="10" s="1"/>
  <c r="EV25" i="21" s="1"/>
  <c r="FI55" i="10" a="1"/>
  <c r="FI55" i="10" s="1"/>
  <c r="FI56" i="10" s="1"/>
  <c r="FL25" i="21" s="1"/>
  <c r="FY55" i="10" a="1"/>
  <c r="FY55" i="10" s="1"/>
  <c r="FY56" i="10" s="1"/>
  <c r="GB25" i="21" s="1"/>
  <c r="GO55" i="10" a="1"/>
  <c r="GO55" i="10" s="1"/>
  <c r="GO56" i="10" s="1"/>
  <c r="GR25" i="21" s="1"/>
  <c r="HE55" i="10" a="1"/>
  <c r="HE55" i="10" s="1"/>
  <c r="HE56" i="10" s="1"/>
  <c r="HH25" i="21" s="1"/>
  <c r="HU55" i="10" a="1"/>
  <c r="HU55" i="10" s="1"/>
  <c r="HU56" i="10" s="1"/>
  <c r="HX25" i="21" s="1"/>
  <c r="IK55" i="10" a="1"/>
  <c r="IK55" i="10" s="1"/>
  <c r="IK56" i="10" s="1"/>
  <c r="IN25" i="21" s="1"/>
  <c r="JA55" i="10" a="1"/>
  <c r="JA55" i="10" s="1"/>
  <c r="JA56" i="10" s="1"/>
  <c r="JD25" i="21" s="1"/>
  <c r="JQ55" i="10" a="1"/>
  <c r="JQ55" i="10" s="1"/>
  <c r="JQ56" i="10" s="1"/>
  <c r="JT25" i="21" s="1"/>
  <c r="L86" i="10" a="1"/>
  <c r="L86" i="10" s="1"/>
  <c r="V55" i="10" a="1"/>
  <c r="V55" i="10" s="1"/>
  <c r="V56" i="10" s="1"/>
  <c r="Y25" i="21" s="1"/>
  <c r="AL55" i="10" a="1"/>
  <c r="AL55" i="10" s="1"/>
  <c r="AL56" i="10" s="1"/>
  <c r="AO25" i="21" s="1"/>
  <c r="BB55" i="10" a="1"/>
  <c r="BB55" i="10" s="1"/>
  <c r="BB56" i="10" s="1"/>
  <c r="BE25" i="21" s="1"/>
  <c r="BR55" i="10" a="1"/>
  <c r="BR55" i="10" s="1"/>
  <c r="BR56" i="10" s="1"/>
  <c r="BU25" i="21" s="1"/>
  <c r="CH55" i="10" a="1"/>
  <c r="CH55" i="10" s="1"/>
  <c r="CH56" i="10" s="1"/>
  <c r="CK25" i="21" s="1"/>
  <c r="CX55" i="10" a="1"/>
  <c r="CX55" i="10" s="1"/>
  <c r="CX56" i="10" s="1"/>
  <c r="DA25" i="21" s="1"/>
  <c r="DN55" i="10" a="1"/>
  <c r="DN55" i="10" s="1"/>
  <c r="DN56" i="10" s="1"/>
  <c r="DQ25" i="21" s="1"/>
  <c r="ED55" i="10" a="1"/>
  <c r="ED55" i="10" s="1"/>
  <c r="ED56" i="10" s="1"/>
  <c r="EG25" i="21" s="1"/>
  <c r="ET55" i="10" a="1"/>
  <c r="ET55" i="10" s="1"/>
  <c r="ET56" i="10" s="1"/>
  <c r="EW25" i="21" s="1"/>
  <c r="FJ55" i="10" a="1"/>
  <c r="FJ55" i="10" s="1"/>
  <c r="FJ56" i="10" s="1"/>
  <c r="FM25" i="21" s="1"/>
  <c r="FZ55" i="10" a="1"/>
  <c r="FZ55" i="10" s="1"/>
  <c r="FZ56" i="10" s="1"/>
  <c r="GC25" i="21" s="1"/>
  <c r="GP55" i="10" a="1"/>
  <c r="GP55" i="10" s="1"/>
  <c r="GP56" i="10" s="1"/>
  <c r="GS25" i="21" s="1"/>
  <c r="HF55" i="10" a="1"/>
  <c r="HF55" i="10" s="1"/>
  <c r="HF56" i="10" s="1"/>
  <c r="HI25" i="21" s="1"/>
  <c r="HV55" i="10" a="1"/>
  <c r="HV55" i="10" s="1"/>
  <c r="HV56" i="10" s="1"/>
  <c r="HY25" i="21" s="1"/>
  <c r="IL55" i="10" a="1"/>
  <c r="IL55" i="10" s="1"/>
  <c r="IL56" i="10" s="1"/>
  <c r="IO25" i="21" s="1"/>
  <c r="JB55" i="10" a="1"/>
  <c r="JB55" i="10" s="1"/>
  <c r="JB56" i="10" s="1"/>
  <c r="JE25" i="21" s="1"/>
  <c r="JR55" i="10" a="1"/>
  <c r="JR55" i="10" s="1"/>
  <c r="JR56" i="10" s="1"/>
  <c r="JU25" i="21" s="1"/>
  <c r="L102" i="10" a="1"/>
  <c r="L102" i="10" s="1"/>
  <c r="AM55" i="10" a="1"/>
  <c r="AM55" i="10" s="1"/>
  <c r="AM56" i="10" s="1"/>
  <c r="AP25" i="21" s="1"/>
  <c r="BC55" i="10" a="1"/>
  <c r="BC55" i="10" s="1"/>
  <c r="BC56" i="10" s="1"/>
  <c r="BF25" i="21" s="1"/>
  <c r="BS55" i="10" a="1"/>
  <c r="BS55" i="10" s="1"/>
  <c r="BS56" i="10" s="1"/>
  <c r="BV25" i="21" s="1"/>
  <c r="CI55" i="10" a="1"/>
  <c r="CI55" i="10" s="1"/>
  <c r="CI56" i="10" s="1"/>
  <c r="CL25" i="21" s="1"/>
  <c r="CY55" i="10" a="1"/>
  <c r="CY55" i="10" s="1"/>
  <c r="CY56" i="10" s="1"/>
  <c r="DB25" i="21" s="1"/>
  <c r="DO55" i="10" a="1"/>
  <c r="DO55" i="10" s="1"/>
  <c r="DO56" i="10" s="1"/>
  <c r="DR25" i="21" s="1"/>
  <c r="EE55" i="10" a="1"/>
  <c r="EE55" i="10" s="1"/>
  <c r="EE56" i="10" s="1"/>
  <c r="EH25" i="21" s="1"/>
  <c r="FK55" i="10" a="1"/>
  <c r="FK55" i="10" s="1"/>
  <c r="FK56" i="10" s="1"/>
  <c r="FN25" i="21" s="1"/>
  <c r="GA55" i="10" a="1"/>
  <c r="GA55" i="10" s="1"/>
  <c r="GA56" i="10" s="1"/>
  <c r="GD25" i="21" s="1"/>
  <c r="GQ55" i="10" a="1"/>
  <c r="GQ55" i="10" s="1"/>
  <c r="GQ56" i="10" s="1"/>
  <c r="GT25" i="21" s="1"/>
  <c r="HG55" i="10" a="1"/>
  <c r="HG55" i="10" s="1"/>
  <c r="HG56" i="10" s="1"/>
  <c r="HJ25" i="21" s="1"/>
  <c r="HW55" i="10" a="1"/>
  <c r="HW55" i="10" s="1"/>
  <c r="HW56" i="10" s="1"/>
  <c r="HZ25" i="21" s="1"/>
  <c r="IM55" i="10" a="1"/>
  <c r="IM55" i="10" s="1"/>
  <c r="IM56" i="10" s="1"/>
  <c r="IP25" i="21" s="1"/>
  <c r="JC55" i="10" a="1"/>
  <c r="JC55" i="10" s="1"/>
  <c r="JC56" i="10" s="1"/>
  <c r="JF25" i="21" s="1"/>
  <c r="L118" i="10" a="1"/>
  <c r="L118" i="10" s="1"/>
  <c r="X55" i="10" a="1"/>
  <c r="X55" i="10" s="1"/>
  <c r="X56" i="10" s="1"/>
  <c r="AA25" i="21" s="1"/>
  <c r="AN55" i="10" a="1"/>
  <c r="AN55" i="10" s="1"/>
  <c r="AN56" i="10" s="1"/>
  <c r="AQ25" i="21" s="1"/>
  <c r="BD55" i="10" a="1"/>
  <c r="BD55" i="10" s="1"/>
  <c r="BD56" i="10" s="1"/>
  <c r="BG25" i="21" s="1"/>
  <c r="BT55" i="10" a="1"/>
  <c r="BT55" i="10" s="1"/>
  <c r="BT56" i="10" s="1"/>
  <c r="BW25" i="21" s="1"/>
  <c r="CJ55" i="10" a="1"/>
  <c r="CJ55" i="10" s="1"/>
  <c r="CJ56" i="10" s="1"/>
  <c r="CM25" i="21" s="1"/>
  <c r="CZ55" i="10" a="1"/>
  <c r="CZ55" i="10" s="1"/>
  <c r="CZ56" i="10" s="1"/>
  <c r="DC25" i="21" s="1"/>
  <c r="DP55" i="10" a="1"/>
  <c r="DP55" i="10" s="1"/>
  <c r="DP56" i="10" s="1"/>
  <c r="DS25" i="21" s="1"/>
  <c r="EF55" i="10" a="1"/>
  <c r="EF55" i="10" s="1"/>
  <c r="EF56" i="10" s="1"/>
  <c r="EI25" i="21" s="1"/>
  <c r="EV55" i="10" a="1"/>
  <c r="EV55" i="10" s="1"/>
  <c r="EV56" i="10" s="1"/>
  <c r="EY25" i="21" s="1"/>
  <c r="FL55" i="10" a="1"/>
  <c r="FL55" i="10" s="1"/>
  <c r="FL56" i="10" s="1"/>
  <c r="FO25" i="21" s="1"/>
  <c r="GB55" i="10" a="1"/>
  <c r="GB55" i="10" s="1"/>
  <c r="GB56" i="10" s="1"/>
  <c r="GE25" i="21" s="1"/>
  <c r="GR55" i="10" a="1"/>
  <c r="GR55" i="10" s="1"/>
  <c r="GR56" i="10" s="1"/>
  <c r="GU25" i="21" s="1"/>
  <c r="HH55" i="10" a="1"/>
  <c r="HH55" i="10" s="1"/>
  <c r="HH56" i="10" s="1"/>
  <c r="HK25" i="21" s="1"/>
  <c r="HX55" i="10" a="1"/>
  <c r="HX55" i="10" s="1"/>
  <c r="HX56" i="10" s="1"/>
  <c r="IA25" i="21" s="1"/>
  <c r="IN55" i="10" a="1"/>
  <c r="IN55" i="10" s="1"/>
  <c r="IN56" i="10" s="1"/>
  <c r="IQ25" i="21" s="1"/>
  <c r="JD55" i="10" a="1"/>
  <c r="JD55" i="10" s="1"/>
  <c r="JD56" i="10" s="1"/>
  <c r="JG25" i="21" s="1"/>
  <c r="JT55" i="10" a="1"/>
  <c r="JT55" i="10" s="1"/>
  <c r="JT56" i="10" s="1"/>
  <c r="JW25" i="21" s="1"/>
  <c r="L134" i="10" a="1"/>
  <c r="L134" i="10" s="1"/>
  <c r="Y55" i="10" a="1"/>
  <c r="Y55" i="10" s="1"/>
  <c r="Y56" i="10" s="1"/>
  <c r="AB25" i="21" s="1"/>
  <c r="AO55" i="10" a="1"/>
  <c r="AO55" i="10" s="1"/>
  <c r="AO56" i="10" s="1"/>
  <c r="AR25" i="21" s="1"/>
  <c r="BE55" i="10" a="1"/>
  <c r="BE55" i="10" s="1"/>
  <c r="BE56" i="10" s="1"/>
  <c r="BH25" i="21" s="1"/>
  <c r="BU55" i="10" a="1"/>
  <c r="BU55" i="10" s="1"/>
  <c r="BU56" i="10" s="1"/>
  <c r="BX25" i="21" s="1"/>
  <c r="CK55" i="10" a="1"/>
  <c r="CK55" i="10" s="1"/>
  <c r="CK56" i="10" s="1"/>
  <c r="CN25" i="21" s="1"/>
  <c r="DA55" i="10" a="1"/>
  <c r="DA55" i="10" s="1"/>
  <c r="DA56" i="10" s="1"/>
  <c r="DD25" i="21" s="1"/>
  <c r="DQ55" i="10" a="1"/>
  <c r="DQ55" i="10" s="1"/>
  <c r="DQ56" i="10" s="1"/>
  <c r="DT25" i="21" s="1"/>
  <c r="EW55" i="10" a="1"/>
  <c r="EW55" i="10" s="1"/>
  <c r="EW56" i="10" s="1"/>
  <c r="EZ25" i="21" s="1"/>
  <c r="FM55" i="10" a="1"/>
  <c r="FM55" i="10" s="1"/>
  <c r="FM56" i="10" s="1"/>
  <c r="FP25" i="21" s="1"/>
  <c r="GC55" i="10" a="1"/>
  <c r="GC55" i="10" s="1"/>
  <c r="GC56" i="10" s="1"/>
  <c r="GF25" i="21" s="1"/>
  <c r="GS55" i="10" a="1"/>
  <c r="GS55" i="10" s="1"/>
  <c r="GS56" i="10" s="1"/>
  <c r="GV25" i="21" s="1"/>
  <c r="HI55" i="10" a="1"/>
  <c r="HI55" i="10" s="1"/>
  <c r="HI56" i="10" s="1"/>
  <c r="HL25" i="21" s="1"/>
  <c r="HY55" i="10" a="1"/>
  <c r="HY55" i="10" s="1"/>
  <c r="HY56" i="10" s="1"/>
  <c r="IB25" i="21" s="1"/>
  <c r="IO55" i="10" a="1"/>
  <c r="IO55" i="10" s="1"/>
  <c r="IO56" i="10" s="1"/>
  <c r="IR25" i="21" s="1"/>
  <c r="JU55" i="10" a="1"/>
  <c r="JU55" i="10" s="1"/>
  <c r="JU56" i="10" s="1"/>
  <c r="JX25" i="21" s="1"/>
  <c r="Z55" i="10" a="1"/>
  <c r="Z55" i="10" s="1"/>
  <c r="Z56" i="10" s="1"/>
  <c r="AC25" i="21" s="1"/>
  <c r="AP55" i="10" a="1"/>
  <c r="AP55" i="10" s="1"/>
  <c r="AP56" i="10" s="1"/>
  <c r="AS25" i="21" s="1"/>
  <c r="BF55" i="10" a="1"/>
  <c r="BF55" i="10" s="1"/>
  <c r="BF56" i="10" s="1"/>
  <c r="BI25" i="21" s="1"/>
  <c r="BV55" i="10" a="1"/>
  <c r="BV55" i="10" s="1"/>
  <c r="BV56" i="10" s="1"/>
  <c r="BY25" i="21" s="1"/>
  <c r="CL55" i="10" a="1"/>
  <c r="CL55" i="10" s="1"/>
  <c r="CL56" i="10" s="1"/>
  <c r="CO25" i="21" s="1"/>
  <c r="DB55" i="10" a="1"/>
  <c r="DB55" i="10" s="1"/>
  <c r="DB56" i="10" s="1"/>
  <c r="DE25" i="21" s="1"/>
  <c r="DR55" i="10" a="1"/>
  <c r="DR55" i="10" s="1"/>
  <c r="DR56" i="10" s="1"/>
  <c r="DU25" i="21" s="1"/>
  <c r="EH55" i="10" a="1"/>
  <c r="EH55" i="10" s="1"/>
  <c r="EH56" i="10" s="1"/>
  <c r="EK25" i="21" s="1"/>
  <c r="EX55" i="10" a="1"/>
  <c r="EX55" i="10" s="1"/>
  <c r="EX56" i="10" s="1"/>
  <c r="FA25" i="21" s="1"/>
  <c r="FN55" i="10" a="1"/>
  <c r="FN55" i="10" s="1"/>
  <c r="FN56" i="10" s="1"/>
  <c r="FQ25" i="21" s="1"/>
  <c r="GD55" i="10" a="1"/>
  <c r="GD55" i="10" s="1"/>
  <c r="GD56" i="10" s="1"/>
  <c r="GG25" i="21" s="1"/>
  <c r="GT55" i="10" a="1"/>
  <c r="GT55" i="10" s="1"/>
  <c r="GT56" i="10" s="1"/>
  <c r="GW25" i="21" s="1"/>
  <c r="HJ55" i="10" a="1"/>
  <c r="HJ55" i="10" s="1"/>
  <c r="HJ56" i="10" s="1"/>
  <c r="HM25" i="21" s="1"/>
  <c r="HZ55" i="10" a="1"/>
  <c r="HZ55" i="10" s="1"/>
  <c r="HZ56" i="10" s="1"/>
  <c r="IC25" i="21" s="1"/>
  <c r="IP55" i="10" a="1"/>
  <c r="IP55" i="10" s="1"/>
  <c r="IP56" i="10" s="1"/>
  <c r="IS25" i="21" s="1"/>
  <c r="JF55" i="10" a="1"/>
  <c r="JF55" i="10" s="1"/>
  <c r="JF56" i="10" s="1"/>
  <c r="JI25" i="21" s="1"/>
  <c r="JV55" i="10" a="1"/>
  <c r="JV55" i="10" s="1"/>
  <c r="JV56" i="10" s="1"/>
  <c r="JY25" i="21" s="1"/>
  <c r="BN55" i="10" a="1"/>
  <c r="BN55" i="10" s="1"/>
  <c r="BN56" i="10" s="1"/>
  <c r="BQ25" i="21" s="1"/>
  <c r="AZ55" i="10" a="1"/>
  <c r="AZ55" i="10" s="1"/>
  <c r="AZ56" i="10" s="1"/>
  <c r="BC25" i="21" s="1"/>
  <c r="JS55" i="10" a="1"/>
  <c r="JS55" i="10" s="1"/>
  <c r="JS56" i="10" s="1"/>
  <c r="JV25" i="21" s="1"/>
  <c r="W55" i="10" a="1"/>
  <c r="W55" i="10" s="1"/>
  <c r="W56" i="10" s="1"/>
  <c r="Z25" i="21" s="1"/>
  <c r="JE55" i="10" a="1"/>
  <c r="JE55" i="10" s="1"/>
  <c r="JE56" i="10" s="1"/>
  <c r="JH25" i="21" s="1"/>
  <c r="IQ55" i="10" a="1"/>
  <c r="IQ55" i="10" s="1"/>
  <c r="IQ56" i="10" s="1"/>
  <c r="IT25" i="21" s="1"/>
  <c r="IC55" i="10" a="1"/>
  <c r="IC55" i="10" s="1"/>
  <c r="IC56" i="10" s="1"/>
  <c r="IF25" i="21" s="1"/>
  <c r="HN55" i="10" a="1"/>
  <c r="HN55" i="10" s="1"/>
  <c r="HN56" i="10" s="1"/>
  <c r="HQ25" i="21" s="1"/>
  <c r="GZ55" i="10" a="1"/>
  <c r="GZ55" i="10" s="1"/>
  <c r="GZ56" i="10" s="1"/>
  <c r="HC25" i="21" s="1"/>
  <c r="GL55" i="10" a="1"/>
  <c r="GL55" i="10" s="1"/>
  <c r="GL56" i="10" s="1"/>
  <c r="GO25" i="21" s="1"/>
  <c r="FX55" i="10" a="1"/>
  <c r="FX55" i="10" s="1"/>
  <c r="FX56" i="10" s="1"/>
  <c r="GA25" i="21" s="1"/>
  <c r="EU55" i="10" a="1"/>
  <c r="EU55" i="10" s="1"/>
  <c r="EU56" i="10" s="1"/>
  <c r="EX25" i="21" s="1"/>
  <c r="EG55" i="10" a="1"/>
  <c r="EG55" i="10" s="1"/>
  <c r="EG56" i="10" s="1"/>
  <c r="EJ25" i="21" s="1"/>
  <c r="DS55" i="10" a="1"/>
  <c r="DS55" i="10" s="1"/>
  <c r="DS56" i="10" s="1"/>
  <c r="DV25" i="21" s="1"/>
  <c r="DE55" i="10" a="1"/>
  <c r="DE55" i="10" s="1"/>
  <c r="DE56" i="10" s="1"/>
  <c r="DH25" i="21" s="1"/>
  <c r="CP55" i="10" a="1"/>
  <c r="CP55" i="10" s="1"/>
  <c r="CP56" i="10" s="1"/>
  <c r="CS25" i="21" s="1"/>
  <c r="CB55" i="10" a="1"/>
  <c r="CB55" i="10" s="1"/>
  <c r="CB56" i="10" s="1"/>
  <c r="CE25" i="21" s="1"/>
  <c r="K55" i="10" a="1"/>
  <c r="K55" i="10" s="1"/>
  <c r="K56" i="10" s="1"/>
  <c r="N25" i="21" s="1"/>
  <c r="AA55" i="10" a="1"/>
  <c r="AA55" i="10" s="1"/>
  <c r="AA56" i="10" s="1"/>
  <c r="AD25" i="21" s="1"/>
  <c r="AQ55" i="10" a="1"/>
  <c r="AQ55" i="10" s="1"/>
  <c r="AQ56" i="10" s="1"/>
  <c r="AT25" i="21" s="1"/>
  <c r="BG55" i="10" a="1"/>
  <c r="BG55" i="10" s="1"/>
  <c r="BG56" i="10" s="1"/>
  <c r="BJ25" i="21" s="1"/>
  <c r="BW55" i="10" a="1"/>
  <c r="BW55" i="10" s="1"/>
  <c r="BW56" i="10" s="1"/>
  <c r="BZ25" i="21" s="1"/>
  <c r="CM55" i="10" a="1"/>
  <c r="CM55" i="10" s="1"/>
  <c r="CM56" i="10" s="1"/>
  <c r="CP25" i="21" s="1"/>
  <c r="DC55" i="10" a="1"/>
  <c r="DC55" i="10" s="1"/>
  <c r="DC56" i="10" s="1"/>
  <c r="DF25" i="21" s="1"/>
  <c r="EI55" i="10" a="1"/>
  <c r="EI55" i="10" s="1"/>
  <c r="EI56" i="10" s="1"/>
  <c r="EL25" i="21" s="1"/>
  <c r="EY55" i="10" a="1"/>
  <c r="EY55" i="10" s="1"/>
  <c r="EY56" i="10" s="1"/>
  <c r="FB25" i="21" s="1"/>
  <c r="FO55" i="10" a="1"/>
  <c r="FO55" i="10" s="1"/>
  <c r="FO56" i="10" s="1"/>
  <c r="FR25" i="21" s="1"/>
  <c r="GE55" i="10" a="1"/>
  <c r="GE55" i="10" s="1"/>
  <c r="GE56" i="10" s="1"/>
  <c r="GH25" i="21" s="1"/>
  <c r="GU55" i="10" a="1"/>
  <c r="GU55" i="10" s="1"/>
  <c r="GU56" i="10" s="1"/>
  <c r="GX25" i="21" s="1"/>
  <c r="HK55" i="10" a="1"/>
  <c r="HK55" i="10" s="1"/>
  <c r="HK56" i="10" s="1"/>
  <c r="HN25" i="21" s="1"/>
  <c r="IA55" i="10" a="1"/>
  <c r="IA55" i="10" s="1"/>
  <c r="IA56" i="10" s="1"/>
  <c r="ID25" i="21" s="1"/>
  <c r="JG55" i="10" a="1"/>
  <c r="JG55" i="10" s="1"/>
  <c r="JG56" i="10" s="1"/>
  <c r="JJ25" i="21" s="1"/>
  <c r="JW55" i="10" a="1"/>
  <c r="JW55" i="10" s="1"/>
  <c r="JW56" i="10" s="1"/>
  <c r="JZ25" i="21" s="1"/>
  <c r="L70" i="10" a="1"/>
  <c r="L70" i="10" s="1"/>
  <c r="K71" i="10" a="1"/>
  <c r="K71" i="10" s="1"/>
  <c r="K72" i="10" s="1"/>
  <c r="N27" i="21" s="1"/>
  <c r="L55" i="10" a="1"/>
  <c r="L55" i="10" s="1"/>
  <c r="L56" i="10" s="1"/>
  <c r="O25" i="21" s="1"/>
  <c r="AB55" i="10" a="1"/>
  <c r="AB55" i="10" s="1"/>
  <c r="AB56" i="10" s="1"/>
  <c r="AE25" i="21" s="1"/>
  <c r="AR55" i="10" a="1"/>
  <c r="AR55" i="10" s="1"/>
  <c r="AR56" i="10" s="1"/>
  <c r="AU25" i="21" s="1"/>
  <c r="BH55" i="10" a="1"/>
  <c r="BH55" i="10" s="1"/>
  <c r="BH56" i="10" s="1"/>
  <c r="BK25" i="21" s="1"/>
  <c r="BX55" i="10" a="1"/>
  <c r="BX55" i="10" s="1"/>
  <c r="BX56" i="10" s="1"/>
  <c r="CA25" i="21" s="1"/>
  <c r="CN55" i="10" a="1"/>
  <c r="CN55" i="10" s="1"/>
  <c r="CN56" i="10" s="1"/>
  <c r="CQ25" i="21" s="1"/>
  <c r="DD55" i="10" a="1"/>
  <c r="DD55" i="10" s="1"/>
  <c r="DD56" i="10" s="1"/>
  <c r="DG25" i="21" s="1"/>
  <c r="DT55" i="10" a="1"/>
  <c r="DT55" i="10" s="1"/>
  <c r="DT56" i="10" s="1"/>
  <c r="DW25" i="21" s="1"/>
  <c r="EJ55" i="10" a="1"/>
  <c r="EJ55" i="10" s="1"/>
  <c r="EJ56" i="10" s="1"/>
  <c r="EM25" i="21" s="1"/>
  <c r="EZ55" i="10" a="1"/>
  <c r="EZ55" i="10" s="1"/>
  <c r="EZ56" i="10" s="1"/>
  <c r="FC25" i="21" s="1"/>
  <c r="FP55" i="10" a="1"/>
  <c r="FP55" i="10" s="1"/>
  <c r="FP56" i="10" s="1"/>
  <c r="FS25" i="21" s="1"/>
  <c r="GF55" i="10" a="1"/>
  <c r="GF55" i="10" s="1"/>
  <c r="GF56" i="10" s="1"/>
  <c r="GI25" i="21" s="1"/>
  <c r="GV55" i="10" a="1"/>
  <c r="GV55" i="10" s="1"/>
  <c r="GV56" i="10" s="1"/>
  <c r="GY25" i="21" s="1"/>
  <c r="HL55" i="10" a="1"/>
  <c r="HL55" i="10" s="1"/>
  <c r="HL56" i="10" s="1"/>
  <c r="HO25" i="21" s="1"/>
  <c r="IB55" i="10" a="1"/>
  <c r="IB55" i="10" s="1"/>
  <c r="IB56" i="10" s="1"/>
  <c r="IE25" i="21" s="1"/>
  <c r="IR55" i="10" a="1"/>
  <c r="IR55" i="10" s="1"/>
  <c r="IR56" i="10" s="1"/>
  <c r="IU25" i="21" s="1"/>
  <c r="JH55" i="10" a="1"/>
  <c r="JH55" i="10" s="1"/>
  <c r="JH56" i="10" s="1"/>
  <c r="JK25" i="21" s="1"/>
  <c r="JX55" i="10" a="1"/>
  <c r="JX55" i="10" s="1"/>
  <c r="JX56" i="10" s="1"/>
  <c r="KA25" i="21" s="1"/>
  <c r="KF23" i="10" a="1"/>
  <c r="KF23" i="10" s="1"/>
  <c r="KF24" i="10" s="1"/>
  <c r="KI23" i="21" s="1"/>
  <c r="L22" i="10" a="1"/>
  <c r="L22" i="10" s="1"/>
  <c r="L38" i="10" a="1"/>
  <c r="L38" i="10" s="1"/>
  <c r="P39" i="10" a="1"/>
  <c r="P39" i="10" s="1"/>
  <c r="P40" i="10" s="1"/>
  <c r="S24" i="21" s="1"/>
  <c r="AF39" i="10" a="1"/>
  <c r="AF39" i="10" s="1"/>
  <c r="AF40" i="10" s="1"/>
  <c r="AI24" i="21" s="1"/>
  <c r="AV39" i="10" a="1"/>
  <c r="AV39" i="10" s="1"/>
  <c r="AV40" i="10" s="1"/>
  <c r="AY24" i="21" s="1"/>
  <c r="BL39" i="10" a="1"/>
  <c r="BL39" i="10" s="1"/>
  <c r="BL40" i="10" s="1"/>
  <c r="BO24" i="21" s="1"/>
  <c r="CB39" i="10" a="1"/>
  <c r="CB39" i="10" s="1"/>
  <c r="CB40" i="10" s="1"/>
  <c r="CE24" i="21" s="1"/>
  <c r="CR39" i="10" a="1"/>
  <c r="CR39" i="10" s="1"/>
  <c r="CR40" i="10" s="1"/>
  <c r="CU24" i="21" s="1"/>
  <c r="DH39" i="10" a="1"/>
  <c r="DH39" i="10" s="1"/>
  <c r="DH40" i="10" s="1"/>
  <c r="DK24" i="21" s="1"/>
  <c r="DX39" i="10" a="1"/>
  <c r="DX39" i="10" s="1"/>
  <c r="DX40" i="10" s="1"/>
  <c r="EA24" i="21" s="1"/>
  <c r="EN39" i="10" a="1"/>
  <c r="EN39" i="10" s="1"/>
  <c r="EN40" i="10" s="1"/>
  <c r="EQ24" i="21" s="1"/>
  <c r="FD39" i="10" a="1"/>
  <c r="FD39" i="10" s="1"/>
  <c r="FD40" i="10" s="1"/>
  <c r="FG24" i="21" s="1"/>
  <c r="FT39" i="10" a="1"/>
  <c r="FT39" i="10" s="1"/>
  <c r="FT40" i="10" s="1"/>
  <c r="FW24" i="21" s="1"/>
  <c r="GJ39" i="10" a="1"/>
  <c r="GJ39" i="10" s="1"/>
  <c r="GJ40" i="10" s="1"/>
  <c r="GM24" i="21" s="1"/>
  <c r="GZ39" i="10" a="1"/>
  <c r="GZ39" i="10" s="1"/>
  <c r="GZ40" i="10" s="1"/>
  <c r="HC24" i="21" s="1"/>
  <c r="IF39" i="10" a="1"/>
  <c r="IF39" i="10" s="1"/>
  <c r="IF40" i="10" s="1"/>
  <c r="II24" i="21" s="1"/>
  <c r="IV39" i="10" a="1"/>
  <c r="IV39" i="10" s="1"/>
  <c r="IV40" i="10" s="1"/>
  <c r="IY24" i="21" s="1"/>
  <c r="JL39" i="10" a="1"/>
  <c r="JL39" i="10" s="1"/>
  <c r="JL40" i="10" s="1"/>
  <c r="JO24" i="21" s="1"/>
  <c r="KB39" i="10" a="1"/>
  <c r="KB39" i="10" s="1"/>
  <c r="KB40" i="10" s="1"/>
  <c r="KE24" i="21" s="1"/>
  <c r="Y39" i="10" a="1"/>
  <c r="Y39" i="10" s="1"/>
  <c r="Y40" i="10" s="1"/>
  <c r="AB24" i="21" s="1"/>
  <c r="DQ39" i="10" a="1"/>
  <c r="DQ39" i="10" s="1"/>
  <c r="DQ40" i="10" s="1"/>
  <c r="DT24" i="21" s="1"/>
  <c r="L54" i="10" a="1"/>
  <c r="L54" i="10" s="1"/>
  <c r="JC23" i="10" a="1"/>
  <c r="JC23" i="10" s="1"/>
  <c r="JC24" i="10" s="1"/>
  <c r="JF23" i="21" s="1"/>
  <c r="AL23" i="10" a="1"/>
  <c r="AL23" i="10" s="1"/>
  <c r="AL24" i="10" s="1"/>
  <c r="AO23" i="21" s="1"/>
  <c r="BT23" i="10" a="1"/>
  <c r="BT23" i="10" s="1"/>
  <c r="BT24" i="10" s="1"/>
  <c r="BW23" i="21" s="1"/>
  <c r="BU23" i="10" a="1"/>
  <c r="BU23" i="10" s="1"/>
  <c r="BU24" i="10" s="1"/>
  <c r="BX23" i="21" s="1"/>
  <c r="CB23" i="10" a="1"/>
  <c r="CB23" i="10" s="1"/>
  <c r="CB24" i="10" s="1"/>
  <c r="CE23" i="21" s="1"/>
  <c r="CH23" i="10" a="1"/>
  <c r="CH23" i="10" s="1"/>
  <c r="CH24" i="10" s="1"/>
  <c r="CK23" i="21" s="1"/>
  <c r="DO23" i="10" a="1"/>
  <c r="DO23" i="10" s="1"/>
  <c r="DO24" i="10" s="1"/>
  <c r="DR23" i="21" s="1"/>
  <c r="DP23" i="10" a="1"/>
  <c r="DP23" i="10" s="1"/>
  <c r="DP24" i="10" s="1"/>
  <c r="DS23" i="21" s="1"/>
  <c r="EN23" i="10" a="1"/>
  <c r="EN23" i="10" s="1"/>
  <c r="EN24" i="10" s="1"/>
  <c r="EQ23" i="21" s="1"/>
  <c r="FD23" i="10" a="1"/>
  <c r="FD23" i="10" s="1"/>
  <c r="FD24" i="10" s="1"/>
  <c r="FG23" i="21" s="1"/>
  <c r="FI23" i="10" a="1"/>
  <c r="FI23" i="10" s="1"/>
  <c r="FI24" i="10" s="1"/>
  <c r="FL23" i="21" s="1"/>
  <c r="GC23" i="10" a="1"/>
  <c r="GC23" i="10" s="1"/>
  <c r="GC24" i="10" s="1"/>
  <c r="GF23" i="21" s="1"/>
  <c r="HU23" i="10" a="1"/>
  <c r="HU23" i="10" s="1"/>
  <c r="HU24" i="10" s="1"/>
  <c r="HX23" i="21" s="1"/>
  <c r="IK23" i="10" a="1"/>
  <c r="IK23" i="10" s="1"/>
  <c r="IK24" i="10" s="1"/>
  <c r="IN23" i="21" s="1"/>
  <c r="U23" i="10" a="1"/>
  <c r="U23" i="10" s="1"/>
  <c r="U24" i="10" s="1"/>
  <c r="X23" i="21" s="1"/>
  <c r="JA23" i="10" a="1"/>
  <c r="JA23" i="10" s="1"/>
  <c r="JA24" i="10" s="1"/>
  <c r="JD23" i="21" s="1"/>
  <c r="AK23" i="10" a="1"/>
  <c r="AK23" i="10" s="1"/>
  <c r="AK24" i="10" s="1"/>
  <c r="AN23" i="21" s="1"/>
  <c r="JB23" i="10" a="1"/>
  <c r="JB23" i="10" s="1"/>
  <c r="JB24" i="10" s="1"/>
  <c r="JE23" i="21" s="1"/>
  <c r="BE23" i="10" a="1"/>
  <c r="BE23" i="10" s="1"/>
  <c r="BE24" i="10" s="1"/>
  <c r="BH23" i="21" s="1"/>
  <c r="JQ23" i="10" a="1"/>
  <c r="JQ23" i="10" s="1"/>
  <c r="JQ24" i="10" s="1"/>
  <c r="JT23" i="21" s="1"/>
  <c r="DX23" i="10" a="1"/>
  <c r="DX23" i="10" s="1"/>
  <c r="DX24" i="10" s="1"/>
  <c r="EA23" i="21" s="1"/>
  <c r="JT23" i="10" a="1"/>
  <c r="JT23" i="10" s="1"/>
  <c r="JT24" i="10" s="1"/>
  <c r="JW23" i="21" s="1"/>
  <c r="EE23" i="10" a="1"/>
  <c r="EE23" i="10" s="1"/>
  <c r="EE24" i="10" s="1"/>
  <c r="EH23" i="21" s="1"/>
  <c r="AF23" i="10" a="1"/>
  <c r="AF23" i="10" s="1"/>
  <c r="AF24" i="10" s="1"/>
  <c r="AI23" i="21" s="1"/>
  <c r="ES23" i="10" a="1"/>
  <c r="ES23" i="10" s="1"/>
  <c r="ES24" i="10" s="1"/>
  <c r="EV23" i="21" s="1"/>
  <c r="FJ23" i="10" a="1"/>
  <c r="FJ23" i="10" s="1"/>
  <c r="FJ24" i="10" s="1"/>
  <c r="FM23" i="21" s="1"/>
  <c r="AN23" i="10" a="1"/>
  <c r="AN23" i="10" s="1"/>
  <c r="AN24" i="10" s="1"/>
  <c r="AQ23" i="21" s="1"/>
  <c r="BA23" i="10" a="1"/>
  <c r="BA23" i="10" s="1"/>
  <c r="BA24" i="10" s="1"/>
  <c r="BD23" i="21" s="1"/>
  <c r="FL23" i="10" a="1"/>
  <c r="FL23" i="10" s="1"/>
  <c r="FL24" i="10" s="1"/>
  <c r="FO23" i="21" s="1"/>
  <c r="BD23" i="10" a="1"/>
  <c r="BD23" i="10" s="1"/>
  <c r="BD24" i="10" s="1"/>
  <c r="BG23" i="21" s="1"/>
  <c r="FY23" i="10" a="1"/>
  <c r="FY23" i="10" s="1"/>
  <c r="FY24" i="10" s="1"/>
  <c r="GB23" i="21" s="1"/>
  <c r="GU39" i="10" a="1"/>
  <c r="GU39" i="10" s="1"/>
  <c r="GU40" i="10" s="1"/>
  <c r="GX24" i="21" s="1"/>
  <c r="Z39" i="10" a="1"/>
  <c r="Z39" i="10" s="1"/>
  <c r="Z40" i="10" s="1"/>
  <c r="AC24" i="21" s="1"/>
  <c r="DB39" i="10" a="1"/>
  <c r="DB39" i="10" s="1"/>
  <c r="DB40" i="10" s="1"/>
  <c r="DE24" i="21" s="1"/>
  <c r="HZ39" i="10" a="1"/>
  <c r="HZ39" i="10" s="1"/>
  <c r="HZ40" i="10" s="1"/>
  <c r="IC24" i="21" s="1"/>
  <c r="IP39" i="10" a="1"/>
  <c r="IP39" i="10" s="1"/>
  <c r="IP40" i="10" s="1"/>
  <c r="IS24" i="21" s="1"/>
  <c r="AD39" i="10" a="1"/>
  <c r="AD39" i="10" s="1"/>
  <c r="AD40" i="10" s="1"/>
  <c r="AG24" i="21" s="1"/>
  <c r="CH39" i="10" a="1"/>
  <c r="CH39" i="10" s="1"/>
  <c r="CH40" i="10" s="1"/>
  <c r="CK24" i="21" s="1"/>
  <c r="EO39" i="10" a="1"/>
  <c r="EO39" i="10" s="1"/>
  <c r="EO40" i="10" s="1"/>
  <c r="ER24" i="21" s="1"/>
  <c r="HE39" i="10" a="1"/>
  <c r="HE39" i="10" s="1"/>
  <c r="HE40" i="10" s="1"/>
  <c r="HH24" i="21" s="1"/>
  <c r="K39" i="10" a="1"/>
  <c r="K39" i="10" s="1"/>
  <c r="K40" i="10" s="1"/>
  <c r="N24" i="21" s="1"/>
  <c r="AA39" i="10" a="1"/>
  <c r="AA39" i="10" s="1"/>
  <c r="AA40" i="10" s="1"/>
  <c r="AD24" i="21" s="1"/>
  <c r="AQ39" i="10" a="1"/>
  <c r="AQ39" i="10" s="1"/>
  <c r="AQ40" i="10" s="1"/>
  <c r="AT24" i="21" s="1"/>
  <c r="BG39" i="10" a="1"/>
  <c r="BG39" i="10" s="1"/>
  <c r="BG40" i="10" s="1"/>
  <c r="BJ24" i="21" s="1"/>
  <c r="DC39" i="10" a="1"/>
  <c r="DC39" i="10" s="1"/>
  <c r="DC40" i="10" s="1"/>
  <c r="DF24" i="21" s="1"/>
  <c r="DS39" i="10" a="1"/>
  <c r="DS39" i="10" s="1"/>
  <c r="DS40" i="10" s="1"/>
  <c r="DV24" i="21" s="1"/>
  <c r="AE39" i="10" a="1"/>
  <c r="AE39" i="10" s="1"/>
  <c r="AE40" i="10" s="1"/>
  <c r="AH24" i="21" s="1"/>
  <c r="CK39" i="10" a="1"/>
  <c r="CK39" i="10" s="1"/>
  <c r="CK40" i="10" s="1"/>
  <c r="CN24" i="21" s="1"/>
  <c r="EP39" i="10" a="1"/>
  <c r="EP39" i="10" s="1"/>
  <c r="EP40" i="10" s="1"/>
  <c r="ES24" i="21" s="1"/>
  <c r="HF39" i="10" a="1"/>
  <c r="HF39" i="10" s="1"/>
  <c r="HF40" i="10" s="1"/>
  <c r="HI24" i="21" s="1"/>
  <c r="L39" i="10" a="1"/>
  <c r="L39" i="10" s="1"/>
  <c r="L40" i="10" s="1"/>
  <c r="O24" i="21" s="1"/>
  <c r="AB39" i="10" a="1"/>
  <c r="AB39" i="10" s="1"/>
  <c r="AB40" i="10" s="1"/>
  <c r="AE24" i="21" s="1"/>
  <c r="AR39" i="10" a="1"/>
  <c r="AR39" i="10" s="1"/>
  <c r="AR40" i="10" s="1"/>
  <c r="AU24" i="21" s="1"/>
  <c r="BH39" i="10" a="1"/>
  <c r="BH39" i="10" s="1"/>
  <c r="BH40" i="10" s="1"/>
  <c r="BK24" i="21" s="1"/>
  <c r="CN39" i="10" a="1"/>
  <c r="CN39" i="10" s="1"/>
  <c r="CN40" i="10" s="1"/>
  <c r="CQ24" i="21" s="1"/>
  <c r="DD39" i="10" a="1"/>
  <c r="DD39" i="10" s="1"/>
  <c r="DD40" i="10" s="1"/>
  <c r="DG24" i="21" s="1"/>
  <c r="EZ39" i="10" a="1"/>
  <c r="EZ39" i="10" s="1"/>
  <c r="EZ40" i="10" s="1"/>
  <c r="FC24" i="21" s="1"/>
  <c r="GF39" i="10" a="1"/>
  <c r="GF39" i="10" s="1"/>
  <c r="GF40" i="10" s="1"/>
  <c r="GI24" i="21" s="1"/>
  <c r="GV39" i="10" a="1"/>
  <c r="GV39" i="10" s="1"/>
  <c r="GV40" i="10" s="1"/>
  <c r="GY24" i="21" s="1"/>
  <c r="HL39" i="10" a="1"/>
  <c r="HL39" i="10" s="1"/>
  <c r="HL40" i="10" s="1"/>
  <c r="HO24" i="21" s="1"/>
  <c r="IB39" i="10" a="1"/>
  <c r="IB39" i="10" s="1"/>
  <c r="IB40" i="10" s="1"/>
  <c r="IE24" i="21" s="1"/>
  <c r="AK39" i="10" a="1"/>
  <c r="AK39" i="10" s="1"/>
  <c r="AK40" i="10" s="1"/>
  <c r="AN24" i="21" s="1"/>
  <c r="CL39" i="10" a="1"/>
  <c r="CL39" i="10" s="1"/>
  <c r="CL40" i="10" s="1"/>
  <c r="CO24" i="21" s="1"/>
  <c r="ER39" i="10" a="1"/>
  <c r="ER39" i="10" s="1"/>
  <c r="ER40" i="10" s="1"/>
  <c r="EU24" i="21" s="1"/>
  <c r="HI39" i="10" a="1"/>
  <c r="HI39" i="10" s="1"/>
  <c r="HI40" i="10" s="1"/>
  <c r="HL24" i="21" s="1"/>
  <c r="M39" i="10" a="1"/>
  <c r="M39" i="10" s="1"/>
  <c r="M40" i="10" s="1"/>
  <c r="P24" i="21" s="1"/>
  <c r="AS39" i="10" a="1"/>
  <c r="AS39" i="10" s="1"/>
  <c r="AS40" i="10" s="1"/>
  <c r="AV24" i="21" s="1"/>
  <c r="BI39" i="10" a="1"/>
  <c r="BI39" i="10" s="1"/>
  <c r="BI40" i="10" s="1"/>
  <c r="BL24" i="21" s="1"/>
  <c r="BY39" i="10" a="1"/>
  <c r="BY39" i="10" s="1"/>
  <c r="BY40" i="10" s="1"/>
  <c r="CB24" i="21" s="1"/>
  <c r="CO39" i="10" a="1"/>
  <c r="CO39" i="10" s="1"/>
  <c r="CO40" i="10" s="1"/>
  <c r="CR24" i="21" s="1"/>
  <c r="DE39" i="10" a="1"/>
  <c r="DE39" i="10" s="1"/>
  <c r="DE40" i="10" s="1"/>
  <c r="DH24" i="21" s="1"/>
  <c r="DU39" i="10" a="1"/>
  <c r="DU39" i="10" s="1"/>
  <c r="DU40" i="10" s="1"/>
  <c r="DX24" i="21" s="1"/>
  <c r="FA39" i="10" a="1"/>
  <c r="FA39" i="10" s="1"/>
  <c r="FA40" i="10" s="1"/>
  <c r="FD24" i="21" s="1"/>
  <c r="GG39" i="10" a="1"/>
  <c r="GG39" i="10" s="1"/>
  <c r="GG40" i="10" s="1"/>
  <c r="GJ24" i="21" s="1"/>
  <c r="GW39" i="10" a="1"/>
  <c r="GW39" i="10" s="1"/>
  <c r="GW40" i="10" s="1"/>
  <c r="GZ24" i="21" s="1"/>
  <c r="IC39" i="10" a="1"/>
  <c r="IC39" i="10" s="1"/>
  <c r="IC40" i="10" s="1"/>
  <c r="IF24" i="21" s="1"/>
  <c r="JI39" i="10" a="1"/>
  <c r="JI39" i="10" s="1"/>
  <c r="JI40" i="10" s="1"/>
  <c r="JL24" i="21" s="1"/>
  <c r="JY39" i="10" a="1"/>
  <c r="JY39" i="10" s="1"/>
  <c r="JY40" i="10" s="1"/>
  <c r="KB24" i="21" s="1"/>
  <c r="AO39" i="10" a="1"/>
  <c r="AO39" i="10" s="1"/>
  <c r="AO40" i="10" s="1"/>
  <c r="AR24" i="21" s="1"/>
  <c r="CM39" i="10" a="1"/>
  <c r="CM39" i="10" s="1"/>
  <c r="CM40" i="10" s="1"/>
  <c r="CP24" i="21" s="1"/>
  <c r="EY39" i="10" a="1"/>
  <c r="EY39" i="10" s="1"/>
  <c r="EY40" i="10" s="1"/>
  <c r="FB24" i="21" s="1"/>
  <c r="HJ39" i="10" a="1"/>
  <c r="HJ39" i="10" s="1"/>
  <c r="HJ40" i="10" s="1"/>
  <c r="HM24" i="21" s="1"/>
  <c r="AC39" i="10" a="1"/>
  <c r="AC39" i="10" s="1"/>
  <c r="AC40" i="10" s="1"/>
  <c r="AF24" i="21" s="1"/>
  <c r="N39" i="10" a="1"/>
  <c r="N39" i="10" s="1"/>
  <c r="N40" i="10" s="1"/>
  <c r="Q24" i="21" s="1"/>
  <c r="AT39" i="10" a="1"/>
  <c r="AT39" i="10" s="1"/>
  <c r="AT40" i="10" s="1"/>
  <c r="AW24" i="21" s="1"/>
  <c r="BJ39" i="10" a="1"/>
  <c r="BJ39" i="10" s="1"/>
  <c r="BJ40" i="10" s="1"/>
  <c r="BM24" i="21" s="1"/>
  <c r="BZ39" i="10" a="1"/>
  <c r="BZ39" i="10" s="1"/>
  <c r="BZ40" i="10" s="1"/>
  <c r="CC24" i="21" s="1"/>
  <c r="CP39" i="10" a="1"/>
  <c r="CP39" i="10" s="1"/>
  <c r="CP40" i="10" s="1"/>
  <c r="CS24" i="21" s="1"/>
  <c r="DF39" i="10" a="1"/>
  <c r="DF39" i="10" s="1"/>
  <c r="DF40" i="10" s="1"/>
  <c r="DI24" i="21" s="1"/>
  <c r="EL39" i="10" a="1"/>
  <c r="EL39" i="10" s="1"/>
  <c r="EL40" i="10" s="1"/>
  <c r="EO24" i="21" s="1"/>
  <c r="FB39" i="10" a="1"/>
  <c r="FB39" i="10" s="1"/>
  <c r="FB40" i="10" s="1"/>
  <c r="FE24" i="21" s="1"/>
  <c r="FR39" i="10" a="1"/>
  <c r="FR39" i="10" s="1"/>
  <c r="FR40" i="10" s="1"/>
  <c r="FU24" i="21" s="1"/>
  <c r="GH39" i="10" a="1"/>
  <c r="GH39" i="10" s="1"/>
  <c r="GH40" i="10" s="1"/>
  <c r="GK24" i="21" s="1"/>
  <c r="HN39" i="10" a="1"/>
  <c r="HN39" i="10" s="1"/>
  <c r="HN40" i="10" s="1"/>
  <c r="HQ24" i="21" s="1"/>
  <c r="JJ39" i="10" a="1"/>
  <c r="JJ39" i="10" s="1"/>
  <c r="JJ40" i="10" s="1"/>
  <c r="JM24" i="21" s="1"/>
  <c r="JZ39" i="10" a="1"/>
  <c r="JZ39" i="10" s="1"/>
  <c r="JZ40" i="10" s="1"/>
  <c r="KC24" i="21" s="1"/>
  <c r="AP39" i="10" a="1"/>
  <c r="AP39" i="10" s="1"/>
  <c r="AP40" i="10" s="1"/>
  <c r="AS24" i="21" s="1"/>
  <c r="CU39" i="10" a="1"/>
  <c r="CU39" i="10" s="1"/>
  <c r="CU40" i="10" s="1"/>
  <c r="CX24" i="21" s="1"/>
  <c r="FM39" i="10" a="1"/>
  <c r="FM39" i="10" s="1"/>
  <c r="FM40" i="10" s="1"/>
  <c r="FP24" i="21" s="1"/>
  <c r="HK39" i="10" a="1"/>
  <c r="HK39" i="10" s="1"/>
  <c r="HK40" i="10" s="1"/>
  <c r="HN24" i="21" s="1"/>
  <c r="EK39" i="10" a="1"/>
  <c r="EK39" i="10" s="1"/>
  <c r="EK40" i="10" s="1"/>
  <c r="EN24" i="21" s="1"/>
  <c r="O39" i="10" a="1"/>
  <c r="O39" i="10" s="1"/>
  <c r="O40" i="10" s="1"/>
  <c r="R24" i="21" s="1"/>
  <c r="AU39" i="10" a="1"/>
  <c r="AU39" i="10" s="1"/>
  <c r="AU40" i="10" s="1"/>
  <c r="AX24" i="21" s="1"/>
  <c r="BK39" i="10" a="1"/>
  <c r="BK39" i="10" s="1"/>
  <c r="BK40" i="10" s="1"/>
  <c r="BN24" i="21" s="1"/>
  <c r="CA39" i="10" a="1"/>
  <c r="CA39" i="10" s="1"/>
  <c r="CA40" i="10" s="1"/>
  <c r="CD24" i="21" s="1"/>
  <c r="DG39" i="10" a="1"/>
  <c r="DG39" i="10" s="1"/>
  <c r="DG40" i="10" s="1"/>
  <c r="DJ24" i="21" s="1"/>
  <c r="DW39" i="10" a="1"/>
  <c r="DW39" i="10" s="1"/>
  <c r="DW40" i="10" s="1"/>
  <c r="DZ24" i="21" s="1"/>
  <c r="EM39" i="10" a="1"/>
  <c r="EM39" i="10" s="1"/>
  <c r="EM40" i="10" s="1"/>
  <c r="EP24" i="21" s="1"/>
  <c r="FC39" i="10" a="1"/>
  <c r="FC39" i="10" s="1"/>
  <c r="FC40" i="10" s="1"/>
  <c r="FF24" i="21" s="1"/>
  <c r="FS39" i="10" a="1"/>
  <c r="FS39" i="10" s="1"/>
  <c r="FS40" i="10" s="1"/>
  <c r="FV24" i="21" s="1"/>
  <c r="GI39" i="10" a="1"/>
  <c r="GI39" i="10" s="1"/>
  <c r="GI40" i="10" s="1"/>
  <c r="GL24" i="21" s="1"/>
  <c r="GY39" i="10" a="1"/>
  <c r="GY39" i="10" s="1"/>
  <c r="GY40" i="10" s="1"/>
  <c r="HB24" i="21" s="1"/>
  <c r="IU39" i="10" a="1"/>
  <c r="IU39" i="10" s="1"/>
  <c r="IU40" i="10" s="1"/>
  <c r="IX24" i="21" s="1"/>
  <c r="JK39" i="10" a="1"/>
  <c r="JK39" i="10" s="1"/>
  <c r="JK40" i="10" s="1"/>
  <c r="JN24" i="21" s="1"/>
  <c r="KA39" i="10" a="1"/>
  <c r="KA39" i="10" s="1"/>
  <c r="KA40" i="10" s="1"/>
  <c r="KD24" i="21" s="1"/>
  <c r="AY39" i="10" a="1"/>
  <c r="AY39" i="10" s="1"/>
  <c r="AY40" i="10" s="1"/>
  <c r="BB24" i="21" s="1"/>
  <c r="CV39" i="10" a="1"/>
  <c r="CV39" i="10" s="1"/>
  <c r="CV40" i="10" s="1"/>
  <c r="CY24" i="21" s="1"/>
  <c r="FN39" i="10" a="1"/>
  <c r="FN39" i="10" s="1"/>
  <c r="FN40" i="10" s="1"/>
  <c r="FQ24" i="21" s="1"/>
  <c r="HR39" i="10" a="1"/>
  <c r="HR39" i="10" s="1"/>
  <c r="HR40" i="10" s="1"/>
  <c r="HU24" i="21" s="1"/>
  <c r="Q39" i="10" a="1"/>
  <c r="Q39" i="10" s="1"/>
  <c r="Q40" i="10" s="1"/>
  <c r="T24" i="21" s="1"/>
  <c r="AG39" i="10" a="1"/>
  <c r="AG39" i="10" s="1"/>
  <c r="AG40" i="10" s="1"/>
  <c r="AJ24" i="21" s="1"/>
  <c r="AW39" i="10" a="1"/>
  <c r="AW39" i="10" s="1"/>
  <c r="AW40" i="10" s="1"/>
  <c r="AZ24" i="21" s="1"/>
  <c r="BM39" i="10" a="1"/>
  <c r="BM39" i="10" s="1"/>
  <c r="BM40" i="10" s="1"/>
  <c r="BP24" i="21" s="1"/>
  <c r="CS39" i="10" a="1"/>
  <c r="CS39" i="10" s="1"/>
  <c r="CS40" i="10" s="1"/>
  <c r="CV24" i="21" s="1"/>
  <c r="DI39" i="10" a="1"/>
  <c r="DI39" i="10" s="1"/>
  <c r="DI40" i="10" s="1"/>
  <c r="DL24" i="21" s="1"/>
  <c r="DY39" i="10" a="1"/>
  <c r="DY39" i="10" s="1"/>
  <c r="DY40" i="10" s="1"/>
  <c r="EB24" i="21" s="1"/>
  <c r="FE39" i="10" a="1"/>
  <c r="FE39" i="10" s="1"/>
  <c r="FE40" i="10" s="1"/>
  <c r="FH24" i="21" s="1"/>
  <c r="FU39" i="10" a="1"/>
  <c r="FU39" i="10" s="1"/>
  <c r="FU40" i="10" s="1"/>
  <c r="FX24" i="21" s="1"/>
  <c r="GK39" i="10" a="1"/>
  <c r="GK39" i="10" s="1"/>
  <c r="GK40" i="10" s="1"/>
  <c r="GN24" i="21" s="1"/>
  <c r="IG39" i="10" a="1"/>
  <c r="IG39" i="10" s="1"/>
  <c r="IG40" i="10" s="1"/>
  <c r="IJ24" i="21" s="1"/>
  <c r="IW39" i="10" a="1"/>
  <c r="IW39" i="10" s="1"/>
  <c r="IW40" i="10" s="1"/>
  <c r="IZ24" i="21" s="1"/>
  <c r="JM39" i="10" a="1"/>
  <c r="JM39" i="10" s="1"/>
  <c r="JM40" i="10" s="1"/>
  <c r="JP24" i="21" s="1"/>
  <c r="KC39" i="10" a="1"/>
  <c r="KC39" i="10" s="1"/>
  <c r="KC40" i="10" s="1"/>
  <c r="KF24" i="21" s="1"/>
  <c r="BE39" i="10" a="1"/>
  <c r="BE39" i="10" s="1"/>
  <c r="BE40" i="10" s="1"/>
  <c r="BH24" i="21" s="1"/>
  <c r="CX39" i="10" a="1"/>
  <c r="CX39" i="10" s="1"/>
  <c r="CX40" i="10" s="1"/>
  <c r="DA24" i="21" s="1"/>
  <c r="FP39" i="10" a="1"/>
  <c r="FP39" i="10" s="1"/>
  <c r="FP40" i="10" s="1"/>
  <c r="FS24" i="21" s="1"/>
  <c r="HV39" i="10" a="1"/>
  <c r="HV39" i="10" s="1"/>
  <c r="HV40" i="10" s="1"/>
  <c r="HY24" i="21" s="1"/>
  <c r="BD39" i="10" a="1"/>
  <c r="BD39" i="10" s="1"/>
  <c r="BD40" i="10" s="1"/>
  <c r="BG24" i="21" s="1"/>
  <c r="CW39" i="10" a="1"/>
  <c r="CW39" i="10" s="1"/>
  <c r="CW40" i="10" s="1"/>
  <c r="CZ24" i="21" s="1"/>
  <c r="FO39" i="10" a="1"/>
  <c r="FO39" i="10" s="1"/>
  <c r="FO40" i="10" s="1"/>
  <c r="FR24" i="21" s="1"/>
  <c r="HU39" i="10" a="1"/>
  <c r="HU39" i="10" s="1"/>
  <c r="HU40" i="10" s="1"/>
  <c r="HX24" i="21" s="1"/>
  <c r="R39" i="10" a="1"/>
  <c r="R39" i="10" s="1"/>
  <c r="R40" i="10" s="1"/>
  <c r="U24" i="21" s="1"/>
  <c r="AH39" i="10" a="1"/>
  <c r="AH39" i="10" s="1"/>
  <c r="AH40" i="10" s="1"/>
  <c r="AK24" i="21" s="1"/>
  <c r="AX39" i="10" a="1"/>
  <c r="AX39" i="10" s="1"/>
  <c r="AX40" i="10" s="1"/>
  <c r="BA24" i="21" s="1"/>
  <c r="BN39" i="10" a="1"/>
  <c r="BN39" i="10" s="1"/>
  <c r="BN40" i="10" s="1"/>
  <c r="BQ24" i="21" s="1"/>
  <c r="CD39" i="10" a="1"/>
  <c r="CD39" i="10" s="1"/>
  <c r="CD40" i="10" s="1"/>
  <c r="CG24" i="21" s="1"/>
  <c r="CT39" i="10" a="1"/>
  <c r="CT39" i="10" s="1"/>
  <c r="CT40" i="10" s="1"/>
  <c r="CW24" i="21" s="1"/>
  <c r="DJ39" i="10" a="1"/>
  <c r="DJ39" i="10" s="1"/>
  <c r="DJ40" i="10" s="1"/>
  <c r="DM24" i="21" s="1"/>
  <c r="DZ39" i="10" a="1"/>
  <c r="DZ39" i="10" s="1"/>
  <c r="DZ40" i="10" s="1"/>
  <c r="EC24" i="21" s="1"/>
  <c r="FF39" i="10" a="1"/>
  <c r="FF39" i="10" s="1"/>
  <c r="FF40" i="10" s="1"/>
  <c r="FI24" i="21" s="1"/>
  <c r="FV39" i="10" a="1"/>
  <c r="FV39" i="10" s="1"/>
  <c r="FV40" i="10" s="1"/>
  <c r="FY24" i="21" s="1"/>
  <c r="GL39" i="10" a="1"/>
  <c r="GL39" i="10" s="1"/>
  <c r="GL40" i="10" s="1"/>
  <c r="GO24" i="21" s="1"/>
  <c r="IH39" i="10" a="1"/>
  <c r="IH39" i="10" s="1"/>
  <c r="IH40" i="10" s="1"/>
  <c r="IK24" i="21" s="1"/>
  <c r="IX39" i="10" a="1"/>
  <c r="IX39" i="10" s="1"/>
  <c r="IX40" i="10" s="1"/>
  <c r="JA24" i="21" s="1"/>
  <c r="JN39" i="10" a="1"/>
  <c r="JN39" i="10" s="1"/>
  <c r="JN40" i="10" s="1"/>
  <c r="JQ24" i="21" s="1"/>
  <c r="KD39" i="10" a="1"/>
  <c r="KD39" i="10" s="1"/>
  <c r="KD40" i="10" s="1"/>
  <c r="KG24" i="21" s="1"/>
  <c r="BF39" i="10" a="1"/>
  <c r="BF39" i="10" s="1"/>
  <c r="BF40" i="10" s="1"/>
  <c r="BI24" i="21" s="1"/>
  <c r="DA39" i="10" a="1"/>
  <c r="DA39" i="10" s="1"/>
  <c r="DA40" i="10" s="1"/>
  <c r="DD24" i="21" s="1"/>
  <c r="FQ39" i="10" a="1"/>
  <c r="FQ39" i="10" s="1"/>
  <c r="FQ40" i="10" s="1"/>
  <c r="FT24" i="21" s="1"/>
  <c r="HY39" i="10" a="1"/>
  <c r="HY39" i="10" s="1"/>
  <c r="HY40" i="10" s="1"/>
  <c r="IB24" i="21" s="1"/>
  <c r="KE39" i="10" a="1"/>
  <c r="KE39" i="10" s="1"/>
  <c r="KE40" i="10" s="1"/>
  <c r="KH24" i="21" s="1"/>
  <c r="AJ39" i="10" a="1"/>
  <c r="AJ39" i="10" s="1"/>
  <c r="AJ40" i="10" s="1"/>
  <c r="AM24" i="21" s="1"/>
  <c r="CF39" i="10" a="1"/>
  <c r="CF39" i="10" s="1"/>
  <c r="CF40" i="10" s="1"/>
  <c r="CI24" i="21" s="1"/>
  <c r="EB39" i="10" a="1"/>
  <c r="EB39" i="10" s="1"/>
  <c r="EB40" i="10" s="1"/>
  <c r="EE24" i="21" s="1"/>
  <c r="IJ39" i="10" a="1"/>
  <c r="IJ39" i="10" s="1"/>
  <c r="IJ40" i="10" s="1"/>
  <c r="IM24" i="21" s="1"/>
  <c r="IL39" i="10" a="1"/>
  <c r="IL39" i="10" s="1"/>
  <c r="IL40" i="10" s="1"/>
  <c r="IO24" i="21" s="1"/>
  <c r="CE39" i="10" a="1"/>
  <c r="CE39" i="10" s="1"/>
  <c r="CE40" i="10" s="1"/>
  <c r="CH24" i="21" s="1"/>
  <c r="EQ39" i="10" a="1"/>
  <c r="EQ39" i="10" s="1"/>
  <c r="EQ40" i="10" s="1"/>
  <c r="ET24" i="21" s="1"/>
  <c r="HS39" i="10" a="1"/>
  <c r="HS39" i="10" s="1"/>
  <c r="HS40" i="10" s="1"/>
  <c r="HV24" i="21" s="1"/>
  <c r="IK39" i="10" a="1"/>
  <c r="IK39" i="10" s="1"/>
  <c r="IK40" i="10" s="1"/>
  <c r="IN24" i="21" s="1"/>
  <c r="CK23" i="10" a="1"/>
  <c r="CK23" i="10" s="1"/>
  <c r="CK24" i="10" s="1"/>
  <c r="CN23" i="21" s="1"/>
  <c r="GR23" i="10" a="1"/>
  <c r="GR23" i="10" s="1"/>
  <c r="GR24" i="10" s="1"/>
  <c r="GU23" i="21" s="1"/>
  <c r="U39" i="10" a="1"/>
  <c r="U39" i="10" s="1"/>
  <c r="U40" i="10" s="1"/>
  <c r="X24" i="21" s="1"/>
  <c r="BQ39" i="10" a="1"/>
  <c r="BQ39" i="10" s="1"/>
  <c r="BQ40" i="10" s="1"/>
  <c r="BT24" i="21" s="1"/>
  <c r="DM39" i="10" a="1"/>
  <c r="DM39" i="10" s="1"/>
  <c r="DM40" i="10" s="1"/>
  <c r="DP24" i="21" s="1"/>
  <c r="ES39" i="10" a="1"/>
  <c r="ES39" i="10" s="1"/>
  <c r="ES40" i="10" s="1"/>
  <c r="EV24" i="21" s="1"/>
  <c r="FI39" i="10" a="1"/>
  <c r="FI39" i="10" s="1"/>
  <c r="FI40" i="10" s="1"/>
  <c r="FL24" i="21" s="1"/>
  <c r="JQ39" i="10" a="1"/>
  <c r="JQ39" i="10" s="1"/>
  <c r="JQ40" i="10" s="1"/>
  <c r="JT24" i="21" s="1"/>
  <c r="BV39" i="10" a="1"/>
  <c r="BV39" i="10" s="1"/>
  <c r="BV40" i="10" s="1"/>
  <c r="BY24" i="21" s="1"/>
  <c r="DV39" i="10" a="1"/>
  <c r="DV39" i="10" s="1"/>
  <c r="DV40" i="10" s="1"/>
  <c r="DY24" i="21" s="1"/>
  <c r="GE39" i="10" a="1"/>
  <c r="GE39" i="10" s="1"/>
  <c r="GE40" i="10" s="1"/>
  <c r="GH24" i="21" s="1"/>
  <c r="IT39" i="10" a="1"/>
  <c r="IT39" i="10" s="1"/>
  <c r="IT40" i="10" s="1"/>
  <c r="IW24" i="21" s="1"/>
  <c r="S39" i="10" a="1"/>
  <c r="S39" i="10" s="1"/>
  <c r="S40" i="10" s="1"/>
  <c r="V24" i="21" s="1"/>
  <c r="FW39" i="10" a="1"/>
  <c r="FW39" i="10" s="1"/>
  <c r="FW40" i="10" s="1"/>
  <c r="FZ24" i="21" s="1"/>
  <c r="II39" i="10" a="1"/>
  <c r="II39" i="10" s="1"/>
  <c r="II40" i="10" s="1"/>
  <c r="IL24" i="21" s="1"/>
  <c r="BP39" i="10" a="1"/>
  <c r="BP39" i="10" s="1"/>
  <c r="BP40" i="10" s="1"/>
  <c r="BS24" i="21" s="1"/>
  <c r="DL39" i="10" a="1"/>
  <c r="DL39" i="10" s="1"/>
  <c r="DL40" i="10" s="1"/>
  <c r="DO24" i="21" s="1"/>
  <c r="HD39" i="10" a="1"/>
  <c r="HD39" i="10" s="1"/>
  <c r="HD40" i="10" s="1"/>
  <c r="HG24" i="21" s="1"/>
  <c r="JP39" i="10" a="1"/>
  <c r="JP39" i="10" s="1"/>
  <c r="JP40" i="10" s="1"/>
  <c r="JS24" i="21" s="1"/>
  <c r="DR39" i="10" a="1"/>
  <c r="DR39" i="10" s="1"/>
  <c r="DR40" i="10" s="1"/>
  <c r="DU24" i="21" s="1"/>
  <c r="GD39" i="10" a="1"/>
  <c r="GD39" i="10" s="1"/>
  <c r="GD40" i="10" s="1"/>
  <c r="GG24" i="21" s="1"/>
  <c r="CX23" i="10" a="1"/>
  <c r="CX23" i="10" s="1"/>
  <c r="CX24" i="10" s="1"/>
  <c r="DA23" i="21" s="1"/>
  <c r="GZ23" i="10" a="1"/>
  <c r="GZ23" i="10" s="1"/>
  <c r="GZ24" i="10" s="1"/>
  <c r="HC23" i="21" s="1"/>
  <c r="V39" i="10" a="1"/>
  <c r="V39" i="10" s="1"/>
  <c r="V40" i="10" s="1"/>
  <c r="Y24" i="21" s="1"/>
  <c r="BB39" i="10" a="1"/>
  <c r="BB39" i="10" s="1"/>
  <c r="BB40" i="10" s="1"/>
  <c r="BE24" i="21" s="1"/>
  <c r="BR39" i="10" a="1"/>
  <c r="BR39" i="10" s="1"/>
  <c r="BR40" i="10" s="1"/>
  <c r="BU24" i="21" s="1"/>
  <c r="ED39" i="10" a="1"/>
  <c r="ED39" i="10" s="1"/>
  <c r="ED40" i="10" s="1"/>
  <c r="EG24" i="21" s="1"/>
  <c r="ET39" i="10" a="1"/>
  <c r="ET39" i="10" s="1"/>
  <c r="ET40" i="10" s="1"/>
  <c r="EW24" i="21" s="1"/>
  <c r="JB39" i="10" a="1"/>
  <c r="JB39" i="10" s="1"/>
  <c r="JB40" i="10" s="1"/>
  <c r="JE24" i="21" s="1"/>
  <c r="JR39" i="10" a="1"/>
  <c r="JR39" i="10" s="1"/>
  <c r="JR40" i="10" s="1"/>
  <c r="JU24" i="21" s="1"/>
  <c r="BW39" i="10" a="1"/>
  <c r="BW39" i="10" s="1"/>
  <c r="BW40" i="10" s="1"/>
  <c r="BZ24" i="21" s="1"/>
  <c r="EC39" i="10" a="1"/>
  <c r="EC39" i="10" s="1"/>
  <c r="EC40" i="10" s="1"/>
  <c r="EF24" i="21" s="1"/>
  <c r="GP39" i="10" a="1"/>
  <c r="GP39" i="10" s="1"/>
  <c r="GP40" i="10" s="1"/>
  <c r="GS24" i="21" s="1"/>
  <c r="JA39" i="10" a="1"/>
  <c r="JA39" i="10" s="1"/>
  <c r="JA40" i="10" s="1"/>
  <c r="JD24" i="21" s="1"/>
  <c r="AI39" i="10" a="1"/>
  <c r="AI39" i="10" s="1"/>
  <c r="AI40" i="10" s="1"/>
  <c r="AL24" i="21" s="1"/>
  <c r="EA39" i="10" a="1"/>
  <c r="EA39" i="10" s="1"/>
  <c r="EA40" i="10" s="1"/>
  <c r="ED24" i="21" s="1"/>
  <c r="IY39" i="10" a="1"/>
  <c r="IY39" i="10" s="1"/>
  <c r="IY40" i="10" s="1"/>
  <c r="JB24" i="21" s="1"/>
  <c r="DN39" i="10" a="1"/>
  <c r="DN39" i="10" s="1"/>
  <c r="DN40" i="10" s="1"/>
  <c r="DQ24" i="21" s="1"/>
  <c r="T39" i="10" a="1"/>
  <c r="T39" i="10" s="1"/>
  <c r="T40" i="10" s="1"/>
  <c r="W24" i="21" s="1"/>
  <c r="FH39" i="10" a="1"/>
  <c r="FH39" i="10" s="1"/>
  <c r="FH40" i="10" s="1"/>
  <c r="FK24" i="21" s="1"/>
  <c r="CY23" i="10" a="1"/>
  <c r="CY23" i="10" s="1"/>
  <c r="CY24" i="10" s="1"/>
  <c r="DB23" i="21" s="1"/>
  <c r="HE23" i="10" a="1"/>
  <c r="HE23" i="10" s="1"/>
  <c r="HE24" i="10" s="1"/>
  <c r="HH23" i="21" s="1"/>
  <c r="W39" i="10" a="1"/>
  <c r="W39" i="10" s="1"/>
  <c r="W40" i="10" s="1"/>
  <c r="Z24" i="21" s="1"/>
  <c r="AM39" i="10" a="1"/>
  <c r="AM39" i="10" s="1"/>
  <c r="AM40" i="10" s="1"/>
  <c r="AP24" i="21" s="1"/>
  <c r="BC39" i="10" a="1"/>
  <c r="BC39" i="10" s="1"/>
  <c r="BC40" i="10" s="1"/>
  <c r="BF24" i="21" s="1"/>
  <c r="BS39" i="10" a="1"/>
  <c r="BS39" i="10" s="1"/>
  <c r="BS40" i="10" s="1"/>
  <c r="BV24" i="21" s="1"/>
  <c r="CI39" i="10" a="1"/>
  <c r="CI39" i="10" s="1"/>
  <c r="CI40" i="10" s="1"/>
  <c r="CL24" i="21" s="1"/>
  <c r="CY39" i="10" a="1"/>
  <c r="CY39" i="10" s="1"/>
  <c r="CY40" i="10" s="1"/>
  <c r="DB24" i="21" s="1"/>
  <c r="DO39" i="10" a="1"/>
  <c r="DO39" i="10" s="1"/>
  <c r="DO40" i="10" s="1"/>
  <c r="DR24" i="21" s="1"/>
  <c r="EE39" i="10" a="1"/>
  <c r="EE39" i="10" s="1"/>
  <c r="EE40" i="10" s="1"/>
  <c r="EH24" i="21" s="1"/>
  <c r="EU39" i="10" a="1"/>
  <c r="EU39" i="10" s="1"/>
  <c r="EU40" i="10" s="1"/>
  <c r="EX24" i="21" s="1"/>
  <c r="GA39" i="10" a="1"/>
  <c r="GA39" i="10" s="1"/>
  <c r="GA40" i="10" s="1"/>
  <c r="GD24" i="21" s="1"/>
  <c r="GQ39" i="10" a="1"/>
  <c r="GQ39" i="10" s="1"/>
  <c r="GQ40" i="10" s="1"/>
  <c r="GT24" i="21" s="1"/>
  <c r="HG39" i="10" a="1"/>
  <c r="HG39" i="10" s="1"/>
  <c r="HG40" i="10" s="1"/>
  <c r="HJ24" i="21" s="1"/>
  <c r="HW39" i="10" a="1"/>
  <c r="HW39" i="10" s="1"/>
  <c r="HW40" i="10" s="1"/>
  <c r="HZ24" i="21" s="1"/>
  <c r="IM39" i="10" a="1"/>
  <c r="IM39" i="10" s="1"/>
  <c r="IM40" i="10" s="1"/>
  <c r="IP24" i="21" s="1"/>
  <c r="BX39" i="10" a="1"/>
  <c r="BX39" i="10" s="1"/>
  <c r="BX40" i="10" s="1"/>
  <c r="CA24" i="21" s="1"/>
  <c r="GS39" i="10" a="1"/>
  <c r="GS39" i="10" s="1"/>
  <c r="GS40" i="10" s="1"/>
  <c r="GV24" i="21" s="1"/>
  <c r="JW39" i="10" a="1"/>
  <c r="JW39" i="10" s="1"/>
  <c r="JW40" i="10" s="1"/>
  <c r="JZ24" i="21" s="1"/>
  <c r="DK39" i="10" a="1"/>
  <c r="DK39" i="10" s="1"/>
  <c r="DK40" i="10" s="1"/>
  <c r="DN24" i="21" s="1"/>
  <c r="FG39" i="10" a="1"/>
  <c r="FG39" i="10" s="1"/>
  <c r="FG40" i="10" s="1"/>
  <c r="FJ24" i="21" s="1"/>
  <c r="JO39" i="10" a="1"/>
  <c r="JO39" i="10" s="1"/>
  <c r="JO40" i="10" s="1"/>
  <c r="JR24" i="21" s="1"/>
  <c r="GC39" i="10" a="1"/>
  <c r="GC39" i="10" s="1"/>
  <c r="GC40" i="10" s="1"/>
  <c r="GF24" i="21" s="1"/>
  <c r="AZ39" i="10" a="1"/>
  <c r="AZ39" i="10" s="1"/>
  <c r="AZ40" i="10" s="1"/>
  <c r="BC24" i="21" s="1"/>
  <c r="FX39" i="10" a="1"/>
  <c r="FX39" i="10" s="1"/>
  <c r="FX40" i="10" s="1"/>
  <c r="GA24" i="21" s="1"/>
  <c r="HT39" i="10" a="1"/>
  <c r="HT39" i="10" s="1"/>
  <c r="HT40" i="10" s="1"/>
  <c r="HW24" i="21" s="1"/>
  <c r="IZ39" i="10" a="1"/>
  <c r="IZ39" i="10" s="1"/>
  <c r="IZ40" i="10" s="1"/>
  <c r="JC24" i="21" s="1"/>
  <c r="BU39" i="10" a="1"/>
  <c r="BU39" i="10" s="1"/>
  <c r="BU40" i="10" s="1"/>
  <c r="BX24" i="21" s="1"/>
  <c r="P23" i="10" a="1"/>
  <c r="P23" i="10" s="1"/>
  <c r="P24" i="10" s="1"/>
  <c r="S23" i="21" s="1"/>
  <c r="DN23" i="10" a="1"/>
  <c r="DN23" i="10" s="1"/>
  <c r="DN24" i="10" s="1"/>
  <c r="DQ23" i="21" s="1"/>
  <c r="DQ32" i="21" s="1"/>
  <c r="HG23" i="10" a="1"/>
  <c r="HG23" i="10" s="1"/>
  <c r="HG24" i="10" s="1"/>
  <c r="HJ23" i="21" s="1"/>
  <c r="AN39" i="10" a="1"/>
  <c r="AN39" i="10" s="1"/>
  <c r="AN40" i="10" s="1"/>
  <c r="AQ24" i="21" s="1"/>
  <c r="BT39" i="10" a="1"/>
  <c r="BT39" i="10" s="1"/>
  <c r="BT40" i="10" s="1"/>
  <c r="BW24" i="21" s="1"/>
  <c r="CJ39" i="10" a="1"/>
  <c r="CJ39" i="10" s="1"/>
  <c r="CJ40" i="10" s="1"/>
  <c r="CM24" i="21" s="1"/>
  <c r="CZ39" i="10" a="1"/>
  <c r="CZ39" i="10" s="1"/>
  <c r="CZ40" i="10" s="1"/>
  <c r="DC24" i="21" s="1"/>
  <c r="DP39" i="10" a="1"/>
  <c r="DP39" i="10" s="1"/>
  <c r="DP40" i="10" s="1"/>
  <c r="DS24" i="21" s="1"/>
  <c r="EF39" i="10" a="1"/>
  <c r="EF39" i="10" s="1"/>
  <c r="EF40" i="10" s="1"/>
  <c r="EI24" i="21" s="1"/>
  <c r="GB39" i="10" a="1"/>
  <c r="GB39" i="10" s="1"/>
  <c r="GB40" i="10" s="1"/>
  <c r="GE24" i="21" s="1"/>
  <c r="GR39" i="10" a="1"/>
  <c r="GR39" i="10" s="1"/>
  <c r="GR40" i="10" s="1"/>
  <c r="GU24" i="21" s="1"/>
  <c r="HH39" i="10" a="1"/>
  <c r="HH39" i="10" s="1"/>
  <c r="HH40" i="10" s="1"/>
  <c r="HK24" i="21" s="1"/>
  <c r="HX39" i="10" a="1"/>
  <c r="HX39" i="10" s="1"/>
  <c r="HX40" i="10" s="1"/>
  <c r="IA24" i="21" s="1"/>
  <c r="IN39" i="10" a="1"/>
  <c r="IN39" i="10" s="1"/>
  <c r="IN40" i="10" s="1"/>
  <c r="IQ24" i="21" s="1"/>
  <c r="JD39" i="10" a="1"/>
  <c r="JD39" i="10" s="1"/>
  <c r="JD40" i="10" s="1"/>
  <c r="JG24" i="21" s="1"/>
  <c r="CG39" i="10" a="1"/>
  <c r="CG39" i="10" s="1"/>
  <c r="CG40" i="10" s="1"/>
  <c r="CJ24" i="21" s="1"/>
  <c r="EG39" i="10" a="1"/>
  <c r="EG39" i="10" s="1"/>
  <c r="EG40" i="10" s="1"/>
  <c r="EJ24" i="21" s="1"/>
  <c r="GT39" i="10" a="1"/>
  <c r="GT39" i="10" s="1"/>
  <c r="GT40" i="10" s="1"/>
  <c r="GW24" i="21" s="1"/>
  <c r="JX39" i="10" a="1"/>
  <c r="JX39" i="10" s="1"/>
  <c r="JX40" i="10" s="1"/>
  <c r="KA24" i="21" s="1"/>
  <c r="Y23" i="10" a="1"/>
  <c r="Y23" i="10" s="1"/>
  <c r="Y24" i="10" s="1"/>
  <c r="AB23" i="21" s="1"/>
  <c r="BS23" i="10" a="1"/>
  <c r="BS23" i="10" s="1"/>
  <c r="BS24" i="10" s="1"/>
  <c r="BV23" i="21" s="1"/>
  <c r="DM23" i="10" a="1"/>
  <c r="DM23" i="10" s="1"/>
  <c r="DM24" i="10" s="1"/>
  <c r="DP23" i="21" s="1"/>
  <c r="EW23" i="10" a="1"/>
  <c r="EW23" i="10" s="1"/>
  <c r="EW24" i="10" s="1"/>
  <c r="EZ23" i="21" s="1"/>
  <c r="GQ23" i="10" a="1"/>
  <c r="GQ23" i="10" s="1"/>
  <c r="GQ24" i="10" s="1"/>
  <c r="GT23" i="21" s="1"/>
  <c r="IV23" i="10" a="1"/>
  <c r="IV23" i="10" s="1"/>
  <c r="IV24" i="10" s="1"/>
  <c r="IY23" i="21" s="1"/>
  <c r="AM23" i="10" a="1"/>
  <c r="AM23" i="10" s="1"/>
  <c r="AM24" i="10" s="1"/>
  <c r="AP23" i="21" s="1"/>
  <c r="CG23" i="10" a="1"/>
  <c r="CG23" i="10" s="1"/>
  <c r="CG24" i="10" s="1"/>
  <c r="CJ23" i="21" s="1"/>
  <c r="DQ23" i="10" a="1"/>
  <c r="DQ23" i="10" s="1"/>
  <c r="DQ24" i="10" s="1"/>
  <c r="DT23" i="21" s="1"/>
  <c r="FK23" i="10" a="1"/>
  <c r="FK23" i="10" s="1"/>
  <c r="FK24" i="10" s="1"/>
  <c r="FN23" i="21" s="1"/>
  <c r="HF23" i="10" a="1"/>
  <c r="HF23" i="10" s="1"/>
  <c r="HF24" i="10" s="1"/>
  <c r="HI23" i="21" s="1"/>
  <c r="JD23" i="10" a="1"/>
  <c r="JD23" i="10" s="1"/>
  <c r="JD24" i="10" s="1"/>
  <c r="JG23" i="21" s="1"/>
  <c r="AO23" i="10" a="1"/>
  <c r="AO23" i="10" s="1"/>
  <c r="AO24" i="10" s="1"/>
  <c r="AR23" i="21" s="1"/>
  <c r="CI23" i="10" a="1"/>
  <c r="CI23" i="10" s="1"/>
  <c r="CI24" i="10" s="1"/>
  <c r="CL23" i="21" s="1"/>
  <c r="EC23" i="10" a="1"/>
  <c r="EC23" i="10" s="1"/>
  <c r="EC24" i="10" s="1"/>
  <c r="EF23" i="21" s="1"/>
  <c r="FM23" i="10" a="1"/>
  <c r="FM23" i="10" s="1"/>
  <c r="FM24" i="10" s="1"/>
  <c r="FP23" i="21" s="1"/>
  <c r="JR23" i="10" a="1"/>
  <c r="JR23" i="10" s="1"/>
  <c r="JR24" i="10" s="1"/>
  <c r="JU23" i="21" s="1"/>
  <c r="HH23" i="10" a="1"/>
  <c r="HH23" i="10" s="1"/>
  <c r="HH24" i="10" s="1"/>
  <c r="HK23" i="21" s="1"/>
  <c r="AV23" i="10" a="1"/>
  <c r="AV23" i="10" s="1"/>
  <c r="AV24" i="10" s="1"/>
  <c r="AY23" i="21" s="1"/>
  <c r="CJ23" i="10" a="1"/>
  <c r="CJ23" i="10" s="1"/>
  <c r="CJ24" i="10" s="1"/>
  <c r="CM23" i="21" s="1"/>
  <c r="ED23" i="10" a="1"/>
  <c r="ED23" i="10" s="1"/>
  <c r="ED24" i="10" s="1"/>
  <c r="EG23" i="21" s="1"/>
  <c r="FT23" i="10" a="1"/>
  <c r="FT23" i="10" s="1"/>
  <c r="FT24" i="10" s="1"/>
  <c r="FW23" i="21" s="1"/>
  <c r="FW32" i="21" s="1"/>
  <c r="HP23" i="10" a="1"/>
  <c r="HP23" i="10" s="1"/>
  <c r="HP24" i="10" s="1"/>
  <c r="HS23" i="21" s="1"/>
  <c r="JS23" i="10" a="1"/>
  <c r="JS23" i="10" s="1"/>
  <c r="JS24" i="10" s="1"/>
  <c r="JV23" i="21" s="1"/>
  <c r="BB23" i="10" a="1"/>
  <c r="BB23" i="10" s="1"/>
  <c r="BB24" i="10" s="1"/>
  <c r="BE23" i="21" s="1"/>
  <c r="CR23" i="10" a="1"/>
  <c r="CR23" i="10" s="1"/>
  <c r="CR24" i="10" s="1"/>
  <c r="CU23" i="21" s="1"/>
  <c r="EF23" i="10" a="1"/>
  <c r="EF23" i="10" s="1"/>
  <c r="EF24" i="10" s="1"/>
  <c r="EI23" i="21" s="1"/>
  <c r="FZ23" i="10" a="1"/>
  <c r="FZ23" i="10" s="1"/>
  <c r="FZ24" i="10" s="1"/>
  <c r="GC23" i="21" s="1"/>
  <c r="HV23" i="10" a="1"/>
  <c r="HV23" i="10" s="1"/>
  <c r="HV24" i="10" s="1"/>
  <c r="HY23" i="21" s="1"/>
  <c r="BC23" i="10" a="1"/>
  <c r="BC23" i="10" s="1"/>
  <c r="BC24" i="10" s="1"/>
  <c r="BF23" i="21" s="1"/>
  <c r="CW23" i="10" a="1"/>
  <c r="CW23" i="10" s="1"/>
  <c r="CW24" i="10" s="1"/>
  <c r="CZ23" i="21" s="1"/>
  <c r="EG23" i="10" a="1"/>
  <c r="EG23" i="10" s="1"/>
  <c r="EG24" i="10" s="1"/>
  <c r="EJ23" i="21" s="1"/>
  <c r="GA23" i="10" a="1"/>
  <c r="GA23" i="10" s="1"/>
  <c r="GA24" i="10" s="1"/>
  <c r="GD23" i="21" s="1"/>
  <c r="HW23" i="10" a="1"/>
  <c r="HW23" i="10" s="1"/>
  <c r="HW24" i="10" s="1"/>
  <c r="HZ23" i="21" s="1"/>
  <c r="GB23" i="10" a="1"/>
  <c r="GB23" i="10" s="1"/>
  <c r="GB24" i="10" s="1"/>
  <c r="GE23" i="21" s="1"/>
  <c r="HX23" i="10" a="1"/>
  <c r="HX23" i="10" s="1"/>
  <c r="HX24" i="10" s="1"/>
  <c r="IA23" i="21" s="1"/>
  <c r="BL23" i="10" a="1"/>
  <c r="BL23" i="10" s="1"/>
  <c r="BL24" i="10" s="1"/>
  <c r="BO23" i="21" s="1"/>
  <c r="ET23" i="10" a="1"/>
  <c r="ET23" i="10" s="1"/>
  <c r="ET24" i="10" s="1"/>
  <c r="EW23" i="21" s="1"/>
  <c r="GJ23" i="10" a="1"/>
  <c r="GJ23" i="10" s="1"/>
  <c r="GJ24" i="10" s="1"/>
  <c r="GM23" i="21" s="1"/>
  <c r="GM32" i="21" s="1"/>
  <c r="IL23" i="10" a="1"/>
  <c r="IL23" i="10" s="1"/>
  <c r="IL24" i="10" s="1"/>
  <c r="IO23" i="21" s="1"/>
  <c r="CZ23" i="10" a="1"/>
  <c r="CZ23" i="10" s="1"/>
  <c r="CZ24" i="10" s="1"/>
  <c r="DC23" i="21" s="1"/>
  <c r="BQ23" i="10" a="1"/>
  <c r="BQ23" i="10" s="1"/>
  <c r="BQ24" i="10" s="1"/>
  <c r="BT23" i="21" s="1"/>
  <c r="EU23" i="10" a="1"/>
  <c r="EU23" i="10" s="1"/>
  <c r="EU24" i="10" s="1"/>
  <c r="EX23" i="21" s="1"/>
  <c r="GO23" i="10" a="1"/>
  <c r="GO23" i="10" s="1"/>
  <c r="GO24" i="10" s="1"/>
  <c r="GR23" i="21" s="1"/>
  <c r="V23" i="10" a="1"/>
  <c r="V23" i="10" s="1"/>
  <c r="V24" i="10" s="1"/>
  <c r="Y23" i="21" s="1"/>
  <c r="W23" i="10" a="1"/>
  <c r="W23" i="10" s="1"/>
  <c r="W24" i="10" s="1"/>
  <c r="Z23" i="21" s="1"/>
  <c r="DA23" i="10" a="1"/>
  <c r="DA23" i="10" s="1"/>
  <c r="DA24" i="10" s="1"/>
  <c r="DD23" i="21" s="1"/>
  <c r="IM23" i="10" a="1"/>
  <c r="IM23" i="10" s="1"/>
  <c r="IM24" i="10" s="1"/>
  <c r="IP23" i="21" s="1"/>
  <c r="X23" i="10" a="1"/>
  <c r="X23" i="10" s="1"/>
  <c r="X24" i="10" s="1"/>
  <c r="AA23" i="21" s="1"/>
  <c r="BR23" i="10" a="1"/>
  <c r="BR23" i="10" s="1"/>
  <c r="BR24" i="10" s="1"/>
  <c r="BU23" i="21" s="1"/>
  <c r="DH23" i="10" a="1"/>
  <c r="DH23" i="10" s="1"/>
  <c r="DH24" i="10" s="1"/>
  <c r="DK23" i="21" s="1"/>
  <c r="EV23" i="10" a="1"/>
  <c r="EV23" i="10" s="1"/>
  <c r="EV24" i="10" s="1"/>
  <c r="EY23" i="21" s="1"/>
  <c r="GP23" i="10" a="1"/>
  <c r="GP23" i="10" s="1"/>
  <c r="GP24" i="10" s="1"/>
  <c r="GS23" i="21" s="1"/>
  <c r="IN23" i="10" a="1"/>
  <c r="IN23" i="10" s="1"/>
  <c r="IN24" i="10" s="1"/>
  <c r="IQ23" i="21" s="1"/>
  <c r="GX39" i="10" a="1"/>
  <c r="GX39" i="10" s="1"/>
  <c r="GX40" i="10" s="1"/>
  <c r="HA24" i="21" s="1"/>
  <c r="HM39" i="10" a="1"/>
  <c r="HM39" i="10" s="1"/>
  <c r="HM40" i="10" s="1"/>
  <c r="HP24" i="21" s="1"/>
  <c r="IA39" i="10" a="1"/>
  <c r="IA39" i="10" s="1"/>
  <c r="IA40" i="10" s="1"/>
  <c r="ID24" i="21" s="1"/>
  <c r="IO39" i="10" a="1"/>
  <c r="IO39" i="10" s="1"/>
  <c r="IO40" i="10" s="1"/>
  <c r="IR24" i="21" s="1"/>
  <c r="JC39" i="10" a="1"/>
  <c r="JC39" i="10" s="1"/>
  <c r="JC40" i="10" s="1"/>
  <c r="JF24" i="21" s="1"/>
  <c r="KF39" i="10" a="1"/>
  <c r="KF39" i="10" s="1"/>
  <c r="KF40" i="10" s="1"/>
  <c r="KI24" i="21" s="1"/>
  <c r="IQ39" i="10" a="1"/>
  <c r="IQ39" i="10" s="1"/>
  <c r="IQ40" i="10" s="1"/>
  <c r="IT24" i="21" s="1"/>
  <c r="JE39" i="10" a="1"/>
  <c r="JE39" i="10" s="1"/>
  <c r="JE40" i="10" s="1"/>
  <c r="JH24" i="21" s="1"/>
  <c r="JS39" i="10" a="1"/>
  <c r="JS39" i="10" s="1"/>
  <c r="JS40" i="10" s="1"/>
  <c r="JV24" i="21" s="1"/>
  <c r="X39" i="10" a="1"/>
  <c r="X39" i="10" s="1"/>
  <c r="X40" i="10" s="1"/>
  <c r="AA24" i="21" s="1"/>
  <c r="AL39" i="10" a="1"/>
  <c r="AL39" i="10" s="1"/>
  <c r="AL40" i="10" s="1"/>
  <c r="AO24" i="21" s="1"/>
  <c r="BA39" i="10" a="1"/>
  <c r="BA39" i="10" s="1"/>
  <c r="BA40" i="10" s="1"/>
  <c r="BD24" i="21" s="1"/>
  <c r="BO39" i="10" a="1"/>
  <c r="BO39" i="10" s="1"/>
  <c r="BO40" i="10" s="1"/>
  <c r="BR24" i="21" s="1"/>
  <c r="CC39" i="10" a="1"/>
  <c r="CC39" i="10" s="1"/>
  <c r="CC40" i="10" s="1"/>
  <c r="CF24" i="21" s="1"/>
  <c r="CQ39" i="10" a="1"/>
  <c r="CQ39" i="10" s="1"/>
  <c r="CQ40" i="10" s="1"/>
  <c r="CT24" i="21" s="1"/>
  <c r="DT39" i="10" a="1"/>
  <c r="DT39" i="10" s="1"/>
  <c r="DT40" i="10" s="1"/>
  <c r="DW24" i="21" s="1"/>
  <c r="EH39" i="10" a="1"/>
  <c r="EH39" i="10" s="1"/>
  <c r="EH40" i="10" s="1"/>
  <c r="EK24" i="21" s="1"/>
  <c r="EV39" i="10" a="1"/>
  <c r="EV39" i="10" s="1"/>
  <c r="EV40" i="10" s="1"/>
  <c r="EY24" i="21" s="1"/>
  <c r="FJ39" i="10" a="1"/>
  <c r="FJ39" i="10" s="1"/>
  <c r="FJ40" i="10" s="1"/>
  <c r="FM24" i="21" s="1"/>
  <c r="FY39" i="10" a="1"/>
  <c r="FY39" i="10" s="1"/>
  <c r="FY40" i="10" s="1"/>
  <c r="GB24" i="21" s="1"/>
  <c r="GM39" i="10" a="1"/>
  <c r="GM39" i="10" s="1"/>
  <c r="GM40" i="10" s="1"/>
  <c r="GP24" i="21" s="1"/>
  <c r="HA39" i="10" a="1"/>
  <c r="HA39" i="10" s="1"/>
  <c r="HA40" i="10" s="1"/>
  <c r="HD24" i="21" s="1"/>
  <c r="HO39" i="10" a="1"/>
  <c r="HO39" i="10" s="1"/>
  <c r="HO40" i="10" s="1"/>
  <c r="HR24" i="21" s="1"/>
  <c r="IR39" i="10" a="1"/>
  <c r="IR39" i="10" s="1"/>
  <c r="IR40" i="10" s="1"/>
  <c r="IU24" i="21" s="1"/>
  <c r="JF39" i="10" a="1"/>
  <c r="JF39" i="10" s="1"/>
  <c r="JF40" i="10" s="1"/>
  <c r="JI24" i="21" s="1"/>
  <c r="JT39" i="10" a="1"/>
  <c r="JT39" i="10" s="1"/>
  <c r="JT40" i="10" s="1"/>
  <c r="JW24" i="21" s="1"/>
  <c r="EI39" i="10" a="1"/>
  <c r="EI39" i="10" s="1"/>
  <c r="EI40" i="10" s="1"/>
  <c r="EL24" i="21" s="1"/>
  <c r="EW39" i="10" a="1"/>
  <c r="EW39" i="10" s="1"/>
  <c r="EW40" i="10" s="1"/>
  <c r="EZ24" i="21" s="1"/>
  <c r="FK39" i="10" a="1"/>
  <c r="FK39" i="10" s="1"/>
  <c r="FK40" i="10" s="1"/>
  <c r="FN24" i="21" s="1"/>
  <c r="GN39" i="10" a="1"/>
  <c r="GN39" i="10" s="1"/>
  <c r="GN40" i="10" s="1"/>
  <c r="GQ24" i="21" s="1"/>
  <c r="HB39" i="10" a="1"/>
  <c r="HB39" i="10" s="1"/>
  <c r="HB40" i="10" s="1"/>
  <c r="HE24" i="21" s="1"/>
  <c r="HP39" i="10" a="1"/>
  <c r="HP39" i="10" s="1"/>
  <c r="HP40" i="10" s="1"/>
  <c r="HS24" i="21" s="1"/>
  <c r="ID39" i="10" a="1"/>
  <c r="ID39" i="10" s="1"/>
  <c r="ID40" i="10" s="1"/>
  <c r="IG24" i="21" s="1"/>
  <c r="IS39" i="10" a="1"/>
  <c r="IS39" i="10" s="1"/>
  <c r="IS40" i="10" s="1"/>
  <c r="IV24" i="21" s="1"/>
  <c r="JG39" i="10" a="1"/>
  <c r="JG39" i="10" s="1"/>
  <c r="JG40" i="10" s="1"/>
  <c r="JJ24" i="21" s="1"/>
  <c r="JU39" i="10" a="1"/>
  <c r="JU39" i="10" s="1"/>
  <c r="JU40" i="10" s="1"/>
  <c r="JX24" i="21" s="1"/>
  <c r="EJ39" i="10" a="1"/>
  <c r="EJ39" i="10" s="1"/>
  <c r="EJ40" i="10" s="1"/>
  <c r="EM24" i="21" s="1"/>
  <c r="EX39" i="10" a="1"/>
  <c r="EX39" i="10" s="1"/>
  <c r="EX40" i="10" s="1"/>
  <c r="FA24" i="21" s="1"/>
  <c r="FL39" i="10" a="1"/>
  <c r="FL39" i="10" s="1"/>
  <c r="FL40" i="10" s="1"/>
  <c r="FO24" i="21" s="1"/>
  <c r="FZ39" i="10" a="1"/>
  <c r="FZ39" i="10" s="1"/>
  <c r="FZ40" i="10" s="1"/>
  <c r="GC24" i="21" s="1"/>
  <c r="GO39" i="10" a="1"/>
  <c r="GO39" i="10" s="1"/>
  <c r="GO40" i="10" s="1"/>
  <c r="GR24" i="21" s="1"/>
  <c r="HC39" i="10" a="1"/>
  <c r="HC39" i="10" s="1"/>
  <c r="HC40" i="10" s="1"/>
  <c r="HF24" i="21" s="1"/>
  <c r="HQ39" i="10" a="1"/>
  <c r="HQ39" i="10" s="1"/>
  <c r="HQ40" i="10" s="1"/>
  <c r="HT24" i="21" s="1"/>
  <c r="IE39" i="10" a="1"/>
  <c r="IE39" i="10" s="1"/>
  <c r="IE40" i="10" s="1"/>
  <c r="IH24" i="21" s="1"/>
  <c r="JH39" i="10" a="1"/>
  <c r="JH39" i="10" s="1"/>
  <c r="JH40" i="10" s="1"/>
  <c r="JK24" i="21" s="1"/>
  <c r="JV39" i="10" a="1"/>
  <c r="JV39" i="10" s="1"/>
  <c r="JV40" i="10" s="1"/>
  <c r="JY24" i="21" s="1"/>
  <c r="GS23" i="10" a="1"/>
  <c r="GS23" i="10" s="1"/>
  <c r="GS24" i="10" s="1"/>
  <c r="GV23" i="21" s="1"/>
  <c r="HI23" i="10" a="1"/>
  <c r="HI23" i="10" s="1"/>
  <c r="HI24" i="10" s="1"/>
  <c r="HL23" i="21" s="1"/>
  <c r="HY23" i="10" a="1"/>
  <c r="HY23" i="10" s="1"/>
  <c r="HY24" i="10" s="1"/>
  <c r="IB23" i="21" s="1"/>
  <c r="IO23" i="10" a="1"/>
  <c r="IO23" i="10" s="1"/>
  <c r="IO24" i="10" s="1"/>
  <c r="IR23" i="21" s="1"/>
  <c r="JE23" i="10" a="1"/>
  <c r="JE23" i="10" s="1"/>
  <c r="JE24" i="10" s="1"/>
  <c r="JH23" i="21" s="1"/>
  <c r="JU23" i="10" a="1"/>
  <c r="JU23" i="10" s="1"/>
  <c r="JU24" i="10" s="1"/>
  <c r="JX23" i="21" s="1"/>
  <c r="JX32" i="21" s="1"/>
  <c r="Z23" i="10" a="1"/>
  <c r="Z23" i="10" s="1"/>
  <c r="Z24" i="10" s="1"/>
  <c r="AC23" i="21" s="1"/>
  <c r="AP23" i="10" a="1"/>
  <c r="AP23" i="10" s="1"/>
  <c r="AP24" i="10" s="1"/>
  <c r="AS23" i="21" s="1"/>
  <c r="BF23" i="10" a="1"/>
  <c r="BF23" i="10" s="1"/>
  <c r="BF24" i="10" s="1"/>
  <c r="BI23" i="21" s="1"/>
  <c r="BV23" i="10" a="1"/>
  <c r="BV23" i="10" s="1"/>
  <c r="BV24" i="10" s="1"/>
  <c r="BY23" i="21" s="1"/>
  <c r="CL23" i="10" a="1"/>
  <c r="CL23" i="10" s="1"/>
  <c r="CL24" i="10" s="1"/>
  <c r="CO23" i="21" s="1"/>
  <c r="DB23" i="10" a="1"/>
  <c r="DB23" i="10" s="1"/>
  <c r="DB24" i="10" s="1"/>
  <c r="DE23" i="21" s="1"/>
  <c r="DR23" i="10" a="1"/>
  <c r="DR23" i="10" s="1"/>
  <c r="DR24" i="10" s="1"/>
  <c r="DU23" i="21" s="1"/>
  <c r="EH23" i="10" a="1"/>
  <c r="EH23" i="10" s="1"/>
  <c r="EH24" i="10" s="1"/>
  <c r="EK23" i="21" s="1"/>
  <c r="EX23" i="10" a="1"/>
  <c r="EX23" i="10" s="1"/>
  <c r="EX24" i="10" s="1"/>
  <c r="FA23" i="21" s="1"/>
  <c r="FN23" i="10" a="1"/>
  <c r="FN23" i="10" s="1"/>
  <c r="FN24" i="10" s="1"/>
  <c r="FQ23" i="21" s="1"/>
  <c r="GD23" i="10" a="1"/>
  <c r="GD23" i="10" s="1"/>
  <c r="GD24" i="10" s="1"/>
  <c r="GG23" i="21" s="1"/>
  <c r="GT23" i="10" a="1"/>
  <c r="GT23" i="10" s="1"/>
  <c r="GT24" i="10" s="1"/>
  <c r="GW23" i="21" s="1"/>
  <c r="HJ23" i="10" a="1"/>
  <c r="HJ23" i="10" s="1"/>
  <c r="HJ24" i="10" s="1"/>
  <c r="HM23" i="21" s="1"/>
  <c r="HZ23" i="10" a="1"/>
  <c r="HZ23" i="10" s="1"/>
  <c r="HZ24" i="10" s="1"/>
  <c r="IC23" i="21" s="1"/>
  <c r="IP23" i="10" a="1"/>
  <c r="IP23" i="10" s="1"/>
  <c r="IP24" i="10" s="1"/>
  <c r="IS23" i="21" s="1"/>
  <c r="JF23" i="10" a="1"/>
  <c r="JF23" i="10" s="1"/>
  <c r="JF24" i="10" s="1"/>
  <c r="JI23" i="21" s="1"/>
  <c r="JV23" i="10" a="1"/>
  <c r="JV23" i="10" s="1"/>
  <c r="JV24" i="10" s="1"/>
  <c r="JY23" i="21" s="1"/>
  <c r="K23" i="10" a="1"/>
  <c r="K23" i="10" s="1"/>
  <c r="K24" i="10" s="1"/>
  <c r="N23" i="21" s="1"/>
  <c r="AA23" i="10" a="1"/>
  <c r="AA23" i="10" s="1"/>
  <c r="AA24" i="10" s="1"/>
  <c r="AD23" i="21" s="1"/>
  <c r="AQ23" i="10" a="1"/>
  <c r="AQ23" i="10" s="1"/>
  <c r="AQ24" i="10" s="1"/>
  <c r="AT23" i="21" s="1"/>
  <c r="BW23" i="10" a="1"/>
  <c r="BW23" i="10" s="1"/>
  <c r="BW24" i="10" s="1"/>
  <c r="BZ23" i="21" s="1"/>
  <c r="CM23" i="10" a="1"/>
  <c r="CM23" i="10" s="1"/>
  <c r="CM24" i="10" s="1"/>
  <c r="CP23" i="21" s="1"/>
  <c r="DC23" i="10" a="1"/>
  <c r="DC23" i="10" s="1"/>
  <c r="DC24" i="10" s="1"/>
  <c r="DF23" i="21" s="1"/>
  <c r="DS23" i="10" a="1"/>
  <c r="DS23" i="10" s="1"/>
  <c r="DS24" i="10" s="1"/>
  <c r="DV23" i="21" s="1"/>
  <c r="EI23" i="10" a="1"/>
  <c r="EI23" i="10" s="1"/>
  <c r="EI24" i="10" s="1"/>
  <c r="EL23" i="21" s="1"/>
  <c r="EY23" i="10" a="1"/>
  <c r="EY23" i="10" s="1"/>
  <c r="EY24" i="10" s="1"/>
  <c r="FB23" i="21" s="1"/>
  <c r="FO23" i="10" a="1"/>
  <c r="FO23" i="10" s="1"/>
  <c r="FO24" i="10" s="1"/>
  <c r="FR23" i="21" s="1"/>
  <c r="GE23" i="10" a="1"/>
  <c r="GE23" i="10" s="1"/>
  <c r="GE24" i="10" s="1"/>
  <c r="GH23" i="21" s="1"/>
  <c r="GU23" i="10" a="1"/>
  <c r="GU23" i="10" s="1"/>
  <c r="GU24" i="10" s="1"/>
  <c r="GX23" i="21" s="1"/>
  <c r="GX32" i="21" s="1"/>
  <c r="HK23" i="10" a="1"/>
  <c r="HK23" i="10" s="1"/>
  <c r="HK24" i="10" s="1"/>
  <c r="HN23" i="21" s="1"/>
  <c r="IA23" i="10" a="1"/>
  <c r="IA23" i="10" s="1"/>
  <c r="IA24" i="10" s="1"/>
  <c r="ID23" i="21" s="1"/>
  <c r="ID32" i="21" s="1"/>
  <c r="IQ23" i="10" a="1"/>
  <c r="IQ23" i="10" s="1"/>
  <c r="IQ24" i="10" s="1"/>
  <c r="IT23" i="21" s="1"/>
  <c r="JG23" i="10" a="1"/>
  <c r="JG23" i="10" s="1"/>
  <c r="JG24" i="10" s="1"/>
  <c r="JJ23" i="21" s="1"/>
  <c r="JW23" i="10" a="1"/>
  <c r="JW23" i="10" s="1"/>
  <c r="JW24" i="10" s="1"/>
  <c r="JZ23" i="21" s="1"/>
  <c r="BG23" i="10" a="1"/>
  <c r="BG23" i="10" s="1"/>
  <c r="BG24" i="10" s="1"/>
  <c r="BJ23" i="21" s="1"/>
  <c r="L23" i="10" a="1"/>
  <c r="L23" i="10" s="1"/>
  <c r="L24" i="10" s="1"/>
  <c r="O23" i="21" s="1"/>
  <c r="AB23" i="10" a="1"/>
  <c r="AB23" i="10" s="1"/>
  <c r="AB24" i="10" s="1"/>
  <c r="AE23" i="21" s="1"/>
  <c r="AR23" i="10" a="1"/>
  <c r="AR23" i="10" s="1"/>
  <c r="AR24" i="10" s="1"/>
  <c r="AU23" i="21" s="1"/>
  <c r="BH23" i="10" a="1"/>
  <c r="BH23" i="10" s="1"/>
  <c r="BH24" i="10" s="1"/>
  <c r="BK23" i="21" s="1"/>
  <c r="BX23" i="10" a="1"/>
  <c r="BX23" i="10" s="1"/>
  <c r="BX24" i="10" s="1"/>
  <c r="CA23" i="21" s="1"/>
  <c r="CA32" i="21" s="1"/>
  <c r="CN23" i="10" a="1"/>
  <c r="CN23" i="10" s="1"/>
  <c r="CN24" i="10" s="1"/>
  <c r="CQ23" i="21" s="1"/>
  <c r="DD23" i="10" a="1"/>
  <c r="DD23" i="10" s="1"/>
  <c r="DD24" i="10" s="1"/>
  <c r="DG23" i="21" s="1"/>
  <c r="DT23" i="10" a="1"/>
  <c r="DT23" i="10" s="1"/>
  <c r="DT24" i="10" s="1"/>
  <c r="DW23" i="21" s="1"/>
  <c r="EJ23" i="10" a="1"/>
  <c r="EJ23" i="10" s="1"/>
  <c r="EJ24" i="10" s="1"/>
  <c r="EM23" i="21" s="1"/>
  <c r="EZ23" i="10" a="1"/>
  <c r="EZ23" i="10" s="1"/>
  <c r="EZ24" i="10" s="1"/>
  <c r="FC23" i="21" s="1"/>
  <c r="FP23" i="10" a="1"/>
  <c r="FP23" i="10" s="1"/>
  <c r="FP24" i="10" s="1"/>
  <c r="FS23" i="21" s="1"/>
  <c r="GF23" i="10" a="1"/>
  <c r="GF23" i="10" s="1"/>
  <c r="GF24" i="10" s="1"/>
  <c r="GI23" i="21" s="1"/>
  <c r="GI32" i="21" s="1"/>
  <c r="GV23" i="10" a="1"/>
  <c r="GV23" i="10" s="1"/>
  <c r="GV24" i="10" s="1"/>
  <c r="GY23" i="21" s="1"/>
  <c r="GY32" i="21" s="1"/>
  <c r="HL23" i="10" a="1"/>
  <c r="HL23" i="10" s="1"/>
  <c r="HL24" i="10" s="1"/>
  <c r="HO23" i="21" s="1"/>
  <c r="HO32" i="21" s="1"/>
  <c r="IB23" i="10" a="1"/>
  <c r="IB23" i="10" s="1"/>
  <c r="IB24" i="10" s="1"/>
  <c r="IE23" i="21" s="1"/>
  <c r="IE32" i="21" s="1"/>
  <c r="IR23" i="10" a="1"/>
  <c r="IR23" i="10" s="1"/>
  <c r="IR24" i="10" s="1"/>
  <c r="IU23" i="21" s="1"/>
  <c r="JH23" i="10" a="1"/>
  <c r="JH23" i="10" s="1"/>
  <c r="JH24" i="10" s="1"/>
  <c r="JK23" i="21" s="1"/>
  <c r="JX23" i="10" a="1"/>
  <c r="JX23" i="10" s="1"/>
  <c r="JX24" i="10" s="1"/>
  <c r="KA23" i="21" s="1"/>
  <c r="AS23" i="10" a="1"/>
  <c r="AS23" i="10" s="1"/>
  <c r="AS24" i="10" s="1"/>
  <c r="AV23" i="21" s="1"/>
  <c r="BY23" i="10" a="1"/>
  <c r="BY23" i="10" s="1"/>
  <c r="BY24" i="10" s="1"/>
  <c r="CB23" i="21" s="1"/>
  <c r="CO23" i="10" a="1"/>
  <c r="CO23" i="10" s="1"/>
  <c r="CO24" i="10" s="1"/>
  <c r="CR23" i="21" s="1"/>
  <c r="DE23" i="10" a="1"/>
  <c r="DE23" i="10" s="1"/>
  <c r="DE24" i="10" s="1"/>
  <c r="DH23" i="21" s="1"/>
  <c r="DU23" i="10" a="1"/>
  <c r="DU23" i="10" s="1"/>
  <c r="DU24" i="10" s="1"/>
  <c r="DX23" i="21" s="1"/>
  <c r="FA23" i="10" a="1"/>
  <c r="FA23" i="10" s="1"/>
  <c r="FA24" i="10" s="1"/>
  <c r="FD23" i="21" s="1"/>
  <c r="FQ23" i="10" a="1"/>
  <c r="FQ23" i="10" s="1"/>
  <c r="FQ24" i="10" s="1"/>
  <c r="FT23" i="21" s="1"/>
  <c r="GG23" i="10" a="1"/>
  <c r="GG23" i="10" s="1"/>
  <c r="GG24" i="10" s="1"/>
  <c r="GJ23" i="21" s="1"/>
  <c r="GW23" i="10" a="1"/>
  <c r="GW23" i="10" s="1"/>
  <c r="GW24" i="10" s="1"/>
  <c r="GZ23" i="21" s="1"/>
  <c r="HM23" i="10" a="1"/>
  <c r="HM23" i="10" s="1"/>
  <c r="HM24" i="10" s="1"/>
  <c r="HP23" i="21" s="1"/>
  <c r="IC23" i="10" a="1"/>
  <c r="IC23" i="10" s="1"/>
  <c r="IC24" i="10" s="1"/>
  <c r="IF23" i="21" s="1"/>
  <c r="IS23" i="10" a="1"/>
  <c r="IS23" i="10" s="1"/>
  <c r="IS24" i="10" s="1"/>
  <c r="IV23" i="21" s="1"/>
  <c r="JI23" i="10" a="1"/>
  <c r="JI23" i="10" s="1"/>
  <c r="JI24" i="10" s="1"/>
  <c r="JL23" i="21" s="1"/>
  <c r="JL32" i="21" s="1"/>
  <c r="JY23" i="10" a="1"/>
  <c r="JY23" i="10" s="1"/>
  <c r="JY24" i="10" s="1"/>
  <c r="KB23" i="21" s="1"/>
  <c r="KB32" i="21" s="1"/>
  <c r="M23" i="10" a="1"/>
  <c r="M23" i="10" s="1"/>
  <c r="M24" i="10" s="1"/>
  <c r="P23" i="21" s="1"/>
  <c r="AC23" i="10" a="1"/>
  <c r="AC23" i="10" s="1"/>
  <c r="AC24" i="10" s="1"/>
  <c r="AF23" i="21" s="1"/>
  <c r="BI23" i="10" a="1"/>
  <c r="BI23" i="10" s="1"/>
  <c r="BI24" i="10" s="1"/>
  <c r="BL23" i="21" s="1"/>
  <c r="EK23" i="10" a="1"/>
  <c r="EK23" i="10" s="1"/>
  <c r="EK24" i="10" s="1"/>
  <c r="EN23" i="21" s="1"/>
  <c r="N23" i="10" a="1"/>
  <c r="N23" i="10" s="1"/>
  <c r="N24" i="10" s="1"/>
  <c r="Q23" i="21" s="1"/>
  <c r="AD23" i="10" a="1"/>
  <c r="AD23" i="10" s="1"/>
  <c r="AD24" i="10" s="1"/>
  <c r="AG23" i="21" s="1"/>
  <c r="AT23" i="10" a="1"/>
  <c r="AT23" i="10" s="1"/>
  <c r="AT24" i="10" s="1"/>
  <c r="AW23" i="21" s="1"/>
  <c r="AW32" i="21" s="1"/>
  <c r="BJ23" i="10" a="1"/>
  <c r="BJ23" i="10" s="1"/>
  <c r="BJ24" i="10" s="1"/>
  <c r="BM23" i="21" s="1"/>
  <c r="BZ23" i="10" a="1"/>
  <c r="BZ23" i="10" s="1"/>
  <c r="BZ24" i="10" s="1"/>
  <c r="CC23" i="21" s="1"/>
  <c r="CC32" i="21" s="1"/>
  <c r="CP23" i="10" a="1"/>
  <c r="CP23" i="10" s="1"/>
  <c r="CP24" i="10" s="1"/>
  <c r="CS23" i="21" s="1"/>
  <c r="CS32" i="21" s="1"/>
  <c r="DF23" i="10" a="1"/>
  <c r="DF23" i="10" s="1"/>
  <c r="DF24" i="10" s="1"/>
  <c r="DI23" i="21" s="1"/>
  <c r="DI32" i="21" s="1"/>
  <c r="DV23" i="10" a="1"/>
  <c r="DV23" i="10" s="1"/>
  <c r="DV24" i="10" s="1"/>
  <c r="DY23" i="21" s="1"/>
  <c r="EL23" i="10" a="1"/>
  <c r="EL23" i="10" s="1"/>
  <c r="EL24" i="10" s="1"/>
  <c r="EO23" i="21" s="1"/>
  <c r="FB23" i="10" a="1"/>
  <c r="FB23" i="10" s="1"/>
  <c r="FB24" i="10" s="1"/>
  <c r="FE23" i="21" s="1"/>
  <c r="FR23" i="10" a="1"/>
  <c r="FR23" i="10" s="1"/>
  <c r="FR24" i="10" s="1"/>
  <c r="FU23" i="21" s="1"/>
  <c r="GH23" i="10" a="1"/>
  <c r="GH23" i="10" s="1"/>
  <c r="GH24" i="10" s="1"/>
  <c r="GK23" i="21" s="1"/>
  <c r="GX23" i="10" a="1"/>
  <c r="GX23" i="10" s="1"/>
  <c r="GX24" i="10" s="1"/>
  <c r="HA23" i="21" s="1"/>
  <c r="HN23" i="10" a="1"/>
  <c r="HN23" i="10" s="1"/>
  <c r="HN24" i="10" s="1"/>
  <c r="HQ23" i="21" s="1"/>
  <c r="ID23" i="10" a="1"/>
  <c r="ID23" i="10" s="1"/>
  <c r="ID24" i="10" s="1"/>
  <c r="IG23" i="21" s="1"/>
  <c r="IT23" i="10" a="1"/>
  <c r="IT23" i="10" s="1"/>
  <c r="IT24" i="10" s="1"/>
  <c r="IW23" i="21" s="1"/>
  <c r="JJ23" i="10" a="1"/>
  <c r="JJ23" i="10" s="1"/>
  <c r="JJ24" i="10" s="1"/>
  <c r="JM23" i="21" s="1"/>
  <c r="JZ23" i="10" a="1"/>
  <c r="JZ23" i="10" s="1"/>
  <c r="JZ24" i="10" s="1"/>
  <c r="KC23" i="21" s="1"/>
  <c r="O23" i="10" a="1"/>
  <c r="O23" i="10" s="1"/>
  <c r="O24" i="10" s="1"/>
  <c r="R23" i="21" s="1"/>
  <c r="AE23" i="10" a="1"/>
  <c r="AE23" i="10" s="1"/>
  <c r="AE24" i="10" s="1"/>
  <c r="AH23" i="21" s="1"/>
  <c r="AU23" i="10" a="1"/>
  <c r="AU23" i="10" s="1"/>
  <c r="AU24" i="10" s="1"/>
  <c r="AX23" i="21" s="1"/>
  <c r="AX32" i="21" s="1"/>
  <c r="BK23" i="10" a="1"/>
  <c r="BK23" i="10" s="1"/>
  <c r="BK24" i="10" s="1"/>
  <c r="BN23" i="21" s="1"/>
  <c r="BN32" i="21" s="1"/>
  <c r="CA23" i="10" a="1"/>
  <c r="CA23" i="10" s="1"/>
  <c r="CA24" i="10" s="1"/>
  <c r="CD23" i="21" s="1"/>
  <c r="CD32" i="21" s="1"/>
  <c r="CQ23" i="10" a="1"/>
  <c r="CQ23" i="10" s="1"/>
  <c r="CQ24" i="10" s="1"/>
  <c r="CT23" i="21" s="1"/>
  <c r="DG23" i="10" a="1"/>
  <c r="DG23" i="10" s="1"/>
  <c r="DG24" i="10" s="1"/>
  <c r="DJ23" i="21" s="1"/>
  <c r="DW23" i="10" a="1"/>
  <c r="DW23" i="10" s="1"/>
  <c r="DW24" i="10" s="1"/>
  <c r="DZ23" i="21" s="1"/>
  <c r="EM23" i="10" a="1"/>
  <c r="EM23" i="10" s="1"/>
  <c r="EM24" i="10" s="1"/>
  <c r="EP23" i="21" s="1"/>
  <c r="FC23" i="10" a="1"/>
  <c r="FC23" i="10" s="1"/>
  <c r="FC24" i="10" s="1"/>
  <c r="FF23" i="21" s="1"/>
  <c r="FS23" i="10" a="1"/>
  <c r="FS23" i="10" s="1"/>
  <c r="FS24" i="10" s="1"/>
  <c r="FV23" i="21" s="1"/>
  <c r="GI23" i="10" a="1"/>
  <c r="GI23" i="10" s="1"/>
  <c r="GI24" i="10" s="1"/>
  <c r="GL23" i="21" s="1"/>
  <c r="GY23" i="10" a="1"/>
  <c r="GY23" i="10" s="1"/>
  <c r="GY24" i="10" s="1"/>
  <c r="HB23" i="21" s="1"/>
  <c r="HO23" i="10" a="1"/>
  <c r="HO23" i="10" s="1"/>
  <c r="HO24" i="10" s="1"/>
  <c r="HR23" i="21" s="1"/>
  <c r="IE23" i="10" a="1"/>
  <c r="IE23" i="10" s="1"/>
  <c r="IE24" i="10" s="1"/>
  <c r="IH23" i="21" s="1"/>
  <c r="IH32" i="21" s="1"/>
  <c r="IU23" i="10" a="1"/>
  <c r="IU23" i="10" s="1"/>
  <c r="IU24" i="10" s="1"/>
  <c r="IX23" i="21" s="1"/>
  <c r="JK23" i="10" a="1"/>
  <c r="JK23" i="10" s="1"/>
  <c r="JK24" i="10" s="1"/>
  <c r="JN23" i="21" s="1"/>
  <c r="KA23" i="10" a="1"/>
  <c r="KA23" i="10" s="1"/>
  <c r="KA24" i="10" s="1"/>
  <c r="KD23" i="21" s="1"/>
  <c r="IF23" i="10" a="1"/>
  <c r="IF23" i="10" s="1"/>
  <c r="IF24" i="10" s="1"/>
  <c r="II23" i="21" s="1"/>
  <c r="JL23" i="10" a="1"/>
  <c r="JL23" i="10" s="1"/>
  <c r="JL24" i="10" s="1"/>
  <c r="JO23" i="21" s="1"/>
  <c r="KB23" i="10" a="1"/>
  <c r="KB23" i="10" s="1"/>
  <c r="KB24" i="10" s="1"/>
  <c r="KE23" i="21" s="1"/>
  <c r="DI23" i="10" a="1"/>
  <c r="DI23" i="10" s="1"/>
  <c r="DI24" i="10" s="1"/>
  <c r="DL23" i="21" s="1"/>
  <c r="KC23" i="10" a="1"/>
  <c r="KC23" i="10" s="1"/>
  <c r="KC24" i="10" s="1"/>
  <c r="KF23" i="21" s="1"/>
  <c r="Q23" i="10" a="1"/>
  <c r="Q23" i="10" s="1"/>
  <c r="Q24" i="10" s="1"/>
  <c r="T23" i="21" s="1"/>
  <c r="CC23" i="10" a="1"/>
  <c r="CC23" i="10" s="1"/>
  <c r="CC24" i="10" s="1"/>
  <c r="CF23" i="21" s="1"/>
  <c r="EO23" i="10" a="1"/>
  <c r="EO23" i="10" s="1"/>
  <c r="EO24" i="10" s="1"/>
  <c r="ER23" i="21" s="1"/>
  <c r="FU23" i="10" a="1"/>
  <c r="FU23" i="10" s="1"/>
  <c r="FU24" i="10" s="1"/>
  <c r="FX23" i="21" s="1"/>
  <c r="HA23" i="10" a="1"/>
  <c r="HA23" i="10" s="1"/>
  <c r="HA24" i="10" s="1"/>
  <c r="HD23" i="21" s="1"/>
  <c r="IW23" i="10" a="1"/>
  <c r="IW23" i="10" s="1"/>
  <c r="IW24" i="10" s="1"/>
  <c r="IZ23" i="21" s="1"/>
  <c r="R23" i="10" a="1"/>
  <c r="R23" i="10" s="1"/>
  <c r="R24" i="10" s="1"/>
  <c r="U23" i="21" s="1"/>
  <c r="AH23" i="10" a="1"/>
  <c r="AH23" i="10" s="1"/>
  <c r="AH24" i="10" s="1"/>
  <c r="AK23" i="21" s="1"/>
  <c r="AX23" i="10" a="1"/>
  <c r="AX23" i="10" s="1"/>
  <c r="AX24" i="10" s="1"/>
  <c r="BA23" i="21" s="1"/>
  <c r="BN23" i="10" a="1"/>
  <c r="BN23" i="10" s="1"/>
  <c r="BN24" i="10" s="1"/>
  <c r="BQ23" i="21" s="1"/>
  <c r="CD23" i="10" a="1"/>
  <c r="CD23" i="10" s="1"/>
  <c r="CD24" i="10" s="1"/>
  <c r="CG23" i="21" s="1"/>
  <c r="CT23" i="10" a="1"/>
  <c r="CT23" i="10" s="1"/>
  <c r="CT24" i="10" s="1"/>
  <c r="CW23" i="21" s="1"/>
  <c r="DJ23" i="10" a="1"/>
  <c r="DJ23" i="10" s="1"/>
  <c r="DJ24" i="10" s="1"/>
  <c r="DM23" i="21" s="1"/>
  <c r="DZ23" i="10" a="1"/>
  <c r="DZ23" i="10" s="1"/>
  <c r="DZ24" i="10" s="1"/>
  <c r="EC23" i="21" s="1"/>
  <c r="EP23" i="10" a="1"/>
  <c r="EP23" i="10" s="1"/>
  <c r="EP24" i="10" s="1"/>
  <c r="ES23" i="21" s="1"/>
  <c r="FF23" i="10" a="1"/>
  <c r="FF23" i="10" s="1"/>
  <c r="FF24" i="10" s="1"/>
  <c r="FI23" i="21" s="1"/>
  <c r="FV23" i="10" a="1"/>
  <c r="FV23" i="10" s="1"/>
  <c r="FV24" i="10" s="1"/>
  <c r="FY23" i="21" s="1"/>
  <c r="GL23" i="10" a="1"/>
  <c r="GL23" i="10" s="1"/>
  <c r="GL24" i="10" s="1"/>
  <c r="GO23" i="21" s="1"/>
  <c r="HB23" i="10" a="1"/>
  <c r="HB23" i="10" s="1"/>
  <c r="HB24" i="10" s="1"/>
  <c r="HE23" i="21" s="1"/>
  <c r="HR23" i="10" a="1"/>
  <c r="HR23" i="10" s="1"/>
  <c r="HR24" i="10" s="1"/>
  <c r="HU23" i="21" s="1"/>
  <c r="IH23" i="10" a="1"/>
  <c r="IH23" i="10" s="1"/>
  <c r="IH24" i="10" s="1"/>
  <c r="IK23" i="21" s="1"/>
  <c r="IX23" i="10" a="1"/>
  <c r="IX23" i="10" s="1"/>
  <c r="IX24" i="10" s="1"/>
  <c r="JA23" i="21" s="1"/>
  <c r="JN23" i="10" a="1"/>
  <c r="JN23" i="10" s="1"/>
  <c r="JN24" i="10" s="1"/>
  <c r="JQ23" i="21" s="1"/>
  <c r="KD23" i="10" a="1"/>
  <c r="KD23" i="10" s="1"/>
  <c r="KD24" i="10" s="1"/>
  <c r="KG23" i="21" s="1"/>
  <c r="AG23" i="10" a="1"/>
  <c r="AG23" i="10" s="1"/>
  <c r="AG24" i="10" s="1"/>
  <c r="AJ23" i="21" s="1"/>
  <c r="AW23" i="10" a="1"/>
  <c r="AW23" i="10" s="1"/>
  <c r="AW24" i="10" s="1"/>
  <c r="AZ23" i="21" s="1"/>
  <c r="BM23" i="10" a="1"/>
  <c r="BM23" i="10" s="1"/>
  <c r="BM24" i="10" s="1"/>
  <c r="BP23" i="21" s="1"/>
  <c r="CS23" i="10" a="1"/>
  <c r="CS23" i="10" s="1"/>
  <c r="CS24" i="10" s="1"/>
  <c r="CV23" i="21" s="1"/>
  <c r="DY23" i="10" a="1"/>
  <c r="DY23" i="10" s="1"/>
  <c r="DY24" i="10" s="1"/>
  <c r="EB23" i="21" s="1"/>
  <c r="FE23" i="10" a="1"/>
  <c r="FE23" i="10" s="1"/>
  <c r="FE24" i="10" s="1"/>
  <c r="FH23" i="21" s="1"/>
  <c r="GK23" i="10" a="1"/>
  <c r="GK23" i="10" s="1"/>
  <c r="GK24" i="10" s="1"/>
  <c r="GN23" i="21" s="1"/>
  <c r="HQ23" i="10" a="1"/>
  <c r="HQ23" i="10" s="1"/>
  <c r="HQ24" i="10" s="1"/>
  <c r="HT23" i="21" s="1"/>
  <c r="IG23" i="10" a="1"/>
  <c r="IG23" i="10" s="1"/>
  <c r="IG24" i="10" s="1"/>
  <c r="IJ23" i="21" s="1"/>
  <c r="JM23" i="10" a="1"/>
  <c r="JM23" i="10" s="1"/>
  <c r="JM24" i="10" s="1"/>
  <c r="JP23" i="21" s="1"/>
  <c r="S23" i="10" a="1"/>
  <c r="S23" i="10" s="1"/>
  <c r="S24" i="10" s="1"/>
  <c r="V23" i="21" s="1"/>
  <c r="AI23" i="10" a="1"/>
  <c r="AI23" i="10" s="1"/>
  <c r="AI24" i="10" s="1"/>
  <c r="AL23" i="21" s="1"/>
  <c r="AY23" i="10" a="1"/>
  <c r="AY23" i="10" s="1"/>
  <c r="AY24" i="10" s="1"/>
  <c r="BB23" i="21" s="1"/>
  <c r="BO23" i="10" a="1"/>
  <c r="BO23" i="10" s="1"/>
  <c r="BO24" i="10" s="1"/>
  <c r="BR23" i="21" s="1"/>
  <c r="CE23" i="10" a="1"/>
  <c r="CE23" i="10" s="1"/>
  <c r="CE24" i="10" s="1"/>
  <c r="CH23" i="21" s="1"/>
  <c r="CU23" i="10" a="1"/>
  <c r="CU23" i="10" s="1"/>
  <c r="CU24" i="10" s="1"/>
  <c r="CX23" i="21" s="1"/>
  <c r="DK23" i="10" a="1"/>
  <c r="DK23" i="10" s="1"/>
  <c r="DK24" i="10" s="1"/>
  <c r="DN23" i="21" s="1"/>
  <c r="EA23" i="10" a="1"/>
  <c r="EA23" i="10" s="1"/>
  <c r="EA24" i="10" s="1"/>
  <c r="ED23" i="21" s="1"/>
  <c r="EQ23" i="10" a="1"/>
  <c r="EQ23" i="10" s="1"/>
  <c r="EQ24" i="10" s="1"/>
  <c r="ET23" i="21" s="1"/>
  <c r="FG23" i="10" a="1"/>
  <c r="FG23" i="10" s="1"/>
  <c r="FG24" i="10" s="1"/>
  <c r="FJ23" i="21" s="1"/>
  <c r="FJ32" i="21" s="1"/>
  <c r="FW23" i="10" a="1"/>
  <c r="FW23" i="10" s="1"/>
  <c r="FW24" i="10" s="1"/>
  <c r="FZ23" i="21" s="1"/>
  <c r="FZ32" i="21" s="1"/>
  <c r="GM23" i="10" a="1"/>
  <c r="GM23" i="10" s="1"/>
  <c r="GM24" i="10" s="1"/>
  <c r="GP23" i="21" s="1"/>
  <c r="HC23" i="10" a="1"/>
  <c r="HC23" i="10" s="1"/>
  <c r="HC24" i="10" s="1"/>
  <c r="HF23" i="21" s="1"/>
  <c r="HS23" i="10" a="1"/>
  <c r="HS23" i="10" s="1"/>
  <c r="HS24" i="10" s="1"/>
  <c r="HV23" i="21" s="1"/>
  <c r="II23" i="10" a="1"/>
  <c r="II23" i="10" s="1"/>
  <c r="II24" i="10" s="1"/>
  <c r="IL23" i="21" s="1"/>
  <c r="IY23" i="10" a="1"/>
  <c r="IY23" i="10" s="1"/>
  <c r="IY24" i="10" s="1"/>
  <c r="JB23" i="21" s="1"/>
  <c r="JO23" i="10" a="1"/>
  <c r="JO23" i="10" s="1"/>
  <c r="JO24" i="10" s="1"/>
  <c r="JR23" i="21" s="1"/>
  <c r="KE23" i="10" a="1"/>
  <c r="KE23" i="10" s="1"/>
  <c r="KE24" i="10" s="1"/>
  <c r="KH23" i="21" s="1"/>
  <c r="T23" i="10" a="1"/>
  <c r="T23" i="10" s="1"/>
  <c r="T24" i="10" s="1"/>
  <c r="W23" i="21" s="1"/>
  <c r="AJ23" i="10" a="1"/>
  <c r="AJ23" i="10" s="1"/>
  <c r="AJ24" i="10" s="1"/>
  <c r="AM23" i="21" s="1"/>
  <c r="AZ23" i="10" a="1"/>
  <c r="AZ23" i="10" s="1"/>
  <c r="AZ24" i="10" s="1"/>
  <c r="BC23" i="21" s="1"/>
  <c r="BC32" i="21" s="1"/>
  <c r="BP23" i="10" a="1"/>
  <c r="BP23" i="10" s="1"/>
  <c r="BP24" i="10" s="1"/>
  <c r="BS23" i="21" s="1"/>
  <c r="CF23" i="10" a="1"/>
  <c r="CF23" i="10" s="1"/>
  <c r="CF24" i="10" s="1"/>
  <c r="CI23" i="21" s="1"/>
  <c r="CV23" i="10" a="1"/>
  <c r="CV23" i="10" s="1"/>
  <c r="CV24" i="10" s="1"/>
  <c r="CY23" i="21" s="1"/>
  <c r="DL23" i="10" a="1"/>
  <c r="DL23" i="10" s="1"/>
  <c r="DL24" i="10" s="1"/>
  <c r="DO23" i="21" s="1"/>
  <c r="EB23" i="10" a="1"/>
  <c r="EB23" i="10" s="1"/>
  <c r="EB24" i="10" s="1"/>
  <c r="EE23" i="21" s="1"/>
  <c r="ER23" i="10" a="1"/>
  <c r="ER23" i="10" s="1"/>
  <c r="ER24" i="10" s="1"/>
  <c r="EU23" i="21" s="1"/>
  <c r="EU32" i="21" s="1"/>
  <c r="FH23" i="10" a="1"/>
  <c r="FH23" i="10" s="1"/>
  <c r="FH24" i="10" s="1"/>
  <c r="FK23" i="21" s="1"/>
  <c r="FX23" i="10" a="1"/>
  <c r="FX23" i="10" s="1"/>
  <c r="FX24" i="10" s="1"/>
  <c r="GA23" i="21" s="1"/>
  <c r="GN23" i="10" a="1"/>
  <c r="GN23" i="10" s="1"/>
  <c r="GN24" i="10" s="1"/>
  <c r="GQ23" i="21" s="1"/>
  <c r="HD23" i="10" a="1"/>
  <c r="HD23" i="10" s="1"/>
  <c r="HD24" i="10" s="1"/>
  <c r="HG23" i="21" s="1"/>
  <c r="HG32" i="21" s="1"/>
  <c r="HT23" i="10" a="1"/>
  <c r="HT23" i="10" s="1"/>
  <c r="HT24" i="10" s="1"/>
  <c r="HW23" i="21" s="1"/>
  <c r="IJ23" i="10" a="1"/>
  <c r="IJ23" i="10" s="1"/>
  <c r="IJ24" i="10" s="1"/>
  <c r="IM23" i="21" s="1"/>
  <c r="IZ23" i="10" a="1"/>
  <c r="IZ23" i="10" s="1"/>
  <c r="IZ24" i="10" s="1"/>
  <c r="JC23" i="21" s="1"/>
  <c r="JP23" i="10" a="1"/>
  <c r="JP23" i="10" s="1"/>
  <c r="JP24" i="10" s="1"/>
  <c r="JS23" i="21" s="1"/>
  <c r="K14" i="10"/>
  <c r="K6" i="10" s="1"/>
  <c r="K12" i="10"/>
  <c r="K15" i="10" s="1"/>
  <c r="K13" i="10"/>
  <c r="K5" i="10" s="1"/>
  <c r="FC13" i="26" l="1"/>
  <c r="FC5" i="26" s="1"/>
  <c r="FC12" i="26"/>
  <c r="FC4" i="26" s="1"/>
  <c r="FC11" i="26"/>
  <c r="H72" i="9"/>
  <c r="EE46" i="21"/>
  <c r="EE148" i="21"/>
  <c r="FF46" i="21"/>
  <c r="FF148" i="21"/>
  <c r="GV46" i="21"/>
  <c r="GV148" i="21"/>
  <c r="GG46" i="21"/>
  <c r="GG148" i="21"/>
  <c r="HW46" i="21"/>
  <c r="HW148" i="21"/>
  <c r="IJ46" i="21"/>
  <c r="IJ148" i="21"/>
  <c r="FP46" i="21"/>
  <c r="FP148" i="21"/>
  <c r="GR46" i="21"/>
  <c r="GR148" i="21"/>
  <c r="JJ46" i="21"/>
  <c r="JJ148" i="21"/>
  <c r="N46" i="21"/>
  <c r="N148" i="21"/>
  <c r="BD46" i="21"/>
  <c r="BD148" i="21"/>
  <c r="CS46" i="21"/>
  <c r="CS148" i="21"/>
  <c r="BP46" i="21"/>
  <c r="BP148" i="21"/>
  <c r="DF46" i="21"/>
  <c r="DF148" i="21"/>
  <c r="EV46" i="21"/>
  <c r="EV148" i="21"/>
  <c r="FH46" i="21"/>
  <c r="FH148" i="21"/>
  <c r="IP46" i="21"/>
  <c r="IP148" i="21"/>
  <c r="GI46" i="21"/>
  <c r="GI148" i="21"/>
  <c r="DB46" i="21"/>
  <c r="DB148" i="21"/>
  <c r="ER46" i="21"/>
  <c r="ER148" i="21"/>
  <c r="GH46" i="21"/>
  <c r="GH148" i="21"/>
  <c r="FS46" i="21"/>
  <c r="FS148" i="21"/>
  <c r="GT46" i="21"/>
  <c r="GT148" i="21"/>
  <c r="HV46" i="21"/>
  <c r="HV148" i="21"/>
  <c r="FB46" i="21"/>
  <c r="FB148" i="21"/>
  <c r="GC46" i="21"/>
  <c r="GC148" i="21"/>
  <c r="IV46" i="21"/>
  <c r="IV148" i="21"/>
  <c r="AO46" i="21"/>
  <c r="AO148" i="21"/>
  <c r="CE46" i="21"/>
  <c r="CE148" i="21"/>
  <c r="BB46" i="21"/>
  <c r="BB148" i="21"/>
  <c r="CR46" i="21"/>
  <c r="CR148" i="21"/>
  <c r="EG46" i="21"/>
  <c r="EG148" i="21"/>
  <c r="ET46" i="21"/>
  <c r="ET148" i="21"/>
  <c r="CB46" i="21"/>
  <c r="CB148" i="21"/>
  <c r="CN46" i="21"/>
  <c r="CN148" i="21"/>
  <c r="ED46" i="21"/>
  <c r="ED148" i="21"/>
  <c r="FT46" i="21"/>
  <c r="FT148" i="21"/>
  <c r="EP46" i="21"/>
  <c r="EP148" i="21"/>
  <c r="GF46" i="21"/>
  <c r="GF148" i="21"/>
  <c r="HH46" i="21"/>
  <c r="HH148" i="21"/>
  <c r="EN46" i="21"/>
  <c r="EN148" i="21"/>
  <c r="FO46" i="21"/>
  <c r="FO148" i="21"/>
  <c r="IG46" i="21"/>
  <c r="IG148" i="21"/>
  <c r="JW46" i="21"/>
  <c r="JW148" i="21"/>
  <c r="AA46" i="21"/>
  <c r="AA148" i="21"/>
  <c r="BQ46" i="21"/>
  <c r="BQ148" i="21"/>
  <c r="AN46" i="21"/>
  <c r="AN148" i="21"/>
  <c r="CC46" i="21"/>
  <c r="CC148" i="21"/>
  <c r="DS46" i="21"/>
  <c r="DS148" i="21"/>
  <c r="EF46" i="21"/>
  <c r="EF148" i="21"/>
  <c r="FI46" i="21"/>
  <c r="FI148" i="21"/>
  <c r="GW46" i="21"/>
  <c r="GW148" i="21"/>
  <c r="BZ46" i="21"/>
  <c r="BZ148" i="21"/>
  <c r="DP46" i="21"/>
  <c r="DP148" i="21"/>
  <c r="FE46" i="21"/>
  <c r="FE148" i="21"/>
  <c r="EB46" i="21"/>
  <c r="EB148" i="21"/>
  <c r="FR46" i="21"/>
  <c r="FR148" i="21"/>
  <c r="GS46" i="21"/>
  <c r="GS148" i="21"/>
  <c r="DY46" i="21"/>
  <c r="DY148" i="21"/>
  <c r="FA46" i="21"/>
  <c r="FA148" i="21"/>
  <c r="HS46" i="21"/>
  <c r="HS148" i="21"/>
  <c r="JI46" i="21"/>
  <c r="JI148" i="21"/>
  <c r="BC46" i="21"/>
  <c r="BC148" i="21"/>
  <c r="JU46" i="21"/>
  <c r="JU148" i="21"/>
  <c r="Y46" i="21"/>
  <c r="Y148" i="21"/>
  <c r="BO46" i="21"/>
  <c r="BO148" i="21"/>
  <c r="DE46" i="21"/>
  <c r="DE148" i="21"/>
  <c r="DQ46" i="21"/>
  <c r="DQ148" i="21"/>
  <c r="IB46" i="21"/>
  <c r="IB148" i="21"/>
  <c r="BL46" i="21"/>
  <c r="BL148" i="21"/>
  <c r="DA46" i="21"/>
  <c r="DA148" i="21"/>
  <c r="EQ46" i="21"/>
  <c r="EQ148" i="21"/>
  <c r="DN46" i="21"/>
  <c r="DN148" i="21"/>
  <c r="FD46" i="21"/>
  <c r="FD148" i="21"/>
  <c r="GE46" i="21"/>
  <c r="GE148" i="21"/>
  <c r="DK46" i="21"/>
  <c r="DK148" i="21"/>
  <c r="EM46" i="21"/>
  <c r="EM148" i="21"/>
  <c r="HE46" i="21"/>
  <c r="HE148" i="21"/>
  <c r="IU46" i="21"/>
  <c r="IU148" i="21"/>
  <c r="JV46" i="21"/>
  <c r="JV148" i="21"/>
  <c r="Z46" i="21"/>
  <c r="Z148" i="21"/>
  <c r="JG46" i="21"/>
  <c r="JG148" i="21"/>
  <c r="BA46" i="21"/>
  <c r="BA148" i="21"/>
  <c r="CQ46" i="21"/>
  <c r="CQ148" i="21"/>
  <c r="DC46" i="21"/>
  <c r="DC148" i="21"/>
  <c r="BM46" i="21"/>
  <c r="BM148" i="21"/>
  <c r="AW46" i="21"/>
  <c r="AW148" i="21"/>
  <c r="CM46" i="21"/>
  <c r="CM148" i="21"/>
  <c r="EC46" i="21"/>
  <c r="EC148" i="21"/>
  <c r="CZ46" i="21"/>
  <c r="CZ148" i="21"/>
  <c r="EO46" i="21"/>
  <c r="EO148" i="21"/>
  <c r="FQ46" i="21"/>
  <c r="FQ148" i="21"/>
  <c r="CW46" i="21"/>
  <c r="CW148" i="21"/>
  <c r="DJ46" i="21"/>
  <c r="DJ148" i="21"/>
  <c r="GQ46" i="21"/>
  <c r="GQ148" i="21"/>
  <c r="HR46" i="21"/>
  <c r="HR148" i="21"/>
  <c r="JH46" i="21"/>
  <c r="JH148" i="21"/>
  <c r="IS46" i="21"/>
  <c r="IS148" i="21"/>
  <c r="KI46" i="21"/>
  <c r="KI148" i="21"/>
  <c r="AM46" i="21"/>
  <c r="AM148" i="21"/>
  <c r="BN46" i="21"/>
  <c r="BN148" i="21"/>
  <c r="CO46" i="21"/>
  <c r="CO148" i="21"/>
  <c r="EU46" i="21"/>
  <c r="EU148" i="21"/>
  <c r="AI46" i="21"/>
  <c r="AI148" i="21"/>
  <c r="BY46" i="21"/>
  <c r="BY148" i="21"/>
  <c r="DO46" i="21"/>
  <c r="DO148" i="21"/>
  <c r="CK46" i="21"/>
  <c r="CK148" i="21"/>
  <c r="EA46" i="21"/>
  <c r="EA148" i="21"/>
  <c r="FC46" i="21"/>
  <c r="FC148" i="21"/>
  <c r="CI46" i="21"/>
  <c r="CI148" i="21"/>
  <c r="CV46" i="21"/>
  <c r="CV148" i="21"/>
  <c r="FN46" i="21"/>
  <c r="FN148" i="21"/>
  <c r="HD46" i="21"/>
  <c r="HD148" i="21"/>
  <c r="IT46" i="21"/>
  <c r="IT148" i="21"/>
  <c r="IE46" i="21"/>
  <c r="IE148" i="21"/>
  <c r="JF46" i="21"/>
  <c r="JF148" i="21"/>
  <c r="AZ46" i="21"/>
  <c r="AZ148" i="21"/>
  <c r="CA46" i="21"/>
  <c r="CA148" i="21"/>
  <c r="HN46" i="21"/>
  <c r="HN148" i="21"/>
  <c r="FG46" i="21"/>
  <c r="FG148" i="21"/>
  <c r="IM46" i="21"/>
  <c r="IM148" i="21"/>
  <c r="HI46" i="21"/>
  <c r="HI148" i="21"/>
  <c r="IY46" i="21"/>
  <c r="IY148" i="21"/>
  <c r="KA46" i="21"/>
  <c r="KA148" i="21"/>
  <c r="AE46" i="21"/>
  <c r="AE148" i="21"/>
  <c r="HG46" i="21"/>
  <c r="HG148" i="21"/>
  <c r="HT46" i="21"/>
  <c r="HT148" i="21"/>
  <c r="AP46" i="21"/>
  <c r="AP148" i="21"/>
  <c r="CF46" i="21"/>
  <c r="CF148" i="21"/>
  <c r="DV46" i="21"/>
  <c r="DV148" i="21"/>
  <c r="DG46" i="21"/>
  <c r="DG148" i="21"/>
  <c r="EH46" i="21"/>
  <c r="EH148" i="21"/>
  <c r="FX46" i="21"/>
  <c r="FX148" i="21"/>
  <c r="GY46" i="21"/>
  <c r="GY148" i="21"/>
  <c r="CP46" i="21"/>
  <c r="CP148" i="21"/>
  <c r="ES46" i="21"/>
  <c r="ES148" i="21"/>
  <c r="HJ46" i="21"/>
  <c r="HJ148" i="21"/>
  <c r="GU46" i="21"/>
  <c r="GU148" i="21"/>
  <c r="IK46" i="21"/>
  <c r="IK148" i="21"/>
  <c r="IX46" i="21"/>
  <c r="IX148" i="21"/>
  <c r="GD46" i="21"/>
  <c r="GD148" i="21"/>
  <c r="HF46" i="21"/>
  <c r="HF148" i="21"/>
  <c r="JX46" i="21"/>
  <c r="JX148" i="21"/>
  <c r="AB46" i="21"/>
  <c r="AB148" i="21"/>
  <c r="BR46" i="21"/>
  <c r="BR148" i="21"/>
  <c r="DH46" i="21"/>
  <c r="DH148" i="21"/>
  <c r="CD46" i="21"/>
  <c r="CD148" i="21"/>
  <c r="DT46" i="21"/>
  <c r="DT148" i="21"/>
  <c r="FJ46" i="21"/>
  <c r="FJ148" i="21"/>
  <c r="FV46" i="21"/>
  <c r="FV148" i="21"/>
  <c r="FW46" i="21"/>
  <c r="FW148" i="21"/>
  <c r="JQ46" i="21"/>
  <c r="JQ148" i="21"/>
  <c r="U46" i="21"/>
  <c r="U148" i="21"/>
  <c r="BK46" i="21"/>
  <c r="BK148" i="21"/>
  <c r="CL46" i="21"/>
  <c r="CL148" i="21"/>
  <c r="BW46" i="21"/>
  <c r="BW148" i="21"/>
  <c r="DM46" i="21"/>
  <c r="DM148" i="21"/>
  <c r="DZ46" i="21"/>
  <c r="DZ148" i="21"/>
  <c r="BF46" i="21"/>
  <c r="BF148" i="21"/>
  <c r="CH46" i="21"/>
  <c r="CH148" i="21"/>
  <c r="EZ46" i="21"/>
  <c r="EZ148" i="21"/>
  <c r="GP46" i="21"/>
  <c r="GP148" i="21"/>
  <c r="IF46" i="21"/>
  <c r="IF148" i="21"/>
  <c r="HB46" i="21"/>
  <c r="HB148" i="21"/>
  <c r="IR46" i="21"/>
  <c r="IR148" i="21"/>
  <c r="KH46" i="21"/>
  <c r="KH148" i="21"/>
  <c r="AL46" i="21"/>
  <c r="AL148" i="21"/>
  <c r="AX46" i="21"/>
  <c r="AX148" i="21"/>
  <c r="JC46" i="21"/>
  <c r="JC148" i="21"/>
  <c r="KD46" i="21"/>
  <c r="KD148" i="21"/>
  <c r="AH46" i="21"/>
  <c r="AH148" i="21"/>
  <c r="BX46" i="21"/>
  <c r="BX148" i="21"/>
  <c r="BI46" i="21"/>
  <c r="BI148" i="21"/>
  <c r="CY46" i="21"/>
  <c r="CY148" i="21"/>
  <c r="DL46" i="21"/>
  <c r="DL148" i="21"/>
  <c r="AR46" i="21"/>
  <c r="AR148" i="21"/>
  <c r="BT46" i="21"/>
  <c r="BT148" i="21"/>
  <c r="EL46" i="21"/>
  <c r="EL148" i="21"/>
  <c r="GB46" i="21"/>
  <c r="GB148" i="21"/>
  <c r="HQ46" i="21"/>
  <c r="HQ148" i="21"/>
  <c r="GN46" i="21"/>
  <c r="GN148" i="21"/>
  <c r="ID46" i="21"/>
  <c r="ID148" i="21"/>
  <c r="JT46" i="21"/>
  <c r="JT148" i="21"/>
  <c r="X46" i="21"/>
  <c r="X148" i="21"/>
  <c r="KF46" i="21"/>
  <c r="KF148" i="21"/>
  <c r="AJ46" i="21"/>
  <c r="AJ148" i="21"/>
  <c r="DR46" i="21"/>
  <c r="DR148" i="21"/>
  <c r="AY46" i="21"/>
  <c r="AY148" i="21"/>
  <c r="HZ46" i="21"/>
  <c r="HZ148" i="21"/>
  <c r="JP46" i="21"/>
  <c r="JP148" i="21"/>
  <c r="T46" i="21"/>
  <c r="T148" i="21"/>
  <c r="BJ46" i="21"/>
  <c r="BJ148" i="21"/>
  <c r="AU46" i="21"/>
  <c r="AU148" i="21"/>
  <c r="BV46" i="21"/>
  <c r="BV148" i="21"/>
  <c r="CX46" i="21"/>
  <c r="CX148" i="21"/>
  <c r="JZ46" i="21"/>
  <c r="JZ148" i="21"/>
  <c r="AD46" i="21"/>
  <c r="AD148" i="21"/>
  <c r="BE46" i="21"/>
  <c r="BE148" i="21"/>
  <c r="DX46" i="21"/>
  <c r="DX148" i="21"/>
  <c r="FM46" i="21"/>
  <c r="FM148" i="21"/>
  <c r="HC46" i="21"/>
  <c r="HC148" i="21"/>
  <c r="FZ46" i="21"/>
  <c r="FZ148" i="21"/>
  <c r="HP46" i="21"/>
  <c r="HP148" i="21"/>
  <c r="JE46" i="21"/>
  <c r="JE148" i="21"/>
  <c r="JR46" i="21"/>
  <c r="JR148" i="21"/>
  <c r="V46" i="21"/>
  <c r="V148" i="21"/>
  <c r="GZ46" i="21"/>
  <c r="GZ148" i="21"/>
  <c r="HL46" i="21"/>
  <c r="HL148" i="21"/>
  <c r="JB46" i="21"/>
  <c r="JB148" i="21"/>
  <c r="AV46" i="21"/>
  <c r="AV148" i="21"/>
  <c r="JN46" i="21"/>
  <c r="JN148" i="21"/>
  <c r="R46" i="21"/>
  <c r="R148" i="21"/>
  <c r="BH46" i="21"/>
  <c r="BH148" i="21"/>
  <c r="CJ46" i="21"/>
  <c r="CJ148" i="21"/>
  <c r="JL46" i="21"/>
  <c r="JL148" i="21"/>
  <c r="P46" i="21"/>
  <c r="P148" i="21"/>
  <c r="AQ46" i="21"/>
  <c r="AQ148" i="21"/>
  <c r="DI46" i="21"/>
  <c r="DI148" i="21"/>
  <c r="EY46" i="21"/>
  <c r="EY148" i="21"/>
  <c r="GO46" i="21"/>
  <c r="GO148" i="21"/>
  <c r="FL46" i="21"/>
  <c r="FL148" i="21"/>
  <c r="HA46" i="21"/>
  <c r="HA148" i="21"/>
  <c r="IQ46" i="21"/>
  <c r="IQ148" i="21"/>
  <c r="JD46" i="21"/>
  <c r="JD148" i="21"/>
  <c r="GX46" i="21"/>
  <c r="GX148" i="21"/>
  <c r="IN46" i="21"/>
  <c r="IN148" i="21"/>
  <c r="KC46" i="21"/>
  <c r="KC148" i="21"/>
  <c r="AG46" i="21"/>
  <c r="AG148" i="21"/>
  <c r="IZ46" i="21"/>
  <c r="IZ148" i="21"/>
  <c r="AT46" i="21"/>
  <c r="AT148" i="21"/>
  <c r="BU46" i="21"/>
  <c r="BU148" i="21"/>
  <c r="IW46" i="21"/>
  <c r="IW148" i="21"/>
  <c r="JY46" i="21"/>
  <c r="JY148" i="21"/>
  <c r="AC46" i="21"/>
  <c r="AC148" i="21"/>
  <c r="CU46" i="21"/>
  <c r="CU148" i="21"/>
  <c r="EK46" i="21"/>
  <c r="EK148" i="21"/>
  <c r="GA46" i="21"/>
  <c r="GA148" i="21"/>
  <c r="EW46" i="21"/>
  <c r="EW148" i="21"/>
  <c r="GM46" i="21"/>
  <c r="GM148" i="21"/>
  <c r="IC46" i="21"/>
  <c r="IC148" i="21"/>
  <c r="IO46" i="21"/>
  <c r="IO148" i="21"/>
  <c r="DD46" i="21"/>
  <c r="DD148" i="21"/>
  <c r="KG46" i="21"/>
  <c r="KG148" i="21"/>
  <c r="GJ46" i="21"/>
  <c r="GJ148" i="21"/>
  <c r="HY46" i="21"/>
  <c r="HY148" i="21"/>
  <c r="JO46" i="21"/>
  <c r="JO148" i="21"/>
  <c r="S46" i="21"/>
  <c r="S148" i="21"/>
  <c r="IL46" i="21"/>
  <c r="IL148" i="21"/>
  <c r="KB46" i="21"/>
  <c r="KB148" i="21"/>
  <c r="AF46" i="21"/>
  <c r="AF148" i="21"/>
  <c r="BG46" i="21"/>
  <c r="BG148" i="21"/>
  <c r="II46" i="21"/>
  <c r="II148" i="21"/>
  <c r="JK46" i="21"/>
  <c r="JK148" i="21"/>
  <c r="CG46" i="21"/>
  <c r="CG148" i="21"/>
  <c r="DW46" i="21"/>
  <c r="DW148" i="21"/>
  <c r="EX46" i="21"/>
  <c r="EX148" i="21"/>
  <c r="EI46" i="21"/>
  <c r="EI148" i="21"/>
  <c r="FY46" i="21"/>
  <c r="FY148" i="21"/>
  <c r="HO46" i="21"/>
  <c r="HO148" i="21"/>
  <c r="IA46" i="21"/>
  <c r="IA148" i="21"/>
  <c r="JS46" i="21"/>
  <c r="JS148" i="21"/>
  <c r="GK46" i="21"/>
  <c r="GK148" i="21"/>
  <c r="AK46" i="21"/>
  <c r="AK148" i="21"/>
  <c r="FU46" i="21"/>
  <c r="FU148" i="21"/>
  <c r="HK46" i="21"/>
  <c r="HK148" i="21"/>
  <c r="JA46" i="21"/>
  <c r="JA148" i="21"/>
  <c r="HX46" i="21"/>
  <c r="HX148" i="21"/>
  <c r="JM46" i="21"/>
  <c r="JM148" i="21"/>
  <c r="Q46" i="21"/>
  <c r="Q148" i="21"/>
  <c r="AS46" i="21"/>
  <c r="AS148" i="21"/>
  <c r="HU46" i="21"/>
  <c r="HU148" i="21"/>
  <c r="IH46" i="21"/>
  <c r="IH148" i="21"/>
  <c r="BS46" i="21"/>
  <c r="BS148" i="21"/>
  <c r="CT46" i="21"/>
  <c r="CT148" i="21"/>
  <c r="EJ46" i="21"/>
  <c r="EJ148" i="21"/>
  <c r="DU46" i="21"/>
  <c r="DU148" i="21"/>
  <c r="FK46" i="21"/>
  <c r="FK148" i="21"/>
  <c r="GL46" i="21"/>
  <c r="GL148" i="21"/>
  <c r="HM46" i="21"/>
  <c r="HM148" i="21"/>
  <c r="W46" i="21"/>
  <c r="W148" i="21"/>
  <c r="HC32" i="21"/>
  <c r="N74" i="21"/>
  <c r="FB32" i="21"/>
  <c r="AS32" i="21"/>
  <c r="BS32" i="21"/>
  <c r="CX32" i="21"/>
  <c r="DJ32" i="21"/>
  <c r="EO32" i="21"/>
  <c r="CU32" i="21"/>
  <c r="BQ32" i="21"/>
  <c r="O46" i="21"/>
  <c r="O56" i="21"/>
  <c r="P56" i="21" s="1"/>
  <c r="Q56" i="21" s="1"/>
  <c r="R56" i="21" s="1"/>
  <c r="S56" i="21" s="1"/>
  <c r="T56" i="21" s="1"/>
  <c r="U56" i="21" s="1"/>
  <c r="V56" i="21" s="1"/>
  <c r="W56" i="21" s="1"/>
  <c r="X56" i="21" s="1"/>
  <c r="Y56" i="21" s="1"/>
  <c r="Z56" i="21" s="1"/>
  <c r="AA56" i="21" s="1"/>
  <c r="AB56" i="21" s="1"/>
  <c r="AC56" i="21" s="1"/>
  <c r="AD56" i="21" s="1"/>
  <c r="AE56" i="21" s="1"/>
  <c r="AF56" i="21" s="1"/>
  <c r="AG56" i="21" s="1"/>
  <c r="AH56" i="21" s="1"/>
  <c r="AI56" i="21" s="1"/>
  <c r="AJ56" i="21" s="1"/>
  <c r="AK56" i="21" s="1"/>
  <c r="AL56" i="21" s="1"/>
  <c r="AM56" i="21" s="1"/>
  <c r="AN56" i="21" s="1"/>
  <c r="AO56" i="21" s="1"/>
  <c r="AP56" i="21" s="1"/>
  <c r="AQ56" i="21" s="1"/>
  <c r="AR56" i="21" s="1"/>
  <c r="AS56" i="21" s="1"/>
  <c r="AT56" i="21" s="1"/>
  <c r="AU56" i="21" s="1"/>
  <c r="AV56" i="21" s="1"/>
  <c r="AW56" i="21" s="1"/>
  <c r="AX56" i="21" s="1"/>
  <c r="AY56" i="21" s="1"/>
  <c r="AZ56" i="21" s="1"/>
  <c r="BA56" i="21" s="1"/>
  <c r="BB56" i="21" s="1"/>
  <c r="BC56" i="21" s="1"/>
  <c r="BD56" i="21" s="1"/>
  <c r="BE56" i="21" s="1"/>
  <c r="BF56" i="21" s="1"/>
  <c r="BG56" i="21" s="1"/>
  <c r="BH56" i="21" s="1"/>
  <c r="BI56" i="21" s="1"/>
  <c r="BJ56" i="21" s="1"/>
  <c r="BK56" i="21" s="1"/>
  <c r="BL56" i="21" s="1"/>
  <c r="BM56" i="21" s="1"/>
  <c r="BN56" i="21" s="1"/>
  <c r="BO56" i="21" s="1"/>
  <c r="BP56" i="21" s="1"/>
  <c r="BQ56" i="21" s="1"/>
  <c r="BR56" i="21" s="1"/>
  <c r="BS56" i="21" s="1"/>
  <c r="BT56" i="21" s="1"/>
  <c r="BU56" i="21" s="1"/>
  <c r="BV56" i="21" s="1"/>
  <c r="BW56" i="21" s="1"/>
  <c r="BX56" i="21" s="1"/>
  <c r="BY56" i="21" s="1"/>
  <c r="BZ56" i="21" s="1"/>
  <c r="CA56" i="21" s="1"/>
  <c r="CB56" i="21" s="1"/>
  <c r="CC56" i="21" s="1"/>
  <c r="CD56" i="21" s="1"/>
  <c r="CE56" i="21" s="1"/>
  <c r="CF56" i="21" s="1"/>
  <c r="CG56" i="21" s="1"/>
  <c r="CH56" i="21" s="1"/>
  <c r="CI56" i="21" s="1"/>
  <c r="CJ56" i="21" s="1"/>
  <c r="CK56" i="21" s="1"/>
  <c r="CL56" i="21" s="1"/>
  <c r="CM56" i="21" s="1"/>
  <c r="CN56" i="21" s="1"/>
  <c r="CO56" i="21" s="1"/>
  <c r="CP56" i="21" s="1"/>
  <c r="CQ56" i="21" s="1"/>
  <c r="CR56" i="21" s="1"/>
  <c r="CS56" i="21" s="1"/>
  <c r="CT56" i="21" s="1"/>
  <c r="CU56" i="21" s="1"/>
  <c r="CV56" i="21" s="1"/>
  <c r="CW56" i="21" s="1"/>
  <c r="CX56" i="21" s="1"/>
  <c r="CY56" i="21" s="1"/>
  <c r="CZ56" i="21" s="1"/>
  <c r="DA56" i="21" s="1"/>
  <c r="DB56" i="21" s="1"/>
  <c r="DC56" i="21" s="1"/>
  <c r="DD56" i="21" s="1"/>
  <c r="DE56" i="21" s="1"/>
  <c r="DF56" i="21" s="1"/>
  <c r="DG56" i="21" s="1"/>
  <c r="DH56" i="21" s="1"/>
  <c r="DI56" i="21" s="1"/>
  <c r="DJ56" i="21" s="1"/>
  <c r="DK56" i="21" s="1"/>
  <c r="DL56" i="21" s="1"/>
  <c r="DM56" i="21" s="1"/>
  <c r="DN56" i="21" s="1"/>
  <c r="DO56" i="21" s="1"/>
  <c r="DP56" i="21" s="1"/>
  <c r="DQ56" i="21" s="1"/>
  <c r="DR56" i="21" s="1"/>
  <c r="DS56" i="21" s="1"/>
  <c r="DT56" i="21" s="1"/>
  <c r="DU56" i="21" s="1"/>
  <c r="DV56" i="21" s="1"/>
  <c r="DW56" i="21" s="1"/>
  <c r="DX56" i="21" s="1"/>
  <c r="DY56" i="21" s="1"/>
  <c r="DZ56" i="21" s="1"/>
  <c r="EA56" i="21" s="1"/>
  <c r="EB56" i="21" s="1"/>
  <c r="EC56" i="21" s="1"/>
  <c r="ED56" i="21" s="1"/>
  <c r="EE56" i="21" s="1"/>
  <c r="EF56" i="21" s="1"/>
  <c r="EG56" i="21" s="1"/>
  <c r="EH56" i="21" s="1"/>
  <c r="EI56" i="21" s="1"/>
  <c r="EJ56" i="21" s="1"/>
  <c r="EK56" i="21" s="1"/>
  <c r="EL56" i="21" s="1"/>
  <c r="EM56" i="21" s="1"/>
  <c r="EN56" i="21" s="1"/>
  <c r="EO56" i="21" s="1"/>
  <c r="EP56" i="21" s="1"/>
  <c r="EQ56" i="21" s="1"/>
  <c r="ER56" i="21" s="1"/>
  <c r="ES56" i="21" s="1"/>
  <c r="ET56" i="21" s="1"/>
  <c r="EU56" i="21" s="1"/>
  <c r="EV56" i="21" s="1"/>
  <c r="EW56" i="21" s="1"/>
  <c r="EX56" i="21" s="1"/>
  <c r="EY56" i="21" s="1"/>
  <c r="EZ56" i="21" s="1"/>
  <c r="FA56" i="21" s="1"/>
  <c r="FB56" i="21" s="1"/>
  <c r="FC56" i="21" s="1"/>
  <c r="FD56" i="21" s="1"/>
  <c r="FE56" i="21" s="1"/>
  <c r="FF56" i="21" s="1"/>
  <c r="FG56" i="21" s="1"/>
  <c r="FH56" i="21" s="1"/>
  <c r="FI56" i="21" s="1"/>
  <c r="FJ56" i="21" s="1"/>
  <c r="FK56" i="21" s="1"/>
  <c r="FL56" i="21" s="1"/>
  <c r="FM56" i="21" s="1"/>
  <c r="FN56" i="21" s="1"/>
  <c r="FO56" i="21" s="1"/>
  <c r="FP56" i="21" s="1"/>
  <c r="FQ56" i="21" s="1"/>
  <c r="FR56" i="21" s="1"/>
  <c r="FS56" i="21" s="1"/>
  <c r="FT56" i="21" s="1"/>
  <c r="FU56" i="21" s="1"/>
  <c r="FV56" i="21" s="1"/>
  <c r="FW56" i="21" s="1"/>
  <c r="FX56" i="21" s="1"/>
  <c r="FY56" i="21" s="1"/>
  <c r="FZ56" i="21" s="1"/>
  <c r="GA56" i="21" s="1"/>
  <c r="GB56" i="21" s="1"/>
  <c r="GC56" i="21" s="1"/>
  <c r="GD56" i="21" s="1"/>
  <c r="GE56" i="21" s="1"/>
  <c r="GF56" i="21" s="1"/>
  <c r="GG56" i="21" s="1"/>
  <c r="GH56" i="21" s="1"/>
  <c r="GI56" i="21" s="1"/>
  <c r="GJ56" i="21" s="1"/>
  <c r="GK56" i="21" s="1"/>
  <c r="GL56" i="21" s="1"/>
  <c r="GM56" i="21" s="1"/>
  <c r="GN56" i="21" s="1"/>
  <c r="GO56" i="21" s="1"/>
  <c r="GP56" i="21" s="1"/>
  <c r="GQ56" i="21" s="1"/>
  <c r="GR56" i="21" s="1"/>
  <c r="GS56" i="21" s="1"/>
  <c r="GT56" i="21" s="1"/>
  <c r="GU56" i="21" s="1"/>
  <c r="GV56" i="21" s="1"/>
  <c r="GW56" i="21" s="1"/>
  <c r="GX56" i="21" s="1"/>
  <c r="GY56" i="21" s="1"/>
  <c r="GZ56" i="21" s="1"/>
  <c r="HA56" i="21" s="1"/>
  <c r="HB56" i="21" s="1"/>
  <c r="HC56" i="21" s="1"/>
  <c r="HD56" i="21" s="1"/>
  <c r="HE56" i="21" s="1"/>
  <c r="HF56" i="21" s="1"/>
  <c r="HG56" i="21" s="1"/>
  <c r="HH56" i="21" s="1"/>
  <c r="HI56" i="21" s="1"/>
  <c r="HJ56" i="21" s="1"/>
  <c r="HK56" i="21" s="1"/>
  <c r="HL56" i="21" s="1"/>
  <c r="HM56" i="21" s="1"/>
  <c r="HN56" i="21" s="1"/>
  <c r="HO56" i="21" s="1"/>
  <c r="HP56" i="21" s="1"/>
  <c r="HQ56" i="21" s="1"/>
  <c r="HR56" i="21" s="1"/>
  <c r="HS56" i="21" s="1"/>
  <c r="HT56" i="21" s="1"/>
  <c r="HU56" i="21" s="1"/>
  <c r="HV56" i="21" s="1"/>
  <c r="HW56" i="21" s="1"/>
  <c r="HX56" i="21" s="1"/>
  <c r="HY56" i="21" s="1"/>
  <c r="HZ56" i="21" s="1"/>
  <c r="IA56" i="21" s="1"/>
  <c r="IB56" i="21" s="1"/>
  <c r="IC56" i="21" s="1"/>
  <c r="ID56" i="21" s="1"/>
  <c r="IE56" i="21" s="1"/>
  <c r="IF56" i="21" s="1"/>
  <c r="IG56" i="21" s="1"/>
  <c r="IH56" i="21" s="1"/>
  <c r="II56" i="21" s="1"/>
  <c r="IJ56" i="21" s="1"/>
  <c r="IK56" i="21" s="1"/>
  <c r="IL56" i="21" s="1"/>
  <c r="IM56" i="21" s="1"/>
  <c r="IN56" i="21" s="1"/>
  <c r="IO56" i="21" s="1"/>
  <c r="IP56" i="21" s="1"/>
  <c r="IQ56" i="21" s="1"/>
  <c r="IR56" i="21" s="1"/>
  <c r="IS56" i="21" s="1"/>
  <c r="IT56" i="21" s="1"/>
  <c r="IU56" i="21" s="1"/>
  <c r="IV56" i="21" s="1"/>
  <c r="IW56" i="21" s="1"/>
  <c r="IX56" i="21" s="1"/>
  <c r="IY56" i="21" s="1"/>
  <c r="IZ56" i="21" s="1"/>
  <c r="JA56" i="21" s="1"/>
  <c r="JB56" i="21" s="1"/>
  <c r="JC56" i="21" s="1"/>
  <c r="JD56" i="21" s="1"/>
  <c r="JE56" i="21" s="1"/>
  <c r="JF56" i="21" s="1"/>
  <c r="JG56" i="21" s="1"/>
  <c r="JH56" i="21" s="1"/>
  <c r="JI56" i="21" s="1"/>
  <c r="JJ56" i="21" s="1"/>
  <c r="JK56" i="21" s="1"/>
  <c r="JL56" i="21" s="1"/>
  <c r="JM56" i="21" s="1"/>
  <c r="JN56" i="21" s="1"/>
  <c r="JO56" i="21" s="1"/>
  <c r="JP56" i="21" s="1"/>
  <c r="JQ56" i="21" s="1"/>
  <c r="JR56" i="21" s="1"/>
  <c r="JS56" i="21" s="1"/>
  <c r="JT56" i="21" s="1"/>
  <c r="JU56" i="21" s="1"/>
  <c r="JV56" i="21" s="1"/>
  <c r="JW56" i="21" s="1"/>
  <c r="JX56" i="21" s="1"/>
  <c r="JY56" i="21" s="1"/>
  <c r="JZ56" i="21" s="1"/>
  <c r="KA56" i="21" s="1"/>
  <c r="KB56" i="21" s="1"/>
  <c r="KC56" i="21" s="1"/>
  <c r="KD56" i="21" s="1"/>
  <c r="KE56" i="21" s="1"/>
  <c r="KF56" i="21" s="1"/>
  <c r="KG56" i="21" s="1"/>
  <c r="KH56" i="21" s="1"/>
  <c r="KI56" i="21" s="1"/>
  <c r="JA32" i="21"/>
  <c r="DE32" i="21"/>
  <c r="II32" i="21"/>
  <c r="AD32" i="21"/>
  <c r="AZ32" i="21"/>
  <c r="JN32" i="21"/>
  <c r="HB32" i="21"/>
  <c r="FX32" i="21"/>
  <c r="ET32" i="21"/>
  <c r="BO32" i="21"/>
  <c r="GO32" i="21"/>
  <c r="DX32" i="21"/>
  <c r="DG32" i="21"/>
  <c r="BA32" i="21"/>
  <c r="T32" i="21"/>
  <c r="KC32" i="21"/>
  <c r="CN32" i="21"/>
  <c r="FS32" i="21"/>
  <c r="CP32" i="21"/>
  <c r="G125" i="21"/>
  <c r="CG32" i="21"/>
  <c r="GJ32" i="21"/>
  <c r="P32" i="21"/>
  <c r="AK86" i="21"/>
  <c r="AK116" i="21"/>
  <c r="EI116" i="21"/>
  <c r="EI86" i="21"/>
  <c r="IG116" i="21"/>
  <c r="IG86" i="21"/>
  <c r="BL86" i="21"/>
  <c r="BL116" i="21"/>
  <c r="FJ86" i="21"/>
  <c r="FJ116" i="21"/>
  <c r="JI116" i="21"/>
  <c r="JI86" i="21"/>
  <c r="EX86" i="21"/>
  <c r="EX116" i="21"/>
  <c r="AA116" i="21"/>
  <c r="AA86" i="21"/>
  <c r="DY116" i="21"/>
  <c r="DY86" i="21"/>
  <c r="HX86" i="21"/>
  <c r="HX116" i="21"/>
  <c r="BN86" i="21"/>
  <c r="BN116" i="21"/>
  <c r="HL86" i="21"/>
  <c r="HL116" i="21"/>
  <c r="BB86" i="21"/>
  <c r="BB116" i="21"/>
  <c r="FA86" i="21"/>
  <c r="FA116" i="21"/>
  <c r="IY116" i="21"/>
  <c r="IY86" i="21"/>
  <c r="EB86" i="21"/>
  <c r="EB116" i="21"/>
  <c r="Q116" i="21"/>
  <c r="Q86" i="21"/>
  <c r="DP86" i="21"/>
  <c r="DP116" i="21"/>
  <c r="HN86" i="21"/>
  <c r="HN116" i="21"/>
  <c r="CD86" i="21"/>
  <c r="CD116" i="21"/>
  <c r="IB86" i="21"/>
  <c r="IB116" i="21"/>
  <c r="CR86" i="21"/>
  <c r="CR116" i="21"/>
  <c r="GP86" i="21"/>
  <c r="GP116" i="21"/>
  <c r="T86" i="21"/>
  <c r="T116" i="21"/>
  <c r="GQ116" i="21"/>
  <c r="GQ86" i="21"/>
  <c r="AT86" i="21"/>
  <c r="AT116" i="21"/>
  <c r="ES86" i="21"/>
  <c r="ES116" i="21"/>
  <c r="IQ116" i="21"/>
  <c r="IQ86" i="21"/>
  <c r="DT86" i="21"/>
  <c r="DT116" i="21"/>
  <c r="KC116" i="21"/>
  <c r="KC86" i="21"/>
  <c r="DH86" i="21"/>
  <c r="DH116" i="21"/>
  <c r="HF86" i="21"/>
  <c r="HF116" i="21"/>
  <c r="CI116" i="21"/>
  <c r="CI86" i="21"/>
  <c r="JF86" i="21"/>
  <c r="JF116" i="21"/>
  <c r="JT86" i="21"/>
  <c r="JT116" i="21"/>
  <c r="AX86" i="21"/>
  <c r="AX116" i="21"/>
  <c r="GI116" i="21"/>
  <c r="GI86" i="21"/>
  <c r="AW116" i="21"/>
  <c r="AW86" i="21"/>
  <c r="EV86" i="21"/>
  <c r="EV116" i="21"/>
  <c r="IT86" i="21"/>
  <c r="IT116" i="21"/>
  <c r="BY116" i="21"/>
  <c r="BY86" i="21"/>
  <c r="FW116" i="21"/>
  <c r="FW86" i="21"/>
  <c r="KG116" i="21"/>
  <c r="KG86" i="21"/>
  <c r="FK116" i="21"/>
  <c r="FK86" i="21"/>
  <c r="AN86" i="21"/>
  <c r="AN116" i="21"/>
  <c r="EL86" i="21"/>
  <c r="EL116" i="21"/>
  <c r="IK116" i="21"/>
  <c r="IK86" i="21"/>
  <c r="CA116" i="21"/>
  <c r="CA86" i="21"/>
  <c r="IX86" i="21"/>
  <c r="IX116" i="21"/>
  <c r="BO116" i="21"/>
  <c r="BO86" i="21"/>
  <c r="FM116" i="21"/>
  <c r="FM86" i="21"/>
  <c r="JL86" i="21"/>
  <c r="JL116" i="21"/>
  <c r="FN86" i="21"/>
  <c r="FN116" i="21"/>
  <c r="AD86" i="21"/>
  <c r="AD116" i="21"/>
  <c r="EC86" i="21"/>
  <c r="EC116" i="21"/>
  <c r="IA116" i="21"/>
  <c r="IA86" i="21"/>
  <c r="CQ116" i="21"/>
  <c r="CQ86" i="21"/>
  <c r="JZ86" i="21"/>
  <c r="JZ116" i="21"/>
  <c r="DE86" i="21"/>
  <c r="DE116" i="21"/>
  <c r="HC116" i="21"/>
  <c r="HC86" i="21"/>
  <c r="BF86" i="21"/>
  <c r="BF116" i="21"/>
  <c r="HD86" i="21"/>
  <c r="HD116" i="21"/>
  <c r="BG116" i="21"/>
  <c r="BG86" i="21"/>
  <c r="FE116" i="21"/>
  <c r="FE86" i="21"/>
  <c r="JD86" i="21"/>
  <c r="JD116" i="21"/>
  <c r="FF86" i="21"/>
  <c r="FF116" i="21"/>
  <c r="V86" i="21"/>
  <c r="V116" i="21"/>
  <c r="DU116" i="21"/>
  <c r="DU86" i="21"/>
  <c r="HS116" i="21"/>
  <c r="HS86" i="21"/>
  <c r="CV86" i="21"/>
  <c r="CV116" i="21"/>
  <c r="JR86" i="21"/>
  <c r="JR116" i="21"/>
  <c r="BX86" i="21"/>
  <c r="BX116" i="21"/>
  <c r="BJ86" i="21"/>
  <c r="BJ116" i="21"/>
  <c r="FI86" i="21"/>
  <c r="FI116" i="21"/>
  <c r="JG116" i="21"/>
  <c r="JG86" i="21"/>
  <c r="CK116" i="21"/>
  <c r="CK86" i="21"/>
  <c r="GJ86" i="21"/>
  <c r="GJ116" i="21"/>
  <c r="Z86" i="21"/>
  <c r="Z116" i="21"/>
  <c r="FX86" i="21"/>
  <c r="FX116" i="21"/>
  <c r="BA116" i="21"/>
  <c r="BA86" i="21"/>
  <c r="EY116" i="21"/>
  <c r="EY86" i="21"/>
  <c r="IW116" i="21"/>
  <c r="IW86" i="21"/>
  <c r="CN86" i="21"/>
  <c r="CN116" i="21"/>
  <c r="JK116" i="21"/>
  <c r="JK86" i="21"/>
  <c r="CB86" i="21"/>
  <c r="CB116" i="21"/>
  <c r="FZ86" i="21"/>
  <c r="FZ116" i="21"/>
  <c r="JX86" i="21"/>
  <c r="JX116" i="21"/>
  <c r="GA116" i="21"/>
  <c r="GA86" i="21"/>
  <c r="AQ116" i="21"/>
  <c r="AQ86" i="21"/>
  <c r="EO116" i="21"/>
  <c r="EO86" i="21"/>
  <c r="IN86" i="21"/>
  <c r="IN116" i="21"/>
  <c r="DD86" i="21"/>
  <c r="DD116" i="21"/>
  <c r="S116" i="21"/>
  <c r="S86" i="21"/>
  <c r="DQ116" i="21"/>
  <c r="DQ86" i="21"/>
  <c r="HP86" i="21"/>
  <c r="HP116" i="21"/>
  <c r="BS116" i="21"/>
  <c r="BS86" i="21"/>
  <c r="IP86" i="21"/>
  <c r="IP116" i="21"/>
  <c r="BT86" i="21"/>
  <c r="BT116" i="21"/>
  <c r="FR86" i="21"/>
  <c r="FR116" i="21"/>
  <c r="JP86" i="21"/>
  <c r="JP116" i="21"/>
  <c r="FS116" i="21"/>
  <c r="FS86" i="21"/>
  <c r="AI116" i="21"/>
  <c r="AI86" i="21"/>
  <c r="EG116" i="21"/>
  <c r="EG86" i="21"/>
  <c r="IF86" i="21"/>
  <c r="IF116" i="21"/>
  <c r="EH86" i="21"/>
  <c r="EH116" i="21"/>
  <c r="KD86" i="21"/>
  <c r="KD116" i="21"/>
  <c r="DW116" i="21"/>
  <c r="DW86" i="21"/>
  <c r="BW116" i="21"/>
  <c r="BW86" i="21"/>
  <c r="FU116" i="21"/>
  <c r="FU86" i="21"/>
  <c r="JS116" i="21"/>
  <c r="JS86" i="21"/>
  <c r="CX86" i="21"/>
  <c r="CX116" i="21"/>
  <c r="GW116" i="21"/>
  <c r="GW86" i="21"/>
  <c r="AM116" i="21"/>
  <c r="AM86" i="21"/>
  <c r="HJ86" i="21"/>
  <c r="HJ116" i="21"/>
  <c r="BM116" i="21"/>
  <c r="BM86" i="21"/>
  <c r="FL86" i="21"/>
  <c r="FL116" i="21"/>
  <c r="JJ86" i="21"/>
  <c r="JJ116" i="21"/>
  <c r="DZ86" i="21"/>
  <c r="DZ116" i="21"/>
  <c r="JW116" i="21"/>
  <c r="JW86" i="21"/>
  <c r="CO86" i="21"/>
  <c r="CO116" i="21"/>
  <c r="GM116" i="21"/>
  <c r="GM86" i="21"/>
  <c r="AP86" i="21"/>
  <c r="AP116" i="21"/>
  <c r="GN86" i="21"/>
  <c r="GN116" i="21"/>
  <c r="BD86" i="21"/>
  <c r="BD116" i="21"/>
  <c r="FB86" i="21"/>
  <c r="FB116" i="21"/>
  <c r="JA116" i="21"/>
  <c r="JA86" i="21"/>
  <c r="EP86" i="21"/>
  <c r="EP116" i="21"/>
  <c r="AF86" i="21"/>
  <c r="AF116" i="21"/>
  <c r="ED86" i="21"/>
  <c r="ED116" i="21"/>
  <c r="IC116" i="21"/>
  <c r="IC86" i="21"/>
  <c r="CF86" i="21"/>
  <c r="CF116" i="21"/>
  <c r="JC116" i="21"/>
  <c r="JC86" i="21"/>
  <c r="CG86" i="21"/>
  <c r="CG116" i="21"/>
  <c r="GE116" i="21"/>
  <c r="GE86" i="21"/>
  <c r="AH86" i="21"/>
  <c r="AH116" i="21"/>
  <c r="GF86" i="21"/>
  <c r="GF116" i="21"/>
  <c r="AV86" i="21"/>
  <c r="AV116" i="21"/>
  <c r="ET86" i="21"/>
  <c r="ET116" i="21"/>
  <c r="IS116" i="21"/>
  <c r="IS86" i="21"/>
  <c r="EU116" i="21"/>
  <c r="EU86" i="21"/>
  <c r="FV86" i="21"/>
  <c r="FV116" i="21"/>
  <c r="CJ86" i="21"/>
  <c r="CJ116" i="21"/>
  <c r="GH86" i="21"/>
  <c r="GH116" i="21"/>
  <c r="KE116" i="21"/>
  <c r="KE86" i="21"/>
  <c r="DK116" i="21"/>
  <c r="DK86" i="21"/>
  <c r="HI116" i="21"/>
  <c r="HI86" i="21"/>
  <c r="AZ86" i="21"/>
  <c r="AZ116" i="21"/>
  <c r="HW116" i="21"/>
  <c r="HW86" i="21"/>
  <c r="BZ86" i="21"/>
  <c r="BZ116" i="21"/>
  <c r="FY116" i="21"/>
  <c r="FY86" i="21"/>
  <c r="JV86" i="21"/>
  <c r="JV116" i="21"/>
  <c r="EM116" i="21"/>
  <c r="EM86" i="21"/>
  <c r="KI116" i="21"/>
  <c r="KI86" i="21"/>
  <c r="DA116" i="21"/>
  <c r="DA86" i="21"/>
  <c r="GZ86" i="21"/>
  <c r="GZ116" i="21"/>
  <c r="BC116" i="21"/>
  <c r="BC86" i="21"/>
  <c r="HZ86" i="21"/>
  <c r="HZ116" i="21"/>
  <c r="BQ86" i="21"/>
  <c r="BQ116" i="21"/>
  <c r="FO116" i="21"/>
  <c r="FO86" i="21"/>
  <c r="JM116" i="21"/>
  <c r="JM86" i="21"/>
  <c r="FC116" i="21"/>
  <c r="FC86" i="21"/>
  <c r="AS86" i="21"/>
  <c r="AS116" i="21"/>
  <c r="EQ116" i="21"/>
  <c r="EQ86" i="21"/>
  <c r="IO116" i="21"/>
  <c r="IO86" i="21"/>
  <c r="DR86" i="21"/>
  <c r="DR116" i="21"/>
  <c r="JO116" i="21"/>
  <c r="JO86" i="21"/>
  <c r="CS116" i="21"/>
  <c r="CS86" i="21"/>
  <c r="GR86" i="21"/>
  <c r="GR116" i="21"/>
  <c r="AU116" i="21"/>
  <c r="AU86" i="21"/>
  <c r="HR86" i="21"/>
  <c r="HR116" i="21"/>
  <c r="BI116" i="21"/>
  <c r="BI86" i="21"/>
  <c r="FG116" i="21"/>
  <c r="FG86" i="21"/>
  <c r="JE116" i="21"/>
  <c r="JE86" i="21"/>
  <c r="FH86" i="21"/>
  <c r="FH116" i="21"/>
  <c r="KF86" i="21"/>
  <c r="KF116" i="21"/>
  <c r="JH86" i="21"/>
  <c r="JH116" i="21"/>
  <c r="IH86" i="21"/>
  <c r="IH116" i="21"/>
  <c r="GV86" i="21"/>
  <c r="GV116" i="21"/>
  <c r="CW86" i="21"/>
  <c r="CW116" i="21"/>
  <c r="GU116" i="21"/>
  <c r="GU86" i="21"/>
  <c r="Y116" i="21"/>
  <c r="Y86" i="21"/>
  <c r="DX86" i="21"/>
  <c r="DX116" i="21"/>
  <c r="HV86" i="21"/>
  <c r="HV116" i="21"/>
  <c r="CL86" i="21"/>
  <c r="CL116" i="21"/>
  <c r="IJ86" i="21"/>
  <c r="IJ116" i="21"/>
  <c r="CM116" i="21"/>
  <c r="CM86" i="21"/>
  <c r="GK116" i="21"/>
  <c r="GK86" i="21"/>
  <c r="KH86" i="21"/>
  <c r="KH116" i="21"/>
  <c r="EZ86" i="21"/>
  <c r="EZ116" i="21"/>
  <c r="P86" i="21"/>
  <c r="P116" i="21"/>
  <c r="DN86" i="21"/>
  <c r="DN116" i="21"/>
  <c r="HM116" i="21"/>
  <c r="HM86" i="21"/>
  <c r="BP86" i="21"/>
  <c r="BP116" i="21"/>
  <c r="IM116" i="21"/>
  <c r="IM86" i="21"/>
  <c r="CC116" i="21"/>
  <c r="CC86" i="21"/>
  <c r="GB86" i="21"/>
  <c r="GB116" i="21"/>
  <c r="R86" i="21"/>
  <c r="R116" i="21"/>
  <c r="FP86" i="21"/>
  <c r="FP116" i="21"/>
  <c r="BE116" i="21"/>
  <c r="BE86" i="21"/>
  <c r="FD86" i="21"/>
  <c r="FD116" i="21"/>
  <c r="JB86" i="21"/>
  <c r="JB116" i="21"/>
  <c r="EE116" i="21"/>
  <c r="EE86" i="21"/>
  <c r="KB86" i="21"/>
  <c r="KB116" i="21"/>
  <c r="DF86" i="21"/>
  <c r="DF116" i="21"/>
  <c r="HE116" i="21"/>
  <c r="HE86" i="21"/>
  <c r="BH86" i="21"/>
  <c r="BH116" i="21"/>
  <c r="IE116" i="21"/>
  <c r="IE86" i="21"/>
  <c r="BU116" i="21"/>
  <c r="BU86" i="21"/>
  <c r="FT86" i="21"/>
  <c r="FT116" i="21"/>
  <c r="W116" i="21"/>
  <c r="W86" i="21"/>
  <c r="GT86" i="21"/>
  <c r="GT116" i="21"/>
  <c r="BK116" i="21"/>
  <c r="BK86" i="21"/>
  <c r="DI116" i="21"/>
  <c r="DI86" i="21"/>
  <c r="HH86" i="21"/>
  <c r="HH116" i="21"/>
  <c r="AL86" i="21"/>
  <c r="AL116" i="21"/>
  <c r="EK116" i="21"/>
  <c r="EK86" i="21"/>
  <c r="II116" i="21"/>
  <c r="II86" i="21"/>
  <c r="CY116" i="21"/>
  <c r="CY86" i="21"/>
  <c r="JU116" i="21"/>
  <c r="JU86" i="21"/>
  <c r="CZ86" i="21"/>
  <c r="CZ116" i="21"/>
  <c r="GX86" i="21"/>
  <c r="GX116" i="21"/>
  <c r="O116" i="21"/>
  <c r="O86" i="21"/>
  <c r="GL86" i="21"/>
  <c r="GL116" i="21"/>
  <c r="AC86" i="21"/>
  <c r="AC116" i="21"/>
  <c r="EA116" i="21"/>
  <c r="EA86" i="21"/>
  <c r="HY116" i="21"/>
  <c r="HY86" i="21"/>
  <c r="DB86" i="21"/>
  <c r="DB116" i="21"/>
  <c r="IZ86" i="21"/>
  <c r="IZ116" i="21"/>
  <c r="CP86" i="21"/>
  <c r="CP116" i="21"/>
  <c r="GO116" i="21"/>
  <c r="GO86" i="21"/>
  <c r="AE116" i="21"/>
  <c r="AE86" i="21"/>
  <c r="HB86" i="21"/>
  <c r="HB116" i="21"/>
  <c r="BR86" i="21"/>
  <c r="BR116" i="21"/>
  <c r="FQ86" i="21"/>
  <c r="FQ116" i="21"/>
  <c r="JN86" i="21"/>
  <c r="JN116" i="21"/>
  <c r="ER86" i="21"/>
  <c r="ER116" i="21"/>
  <c r="U86" i="21"/>
  <c r="U116" i="21"/>
  <c r="DS116" i="21"/>
  <c r="DS86" i="21"/>
  <c r="HQ116" i="21"/>
  <c r="HQ86" i="21"/>
  <c r="CT86" i="21"/>
  <c r="CT116" i="21"/>
  <c r="IR86" i="21"/>
  <c r="IR116" i="21"/>
  <c r="CH86" i="21"/>
  <c r="CH116" i="21"/>
  <c r="GG116" i="21"/>
  <c r="GG86" i="21"/>
  <c r="AJ86" i="21"/>
  <c r="AJ116" i="21"/>
  <c r="HG116" i="21"/>
  <c r="HG86" i="21"/>
  <c r="EJ86" i="21"/>
  <c r="EJ116" i="21"/>
  <c r="X86" i="21"/>
  <c r="X116" i="21"/>
  <c r="DV86" i="21"/>
  <c r="DV116" i="21"/>
  <c r="HU116" i="21"/>
  <c r="HU86" i="21"/>
  <c r="AY116" i="21"/>
  <c r="AY86" i="21"/>
  <c r="EW116" i="21"/>
  <c r="EW86" i="21"/>
  <c r="IV86" i="21"/>
  <c r="IV116" i="21"/>
  <c r="DL86" i="21"/>
  <c r="DL116" i="21"/>
  <c r="N116" i="21"/>
  <c r="N86" i="21"/>
  <c r="DM116" i="21"/>
  <c r="DM86" i="21"/>
  <c r="HK116" i="21"/>
  <c r="HK86" i="21"/>
  <c r="AB86" i="21"/>
  <c r="AB116" i="21"/>
  <c r="GY116" i="21"/>
  <c r="GY86" i="21"/>
  <c r="AO116" i="21"/>
  <c r="AO86" i="21"/>
  <c r="EN86" i="21"/>
  <c r="EN116" i="21"/>
  <c r="IL86" i="21"/>
  <c r="IL116" i="21"/>
  <c r="DO116" i="21"/>
  <c r="DO86" i="21"/>
  <c r="JY116" i="21"/>
  <c r="JY86" i="21"/>
  <c r="DC116" i="21"/>
  <c r="DC86" i="21"/>
  <c r="HA116" i="21"/>
  <c r="HA86" i="21"/>
  <c r="AR86" i="21"/>
  <c r="AR116" i="21"/>
  <c r="HO116" i="21"/>
  <c r="HO86" i="21"/>
  <c r="CE116" i="21"/>
  <c r="CE86" i="21"/>
  <c r="GC116" i="21"/>
  <c r="GC86" i="21"/>
  <c r="KA116" i="21"/>
  <c r="KA86" i="21"/>
  <c r="GD86" i="21"/>
  <c r="GD116" i="21"/>
  <c r="AG116" i="21"/>
  <c r="AG86" i="21"/>
  <c r="EF86" i="21"/>
  <c r="EF116" i="21"/>
  <c r="ID86" i="21"/>
  <c r="ID116" i="21"/>
  <c r="DG116" i="21"/>
  <c r="DG86" i="21"/>
  <c r="JQ116" i="21"/>
  <c r="JQ86" i="21"/>
  <c r="CU116" i="21"/>
  <c r="CU86" i="21"/>
  <c r="GS116" i="21"/>
  <c r="GS86" i="21"/>
  <c r="BV86" i="21"/>
  <c r="BV116" i="21"/>
  <c r="HT86" i="21"/>
  <c r="HT116" i="21"/>
  <c r="IU116" i="21"/>
  <c r="IU86" i="21"/>
  <c r="ES32" i="21"/>
  <c r="N87" i="21"/>
  <c r="G104" i="21"/>
  <c r="IX32" i="21"/>
  <c r="IF32" i="21"/>
  <c r="JO32" i="21"/>
  <c r="KG32" i="21"/>
  <c r="CV32" i="21"/>
  <c r="BJ32" i="21"/>
  <c r="FR32" i="21"/>
  <c r="HW32" i="21"/>
  <c r="EP32" i="21"/>
  <c r="FU32" i="21"/>
  <c r="N77" i="21"/>
  <c r="N75" i="21"/>
  <c r="N82" i="21" s="1"/>
  <c r="JG32" i="21"/>
  <c r="N76" i="21"/>
  <c r="N81" i="21" s="1"/>
  <c r="N137" i="21" s="1"/>
  <c r="AT32" i="21"/>
  <c r="IY32" i="21"/>
  <c r="DO32" i="21"/>
  <c r="BP32" i="21"/>
  <c r="DZ32" i="21"/>
  <c r="FE32" i="21"/>
  <c r="JQ32" i="21"/>
  <c r="GZ32" i="21"/>
  <c r="N106" i="21"/>
  <c r="N103" i="21"/>
  <c r="N117" i="21" s="1"/>
  <c r="N104" i="21"/>
  <c r="N112" i="21" s="1"/>
  <c r="N102" i="21"/>
  <c r="HM32" i="21"/>
  <c r="IP32" i="21"/>
  <c r="AM32" i="21"/>
  <c r="Y32" i="21"/>
  <c r="IJ32" i="21"/>
  <c r="HI32" i="21"/>
  <c r="FK32" i="21"/>
  <c r="W32" i="21"/>
  <c r="HD32" i="21"/>
  <c r="JS32" i="21"/>
  <c r="JC32" i="21"/>
  <c r="KH32" i="21"/>
  <c r="AL32" i="21"/>
  <c r="S32" i="21"/>
  <c r="GN32" i="21"/>
  <c r="DL32" i="21"/>
  <c r="KE32" i="21"/>
  <c r="FT32" i="21"/>
  <c r="AH32" i="21"/>
  <c r="ED32" i="21"/>
  <c r="AY32" i="21"/>
  <c r="AK32" i="21"/>
  <c r="JM32" i="21"/>
  <c r="DV32" i="21"/>
  <c r="GL32" i="21"/>
  <c r="CO32" i="21"/>
  <c r="H74" i="9"/>
  <c r="HF32" i="21"/>
  <c r="DT32" i="21"/>
  <c r="FH32" i="21"/>
  <c r="EJ32" i="21"/>
  <c r="GG32" i="21"/>
  <c r="GS32" i="21"/>
  <c r="GT32" i="21"/>
  <c r="HZ32" i="21"/>
  <c r="KA32" i="21"/>
  <c r="CZ32" i="21"/>
  <c r="EF32" i="21"/>
  <c r="AR32" i="21"/>
  <c r="JB32" i="21"/>
  <c r="GA32" i="21"/>
  <c r="DH32" i="21"/>
  <c r="CQ32" i="21"/>
  <c r="CH32" i="21"/>
  <c r="HU32" i="21"/>
  <c r="V32" i="21"/>
  <c r="ER32" i="21"/>
  <c r="FY32" i="21"/>
  <c r="BM32" i="21"/>
  <c r="FD32" i="21"/>
  <c r="AJ32" i="21"/>
  <c r="IK32" i="21"/>
  <c r="BZ32" i="21"/>
  <c r="N32" i="21"/>
  <c r="IL32" i="21"/>
  <c r="HV32" i="21"/>
  <c r="FC32" i="21"/>
  <c r="FQ32" i="21"/>
  <c r="R32" i="21"/>
  <c r="DN32" i="21"/>
  <c r="CR32" i="21"/>
  <c r="BK32" i="21"/>
  <c r="EL32" i="21"/>
  <c r="DP32" i="21"/>
  <c r="CY32" i="21"/>
  <c r="DA32" i="21"/>
  <c r="HT32" i="21"/>
  <c r="GP32" i="21"/>
  <c r="KD32" i="21"/>
  <c r="EG32" i="21"/>
  <c r="CI32" i="21"/>
  <c r="AG32" i="21"/>
  <c r="DK32" i="21"/>
  <c r="GE32" i="21"/>
  <c r="HH32" i="21"/>
  <c r="U32" i="21"/>
  <c r="HR32" i="21"/>
  <c r="EN32" i="21"/>
  <c r="CB32" i="21"/>
  <c r="DU32" i="21"/>
  <c r="AB32" i="21"/>
  <c r="IZ32" i="21"/>
  <c r="AV32" i="21"/>
  <c r="AU32" i="21"/>
  <c r="HQ32" i="21"/>
  <c r="AF32" i="21"/>
  <c r="DD32" i="21"/>
  <c r="FV32" i="21"/>
  <c r="HA32" i="21"/>
  <c r="O32" i="21"/>
  <c r="Z32" i="21"/>
  <c r="JZ32" i="21"/>
  <c r="IT32" i="21"/>
  <c r="BT32" i="21"/>
  <c r="IM32" i="21"/>
  <c r="HP32" i="21"/>
  <c r="JH32" i="21"/>
  <c r="KF32" i="21"/>
  <c r="EC32" i="21"/>
  <c r="IC32" i="21"/>
  <c r="EQ32" i="21"/>
  <c r="AI32" i="21"/>
  <c r="EB32" i="21"/>
  <c r="CW32" i="21"/>
  <c r="GH32" i="21"/>
  <c r="DW32" i="21"/>
  <c r="FA32" i="21"/>
  <c r="DF32" i="21"/>
  <c r="GD32" i="21"/>
  <c r="IG32" i="21"/>
  <c r="BF32" i="21"/>
  <c r="JR32" i="21"/>
  <c r="FF32" i="21"/>
  <c r="GK32" i="21"/>
  <c r="BI32" i="21"/>
  <c r="IV32" i="21"/>
  <c r="EI32" i="21"/>
  <c r="FG32" i="21"/>
  <c r="IW32" i="21"/>
  <c r="BY32" i="21"/>
  <c r="HE32" i="21"/>
  <c r="JJ32" i="21"/>
  <c r="AC32" i="21"/>
  <c r="EX32" i="21"/>
  <c r="FI32" i="21"/>
  <c r="JI32" i="21"/>
  <c r="CT32" i="21"/>
  <c r="BE32" i="21"/>
  <c r="IO32" i="21"/>
  <c r="CJ32" i="21"/>
  <c r="AP32" i="21"/>
  <c r="HL32" i="21"/>
  <c r="EW32" i="21"/>
  <c r="Q32" i="21"/>
  <c r="AA32" i="21"/>
  <c r="BL32" i="21"/>
  <c r="BB32" i="21"/>
  <c r="AE32" i="21"/>
  <c r="BR32" i="21"/>
  <c r="JP32" i="21"/>
  <c r="JY32" i="21"/>
  <c r="GQ32" i="21"/>
  <c r="DY32" i="21"/>
  <c r="IS32" i="21"/>
  <c r="DC32" i="21"/>
  <c r="HN32" i="21"/>
  <c r="DM32" i="21"/>
  <c r="HS32" i="21"/>
  <c r="EY32" i="21"/>
  <c r="IA32" i="21"/>
  <c r="CM32" i="21"/>
  <c r="EZ32" i="21"/>
  <c r="EA32" i="21"/>
  <c r="CE32" i="21"/>
  <c r="DG26" i="21"/>
  <c r="DG33" i="21" s="1"/>
  <c r="JJ26" i="21"/>
  <c r="JJ33" i="21" s="1"/>
  <c r="CS26" i="21"/>
  <c r="CS33" i="21" s="1"/>
  <c r="CS34" i="21" s="1"/>
  <c r="DE26" i="21"/>
  <c r="DE33" i="21" s="1"/>
  <c r="GF26" i="21"/>
  <c r="GF33" i="21" s="1"/>
  <c r="JG26" i="21"/>
  <c r="JG33" i="21" s="1"/>
  <c r="BV26" i="21"/>
  <c r="BV33" i="21" s="1"/>
  <c r="EG26" i="21"/>
  <c r="EG33" i="21" s="1"/>
  <c r="HH26" i="21"/>
  <c r="HH33" i="21" s="1"/>
  <c r="W26" i="21"/>
  <c r="W33" i="21" s="1"/>
  <c r="CX26" i="21"/>
  <c r="CX33" i="21" s="1"/>
  <c r="FI26" i="21"/>
  <c r="FI33" i="21" s="1"/>
  <c r="IJ26" i="21"/>
  <c r="IJ33" i="21" s="1"/>
  <c r="AY26" i="21"/>
  <c r="AY33" i="21" s="1"/>
  <c r="EP26" i="21"/>
  <c r="EP33" i="21" s="1"/>
  <c r="IG26" i="21"/>
  <c r="IG33" i="21" s="1"/>
  <c r="GZ26" i="21"/>
  <c r="GZ33" i="21" s="1"/>
  <c r="JT32" i="21"/>
  <c r="BX32" i="21"/>
  <c r="CQ26" i="21"/>
  <c r="CQ33" i="21" s="1"/>
  <c r="ID26" i="21"/>
  <c r="ID33" i="21" s="1"/>
  <c r="ID34" i="21" s="1"/>
  <c r="DH26" i="21"/>
  <c r="DH33" i="21" s="1"/>
  <c r="CO26" i="21"/>
  <c r="CO33" i="21" s="1"/>
  <c r="FP26" i="21"/>
  <c r="FP33" i="21" s="1"/>
  <c r="IQ26" i="21"/>
  <c r="IQ33" i="21" s="1"/>
  <c r="BF26" i="21"/>
  <c r="BF33" i="21" s="1"/>
  <c r="DQ26" i="21"/>
  <c r="DQ33" i="21" s="1"/>
  <c r="DQ34" i="21" s="1"/>
  <c r="GR26" i="21"/>
  <c r="GR33" i="21" s="1"/>
  <c r="KI26" i="21"/>
  <c r="KI33" i="21" s="1"/>
  <c r="CH26" i="21"/>
  <c r="CH33" i="21" s="1"/>
  <c r="ES26" i="21"/>
  <c r="ES33" i="21" s="1"/>
  <c r="HT26" i="21"/>
  <c r="HT33" i="21" s="1"/>
  <c r="AI26" i="21"/>
  <c r="AI33" i="21" s="1"/>
  <c r="DZ26" i="21"/>
  <c r="DZ33" i="21" s="1"/>
  <c r="HA26" i="21"/>
  <c r="HA33" i="21" s="1"/>
  <c r="GJ26" i="21"/>
  <c r="GJ33" i="21" s="1"/>
  <c r="GJ34" i="21" s="1"/>
  <c r="EK32" i="21"/>
  <c r="BU32" i="21"/>
  <c r="HK32" i="21"/>
  <c r="BV32" i="21"/>
  <c r="DB32" i="21"/>
  <c r="BH32" i="21"/>
  <c r="BW32" i="21"/>
  <c r="CA26" i="21"/>
  <c r="CA33" i="21" s="1"/>
  <c r="CA34" i="21" s="1"/>
  <c r="HN26" i="21"/>
  <c r="HN33" i="21" s="1"/>
  <c r="DV26" i="21"/>
  <c r="DV33" i="21" s="1"/>
  <c r="BY26" i="21"/>
  <c r="BY33" i="21" s="1"/>
  <c r="EZ26" i="21"/>
  <c r="EZ33" i="21" s="1"/>
  <c r="IA26" i="21"/>
  <c r="IA33" i="21" s="1"/>
  <c r="AP26" i="21"/>
  <c r="AP33" i="21" s="1"/>
  <c r="DA26" i="21"/>
  <c r="DA33" i="21" s="1"/>
  <c r="GB26" i="21"/>
  <c r="GB33" i="21" s="1"/>
  <c r="JS26" i="21"/>
  <c r="JS33" i="21" s="1"/>
  <c r="BR26" i="21"/>
  <c r="BR33" i="21" s="1"/>
  <c r="EC26" i="21"/>
  <c r="EC33" i="21" s="1"/>
  <c r="HD26" i="21"/>
  <c r="HD33" i="21" s="1"/>
  <c r="S26" i="21"/>
  <c r="S33" i="21" s="1"/>
  <c r="DJ26" i="21"/>
  <c r="DJ33" i="21" s="1"/>
  <c r="GK26" i="21"/>
  <c r="GK33" i="21" s="1"/>
  <c r="FT26" i="21"/>
  <c r="FT33" i="21" s="1"/>
  <c r="JU32" i="21"/>
  <c r="JE32" i="21"/>
  <c r="AO32" i="21"/>
  <c r="BK26" i="21"/>
  <c r="BK33" i="21" s="1"/>
  <c r="GX26" i="21"/>
  <c r="GX33" i="21" s="1"/>
  <c r="GX34" i="21" s="1"/>
  <c r="EJ26" i="21"/>
  <c r="EJ33" i="21" s="1"/>
  <c r="BI26" i="21"/>
  <c r="BI33" i="21" s="1"/>
  <c r="DT26" i="21"/>
  <c r="DT33" i="21" s="1"/>
  <c r="HK26" i="21"/>
  <c r="HK33" i="21" s="1"/>
  <c r="CK26" i="21"/>
  <c r="CK33" i="21" s="1"/>
  <c r="FL26" i="21"/>
  <c r="FL33" i="21" s="1"/>
  <c r="JC26" i="21"/>
  <c r="JC33" i="21" s="1"/>
  <c r="BB26" i="21"/>
  <c r="BB33" i="21" s="1"/>
  <c r="DM26" i="21"/>
  <c r="DM33" i="21" s="1"/>
  <c r="GN26" i="21"/>
  <c r="GN33" i="21" s="1"/>
  <c r="KE26" i="21"/>
  <c r="KE33" i="21" s="1"/>
  <c r="CT26" i="21"/>
  <c r="CT33" i="21" s="1"/>
  <c r="FU26" i="21"/>
  <c r="FU33" i="21" s="1"/>
  <c r="FD26" i="21"/>
  <c r="FD33" i="21" s="1"/>
  <c r="FP32" i="21"/>
  <c r="HJ32" i="21"/>
  <c r="AN32" i="21"/>
  <c r="JF32" i="21"/>
  <c r="AU26" i="21"/>
  <c r="AU33" i="21" s="1"/>
  <c r="GH26" i="21"/>
  <c r="GH33" i="21" s="1"/>
  <c r="EX26" i="21"/>
  <c r="EX33" i="21" s="1"/>
  <c r="AS26" i="21"/>
  <c r="AS33" i="21" s="1"/>
  <c r="DD26" i="21"/>
  <c r="DD33" i="21" s="1"/>
  <c r="GU26" i="21"/>
  <c r="GU33" i="21" s="1"/>
  <c r="BU26" i="21"/>
  <c r="BU33" i="21" s="1"/>
  <c r="EV26" i="21"/>
  <c r="EV33" i="21" s="1"/>
  <c r="IM26" i="21"/>
  <c r="IM33" i="21" s="1"/>
  <c r="KH26" i="21"/>
  <c r="KH33" i="21" s="1"/>
  <c r="AL26" i="21"/>
  <c r="AL33" i="21" s="1"/>
  <c r="CW26" i="21"/>
  <c r="CW33" i="21" s="1"/>
  <c r="FX26" i="21"/>
  <c r="FX33" i="21" s="1"/>
  <c r="JO26" i="21"/>
  <c r="JO33" i="21" s="1"/>
  <c r="CD26" i="21"/>
  <c r="CD33" i="21" s="1"/>
  <c r="CD34" i="21" s="1"/>
  <c r="FE26" i="21"/>
  <c r="FE33" i="21" s="1"/>
  <c r="EN26" i="21"/>
  <c r="EN33" i="21" s="1"/>
  <c r="JD32" i="21"/>
  <c r="KA26" i="21"/>
  <c r="KA33" i="21" s="1"/>
  <c r="AE26" i="21"/>
  <c r="AE33" i="21" s="1"/>
  <c r="FR26" i="21"/>
  <c r="FR33" i="21" s="1"/>
  <c r="GA26" i="21"/>
  <c r="GA33" i="21" s="1"/>
  <c r="JY26" i="21"/>
  <c r="JY33" i="21" s="1"/>
  <c r="AC26" i="21"/>
  <c r="AC33" i="21" s="1"/>
  <c r="CN26" i="21"/>
  <c r="CN33" i="21" s="1"/>
  <c r="GE26" i="21"/>
  <c r="GE33" i="21" s="1"/>
  <c r="JF26" i="21"/>
  <c r="JF33" i="21" s="1"/>
  <c r="BE26" i="21"/>
  <c r="BE33" i="21" s="1"/>
  <c r="EF26" i="21"/>
  <c r="EF33" i="21" s="1"/>
  <c r="HW26" i="21"/>
  <c r="HW33" i="21" s="1"/>
  <c r="HW34" i="21" s="1"/>
  <c r="JR26" i="21"/>
  <c r="JR33" i="21" s="1"/>
  <c r="V26" i="21"/>
  <c r="V33" i="21" s="1"/>
  <c r="CG26" i="21"/>
  <c r="CG33" i="21" s="1"/>
  <c r="CG34" i="21" s="1"/>
  <c r="FH26" i="21"/>
  <c r="FH33" i="21" s="1"/>
  <c r="IY26" i="21"/>
  <c r="IY33" i="21" s="1"/>
  <c r="IY34" i="21" s="1"/>
  <c r="BN26" i="21"/>
  <c r="BN33" i="21" s="1"/>
  <c r="BN34" i="21" s="1"/>
  <c r="EO26" i="21"/>
  <c r="EO33" i="21" s="1"/>
  <c r="EO34" i="21" s="1"/>
  <c r="DX26" i="21"/>
  <c r="DX33" i="21" s="1"/>
  <c r="DX34" i="21" s="1"/>
  <c r="JK32" i="21"/>
  <c r="CL32" i="21"/>
  <c r="GB32" i="21"/>
  <c r="X32" i="21"/>
  <c r="JK26" i="21"/>
  <c r="JK33" i="21" s="1"/>
  <c r="O26" i="21"/>
  <c r="O33" i="21" s="1"/>
  <c r="FB26" i="21"/>
  <c r="FB33" i="21" s="1"/>
  <c r="FB34" i="21" s="1"/>
  <c r="GO26" i="21"/>
  <c r="GO33" i="21" s="1"/>
  <c r="JI26" i="21"/>
  <c r="JI33" i="21" s="1"/>
  <c r="BX26" i="21"/>
  <c r="BX33" i="21" s="1"/>
  <c r="FO26" i="21"/>
  <c r="FO33" i="21" s="1"/>
  <c r="IP26" i="21"/>
  <c r="IP33" i="21" s="1"/>
  <c r="AO26" i="21"/>
  <c r="AO33" i="21" s="1"/>
  <c r="DP26" i="21"/>
  <c r="DP33" i="21" s="1"/>
  <c r="HG26" i="21"/>
  <c r="HG33" i="21" s="1"/>
  <c r="HG34" i="21" s="1"/>
  <c r="JB26" i="21"/>
  <c r="JB33" i="21" s="1"/>
  <c r="BA26" i="21"/>
  <c r="BA33" i="21" s="1"/>
  <c r="BA34" i="21" s="1"/>
  <c r="ER26" i="21"/>
  <c r="ER33" i="21" s="1"/>
  <c r="ER34" i="21" s="1"/>
  <c r="II26" i="21"/>
  <c r="II33" i="21" s="1"/>
  <c r="AX26" i="21"/>
  <c r="AX33" i="21" s="1"/>
  <c r="AX34" i="21" s="1"/>
  <c r="DY26" i="21"/>
  <c r="DY33" i="21" s="1"/>
  <c r="CR26" i="21"/>
  <c r="CR33" i="21" s="1"/>
  <c r="IU32" i="21"/>
  <c r="HY32" i="21"/>
  <c r="BG32" i="21"/>
  <c r="IN32" i="21"/>
  <c r="IU26" i="21"/>
  <c r="IU33" i="21" s="1"/>
  <c r="EL26" i="21"/>
  <c r="EL33" i="21" s="1"/>
  <c r="HC26" i="21"/>
  <c r="HC33" i="21" s="1"/>
  <c r="HC34" i="21" s="1"/>
  <c r="IS26" i="21"/>
  <c r="IS33" i="21" s="1"/>
  <c r="BH26" i="21"/>
  <c r="BH33" i="21" s="1"/>
  <c r="EY26" i="21"/>
  <c r="EY33" i="21" s="1"/>
  <c r="HZ26" i="21"/>
  <c r="HZ33" i="21" s="1"/>
  <c r="JU26" i="21"/>
  <c r="JU33" i="21" s="1"/>
  <c r="Y26" i="21"/>
  <c r="Y33" i="21" s="1"/>
  <c r="CZ26" i="21"/>
  <c r="CZ33" i="21" s="1"/>
  <c r="GQ26" i="21"/>
  <c r="GQ33" i="21" s="1"/>
  <c r="IL26" i="21"/>
  <c r="IL33" i="21" s="1"/>
  <c r="AK26" i="21"/>
  <c r="AK33" i="21" s="1"/>
  <c r="EB26" i="21"/>
  <c r="EB33" i="21" s="1"/>
  <c r="HS26" i="21"/>
  <c r="HS33" i="21" s="1"/>
  <c r="KD26" i="21"/>
  <c r="KD33" i="21" s="1"/>
  <c r="AH26" i="21"/>
  <c r="AH33" i="21" s="1"/>
  <c r="DI26" i="21"/>
  <c r="DI33" i="21" s="1"/>
  <c r="DI34" i="21" s="1"/>
  <c r="CB26" i="21"/>
  <c r="CB33" i="21" s="1"/>
  <c r="CF32" i="21"/>
  <c r="GR32" i="21"/>
  <c r="GC32" i="21"/>
  <c r="FO32" i="21"/>
  <c r="HX32" i="21"/>
  <c r="IE26" i="21"/>
  <c r="IE33" i="21" s="1"/>
  <c r="IE34" i="21" s="1"/>
  <c r="DF26" i="21"/>
  <c r="DF33" i="21" s="1"/>
  <c r="HQ26" i="21"/>
  <c r="HQ33" i="21" s="1"/>
  <c r="IC26" i="21"/>
  <c r="IC33" i="21" s="1"/>
  <c r="AR26" i="21"/>
  <c r="AR33" i="21" s="1"/>
  <c r="EI26" i="21"/>
  <c r="EI33" i="21" s="1"/>
  <c r="HJ26" i="21"/>
  <c r="HJ33" i="21" s="1"/>
  <c r="JE26" i="21"/>
  <c r="JE33" i="21" s="1"/>
  <c r="CJ26" i="21"/>
  <c r="CJ33" i="21" s="1"/>
  <c r="FK26" i="21"/>
  <c r="FK33" i="21" s="1"/>
  <c r="HV26" i="21"/>
  <c r="HV33" i="21" s="1"/>
  <c r="U26" i="21"/>
  <c r="U33" i="21" s="1"/>
  <c r="DL26" i="21"/>
  <c r="DL33" i="21" s="1"/>
  <c r="GM26" i="21"/>
  <c r="GM33" i="21" s="1"/>
  <c r="GM34" i="21" s="1"/>
  <c r="JN26" i="21"/>
  <c r="JN33" i="21" s="1"/>
  <c r="JN34" i="21" s="1"/>
  <c r="R26" i="21"/>
  <c r="R33" i="21" s="1"/>
  <c r="CC26" i="21"/>
  <c r="CC33" i="21" s="1"/>
  <c r="CC34" i="21" s="1"/>
  <c r="BL26" i="21"/>
  <c r="BL33" i="21" s="1"/>
  <c r="GU32" i="21"/>
  <c r="BD32" i="21"/>
  <c r="GF32" i="21"/>
  <c r="HO26" i="21"/>
  <c r="HO33" i="21" s="1"/>
  <c r="HO34" i="21" s="1"/>
  <c r="CP26" i="21"/>
  <c r="CP33" i="21" s="1"/>
  <c r="IF26" i="21"/>
  <c r="IF33" i="21" s="1"/>
  <c r="HM26" i="21"/>
  <c r="HM33" i="21" s="1"/>
  <c r="AB26" i="21"/>
  <c r="AB33" i="21" s="1"/>
  <c r="DS26" i="21"/>
  <c r="DS33" i="21" s="1"/>
  <c r="GT26" i="21"/>
  <c r="GT33" i="21" s="1"/>
  <c r="IO26" i="21"/>
  <c r="IO33" i="21" s="1"/>
  <c r="BT26" i="21"/>
  <c r="BT33" i="21" s="1"/>
  <c r="EU26" i="21"/>
  <c r="EU33" i="21" s="1"/>
  <c r="EU34" i="21" s="1"/>
  <c r="HF26" i="21"/>
  <c r="HF33" i="21" s="1"/>
  <c r="KG26" i="21"/>
  <c r="KG33" i="21" s="1"/>
  <c r="CV26" i="21"/>
  <c r="CV33" i="21" s="1"/>
  <c r="FW26" i="21"/>
  <c r="FW33" i="21" s="1"/>
  <c r="FW34" i="21" s="1"/>
  <c r="IX26" i="21"/>
  <c r="IX33" i="21" s="1"/>
  <c r="BM26" i="21"/>
  <c r="BM33" i="21" s="1"/>
  <c r="AV26" i="21"/>
  <c r="AV33" i="21" s="1"/>
  <c r="FN32" i="21"/>
  <c r="AQ32" i="21"/>
  <c r="FL32" i="21"/>
  <c r="GY26" i="21"/>
  <c r="GY33" i="21" s="1"/>
  <c r="GY34" i="21" s="1"/>
  <c r="BZ26" i="21"/>
  <c r="BZ33" i="21" s="1"/>
  <c r="IT26" i="21"/>
  <c r="IT33" i="21" s="1"/>
  <c r="GW26" i="21"/>
  <c r="GW33" i="21" s="1"/>
  <c r="DC26" i="21"/>
  <c r="DC33" i="21" s="1"/>
  <c r="GD26" i="21"/>
  <c r="GD33" i="21" s="1"/>
  <c r="HY26" i="21"/>
  <c r="HY33" i="21" s="1"/>
  <c r="BD26" i="21"/>
  <c r="BD33" i="21" s="1"/>
  <c r="EE26" i="21"/>
  <c r="EE33" i="21" s="1"/>
  <c r="GP26" i="21"/>
  <c r="GP33" i="21" s="1"/>
  <c r="JQ26" i="21"/>
  <c r="JQ33" i="21" s="1"/>
  <c r="CF26" i="21"/>
  <c r="CF33" i="21" s="1"/>
  <c r="FG26" i="21"/>
  <c r="FG33" i="21" s="1"/>
  <c r="IH26" i="21"/>
  <c r="IH33" i="21" s="1"/>
  <c r="IH34" i="21" s="1"/>
  <c r="AW26" i="21"/>
  <c r="AW33" i="21" s="1"/>
  <c r="AW34" i="21" s="1"/>
  <c r="AF26" i="21"/>
  <c r="AF33" i="21" s="1"/>
  <c r="FM32" i="21"/>
  <c r="KI32" i="21"/>
  <c r="GI26" i="21"/>
  <c r="GI33" i="21" s="1"/>
  <c r="GI34" i="21" s="1"/>
  <c r="BJ26" i="21"/>
  <c r="BJ33" i="21" s="1"/>
  <c r="JH26" i="21"/>
  <c r="JH33" i="21" s="1"/>
  <c r="GG26" i="21"/>
  <c r="GG33" i="21" s="1"/>
  <c r="JX26" i="21"/>
  <c r="JX33" i="21" s="1"/>
  <c r="JX34" i="21" s="1"/>
  <c r="CM26" i="21"/>
  <c r="CM33" i="21" s="1"/>
  <c r="FN26" i="21"/>
  <c r="FN33" i="21" s="1"/>
  <c r="HI26" i="21"/>
  <c r="HI33" i="21" s="1"/>
  <c r="HI34" i="21" s="1"/>
  <c r="AN26" i="21"/>
  <c r="AN33" i="21" s="1"/>
  <c r="DO26" i="21"/>
  <c r="DO33" i="21" s="1"/>
  <c r="FZ26" i="21"/>
  <c r="FZ33" i="21" s="1"/>
  <c r="FZ34" i="21" s="1"/>
  <c r="JA26" i="21"/>
  <c r="JA33" i="21" s="1"/>
  <c r="JA34" i="21" s="1"/>
  <c r="BP26" i="21"/>
  <c r="BP33" i="21" s="1"/>
  <c r="EQ26" i="21"/>
  <c r="EQ33" i="21" s="1"/>
  <c r="HR26" i="21"/>
  <c r="HR33" i="21" s="1"/>
  <c r="AG26" i="21"/>
  <c r="AG33" i="21" s="1"/>
  <c r="P26" i="21"/>
  <c r="P33" i="21" s="1"/>
  <c r="IR32" i="21"/>
  <c r="JV32" i="21"/>
  <c r="EV32" i="21"/>
  <c r="FS26" i="21"/>
  <c r="FS33" i="21" s="1"/>
  <c r="AT26" i="21"/>
  <c r="AT33" i="21" s="1"/>
  <c r="Z26" i="21"/>
  <c r="Z33" i="21" s="1"/>
  <c r="FQ26" i="21"/>
  <c r="FQ33" i="21" s="1"/>
  <c r="IR26" i="21"/>
  <c r="IR33" i="21" s="1"/>
  <c r="BW26" i="21"/>
  <c r="BW33" i="21" s="1"/>
  <c r="EH26" i="21"/>
  <c r="EH33" i="21" s="1"/>
  <c r="GS26" i="21"/>
  <c r="GS33" i="21" s="1"/>
  <c r="JT26" i="21"/>
  <c r="JT33" i="21" s="1"/>
  <c r="X26" i="21"/>
  <c r="X33" i="21" s="1"/>
  <c r="CY26" i="21"/>
  <c r="CY33" i="21" s="1"/>
  <c r="FJ26" i="21"/>
  <c r="FJ33" i="21" s="1"/>
  <c r="FJ34" i="21" s="1"/>
  <c r="IK26" i="21"/>
  <c r="IK33" i="21" s="1"/>
  <c r="AZ26" i="21"/>
  <c r="AZ33" i="21" s="1"/>
  <c r="EA26" i="21"/>
  <c r="EA33" i="21" s="1"/>
  <c r="HB26" i="21"/>
  <c r="HB33" i="21" s="1"/>
  <c r="HB34" i="21" s="1"/>
  <c r="Q26" i="21"/>
  <c r="Q33" i="21" s="1"/>
  <c r="KB26" i="21"/>
  <c r="KB33" i="21" s="1"/>
  <c r="KB34" i="21" s="1"/>
  <c r="IB32" i="21"/>
  <c r="DS32" i="21"/>
  <c r="FC26" i="21"/>
  <c r="FC33" i="21" s="1"/>
  <c r="AD26" i="21"/>
  <c r="AD33" i="21" s="1"/>
  <c r="JV26" i="21"/>
  <c r="JV33" i="21" s="1"/>
  <c r="FA26" i="21"/>
  <c r="FA33" i="21" s="1"/>
  <c r="IB26" i="21"/>
  <c r="IB33" i="21" s="1"/>
  <c r="BG26" i="21"/>
  <c r="BG33" i="21" s="1"/>
  <c r="DR26" i="21"/>
  <c r="DR33" i="21" s="1"/>
  <c r="GC26" i="21"/>
  <c r="GC33" i="21" s="1"/>
  <c r="JD26" i="21"/>
  <c r="JD33" i="21" s="1"/>
  <c r="CI26" i="21"/>
  <c r="CI33" i="21" s="1"/>
  <c r="ET26" i="21"/>
  <c r="ET33" i="21" s="1"/>
  <c r="ET34" i="21" s="1"/>
  <c r="HU26" i="21"/>
  <c r="HU33" i="21" s="1"/>
  <c r="KF26" i="21"/>
  <c r="KF33" i="21" s="1"/>
  <c r="AJ26" i="21"/>
  <c r="AJ33" i="21" s="1"/>
  <c r="DK26" i="21"/>
  <c r="DK33" i="21" s="1"/>
  <c r="GL26" i="21"/>
  <c r="GL33" i="21" s="1"/>
  <c r="KC26" i="21"/>
  <c r="KC33" i="21" s="1"/>
  <c r="JL26" i="21"/>
  <c r="JL33" i="21" s="1"/>
  <c r="JL34" i="21" s="1"/>
  <c r="EE32" i="21"/>
  <c r="EM32" i="21"/>
  <c r="GW32" i="21"/>
  <c r="IQ32" i="21"/>
  <c r="EH32" i="21"/>
  <c r="DR32" i="21"/>
  <c r="EM26" i="21"/>
  <c r="EM33" i="21" s="1"/>
  <c r="N26" i="21"/>
  <c r="N33" i="21" s="1"/>
  <c r="BC26" i="21"/>
  <c r="BC33" i="21" s="1"/>
  <c r="BC34" i="21" s="1"/>
  <c r="EK26" i="21"/>
  <c r="EK33" i="21" s="1"/>
  <c r="HL26" i="21"/>
  <c r="HL33" i="21" s="1"/>
  <c r="AQ26" i="21"/>
  <c r="AQ33" i="21" s="1"/>
  <c r="DB26" i="21"/>
  <c r="DB33" i="21" s="1"/>
  <c r="FM26" i="21"/>
  <c r="FM33" i="21" s="1"/>
  <c r="IN26" i="21"/>
  <c r="IN33" i="21" s="1"/>
  <c r="BS26" i="21"/>
  <c r="BS33" i="21" s="1"/>
  <c r="ED26" i="21"/>
  <c r="ED33" i="21" s="1"/>
  <c r="HE26" i="21"/>
  <c r="HE33" i="21" s="1"/>
  <c r="JP26" i="21"/>
  <c r="JP33" i="21" s="1"/>
  <c r="T26" i="21"/>
  <c r="T33" i="21" s="1"/>
  <c r="T34" i="21" s="1"/>
  <c r="CU26" i="21"/>
  <c r="CU33" i="21" s="1"/>
  <c r="CU34" i="21" s="1"/>
  <c r="FV26" i="21"/>
  <c r="FV33" i="21" s="1"/>
  <c r="JM26" i="21"/>
  <c r="JM33" i="21" s="1"/>
  <c r="IV26" i="21"/>
  <c r="IV33" i="21" s="1"/>
  <c r="GV32" i="21"/>
  <c r="JW32" i="21"/>
  <c r="CK32" i="21"/>
  <c r="DW26" i="21"/>
  <c r="DW33" i="21" s="1"/>
  <c r="JZ26" i="21"/>
  <c r="JZ33" i="21" s="1"/>
  <c r="CE26" i="21"/>
  <c r="CE33" i="21" s="1"/>
  <c r="BQ26" i="21"/>
  <c r="BQ33" i="21" s="1"/>
  <c r="BQ34" i="21" s="1"/>
  <c r="DU26" i="21"/>
  <c r="DU33" i="21" s="1"/>
  <c r="GV26" i="21"/>
  <c r="GV33" i="21" s="1"/>
  <c r="JW26" i="21"/>
  <c r="JW33" i="21" s="1"/>
  <c r="AA26" i="21"/>
  <c r="AA33" i="21" s="1"/>
  <c r="CL26" i="21"/>
  <c r="CL33" i="21" s="1"/>
  <c r="EW26" i="21"/>
  <c r="EW33" i="21" s="1"/>
  <c r="HX26" i="21"/>
  <c r="HX33" i="21" s="1"/>
  <c r="AM26" i="21"/>
  <c r="AM33" i="21" s="1"/>
  <c r="DN26" i="21"/>
  <c r="DN33" i="21" s="1"/>
  <c r="FY26" i="21"/>
  <c r="FY33" i="21" s="1"/>
  <c r="IZ26" i="21"/>
  <c r="IZ33" i="21" s="1"/>
  <c r="BO26" i="21"/>
  <c r="BO33" i="21" s="1"/>
  <c r="FF26" i="21"/>
  <c r="FF33" i="21" s="1"/>
  <c r="IW26" i="21"/>
  <c r="IW33" i="21" s="1"/>
  <c r="HP26" i="21"/>
  <c r="HP33" i="21" s="1"/>
  <c r="N15" i="21"/>
  <c r="O11" i="21"/>
  <c r="N7" i="21"/>
  <c r="H101" i="9"/>
  <c r="M71" i="9"/>
  <c r="K71" i="9"/>
  <c r="P71" i="9"/>
  <c r="N71" i="9"/>
  <c r="R71" i="9"/>
  <c r="J71" i="9"/>
  <c r="O71" i="9"/>
  <c r="L71" i="9"/>
  <c r="L11" i="10"/>
  <c r="K7" i="10"/>
  <c r="FC14" i="26" l="1"/>
  <c r="FC6" i="26"/>
  <c r="FD10" i="26"/>
  <c r="GD34" i="21"/>
  <c r="DJ34" i="21"/>
  <c r="GO34" i="21"/>
  <c r="BS34" i="21"/>
  <c r="FE34" i="21"/>
  <c r="CX34" i="21"/>
  <c r="O34" i="21"/>
  <c r="CN34" i="21"/>
  <c r="FT34" i="21"/>
  <c r="AS34" i="21"/>
  <c r="DE34" i="21"/>
  <c r="AD34" i="21"/>
  <c r="N142" i="21"/>
  <c r="N139" i="21"/>
  <c r="FX34" i="21"/>
  <c r="KC34" i="21"/>
  <c r="DG34" i="21"/>
  <c r="AZ34" i="21"/>
  <c r="KG34" i="21"/>
  <c r="FQ34" i="21"/>
  <c r="II34" i="21"/>
  <c r="BO34" i="21"/>
  <c r="FS34" i="21"/>
  <c r="BP34" i="21"/>
  <c r="IF34" i="21"/>
  <c r="CP34" i="21"/>
  <c r="IX34" i="21"/>
  <c r="ES34" i="21"/>
  <c r="BJ34" i="21"/>
  <c r="G126" i="21"/>
  <c r="P34" i="21"/>
  <c r="AM34" i="21"/>
  <c r="N110" i="21"/>
  <c r="N88" i="21"/>
  <c r="N91" i="21" s="1"/>
  <c r="N118" i="21"/>
  <c r="N121" i="21" s="1"/>
  <c r="CV34" i="21"/>
  <c r="EL34" i="21"/>
  <c r="IP34" i="21"/>
  <c r="KH34" i="21"/>
  <c r="AF34" i="21"/>
  <c r="EJ34" i="21"/>
  <c r="FG34" i="21"/>
  <c r="BT34" i="21"/>
  <c r="JB34" i="21"/>
  <c r="CI34" i="21"/>
  <c r="AR34" i="21"/>
  <c r="JC34" i="21"/>
  <c r="IL34" i="21"/>
  <c r="CB34" i="21"/>
  <c r="FU34" i="21"/>
  <c r="JG34" i="21"/>
  <c r="HF34" i="21"/>
  <c r="N83" i="21"/>
  <c r="N170" i="21" s="1"/>
  <c r="ED34" i="21"/>
  <c r="GA34" i="21"/>
  <c r="FR34" i="21"/>
  <c r="DO34" i="21"/>
  <c r="JO34" i="21"/>
  <c r="AT34" i="21"/>
  <c r="BM34" i="21"/>
  <c r="GF34" i="21"/>
  <c r="EP34" i="21"/>
  <c r="GE34" i="21"/>
  <c r="IJ34" i="21"/>
  <c r="FF34" i="21"/>
  <c r="GN34" i="21"/>
  <c r="JH34" i="21"/>
  <c r="S34" i="21"/>
  <c r="GT34" i="21"/>
  <c r="FK34" i="21"/>
  <c r="DZ34" i="21"/>
  <c r="N105" i="21"/>
  <c r="N111" i="21" s="1"/>
  <c r="N140" i="21" s="1"/>
  <c r="JM34" i="21"/>
  <c r="JQ34" i="21"/>
  <c r="KI34" i="21"/>
  <c r="AL34" i="21"/>
  <c r="AH34" i="21"/>
  <c r="Y34" i="21"/>
  <c r="HU34" i="21"/>
  <c r="GS34" i="21"/>
  <c r="GZ34" i="21"/>
  <c r="IT34" i="21"/>
  <c r="CR34" i="21"/>
  <c r="CO34" i="21"/>
  <c r="GL34" i="21"/>
  <c r="JZ34" i="21"/>
  <c r="HR34" i="21"/>
  <c r="DF34" i="21"/>
  <c r="JS34" i="21"/>
  <c r="HM34" i="21"/>
  <c r="KE34" i="21"/>
  <c r="IV34" i="21"/>
  <c r="DR34" i="21"/>
  <c r="BZ34" i="21"/>
  <c r="KD34" i="21"/>
  <c r="DA34" i="21"/>
  <c r="IC34" i="21"/>
  <c r="CZ34" i="21"/>
  <c r="KA34" i="21"/>
  <c r="FL34" i="21"/>
  <c r="AV34" i="21"/>
  <c r="IK34" i="21"/>
  <c r="AK34" i="21"/>
  <c r="FD34" i="21"/>
  <c r="GP34" i="21"/>
  <c r="AJ34" i="21"/>
  <c r="CK34" i="21"/>
  <c r="GG34" i="21"/>
  <c r="HZ34" i="21"/>
  <c r="W34" i="21"/>
  <c r="FY34" i="21"/>
  <c r="DL34" i="21"/>
  <c r="HD34" i="21"/>
  <c r="Z34" i="21"/>
  <c r="DW34" i="21"/>
  <c r="R34" i="21"/>
  <c r="DN34" i="21"/>
  <c r="U34" i="21"/>
  <c r="FH34" i="21"/>
  <c r="DT34" i="21"/>
  <c r="CH34" i="21"/>
  <c r="FA34" i="21"/>
  <c r="EE34" i="21"/>
  <c r="EF34" i="21"/>
  <c r="IG34" i="21"/>
  <c r="DV34" i="21"/>
  <c r="AY34" i="21"/>
  <c r="BK34" i="21"/>
  <c r="DH34" i="21"/>
  <c r="CQ34" i="21"/>
  <c r="V34" i="21"/>
  <c r="FC34" i="21"/>
  <c r="N34" i="21"/>
  <c r="BV34" i="21"/>
  <c r="EV34" i="21"/>
  <c r="DD34" i="21"/>
  <c r="AG34" i="21"/>
  <c r="HV34" i="21"/>
  <c r="EB34" i="21"/>
  <c r="DU34" i="21"/>
  <c r="HP34" i="21"/>
  <c r="IM34" i="21"/>
  <c r="DP34" i="21"/>
  <c r="CY34" i="21"/>
  <c r="AB34" i="21"/>
  <c r="EG34" i="21"/>
  <c r="EQ34" i="21"/>
  <c r="AU34" i="21"/>
  <c r="EI34" i="21"/>
  <c r="HQ34" i="21"/>
  <c r="GR34" i="21"/>
  <c r="FV34" i="21"/>
  <c r="HT34" i="21"/>
  <c r="CW34" i="21"/>
  <c r="DK34" i="21"/>
  <c r="HH34" i="21"/>
  <c r="GH34" i="21"/>
  <c r="EN34" i="21"/>
  <c r="HA34" i="21"/>
  <c r="AI34" i="21"/>
  <c r="FI34" i="21"/>
  <c r="KF34" i="21"/>
  <c r="GK34" i="21"/>
  <c r="IZ34" i="21"/>
  <c r="BF34" i="21"/>
  <c r="GV34" i="21"/>
  <c r="JV34" i="21"/>
  <c r="IR34" i="21"/>
  <c r="HN34" i="21"/>
  <c r="CF34" i="21"/>
  <c r="EC34" i="21"/>
  <c r="EH34" i="21"/>
  <c r="JF34" i="21"/>
  <c r="BI34" i="21"/>
  <c r="JR34" i="21"/>
  <c r="GC34" i="21"/>
  <c r="DB34" i="21"/>
  <c r="DM34" i="21"/>
  <c r="EW34" i="21"/>
  <c r="BU34" i="21"/>
  <c r="DY34" i="21"/>
  <c r="JY34" i="21"/>
  <c r="HY34" i="21"/>
  <c r="CJ34" i="21"/>
  <c r="BE34" i="21"/>
  <c r="IB34" i="21"/>
  <c r="JU34" i="21"/>
  <c r="HE34" i="21"/>
  <c r="HK34" i="21"/>
  <c r="DC34" i="21"/>
  <c r="HL34" i="21"/>
  <c r="IS34" i="21"/>
  <c r="FM34" i="21"/>
  <c r="JD34" i="21"/>
  <c r="EK34" i="21"/>
  <c r="IQ34" i="21"/>
  <c r="CT34" i="21"/>
  <c r="GW34" i="21"/>
  <c r="AQ34" i="21"/>
  <c r="IN34" i="21"/>
  <c r="BX34" i="21"/>
  <c r="GQ34" i="21"/>
  <c r="BY34" i="21"/>
  <c r="EM34" i="21"/>
  <c r="FN34" i="21"/>
  <c r="BG34" i="21"/>
  <c r="AN34" i="21"/>
  <c r="JT34" i="21"/>
  <c r="HJ34" i="21"/>
  <c r="JP34" i="21"/>
  <c r="IU34" i="21"/>
  <c r="FP34" i="21"/>
  <c r="CE34" i="21"/>
  <c r="BR34" i="21"/>
  <c r="BD34" i="21"/>
  <c r="AO34" i="21"/>
  <c r="EA34" i="21"/>
  <c r="AE34" i="21"/>
  <c r="DS34" i="21"/>
  <c r="GU34" i="21"/>
  <c r="JE34" i="21"/>
  <c r="EZ34" i="21"/>
  <c r="BB34" i="21"/>
  <c r="IW34" i="21"/>
  <c r="IO34" i="21"/>
  <c r="X34" i="21"/>
  <c r="CM34" i="21"/>
  <c r="BL34" i="21"/>
  <c r="GB34" i="21"/>
  <c r="IA34" i="21"/>
  <c r="AA34" i="21"/>
  <c r="EX34" i="21"/>
  <c r="HX34" i="21"/>
  <c r="CL34" i="21"/>
  <c r="BW34" i="21"/>
  <c r="EY34" i="21"/>
  <c r="Q34" i="21"/>
  <c r="JI34" i="21"/>
  <c r="AC34" i="21"/>
  <c r="JW34" i="21"/>
  <c r="FO34" i="21"/>
  <c r="JK34" i="21"/>
  <c r="BH34" i="21"/>
  <c r="HS34" i="21"/>
  <c r="AP34" i="21"/>
  <c r="JJ34" i="21"/>
  <c r="O14" i="21"/>
  <c r="O6" i="21" s="1"/>
  <c r="O12" i="21"/>
  <c r="O132" i="21" s="1"/>
  <c r="O13" i="21"/>
  <c r="O5" i="21" s="1"/>
  <c r="H71" i="9" a="1"/>
  <c r="H71" i="9" s="1"/>
  <c r="L14" i="10"/>
  <c r="L6" i="10" s="1"/>
  <c r="L12" i="10"/>
  <c r="L15" i="10" s="1"/>
  <c r="L13" i="10"/>
  <c r="L5" i="10" s="1"/>
  <c r="FD13" i="26" l="1"/>
  <c r="FD5" i="26" s="1"/>
  <c r="FD12" i="26"/>
  <c r="FD4" i="26" s="1"/>
  <c r="FD11" i="26"/>
  <c r="N47" i="21"/>
  <c r="O80" i="21"/>
  <c r="N113" i="21"/>
  <c r="O77" i="21"/>
  <c r="O74" i="21"/>
  <c r="O87" i="21" s="1"/>
  <c r="O88" i="21" s="1"/>
  <c r="O75" i="21"/>
  <c r="O106" i="21"/>
  <c r="O103" i="21"/>
  <c r="O117" i="21" s="1"/>
  <c r="O118" i="21" s="1"/>
  <c r="O104" i="21"/>
  <c r="O102" i="21"/>
  <c r="O110" i="21" s="1"/>
  <c r="CQ37" i="21"/>
  <c r="IU37" i="21"/>
  <c r="BH37" i="21"/>
  <c r="DS37" i="21"/>
  <c r="BJ37" i="21"/>
  <c r="DD37" i="21"/>
  <c r="EJ37" i="21"/>
  <c r="JZ37" i="21"/>
  <c r="CM37" i="21"/>
  <c r="IG37" i="21"/>
  <c r="IT37" i="21"/>
  <c r="CN37" i="21"/>
  <c r="BZ37" i="21"/>
  <c r="KA37" i="21"/>
  <c r="DZ37" i="21"/>
  <c r="CV37" i="21"/>
  <c r="S37" i="21"/>
  <c r="AQ37" i="21"/>
  <c r="DE37" i="21"/>
  <c r="HM37" i="21"/>
  <c r="EI37" i="21"/>
  <c r="BY37" i="21"/>
  <c r="AZ37" i="21"/>
  <c r="CE37" i="21"/>
  <c r="HO37" i="21"/>
  <c r="FG37" i="21"/>
  <c r="EZ37" i="21"/>
  <c r="BO37" i="21"/>
  <c r="GX37" i="21"/>
  <c r="JI37" i="21"/>
  <c r="IQ37" i="21"/>
  <c r="JN37" i="21"/>
  <c r="FB37" i="21"/>
  <c r="HN37" i="21"/>
  <c r="IB37" i="21"/>
  <c r="FO37" i="21"/>
  <c r="HR37" i="21"/>
  <c r="BX37" i="21"/>
  <c r="IE37" i="21"/>
  <c r="FC37" i="21"/>
  <c r="HL37" i="21"/>
  <c r="GF37" i="21"/>
  <c r="AT37" i="21"/>
  <c r="CO37" i="21"/>
  <c r="CP37" i="21"/>
  <c r="CA37" i="21"/>
  <c r="N37" i="21"/>
  <c r="DJ37" i="21"/>
  <c r="EK37" i="21"/>
  <c r="AR37" i="21"/>
  <c r="EA37" i="21"/>
  <c r="II37" i="21"/>
  <c r="EL37" i="21"/>
  <c r="DT37" i="21"/>
  <c r="IH37" i="21"/>
  <c r="IM37" i="21"/>
  <c r="IR37" i="21"/>
  <c r="GV37" i="21"/>
  <c r="DC37" i="21"/>
  <c r="GM37" i="21"/>
  <c r="BP37" i="21"/>
  <c r="O15" i="21"/>
  <c r="P11" i="21"/>
  <c r="O7" i="21"/>
  <c r="M11" i="10"/>
  <c r="L7" i="10"/>
  <c r="FD14" i="26" l="1"/>
  <c r="FD6" i="26"/>
  <c r="FE10" i="26"/>
  <c r="O109" i="21"/>
  <c r="N171" i="21"/>
  <c r="IR147" i="21"/>
  <c r="IR161" i="21"/>
  <c r="EK147" i="21"/>
  <c r="EK161" i="21"/>
  <c r="HL147" i="21"/>
  <c r="HL161" i="21"/>
  <c r="FB147" i="21"/>
  <c r="FB161" i="21"/>
  <c r="HO147" i="21"/>
  <c r="HO161" i="21"/>
  <c r="S147" i="21"/>
  <c r="S161" i="21"/>
  <c r="CM147" i="21"/>
  <c r="CM161" i="21"/>
  <c r="IM147" i="21"/>
  <c r="IM161" i="21"/>
  <c r="DJ147" i="21"/>
  <c r="DJ161" i="21"/>
  <c r="FC147" i="21"/>
  <c r="FC161" i="21"/>
  <c r="JN147" i="21"/>
  <c r="JN161" i="21"/>
  <c r="CE147" i="21"/>
  <c r="CE161" i="21"/>
  <c r="CV147" i="21"/>
  <c r="CV161" i="21"/>
  <c r="JZ147" i="21"/>
  <c r="JZ161" i="21"/>
  <c r="IU147" i="21"/>
  <c r="IU161" i="21"/>
  <c r="IH147" i="21"/>
  <c r="IH161" i="21"/>
  <c r="N147" i="21"/>
  <c r="N161" i="21"/>
  <c r="IE147" i="21"/>
  <c r="IE161" i="21"/>
  <c r="IQ147" i="21"/>
  <c r="IQ161" i="21"/>
  <c r="AZ147" i="21"/>
  <c r="AZ161" i="21"/>
  <c r="DZ147" i="21"/>
  <c r="DZ161" i="21"/>
  <c r="EJ147" i="21"/>
  <c r="EJ161" i="21"/>
  <c r="CQ147" i="21"/>
  <c r="CQ161" i="21"/>
  <c r="DT147" i="21"/>
  <c r="DT161" i="21"/>
  <c r="CA147" i="21"/>
  <c r="CA161" i="21"/>
  <c r="BX147" i="21"/>
  <c r="BX161" i="21"/>
  <c r="JI147" i="21"/>
  <c r="JI161" i="21"/>
  <c r="BY147" i="21"/>
  <c r="BY161" i="21"/>
  <c r="KA147" i="21"/>
  <c r="KA161" i="21"/>
  <c r="DD147" i="21"/>
  <c r="DD161" i="21"/>
  <c r="BP147" i="21"/>
  <c r="BP161" i="21"/>
  <c r="EL147" i="21"/>
  <c r="EL161" i="21"/>
  <c r="CP147" i="21"/>
  <c r="CP161" i="21"/>
  <c r="HR147" i="21"/>
  <c r="HR161" i="21"/>
  <c r="GX147" i="21"/>
  <c r="GX161" i="21"/>
  <c r="EI147" i="21"/>
  <c r="EI161" i="21"/>
  <c r="BZ147" i="21"/>
  <c r="BZ161" i="21"/>
  <c r="BJ147" i="21"/>
  <c r="BJ161" i="21"/>
  <c r="GM147" i="21"/>
  <c r="GM161" i="21"/>
  <c r="II147" i="21"/>
  <c r="II161" i="21"/>
  <c r="CO147" i="21"/>
  <c r="CO161" i="21"/>
  <c r="FO147" i="21"/>
  <c r="FO161" i="21"/>
  <c r="BO147" i="21"/>
  <c r="BO161" i="21"/>
  <c r="HM147" i="21"/>
  <c r="HM161" i="21"/>
  <c r="CN147" i="21"/>
  <c r="CN161" i="21"/>
  <c r="DS147" i="21"/>
  <c r="DS161" i="21"/>
  <c r="DC147" i="21"/>
  <c r="DC161" i="21"/>
  <c r="EA147" i="21"/>
  <c r="EA161" i="21"/>
  <c r="AT147" i="21"/>
  <c r="AT161" i="21"/>
  <c r="IB147" i="21"/>
  <c r="IB161" i="21"/>
  <c r="EZ147" i="21"/>
  <c r="EZ161" i="21"/>
  <c r="DE147" i="21"/>
  <c r="DE161" i="21"/>
  <c r="IT147" i="21"/>
  <c r="IT161" i="21"/>
  <c r="BH147" i="21"/>
  <c r="BH161" i="21"/>
  <c r="GV147" i="21"/>
  <c r="GV161" i="21"/>
  <c r="AR147" i="21"/>
  <c r="AR161" i="21"/>
  <c r="GF147" i="21"/>
  <c r="GF161" i="21"/>
  <c r="HN147" i="21"/>
  <c r="HN161" i="21"/>
  <c r="FG147" i="21"/>
  <c r="FG161" i="21"/>
  <c r="AQ147" i="21"/>
  <c r="AQ161" i="21"/>
  <c r="IG147" i="21"/>
  <c r="IG161" i="21"/>
  <c r="N59" i="21"/>
  <c r="N61" i="21" s="1"/>
  <c r="CQ39" i="21"/>
  <c r="CQ40" i="21" s="1"/>
  <c r="GV39" i="21"/>
  <c r="GV40" i="21" s="1"/>
  <c r="DT39" i="21"/>
  <c r="DT40" i="21" s="1"/>
  <c r="AR39" i="21"/>
  <c r="AR40" i="21" s="1"/>
  <c r="CA39" i="21"/>
  <c r="CA40" i="21" s="1"/>
  <c r="GF39" i="21"/>
  <c r="GF40" i="21" s="1"/>
  <c r="BX39" i="21"/>
  <c r="BX40" i="21" s="1"/>
  <c r="HN39" i="21"/>
  <c r="HN40" i="21" s="1"/>
  <c r="JI39" i="21"/>
  <c r="JI40" i="21" s="1"/>
  <c r="FG39" i="21"/>
  <c r="FG40" i="21" s="1"/>
  <c r="BY39" i="21"/>
  <c r="BY40" i="21" s="1"/>
  <c r="AQ39" i="21"/>
  <c r="AQ40" i="21" s="1"/>
  <c r="KA39" i="21"/>
  <c r="KA40" i="21" s="1"/>
  <c r="IG39" i="21"/>
  <c r="IG40" i="21" s="1"/>
  <c r="DD39" i="21"/>
  <c r="DD40" i="21" s="1"/>
  <c r="BP39" i="21"/>
  <c r="BP40" i="21" s="1"/>
  <c r="IR39" i="21"/>
  <c r="IR40" i="21" s="1"/>
  <c r="EL39" i="21"/>
  <c r="EL40" i="21" s="1"/>
  <c r="EK39" i="21"/>
  <c r="EK40" i="21" s="1"/>
  <c r="CP39" i="21"/>
  <c r="CP40" i="21" s="1"/>
  <c r="HL39" i="21"/>
  <c r="HL40" i="21" s="1"/>
  <c r="HR39" i="21"/>
  <c r="HR40" i="21" s="1"/>
  <c r="FB39" i="21"/>
  <c r="FB40" i="21" s="1"/>
  <c r="GX39" i="21"/>
  <c r="GX40" i="21" s="1"/>
  <c r="HO39" i="21"/>
  <c r="HO40" i="21" s="1"/>
  <c r="EI39" i="21"/>
  <c r="EI40" i="21" s="1"/>
  <c r="S39" i="21"/>
  <c r="S40" i="21" s="1"/>
  <c r="BZ39" i="21"/>
  <c r="BZ40" i="21" s="1"/>
  <c r="CM39" i="21"/>
  <c r="CM40" i="21" s="1"/>
  <c r="BJ39" i="21"/>
  <c r="BJ40" i="21" s="1"/>
  <c r="GM39" i="21"/>
  <c r="GM40" i="21" s="1"/>
  <c r="IM39" i="21"/>
  <c r="IM40" i="21" s="1"/>
  <c r="II39" i="21"/>
  <c r="II40" i="21" s="1"/>
  <c r="DJ39" i="21"/>
  <c r="DJ40" i="21" s="1"/>
  <c r="CO39" i="21"/>
  <c r="CO40" i="21" s="1"/>
  <c r="FC39" i="21"/>
  <c r="FC40" i="21" s="1"/>
  <c r="FO39" i="21"/>
  <c r="FO40" i="21" s="1"/>
  <c r="JN39" i="21"/>
  <c r="JN40" i="21" s="1"/>
  <c r="BO39" i="21"/>
  <c r="BO40" i="21" s="1"/>
  <c r="CE39" i="21"/>
  <c r="CE40" i="21" s="1"/>
  <c r="HM39" i="21"/>
  <c r="HM40" i="21" s="1"/>
  <c r="CV39" i="21"/>
  <c r="CV40" i="21" s="1"/>
  <c r="CN39" i="21"/>
  <c r="CN40" i="21" s="1"/>
  <c r="JZ39" i="21"/>
  <c r="JZ40" i="21" s="1"/>
  <c r="DS39" i="21"/>
  <c r="DS40" i="21" s="1"/>
  <c r="IU39" i="21"/>
  <c r="IU40" i="21" s="1"/>
  <c r="DC39" i="21"/>
  <c r="DC40" i="21" s="1"/>
  <c r="IH39" i="21"/>
  <c r="IH40" i="21" s="1"/>
  <c r="EA39" i="21"/>
  <c r="EA40" i="21" s="1"/>
  <c r="N39" i="21"/>
  <c r="AT39" i="21"/>
  <c r="AT40" i="21" s="1"/>
  <c r="IE39" i="21"/>
  <c r="IE40" i="21" s="1"/>
  <c r="IB39" i="21"/>
  <c r="IB40" i="21" s="1"/>
  <c r="IQ39" i="21"/>
  <c r="IQ40" i="21" s="1"/>
  <c r="EZ39" i="21"/>
  <c r="EZ40" i="21" s="1"/>
  <c r="AZ39" i="21"/>
  <c r="AZ40" i="21" s="1"/>
  <c r="DE39" i="21"/>
  <c r="DE40" i="21" s="1"/>
  <c r="DZ39" i="21"/>
  <c r="DZ40" i="21" s="1"/>
  <c r="IT39" i="21"/>
  <c r="IT40" i="21" s="1"/>
  <c r="EJ39" i="21"/>
  <c r="EJ40" i="21" s="1"/>
  <c r="BH39" i="21"/>
  <c r="BH40" i="21" s="1"/>
  <c r="O91" i="21"/>
  <c r="N96" i="21"/>
  <c r="N97" i="21" s="1"/>
  <c r="O95" i="21" s="1"/>
  <c r="O82" i="21"/>
  <c r="O76" i="21"/>
  <c r="O81" i="21" s="1"/>
  <c r="N126" i="21"/>
  <c r="N127" i="21" s="1"/>
  <c r="O125" i="21" s="1"/>
  <c r="O112" i="21"/>
  <c r="O105" i="21"/>
  <c r="O111" i="21" s="1"/>
  <c r="O140" i="21" s="1"/>
  <c r="O121" i="21"/>
  <c r="GU37" i="21"/>
  <c r="AE37" i="21"/>
  <c r="FF37" i="21"/>
  <c r="DF37" i="21"/>
  <c r="GE37" i="21"/>
  <c r="DW37" i="21"/>
  <c r="T37" i="21"/>
  <c r="FH37" i="21"/>
  <c r="R37" i="21"/>
  <c r="CF37" i="21"/>
  <c r="BK37" i="21"/>
  <c r="EM37" i="21"/>
  <c r="DL37" i="21"/>
  <c r="DK37" i="21"/>
  <c r="AU37" i="21"/>
  <c r="IA37" i="21"/>
  <c r="ID37" i="21"/>
  <c r="FS37" i="21"/>
  <c r="GH37" i="21"/>
  <c r="JK37" i="21"/>
  <c r="BE37" i="21"/>
  <c r="GY37" i="21"/>
  <c r="FR37" i="21"/>
  <c r="P13" i="21"/>
  <c r="P5" i="21" s="1"/>
  <c r="P12" i="21"/>
  <c r="P132" i="21" s="1"/>
  <c r="P14" i="21"/>
  <c r="P6" i="21" s="1"/>
  <c r="M14" i="10"/>
  <c r="M6" i="10" s="1"/>
  <c r="M13" i="10"/>
  <c r="M5" i="10" s="1"/>
  <c r="M12" i="10"/>
  <c r="M15" i="10" s="1"/>
  <c r="FE13" i="26" l="1"/>
  <c r="FE5" i="26" s="1"/>
  <c r="FE12" i="26"/>
  <c r="FE4" i="26" s="1"/>
  <c r="FE11" i="26"/>
  <c r="FR147" i="21"/>
  <c r="FR161" i="21"/>
  <c r="AU147" i="21"/>
  <c r="AU161" i="21"/>
  <c r="R147" i="21"/>
  <c r="R161" i="21"/>
  <c r="GE147" i="21"/>
  <c r="GE161" i="21"/>
  <c r="GY147" i="21"/>
  <c r="GY161" i="21"/>
  <c r="DK147" i="21"/>
  <c r="DK161" i="21"/>
  <c r="FH147" i="21"/>
  <c r="FH161" i="21"/>
  <c r="DF147" i="21"/>
  <c r="DF161" i="21"/>
  <c r="BE147" i="21"/>
  <c r="BE161" i="21"/>
  <c r="DL147" i="21"/>
  <c r="DL161" i="21"/>
  <c r="JK147" i="21"/>
  <c r="JK161" i="21"/>
  <c r="EM147" i="21"/>
  <c r="EM161" i="21"/>
  <c r="T147" i="21"/>
  <c r="T161" i="21"/>
  <c r="GH147" i="21"/>
  <c r="GH161" i="21"/>
  <c r="BK147" i="21"/>
  <c r="BK161" i="21"/>
  <c r="FF147" i="21"/>
  <c r="FF161" i="21"/>
  <c r="FS147" i="21"/>
  <c r="FS161" i="21"/>
  <c r="CF147" i="21"/>
  <c r="CF161" i="21"/>
  <c r="DW147" i="21"/>
  <c r="DW161" i="21"/>
  <c r="AE147" i="21"/>
  <c r="AE161" i="21"/>
  <c r="IA147" i="21"/>
  <c r="IA161" i="21"/>
  <c r="ID147" i="21"/>
  <c r="ID161" i="21"/>
  <c r="GU147" i="21"/>
  <c r="GU161" i="21"/>
  <c r="O142" i="21"/>
  <c r="O139" i="21"/>
  <c r="O47" i="21"/>
  <c r="O137" i="21"/>
  <c r="EZ45" i="21"/>
  <c r="EZ186" i="21"/>
  <c r="FB45" i="21"/>
  <c r="FB186" i="21"/>
  <c r="IU45" i="21"/>
  <c r="IU186" i="21"/>
  <c r="BH45" i="21"/>
  <c r="BH186" i="21"/>
  <c r="IB45" i="21"/>
  <c r="IB186" i="21"/>
  <c r="DS45" i="21"/>
  <c r="DS186" i="21"/>
  <c r="FO45" i="21"/>
  <c r="FO186" i="21"/>
  <c r="CM45" i="21"/>
  <c r="CM186" i="21"/>
  <c r="HL45" i="21"/>
  <c r="HL186" i="21"/>
  <c r="KA45" i="21"/>
  <c r="KA186" i="21"/>
  <c r="CA45" i="21"/>
  <c r="CA186" i="21"/>
  <c r="BX45" i="21"/>
  <c r="BX186" i="21"/>
  <c r="IQ45" i="21"/>
  <c r="IQ186" i="21"/>
  <c r="GF45" i="21"/>
  <c r="GF186" i="21"/>
  <c r="EJ45" i="21"/>
  <c r="EJ186" i="21"/>
  <c r="IE45" i="21"/>
  <c r="IE186" i="21"/>
  <c r="JZ45" i="21"/>
  <c r="JZ186" i="21"/>
  <c r="FC45" i="21"/>
  <c r="FC186" i="21"/>
  <c r="BZ45" i="21"/>
  <c r="BZ186" i="21"/>
  <c r="CP45" i="21"/>
  <c r="CP186" i="21"/>
  <c r="AQ45" i="21"/>
  <c r="AQ186" i="21"/>
  <c r="AR45" i="21"/>
  <c r="AR186" i="21"/>
  <c r="BO45" i="21"/>
  <c r="BO186" i="21"/>
  <c r="IG45" i="21"/>
  <c r="IG186" i="21"/>
  <c r="IT45" i="21"/>
  <c r="IT186" i="21"/>
  <c r="AT45" i="21"/>
  <c r="AT186" i="21"/>
  <c r="CN45" i="21"/>
  <c r="CN186" i="21"/>
  <c r="CO45" i="21"/>
  <c r="CO186" i="21"/>
  <c r="S45" i="21"/>
  <c r="S186" i="21"/>
  <c r="EK45" i="21"/>
  <c r="EK186" i="21"/>
  <c r="BY45" i="21"/>
  <c r="BY186" i="21"/>
  <c r="DT45" i="21"/>
  <c r="DT186" i="21"/>
  <c r="DC45" i="21"/>
  <c r="DC186" i="21"/>
  <c r="HR45" i="21"/>
  <c r="HR186" i="21"/>
  <c r="DZ45" i="21"/>
  <c r="DZ186" i="21"/>
  <c r="CV45" i="21"/>
  <c r="CV186" i="21"/>
  <c r="DJ45" i="21"/>
  <c r="DJ186" i="21"/>
  <c r="EI45" i="21"/>
  <c r="EI186" i="21"/>
  <c r="EL45" i="21"/>
  <c r="EL186" i="21"/>
  <c r="FG45" i="21"/>
  <c r="FG186" i="21"/>
  <c r="GV45" i="21"/>
  <c r="GV186" i="21"/>
  <c r="DD45" i="21"/>
  <c r="DD186" i="21"/>
  <c r="JN45" i="21"/>
  <c r="JN186" i="21"/>
  <c r="DE45" i="21"/>
  <c r="DE186" i="21"/>
  <c r="EA45" i="21"/>
  <c r="EA186" i="21"/>
  <c r="HM45" i="21"/>
  <c r="HM186" i="21"/>
  <c r="II45" i="21"/>
  <c r="II186" i="21"/>
  <c r="HO45" i="21"/>
  <c r="HO186" i="21"/>
  <c r="IR45" i="21"/>
  <c r="IR186" i="21"/>
  <c r="JI45" i="21"/>
  <c r="JI186" i="21"/>
  <c r="CQ45" i="21"/>
  <c r="CQ186" i="21"/>
  <c r="GM45" i="21"/>
  <c r="GM186" i="21"/>
  <c r="BJ45" i="21"/>
  <c r="BJ186" i="21"/>
  <c r="AZ45" i="21"/>
  <c r="AZ186" i="21"/>
  <c r="IH45" i="21"/>
  <c r="IH186" i="21"/>
  <c r="CE45" i="21"/>
  <c r="CE186" i="21"/>
  <c r="IM45" i="21"/>
  <c r="IM186" i="21"/>
  <c r="GX45" i="21"/>
  <c r="GX186" i="21"/>
  <c r="BP45" i="21"/>
  <c r="BP186" i="21"/>
  <c r="HN45" i="21"/>
  <c r="HN186" i="21"/>
  <c r="N40" i="21"/>
  <c r="N58" i="21"/>
  <c r="N66" i="21" s="1"/>
  <c r="T39" i="21"/>
  <c r="T40" i="21" s="1"/>
  <c r="FR39" i="21"/>
  <c r="FR40" i="21" s="1"/>
  <c r="GH39" i="21"/>
  <c r="GH40" i="21" s="1"/>
  <c r="AU39" i="21"/>
  <c r="AU40" i="21" s="1"/>
  <c r="BK39" i="21"/>
  <c r="BK40" i="21" s="1"/>
  <c r="R39" i="21"/>
  <c r="R40" i="21" s="1"/>
  <c r="FF39" i="21"/>
  <c r="FF40" i="21" s="1"/>
  <c r="GE39" i="21"/>
  <c r="GE40" i="21" s="1"/>
  <c r="GY39" i="21"/>
  <c r="GY40" i="21" s="1"/>
  <c r="FS39" i="21"/>
  <c r="FS40" i="21" s="1"/>
  <c r="DK39" i="21"/>
  <c r="DK40" i="21" s="1"/>
  <c r="CF39" i="21"/>
  <c r="CF40" i="21" s="1"/>
  <c r="FH39" i="21"/>
  <c r="FH40" i="21" s="1"/>
  <c r="DW39" i="21"/>
  <c r="DW40" i="21" s="1"/>
  <c r="AE39" i="21"/>
  <c r="AE40" i="21" s="1"/>
  <c r="DF39" i="21"/>
  <c r="DF40" i="21" s="1"/>
  <c r="BE39" i="21"/>
  <c r="BE40" i="21" s="1"/>
  <c r="ID39" i="21"/>
  <c r="ID40" i="21" s="1"/>
  <c r="DL39" i="21"/>
  <c r="DL40" i="21" s="1"/>
  <c r="GU39" i="21"/>
  <c r="GU40" i="21" s="1"/>
  <c r="JK39" i="21"/>
  <c r="JK40" i="21" s="1"/>
  <c r="IA39" i="21"/>
  <c r="IA40" i="21" s="1"/>
  <c r="EM39" i="21"/>
  <c r="EM40" i="21" s="1"/>
  <c r="O113" i="21"/>
  <c r="O122" i="21"/>
  <c r="O141" i="21" s="1"/>
  <c r="O92" i="21"/>
  <c r="O138" i="21" s="1"/>
  <c r="O83" i="21"/>
  <c r="O170" i="21" s="1"/>
  <c r="P77" i="21"/>
  <c r="P74" i="21"/>
  <c r="P87" i="21" s="1"/>
  <c r="P88" i="21" s="1"/>
  <c r="P75" i="21"/>
  <c r="P106" i="21"/>
  <c r="P103" i="21"/>
  <c r="P117" i="21" s="1"/>
  <c r="P118" i="21" s="1"/>
  <c r="P104" i="21"/>
  <c r="P102" i="21"/>
  <c r="P110" i="21" s="1"/>
  <c r="FA37" i="21"/>
  <c r="AA37" i="21"/>
  <c r="GS37" i="21"/>
  <c r="FE37" i="21"/>
  <c r="CC37" i="21"/>
  <c r="Q37" i="21"/>
  <c r="IC37" i="21"/>
  <c r="EO37" i="21"/>
  <c r="DA37" i="21"/>
  <c r="GI37" i="21"/>
  <c r="JL37" i="21"/>
  <c r="DV37" i="21"/>
  <c r="JJ37" i="21"/>
  <c r="FU37" i="21"/>
  <c r="CR37" i="21"/>
  <c r="HB37" i="21"/>
  <c r="JW37" i="21"/>
  <c r="FM37" i="21"/>
  <c r="BL37" i="21"/>
  <c r="AV37" i="21"/>
  <c r="FD37" i="21"/>
  <c r="P37" i="21"/>
  <c r="HA37" i="21"/>
  <c r="EQ37" i="21"/>
  <c r="HK37" i="21"/>
  <c r="AB37" i="21"/>
  <c r="EW37" i="21"/>
  <c r="IO37" i="21"/>
  <c r="EY37" i="21"/>
  <c r="KE37" i="21"/>
  <c r="IY37" i="21"/>
  <c r="CY37" i="21"/>
  <c r="HC37" i="21"/>
  <c r="DU37" i="21"/>
  <c r="U37" i="21"/>
  <c r="EG37" i="21"/>
  <c r="DM37" i="21"/>
  <c r="KC37" i="21"/>
  <c r="HP37" i="21"/>
  <c r="AS37" i="21"/>
  <c r="DO37" i="21"/>
  <c r="DQ37" i="21"/>
  <c r="KB37" i="21"/>
  <c r="FY37" i="21"/>
  <c r="GZ37" i="21"/>
  <c r="GN37" i="21"/>
  <c r="CD37" i="21"/>
  <c r="KF37" i="21"/>
  <c r="EE37" i="21"/>
  <c r="DG37" i="21"/>
  <c r="JU37" i="21"/>
  <c r="IV37" i="21"/>
  <c r="BI37" i="21"/>
  <c r="HY37" i="21"/>
  <c r="JP37" i="21"/>
  <c r="AY37" i="21"/>
  <c r="AW37" i="21"/>
  <c r="AD37" i="21"/>
  <c r="DI37" i="21"/>
  <c r="AX37" i="21"/>
  <c r="AH37" i="21"/>
  <c r="CK37" i="21"/>
  <c r="GC37" i="21"/>
  <c r="GJ37" i="21"/>
  <c r="HQ37" i="21"/>
  <c r="HT37" i="21"/>
  <c r="CB37" i="21"/>
  <c r="IX37" i="21"/>
  <c r="IS37" i="21"/>
  <c r="GW37" i="21"/>
  <c r="AF37" i="21"/>
  <c r="EP37" i="21"/>
  <c r="CT37" i="21"/>
  <c r="FX37" i="21"/>
  <c r="GL37" i="21"/>
  <c r="HI37" i="21"/>
  <c r="BG37" i="21"/>
  <c r="BW37" i="21"/>
  <c r="ER37" i="21"/>
  <c r="BS37" i="21"/>
  <c r="DY37" i="21"/>
  <c r="GK37" i="21"/>
  <c r="HD37" i="21"/>
  <c r="EB37" i="21"/>
  <c r="HS37" i="21"/>
  <c r="FP37" i="21"/>
  <c r="FT37" i="21"/>
  <c r="IZ37" i="21"/>
  <c r="BM37" i="21"/>
  <c r="JH37" i="21"/>
  <c r="FQ37" i="21"/>
  <c r="BN37" i="21"/>
  <c r="AJ37" i="21"/>
  <c r="AC37" i="21"/>
  <c r="JO37" i="21"/>
  <c r="IW37" i="21"/>
  <c r="DH37" i="21"/>
  <c r="JM37" i="21"/>
  <c r="DX37" i="21"/>
  <c r="O37" i="21"/>
  <c r="IF37" i="21"/>
  <c r="CS37" i="21"/>
  <c r="FV37" i="21"/>
  <c r="JG37" i="21"/>
  <c r="AG37" i="21"/>
  <c r="JY37" i="21"/>
  <c r="IJ37" i="21"/>
  <c r="KD37" i="21"/>
  <c r="GG37" i="21"/>
  <c r="Y37" i="21"/>
  <c r="EN37" i="21"/>
  <c r="BA37" i="21"/>
  <c r="P15" i="21"/>
  <c r="Q11" i="21"/>
  <c r="P7" i="21"/>
  <c r="N11" i="10"/>
  <c r="M7" i="10"/>
  <c r="FE14" i="26" l="1"/>
  <c r="FE6" i="26"/>
  <c r="FF10" i="26"/>
  <c r="P109" i="21"/>
  <c r="O171" i="21"/>
  <c r="O157" i="21"/>
  <c r="AG147" i="21"/>
  <c r="AG161" i="21"/>
  <c r="DH147" i="21"/>
  <c r="DH161" i="21"/>
  <c r="BM147" i="21"/>
  <c r="BM161" i="21"/>
  <c r="DY147" i="21"/>
  <c r="DY161" i="21"/>
  <c r="CT147" i="21"/>
  <c r="CT161" i="21"/>
  <c r="HQ147" i="21"/>
  <c r="HQ161" i="21"/>
  <c r="AW147" i="21"/>
  <c r="AW161" i="21"/>
  <c r="EE147" i="21"/>
  <c r="EE161" i="21"/>
  <c r="DO147" i="21"/>
  <c r="DO161" i="21"/>
  <c r="HC147" i="21"/>
  <c r="HC161" i="21"/>
  <c r="HK147" i="21"/>
  <c r="HK161" i="21"/>
  <c r="JW147" i="21"/>
  <c r="JW161" i="21"/>
  <c r="DA147" i="21"/>
  <c r="DA161" i="21"/>
  <c r="FA147" i="21"/>
  <c r="FA161" i="21"/>
  <c r="BA147" i="21"/>
  <c r="BA161" i="21"/>
  <c r="JG147" i="21"/>
  <c r="JG161" i="21"/>
  <c r="IW147" i="21"/>
  <c r="IW161" i="21"/>
  <c r="IZ147" i="21"/>
  <c r="IZ161" i="21"/>
  <c r="BS147" i="21"/>
  <c r="BS161" i="21"/>
  <c r="EP147" i="21"/>
  <c r="EP161" i="21"/>
  <c r="GJ147" i="21"/>
  <c r="GJ161" i="21"/>
  <c r="AY147" i="21"/>
  <c r="AY161" i="21"/>
  <c r="KF147" i="21"/>
  <c r="KF161" i="21"/>
  <c r="AS147" i="21"/>
  <c r="AS161" i="21"/>
  <c r="CY147" i="21"/>
  <c r="CY161" i="21"/>
  <c r="EQ147" i="21"/>
  <c r="EQ161" i="21"/>
  <c r="HB147" i="21"/>
  <c r="HB161" i="21"/>
  <c r="EO147" i="21"/>
  <c r="EO161" i="21"/>
  <c r="EN147" i="21"/>
  <c r="EN161" i="21"/>
  <c r="FV147" i="21"/>
  <c r="FV161" i="21"/>
  <c r="JO147" i="21"/>
  <c r="JO161" i="21"/>
  <c r="FT147" i="21"/>
  <c r="FT161" i="21"/>
  <c r="ER147" i="21"/>
  <c r="ER161" i="21"/>
  <c r="AF147" i="21"/>
  <c r="AF161" i="21"/>
  <c r="GC147" i="21"/>
  <c r="GC161" i="21"/>
  <c r="JP147" i="21"/>
  <c r="JP161" i="21"/>
  <c r="CD147" i="21"/>
  <c r="CD161" i="21"/>
  <c r="HP147" i="21"/>
  <c r="HP161" i="21"/>
  <c r="IY147" i="21"/>
  <c r="IY161" i="21"/>
  <c r="HA147" i="21"/>
  <c r="HA161" i="21"/>
  <c r="CR147" i="21"/>
  <c r="CR161" i="21"/>
  <c r="IC147" i="21"/>
  <c r="IC161" i="21"/>
  <c r="Y147" i="21"/>
  <c r="Y161" i="21"/>
  <c r="CS147" i="21"/>
  <c r="CS161" i="21"/>
  <c r="AC147" i="21"/>
  <c r="AC161" i="21"/>
  <c r="FP147" i="21"/>
  <c r="FP161" i="21"/>
  <c r="BW147" i="21"/>
  <c r="BW161" i="21"/>
  <c r="GW147" i="21"/>
  <c r="GW161" i="21"/>
  <c r="CK147" i="21"/>
  <c r="CK161" i="21"/>
  <c r="HY147" i="21"/>
  <c r="HY161" i="21"/>
  <c r="GN147" i="21"/>
  <c r="GN161" i="21"/>
  <c r="KC147" i="21"/>
  <c r="KC161" i="21"/>
  <c r="KE147" i="21"/>
  <c r="KE161" i="21"/>
  <c r="P147" i="21"/>
  <c r="P161" i="21"/>
  <c r="FU147" i="21"/>
  <c r="FU161" i="21"/>
  <c r="Q147" i="21"/>
  <c r="Q161" i="21"/>
  <c r="GG147" i="21"/>
  <c r="GG161" i="21"/>
  <c r="IF147" i="21"/>
  <c r="IF161" i="21"/>
  <c r="AJ147" i="21"/>
  <c r="AJ161" i="21"/>
  <c r="HS147" i="21"/>
  <c r="HS161" i="21"/>
  <c r="BG147" i="21"/>
  <c r="BG161" i="21"/>
  <c r="IS147" i="21"/>
  <c r="IS161" i="21"/>
  <c r="AH147" i="21"/>
  <c r="AH161" i="21"/>
  <c r="BI147" i="21"/>
  <c r="BI161" i="21"/>
  <c r="GZ147" i="21"/>
  <c r="GZ161" i="21"/>
  <c r="DM147" i="21"/>
  <c r="DM161" i="21"/>
  <c r="EY147" i="21"/>
  <c r="EY161" i="21"/>
  <c r="FD147" i="21"/>
  <c r="FD161" i="21"/>
  <c r="JJ147" i="21"/>
  <c r="JJ161" i="21"/>
  <c r="CC147" i="21"/>
  <c r="CC161" i="21"/>
  <c r="KD147" i="21"/>
  <c r="KD161" i="21"/>
  <c r="O147" i="21"/>
  <c r="O161" i="21"/>
  <c r="BN147" i="21"/>
  <c r="BN161" i="21"/>
  <c r="EB147" i="21"/>
  <c r="EB161" i="21"/>
  <c r="HI147" i="21"/>
  <c r="HI161" i="21"/>
  <c r="IX147" i="21"/>
  <c r="IX161" i="21"/>
  <c r="AX147" i="21"/>
  <c r="AX161" i="21"/>
  <c r="IV147" i="21"/>
  <c r="IV161" i="21"/>
  <c r="FY147" i="21"/>
  <c r="FY161" i="21"/>
  <c r="EG147" i="21"/>
  <c r="EG161" i="21"/>
  <c r="IO147" i="21"/>
  <c r="IO161" i="21"/>
  <c r="AV147" i="21"/>
  <c r="AV161" i="21"/>
  <c r="DV147" i="21"/>
  <c r="DV161" i="21"/>
  <c r="FE147" i="21"/>
  <c r="FE161" i="21"/>
  <c r="IJ147" i="21"/>
  <c r="IJ161" i="21"/>
  <c r="DX147" i="21"/>
  <c r="DX161" i="21"/>
  <c r="FQ147" i="21"/>
  <c r="FQ161" i="21"/>
  <c r="HD147" i="21"/>
  <c r="HD161" i="21"/>
  <c r="GL147" i="21"/>
  <c r="GL161" i="21"/>
  <c r="CB147" i="21"/>
  <c r="CB161" i="21"/>
  <c r="DI147" i="21"/>
  <c r="DI161" i="21"/>
  <c r="JU147" i="21"/>
  <c r="JU161" i="21"/>
  <c r="KB147" i="21"/>
  <c r="KB161" i="21"/>
  <c r="U147" i="21"/>
  <c r="U161" i="21"/>
  <c r="EW147" i="21"/>
  <c r="EW161" i="21"/>
  <c r="BL147" i="21"/>
  <c r="BL161" i="21"/>
  <c r="JL147" i="21"/>
  <c r="JL161" i="21"/>
  <c r="GS147" i="21"/>
  <c r="GS161" i="21"/>
  <c r="JY147" i="21"/>
  <c r="JY161" i="21"/>
  <c r="JM147" i="21"/>
  <c r="JM161" i="21"/>
  <c r="JH147" i="21"/>
  <c r="JH161" i="21"/>
  <c r="GK147" i="21"/>
  <c r="GK161" i="21"/>
  <c r="FX147" i="21"/>
  <c r="FX161" i="21"/>
  <c r="HT147" i="21"/>
  <c r="HT161" i="21"/>
  <c r="AD147" i="21"/>
  <c r="AD161" i="21"/>
  <c r="DG147" i="21"/>
  <c r="DG161" i="21"/>
  <c r="DQ147" i="21"/>
  <c r="DQ161" i="21"/>
  <c r="DU147" i="21"/>
  <c r="DU161" i="21"/>
  <c r="AB147" i="21"/>
  <c r="AB161" i="21"/>
  <c r="FM147" i="21"/>
  <c r="FM161" i="21"/>
  <c r="GI147" i="21"/>
  <c r="GI161" i="21"/>
  <c r="AA147" i="21"/>
  <c r="AA161" i="21"/>
  <c r="JK45" i="21"/>
  <c r="JK186" i="21"/>
  <c r="FH45" i="21"/>
  <c r="FH186" i="21"/>
  <c r="BK45" i="21"/>
  <c r="BK186" i="21"/>
  <c r="IA45" i="21"/>
  <c r="IA186" i="21"/>
  <c r="R45" i="21"/>
  <c r="R186" i="21"/>
  <c r="GU45" i="21"/>
  <c r="GU186" i="21"/>
  <c r="CF45" i="21"/>
  <c r="CF186" i="21"/>
  <c r="AU45" i="21"/>
  <c r="AU186" i="21"/>
  <c r="DW45" i="21"/>
  <c r="DW186" i="21"/>
  <c r="DL45" i="21"/>
  <c r="DL186" i="21"/>
  <c r="DK45" i="21"/>
  <c r="DK186" i="21"/>
  <c r="GH45" i="21"/>
  <c r="GH186" i="21"/>
  <c r="ID45" i="21"/>
  <c r="ID186" i="21"/>
  <c r="FS45" i="21"/>
  <c r="FS186" i="21"/>
  <c r="FR45" i="21"/>
  <c r="FR186" i="21"/>
  <c r="BE45" i="21"/>
  <c r="BE186" i="21"/>
  <c r="GY45" i="21"/>
  <c r="GY186" i="21"/>
  <c r="T45" i="21"/>
  <c r="T186" i="21"/>
  <c r="DF45" i="21"/>
  <c r="DF186" i="21"/>
  <c r="GE45" i="21"/>
  <c r="GE186" i="21"/>
  <c r="EM45" i="21"/>
  <c r="EM186" i="21"/>
  <c r="AE45" i="21"/>
  <c r="AE186" i="21"/>
  <c r="FF45" i="21"/>
  <c r="FF186" i="21"/>
  <c r="N45" i="21"/>
  <c r="N49" i="21" s="1"/>
  <c r="N50" i="21" s="1"/>
  <c r="N186" i="21"/>
  <c r="P80" i="21"/>
  <c r="O59" i="21"/>
  <c r="O61" i="21" s="1"/>
  <c r="HI39" i="21"/>
  <c r="HI40" i="21" s="1"/>
  <c r="EP39" i="21"/>
  <c r="EP40" i="21" s="1"/>
  <c r="IX39" i="21"/>
  <c r="IX40" i="21" s="1"/>
  <c r="GJ39" i="21"/>
  <c r="GJ40" i="21" s="1"/>
  <c r="AX39" i="21"/>
  <c r="AX40" i="21" s="1"/>
  <c r="AY39" i="21"/>
  <c r="AY40" i="21" s="1"/>
  <c r="IV39" i="21"/>
  <c r="IV40" i="21" s="1"/>
  <c r="KF39" i="21"/>
  <c r="KF40" i="21" s="1"/>
  <c r="FY39" i="21"/>
  <c r="FY40" i="21" s="1"/>
  <c r="AS39" i="21"/>
  <c r="AS40" i="21" s="1"/>
  <c r="EG39" i="21"/>
  <c r="EG40" i="21" s="1"/>
  <c r="CY39" i="21"/>
  <c r="CY40" i="21" s="1"/>
  <c r="IO39" i="21"/>
  <c r="IO40" i="21" s="1"/>
  <c r="EQ39" i="21"/>
  <c r="EQ40" i="21" s="1"/>
  <c r="AV39" i="21"/>
  <c r="AV40" i="21" s="1"/>
  <c r="HB39" i="21"/>
  <c r="HB40" i="21" s="1"/>
  <c r="DV39" i="21"/>
  <c r="DV40" i="21" s="1"/>
  <c r="EO39" i="21"/>
  <c r="EO40" i="21" s="1"/>
  <c r="FE39" i="21"/>
  <c r="FE40" i="21" s="1"/>
  <c r="EN39" i="21"/>
  <c r="EN40" i="21" s="1"/>
  <c r="IJ39" i="21"/>
  <c r="IJ40" i="21" s="1"/>
  <c r="FV39" i="21"/>
  <c r="FV40" i="21" s="1"/>
  <c r="DX39" i="21"/>
  <c r="DX40" i="21" s="1"/>
  <c r="JO39" i="21"/>
  <c r="JO40" i="21" s="1"/>
  <c r="FQ39" i="21"/>
  <c r="FQ40" i="21" s="1"/>
  <c r="FT39" i="21"/>
  <c r="FT40" i="21" s="1"/>
  <c r="HD39" i="21"/>
  <c r="HD40" i="21" s="1"/>
  <c r="ER39" i="21"/>
  <c r="ER40" i="21" s="1"/>
  <c r="GL39" i="21"/>
  <c r="GL40" i="21" s="1"/>
  <c r="AF39" i="21"/>
  <c r="AF40" i="21" s="1"/>
  <c r="CB39" i="21"/>
  <c r="CB40" i="21" s="1"/>
  <c r="GC39" i="21"/>
  <c r="GC40" i="21" s="1"/>
  <c r="DI39" i="21"/>
  <c r="DI40" i="21" s="1"/>
  <c r="JP39" i="21"/>
  <c r="JP40" i="21" s="1"/>
  <c r="JU39" i="21"/>
  <c r="JU40" i="21" s="1"/>
  <c r="CD39" i="21"/>
  <c r="CD40" i="21" s="1"/>
  <c r="KB39" i="21"/>
  <c r="KB40" i="21" s="1"/>
  <c r="HP39" i="21"/>
  <c r="HP40" i="21" s="1"/>
  <c r="U39" i="21"/>
  <c r="U40" i="21" s="1"/>
  <c r="IY39" i="21"/>
  <c r="IY40" i="21" s="1"/>
  <c r="EW39" i="21"/>
  <c r="EW40" i="21" s="1"/>
  <c r="HA39" i="21"/>
  <c r="HA40" i="21" s="1"/>
  <c r="BL39" i="21"/>
  <c r="BL40" i="21" s="1"/>
  <c r="CR39" i="21"/>
  <c r="CR40" i="21" s="1"/>
  <c r="JL39" i="21"/>
  <c r="JL40" i="21" s="1"/>
  <c r="IC39" i="21"/>
  <c r="IC40" i="21" s="1"/>
  <c r="GS39" i="21"/>
  <c r="GS40" i="21" s="1"/>
  <c r="Y39" i="21"/>
  <c r="Y40" i="21" s="1"/>
  <c r="JY39" i="21"/>
  <c r="JY40" i="21" s="1"/>
  <c r="CS39" i="21"/>
  <c r="CS40" i="21" s="1"/>
  <c r="JM39" i="21"/>
  <c r="JM40" i="21" s="1"/>
  <c r="AC39" i="21"/>
  <c r="AC40" i="21" s="1"/>
  <c r="JH39" i="21"/>
  <c r="JH40" i="21" s="1"/>
  <c r="FP39" i="21"/>
  <c r="FP40" i="21" s="1"/>
  <c r="GK39" i="21"/>
  <c r="GK40" i="21" s="1"/>
  <c r="BW39" i="21"/>
  <c r="BW40" i="21" s="1"/>
  <c r="FX39" i="21"/>
  <c r="FX40" i="21" s="1"/>
  <c r="GW39" i="21"/>
  <c r="GW40" i="21" s="1"/>
  <c r="HT39" i="21"/>
  <c r="HT40" i="21" s="1"/>
  <c r="CK39" i="21"/>
  <c r="CK40" i="21" s="1"/>
  <c r="AD39" i="21"/>
  <c r="AD40" i="21" s="1"/>
  <c r="HY39" i="21"/>
  <c r="HY40" i="21" s="1"/>
  <c r="DG39" i="21"/>
  <c r="DG40" i="21" s="1"/>
  <c r="GN39" i="21"/>
  <c r="GN40" i="21" s="1"/>
  <c r="DQ39" i="21"/>
  <c r="DQ40" i="21" s="1"/>
  <c r="KC39" i="21"/>
  <c r="KC40" i="21" s="1"/>
  <c r="DU39" i="21"/>
  <c r="DU40" i="21" s="1"/>
  <c r="KE39" i="21"/>
  <c r="KE40" i="21" s="1"/>
  <c r="AB39" i="21"/>
  <c r="AB40" i="21" s="1"/>
  <c r="P39" i="21"/>
  <c r="P40" i="21" s="1"/>
  <c r="FM39" i="21"/>
  <c r="FM40" i="21" s="1"/>
  <c r="FU39" i="21"/>
  <c r="FU40" i="21" s="1"/>
  <c r="GI39" i="21"/>
  <c r="GI40" i="21" s="1"/>
  <c r="Q39" i="21"/>
  <c r="Q40" i="21" s="1"/>
  <c r="AA39" i="21"/>
  <c r="AA40" i="21" s="1"/>
  <c r="GG39" i="21"/>
  <c r="GG40" i="21" s="1"/>
  <c r="AG39" i="21"/>
  <c r="AG40" i="21" s="1"/>
  <c r="IF39" i="21"/>
  <c r="IF40" i="21" s="1"/>
  <c r="DH39" i="21"/>
  <c r="DH40" i="21" s="1"/>
  <c r="AJ39" i="21"/>
  <c r="AJ40" i="21" s="1"/>
  <c r="BM39" i="21"/>
  <c r="BM40" i="21" s="1"/>
  <c r="HS39" i="21"/>
  <c r="HS40" i="21" s="1"/>
  <c r="DY39" i="21"/>
  <c r="DY40" i="21" s="1"/>
  <c r="BG39" i="21"/>
  <c r="BG40" i="21" s="1"/>
  <c r="CT39" i="21"/>
  <c r="CT40" i="21" s="1"/>
  <c r="IS39" i="21"/>
  <c r="IS40" i="21" s="1"/>
  <c r="HQ39" i="21"/>
  <c r="HQ40" i="21" s="1"/>
  <c r="AH39" i="21"/>
  <c r="AH40" i="21" s="1"/>
  <c r="AW39" i="21"/>
  <c r="AW40" i="21" s="1"/>
  <c r="BI39" i="21"/>
  <c r="BI40" i="21" s="1"/>
  <c r="EE39" i="21"/>
  <c r="EE40" i="21" s="1"/>
  <c r="GZ39" i="21"/>
  <c r="GZ40" i="21" s="1"/>
  <c r="DO39" i="21"/>
  <c r="DO40" i="21" s="1"/>
  <c r="DM39" i="21"/>
  <c r="DM40" i="21" s="1"/>
  <c r="HC39" i="21"/>
  <c r="HC40" i="21" s="1"/>
  <c r="EY39" i="21"/>
  <c r="EY40" i="21" s="1"/>
  <c r="HK39" i="21"/>
  <c r="HK40" i="21" s="1"/>
  <c r="FD39" i="21"/>
  <c r="FD40" i="21" s="1"/>
  <c r="JW39" i="21"/>
  <c r="JW40" i="21" s="1"/>
  <c r="JJ39" i="21"/>
  <c r="JJ40" i="21" s="1"/>
  <c r="DA39" i="21"/>
  <c r="DA40" i="21" s="1"/>
  <c r="CC39" i="21"/>
  <c r="CC40" i="21" s="1"/>
  <c r="FA39" i="21"/>
  <c r="FA40" i="21" s="1"/>
  <c r="BA39" i="21"/>
  <c r="BA40" i="21" s="1"/>
  <c r="KD39" i="21"/>
  <c r="KD40" i="21" s="1"/>
  <c r="JG39" i="21"/>
  <c r="JG40" i="21" s="1"/>
  <c r="O39" i="21"/>
  <c r="O40" i="21" s="1"/>
  <c r="O186" i="21" s="1"/>
  <c r="IW39" i="21"/>
  <c r="IW40" i="21" s="1"/>
  <c r="BN39" i="21"/>
  <c r="BN40" i="21" s="1"/>
  <c r="IZ39" i="21"/>
  <c r="IZ40" i="21" s="1"/>
  <c r="EB39" i="21"/>
  <c r="EB40" i="21" s="1"/>
  <c r="BS39" i="21"/>
  <c r="BS40" i="21" s="1"/>
  <c r="P82" i="21"/>
  <c r="O96" i="21"/>
  <c r="O97" i="21" s="1"/>
  <c r="P95" i="21" s="1"/>
  <c r="P76" i="21"/>
  <c r="P81" i="21" s="1"/>
  <c r="P137" i="21" s="1"/>
  <c r="P91" i="21"/>
  <c r="O126" i="21"/>
  <c r="O127" i="21" s="1"/>
  <c r="P125" i="21" s="1"/>
  <c r="P112" i="21"/>
  <c r="P121" i="21"/>
  <c r="P105" i="21"/>
  <c r="P111" i="21" s="1"/>
  <c r="P140" i="21" s="1"/>
  <c r="JX37" i="21"/>
  <c r="FN37" i="21"/>
  <c r="CU37" i="21"/>
  <c r="JE37" i="21"/>
  <c r="JR37" i="21"/>
  <c r="FK37" i="21"/>
  <c r="CW37" i="21"/>
  <c r="CG37" i="21"/>
  <c r="BV37" i="21"/>
  <c r="CZ37" i="21"/>
  <c r="ED37" i="21"/>
  <c r="JS37" i="21"/>
  <c r="KH37" i="21"/>
  <c r="EV37" i="21"/>
  <c r="GR37" i="21"/>
  <c r="GT37" i="21"/>
  <c r="CJ37" i="21"/>
  <c r="AP37" i="21"/>
  <c r="BR37" i="21"/>
  <c r="HH37" i="21"/>
  <c r="BT37" i="21"/>
  <c r="FJ37" i="21"/>
  <c r="HE37" i="21"/>
  <c r="DP37" i="21"/>
  <c r="GA37" i="21"/>
  <c r="CL37" i="21"/>
  <c r="HF37" i="21"/>
  <c r="W37" i="21"/>
  <c r="GQ37" i="21"/>
  <c r="JV37" i="21"/>
  <c r="BD37" i="21"/>
  <c r="GD37" i="21"/>
  <c r="ES37" i="21"/>
  <c r="GP37" i="21"/>
  <c r="JA37" i="21"/>
  <c r="EC37" i="21"/>
  <c r="FI37" i="21"/>
  <c r="Z37" i="21"/>
  <c r="CH37" i="21"/>
  <c r="HG37" i="21"/>
  <c r="DB37" i="21"/>
  <c r="BC37" i="21"/>
  <c r="FW37" i="21"/>
  <c r="IL37" i="21"/>
  <c r="FZ37" i="21"/>
  <c r="X37" i="21"/>
  <c r="KG37" i="21"/>
  <c r="JQ37" i="21"/>
  <c r="EU37" i="21"/>
  <c r="GO37" i="21"/>
  <c r="HW37" i="21"/>
  <c r="HV37" i="21"/>
  <c r="JB37" i="21"/>
  <c r="BQ37" i="21"/>
  <c r="AL37" i="21"/>
  <c r="DR37" i="21"/>
  <c r="HU37" i="21"/>
  <c r="DN37" i="21"/>
  <c r="AI37" i="21"/>
  <c r="HZ37" i="21"/>
  <c r="GB37" i="21"/>
  <c r="JD37" i="21"/>
  <c r="CI37" i="21"/>
  <c r="JF37" i="21"/>
  <c r="IN37" i="21"/>
  <c r="JT37" i="21"/>
  <c r="IK37" i="21"/>
  <c r="CX37" i="21"/>
  <c r="HX37" i="21"/>
  <c r="HJ37" i="21"/>
  <c r="BF37" i="21"/>
  <c r="BB37" i="21"/>
  <c r="AO37" i="21"/>
  <c r="AK37" i="21"/>
  <c r="EX37" i="21"/>
  <c r="EH37" i="21"/>
  <c r="V37" i="21"/>
  <c r="JC37" i="21"/>
  <c r="KI37" i="21"/>
  <c r="ET37" i="21"/>
  <c r="IP37" i="21"/>
  <c r="AM37" i="21"/>
  <c r="FL37" i="21"/>
  <c r="BU37" i="21"/>
  <c r="EF37" i="21"/>
  <c r="AN37" i="21"/>
  <c r="Q13" i="21"/>
  <c r="Q5" i="21" s="1"/>
  <c r="Q14" i="21"/>
  <c r="Q6" i="21" s="1"/>
  <c r="Q12" i="21"/>
  <c r="Q132" i="21" s="1"/>
  <c r="N14" i="10"/>
  <c r="N6" i="10" s="1"/>
  <c r="N13" i="10"/>
  <c r="N5" i="10" s="1"/>
  <c r="N12" i="10"/>
  <c r="N15" i="10" s="1"/>
  <c r="FF13" i="26" l="1"/>
  <c r="FF5" i="26" s="1"/>
  <c r="FF11" i="26"/>
  <c r="FF12" i="26"/>
  <c r="FF4" i="26" s="1"/>
  <c r="O48" i="21"/>
  <c r="N172" i="21"/>
  <c r="N173" i="21" s="1"/>
  <c r="AN147" i="21"/>
  <c r="AN161" i="21"/>
  <c r="JC147" i="21"/>
  <c r="JC161" i="21"/>
  <c r="BF147" i="21"/>
  <c r="BF161" i="21"/>
  <c r="FJ147" i="21"/>
  <c r="FJ161" i="21"/>
  <c r="EV147" i="21"/>
  <c r="EV161" i="21"/>
  <c r="JF147" i="21"/>
  <c r="JF161" i="21"/>
  <c r="DR147" i="21"/>
  <c r="DR161" i="21"/>
  <c r="EU147" i="21"/>
  <c r="EU161" i="21"/>
  <c r="BC147" i="21"/>
  <c r="BC161" i="21"/>
  <c r="GP147" i="21"/>
  <c r="GP161" i="21"/>
  <c r="HF147" i="21"/>
  <c r="HF161" i="21"/>
  <c r="FK147" i="21"/>
  <c r="FK161" i="21"/>
  <c r="EF147" i="21"/>
  <c r="EF161" i="21"/>
  <c r="V147" i="21"/>
  <c r="V161" i="21"/>
  <c r="HJ147" i="21"/>
  <c r="HJ161" i="21"/>
  <c r="BT147" i="21"/>
  <c r="BT161" i="21"/>
  <c r="KH147" i="21"/>
  <c r="KH161" i="21"/>
  <c r="CI147" i="21"/>
  <c r="CI161" i="21"/>
  <c r="JQ147" i="21"/>
  <c r="JQ161" i="21"/>
  <c r="DB147" i="21"/>
  <c r="DB161" i="21"/>
  <c r="CL147" i="21"/>
  <c r="CL161" i="21"/>
  <c r="JR147" i="21"/>
  <c r="JR161" i="21"/>
  <c r="BU147" i="21"/>
  <c r="BU161" i="21"/>
  <c r="EH147" i="21"/>
  <c r="EH161" i="21"/>
  <c r="HX147" i="21"/>
  <c r="HX161" i="21"/>
  <c r="HH147" i="21"/>
  <c r="HH161" i="21"/>
  <c r="JS147" i="21"/>
  <c r="JS161" i="21"/>
  <c r="JD147" i="21"/>
  <c r="JD161" i="21"/>
  <c r="AL147" i="21"/>
  <c r="AL161" i="21"/>
  <c r="KG147" i="21"/>
  <c r="KG161" i="21"/>
  <c r="HG147" i="21"/>
  <c r="HG161" i="21"/>
  <c r="ES147" i="21"/>
  <c r="ES161" i="21"/>
  <c r="GA147" i="21"/>
  <c r="GA161" i="21"/>
  <c r="JE147" i="21"/>
  <c r="JE161" i="21"/>
  <c r="FL147" i="21"/>
  <c r="FL161" i="21"/>
  <c r="CX147" i="21"/>
  <c r="CX161" i="21"/>
  <c r="BR147" i="21"/>
  <c r="BR161" i="21"/>
  <c r="GB147" i="21"/>
  <c r="GB161" i="21"/>
  <c r="BQ147" i="21"/>
  <c r="BQ161" i="21"/>
  <c r="X147" i="21"/>
  <c r="X161" i="21"/>
  <c r="CH147" i="21"/>
  <c r="CH161" i="21"/>
  <c r="GD147" i="21"/>
  <c r="GD161" i="21"/>
  <c r="DP147" i="21"/>
  <c r="DP161" i="21"/>
  <c r="ED147" i="21"/>
  <c r="ED161" i="21"/>
  <c r="CU147" i="21"/>
  <c r="CU161" i="21"/>
  <c r="AM147" i="21"/>
  <c r="AM161" i="21"/>
  <c r="EX147" i="21"/>
  <c r="EX161" i="21"/>
  <c r="IK147" i="21"/>
  <c r="IK161" i="21"/>
  <c r="AP147" i="21"/>
  <c r="AP161" i="21"/>
  <c r="HZ147" i="21"/>
  <c r="HZ161" i="21"/>
  <c r="JB147" i="21"/>
  <c r="JB161" i="21"/>
  <c r="FZ147" i="21"/>
  <c r="FZ161" i="21"/>
  <c r="Z147" i="21"/>
  <c r="Z161" i="21"/>
  <c r="BD147" i="21"/>
  <c r="BD161" i="21"/>
  <c r="HE147" i="21"/>
  <c r="HE161" i="21"/>
  <c r="CZ147" i="21"/>
  <c r="CZ161" i="21"/>
  <c r="FN147" i="21"/>
  <c r="FN161" i="21"/>
  <c r="IP147" i="21"/>
  <c r="IP161" i="21"/>
  <c r="AK147" i="21"/>
  <c r="AK161" i="21"/>
  <c r="JT147" i="21"/>
  <c r="JT161" i="21"/>
  <c r="CJ147" i="21"/>
  <c r="CJ161" i="21"/>
  <c r="AI147" i="21"/>
  <c r="AI161" i="21"/>
  <c r="HV147" i="21"/>
  <c r="HV161" i="21"/>
  <c r="FI147" i="21"/>
  <c r="FI161" i="21"/>
  <c r="JV147" i="21"/>
  <c r="JV161" i="21"/>
  <c r="BV147" i="21"/>
  <c r="BV161" i="21"/>
  <c r="JX147" i="21"/>
  <c r="JX161" i="21"/>
  <c r="ET147" i="21"/>
  <c r="ET161" i="21"/>
  <c r="AO147" i="21"/>
  <c r="AO161" i="21"/>
  <c r="GT147" i="21"/>
  <c r="GT161" i="21"/>
  <c r="DN147" i="21"/>
  <c r="DN161" i="21"/>
  <c r="HW147" i="21"/>
  <c r="HW161" i="21"/>
  <c r="IL147" i="21"/>
  <c r="IL161" i="21"/>
  <c r="EC147" i="21"/>
  <c r="EC161" i="21"/>
  <c r="GQ147" i="21"/>
  <c r="GQ161" i="21"/>
  <c r="CG147" i="21"/>
  <c r="CG161" i="21"/>
  <c r="KI147" i="21"/>
  <c r="KI161" i="21"/>
  <c r="BB147" i="21"/>
  <c r="BB161" i="21"/>
  <c r="GR147" i="21"/>
  <c r="GR161" i="21"/>
  <c r="IN147" i="21"/>
  <c r="IN161" i="21"/>
  <c r="HU147" i="21"/>
  <c r="HU161" i="21"/>
  <c r="GO147" i="21"/>
  <c r="GO161" i="21"/>
  <c r="FW147" i="21"/>
  <c r="FW161" i="21"/>
  <c r="JA147" i="21"/>
  <c r="JA161" i="21"/>
  <c r="W147" i="21"/>
  <c r="W161" i="21"/>
  <c r="CW147" i="21"/>
  <c r="CW161" i="21"/>
  <c r="P142" i="21"/>
  <c r="P139" i="21"/>
  <c r="IZ45" i="21"/>
  <c r="IZ186" i="21"/>
  <c r="HY45" i="21"/>
  <c r="HY186" i="21"/>
  <c r="HP45" i="21"/>
  <c r="HP186" i="21"/>
  <c r="FV45" i="21"/>
  <c r="FV186" i="21"/>
  <c r="BN45" i="21"/>
  <c r="BN186" i="21"/>
  <c r="DA45" i="21"/>
  <c r="DA186" i="21"/>
  <c r="DO45" i="21"/>
  <c r="DO186" i="21"/>
  <c r="CT45" i="21"/>
  <c r="CT186" i="21"/>
  <c r="AG45" i="21"/>
  <c r="AG186" i="21"/>
  <c r="AB45" i="21"/>
  <c r="AB186" i="21"/>
  <c r="AD45" i="21"/>
  <c r="AD186" i="21"/>
  <c r="JH45" i="21"/>
  <c r="JH186" i="21"/>
  <c r="JL45" i="21"/>
  <c r="JL186" i="21"/>
  <c r="KB45" i="21"/>
  <c r="KB186" i="21"/>
  <c r="GL45" i="21"/>
  <c r="GL186" i="21"/>
  <c r="IJ45" i="21"/>
  <c r="IJ186" i="21"/>
  <c r="IO45" i="21"/>
  <c r="IO186" i="21"/>
  <c r="AX45" i="21"/>
  <c r="AX186" i="21"/>
  <c r="CC45" i="21"/>
  <c r="CC186" i="21"/>
  <c r="P45" i="21"/>
  <c r="P186" i="21"/>
  <c r="IW45" i="21"/>
  <c r="IW186" i="21"/>
  <c r="JJ45" i="21"/>
  <c r="JJ186" i="21"/>
  <c r="GZ45" i="21"/>
  <c r="GZ186" i="21"/>
  <c r="BG45" i="21"/>
  <c r="BG186" i="21"/>
  <c r="GG45" i="21"/>
  <c r="GG186" i="21"/>
  <c r="KE45" i="21"/>
  <c r="KE186" i="21"/>
  <c r="CK45" i="21"/>
  <c r="CK186" i="21"/>
  <c r="AC45" i="21"/>
  <c r="AC186" i="21"/>
  <c r="CR45" i="21"/>
  <c r="CR186" i="21"/>
  <c r="CD45" i="21"/>
  <c r="CD186" i="21"/>
  <c r="ER45" i="21"/>
  <c r="ER186" i="21"/>
  <c r="EN45" i="21"/>
  <c r="EN186" i="21"/>
  <c r="CY45" i="21"/>
  <c r="CY186" i="21"/>
  <c r="GJ45" i="21"/>
  <c r="GJ186" i="21"/>
  <c r="IS45" i="21"/>
  <c r="IS186" i="21"/>
  <c r="P47" i="21"/>
  <c r="JW45" i="21"/>
  <c r="JW186" i="21"/>
  <c r="EE45" i="21"/>
  <c r="EE186" i="21"/>
  <c r="DY45" i="21"/>
  <c r="DY186" i="21"/>
  <c r="AA45" i="21"/>
  <c r="AA186" i="21"/>
  <c r="DU45" i="21"/>
  <c r="DU186" i="21"/>
  <c r="HT45" i="21"/>
  <c r="HT186" i="21"/>
  <c r="JM45" i="21"/>
  <c r="JM186" i="21"/>
  <c r="BL45" i="21"/>
  <c r="BL186" i="21"/>
  <c r="JU45" i="21"/>
  <c r="JU186" i="21"/>
  <c r="HD45" i="21"/>
  <c r="HD186" i="21"/>
  <c r="FE45" i="21"/>
  <c r="FE186" i="21"/>
  <c r="EG45" i="21"/>
  <c r="EG186" i="21"/>
  <c r="IX45" i="21"/>
  <c r="IX186" i="21"/>
  <c r="FP45" i="21"/>
  <c r="FP186" i="21"/>
  <c r="AF45" i="21"/>
  <c r="AF186" i="21"/>
  <c r="EQ45" i="21"/>
  <c r="EQ186" i="21"/>
  <c r="JG45" i="21"/>
  <c r="JG186" i="21"/>
  <c r="FD45" i="21"/>
  <c r="FD186" i="21"/>
  <c r="BI45" i="21"/>
  <c r="BI186" i="21"/>
  <c r="HS45" i="21"/>
  <c r="HS186" i="21"/>
  <c r="Q45" i="21"/>
  <c r="Q186" i="21"/>
  <c r="KC45" i="21"/>
  <c r="KC186" i="21"/>
  <c r="GW45" i="21"/>
  <c r="GW186" i="21"/>
  <c r="CS45" i="21"/>
  <c r="CS186" i="21"/>
  <c r="HA45" i="21"/>
  <c r="HA186" i="21"/>
  <c r="JP45" i="21"/>
  <c r="JP186" i="21"/>
  <c r="FT45" i="21"/>
  <c r="FT186" i="21"/>
  <c r="EO45" i="21"/>
  <c r="EO186" i="21"/>
  <c r="AS45" i="21"/>
  <c r="AS186" i="21"/>
  <c r="EP45" i="21"/>
  <c r="EP186" i="21"/>
  <c r="AY45" i="21"/>
  <c r="AY186" i="21"/>
  <c r="KD45" i="21"/>
  <c r="KD186" i="21"/>
  <c r="HK45" i="21"/>
  <c r="HK186" i="21"/>
  <c r="AW45" i="21"/>
  <c r="AW186" i="21"/>
  <c r="BM45" i="21"/>
  <c r="BM186" i="21"/>
  <c r="GI45" i="21"/>
  <c r="GI186" i="21"/>
  <c r="DQ45" i="21"/>
  <c r="DQ186" i="21"/>
  <c r="FX45" i="21"/>
  <c r="FX186" i="21"/>
  <c r="JY45" i="21"/>
  <c r="JY186" i="21"/>
  <c r="EW45" i="21"/>
  <c r="EW186" i="21"/>
  <c r="DI45" i="21"/>
  <c r="DI186" i="21"/>
  <c r="FQ45" i="21"/>
  <c r="FQ186" i="21"/>
  <c r="DV45" i="21"/>
  <c r="DV186" i="21"/>
  <c r="FY45" i="21"/>
  <c r="FY186" i="21"/>
  <c r="HI45" i="21"/>
  <c r="HI186" i="21"/>
  <c r="IF45" i="21"/>
  <c r="IF186" i="21"/>
  <c r="BS45" i="21"/>
  <c r="BS186" i="21"/>
  <c r="BA45" i="21"/>
  <c r="BA186" i="21"/>
  <c r="EY45" i="21"/>
  <c r="EY186" i="21"/>
  <c r="AH45" i="21"/>
  <c r="AH186" i="21"/>
  <c r="AJ45" i="21"/>
  <c r="AJ186" i="21"/>
  <c r="FU45" i="21"/>
  <c r="FU186" i="21"/>
  <c r="GN45" i="21"/>
  <c r="GN186" i="21"/>
  <c r="BW45" i="21"/>
  <c r="BW186" i="21"/>
  <c r="Y45" i="21"/>
  <c r="Y186" i="21"/>
  <c r="IY45" i="21"/>
  <c r="IY186" i="21"/>
  <c r="GC45" i="21"/>
  <c r="GC186" i="21"/>
  <c r="JO45" i="21"/>
  <c r="JO186" i="21"/>
  <c r="HB45" i="21"/>
  <c r="HB186" i="21"/>
  <c r="KF45" i="21"/>
  <c r="KF186" i="21"/>
  <c r="DM45" i="21"/>
  <c r="DM186" i="21"/>
  <c r="IC45" i="21"/>
  <c r="IC186" i="21"/>
  <c r="EB45" i="21"/>
  <c r="EB186" i="21"/>
  <c r="FA45" i="21"/>
  <c r="FA186" i="21"/>
  <c r="HC45" i="21"/>
  <c r="HC186" i="21"/>
  <c r="HQ45" i="21"/>
  <c r="HQ186" i="21"/>
  <c r="DH45" i="21"/>
  <c r="DH186" i="21"/>
  <c r="FM45" i="21"/>
  <c r="FM186" i="21"/>
  <c r="DG45" i="21"/>
  <c r="DG186" i="21"/>
  <c r="GK45" i="21"/>
  <c r="GK186" i="21"/>
  <c r="GS45" i="21"/>
  <c r="GS186" i="21"/>
  <c r="U45" i="21"/>
  <c r="U186" i="21"/>
  <c r="CB45" i="21"/>
  <c r="CB186" i="21"/>
  <c r="DX45" i="21"/>
  <c r="DX186" i="21"/>
  <c r="AV45" i="21"/>
  <c r="AV186" i="21"/>
  <c r="IV45" i="21"/>
  <c r="IV186" i="21"/>
  <c r="O45" i="21"/>
  <c r="O49" i="21" s="1"/>
  <c r="O50" i="21" s="1"/>
  <c r="O63" i="21"/>
  <c r="KI39" i="21"/>
  <c r="KI40" i="21" s="1"/>
  <c r="GR39" i="21"/>
  <c r="GR40" i="21" s="1"/>
  <c r="IN39" i="21"/>
  <c r="IN40" i="21" s="1"/>
  <c r="GB39" i="21"/>
  <c r="GB40" i="21" s="1"/>
  <c r="HU39" i="21"/>
  <c r="HU40" i="21" s="1"/>
  <c r="BQ39" i="21"/>
  <c r="BQ40" i="21" s="1"/>
  <c r="GO39" i="21"/>
  <c r="GO40" i="21" s="1"/>
  <c r="X39" i="21"/>
  <c r="X40" i="21" s="1"/>
  <c r="FW39" i="21"/>
  <c r="FW40" i="21" s="1"/>
  <c r="CH39" i="21"/>
  <c r="CH40" i="21" s="1"/>
  <c r="JA39" i="21"/>
  <c r="JA40" i="21" s="1"/>
  <c r="GD39" i="21"/>
  <c r="GD40" i="21" s="1"/>
  <c r="W39" i="21"/>
  <c r="W40" i="21" s="1"/>
  <c r="DP39" i="21"/>
  <c r="DP40" i="21" s="1"/>
  <c r="ED39" i="21"/>
  <c r="ED40" i="21" s="1"/>
  <c r="CW39" i="21"/>
  <c r="CW40" i="21" s="1"/>
  <c r="CU39" i="21"/>
  <c r="CU40" i="21" s="1"/>
  <c r="AN39" i="21"/>
  <c r="AN40" i="21" s="1"/>
  <c r="AM39" i="21"/>
  <c r="AM40" i="21" s="1"/>
  <c r="JC39" i="21"/>
  <c r="JC40" i="21" s="1"/>
  <c r="EX39" i="21"/>
  <c r="EX40" i="21" s="1"/>
  <c r="BF39" i="21"/>
  <c r="BF40" i="21" s="1"/>
  <c r="IK39" i="21"/>
  <c r="IK40" i="21" s="1"/>
  <c r="FJ39" i="21"/>
  <c r="FJ40" i="21" s="1"/>
  <c r="AP39" i="21"/>
  <c r="AP40" i="21" s="1"/>
  <c r="EV39" i="21"/>
  <c r="EV40" i="21" s="1"/>
  <c r="P113" i="21"/>
  <c r="BB39" i="21"/>
  <c r="BB40" i="21" s="1"/>
  <c r="BR39" i="21"/>
  <c r="BR40" i="21" s="1"/>
  <c r="JF39" i="21"/>
  <c r="JF40" i="21" s="1"/>
  <c r="HZ39" i="21"/>
  <c r="HZ40" i="21" s="1"/>
  <c r="DR39" i="21"/>
  <c r="DR40" i="21" s="1"/>
  <c r="JB39" i="21"/>
  <c r="JB40" i="21" s="1"/>
  <c r="EU39" i="21"/>
  <c r="EU40" i="21" s="1"/>
  <c r="FZ39" i="21"/>
  <c r="FZ40" i="21" s="1"/>
  <c r="BC39" i="21"/>
  <c r="BC40" i="21" s="1"/>
  <c r="Z39" i="21"/>
  <c r="Z40" i="21" s="1"/>
  <c r="GP39" i="21"/>
  <c r="GP40" i="21" s="1"/>
  <c r="BD39" i="21"/>
  <c r="BD40" i="21" s="1"/>
  <c r="HF39" i="21"/>
  <c r="HF40" i="21" s="1"/>
  <c r="HE39" i="21"/>
  <c r="HE40" i="21" s="1"/>
  <c r="CZ39" i="21"/>
  <c r="CZ40" i="21" s="1"/>
  <c r="FK39" i="21"/>
  <c r="FK40" i="21" s="1"/>
  <c r="FN39" i="21"/>
  <c r="FN40" i="21" s="1"/>
  <c r="FL39" i="21"/>
  <c r="FL40" i="21" s="1"/>
  <c r="EF39" i="21"/>
  <c r="EF40" i="21" s="1"/>
  <c r="IP39" i="21"/>
  <c r="IP40" i="21" s="1"/>
  <c r="V39" i="21"/>
  <c r="V40" i="21" s="1"/>
  <c r="AK39" i="21"/>
  <c r="AK40" i="21" s="1"/>
  <c r="HJ39" i="21"/>
  <c r="HJ40" i="21" s="1"/>
  <c r="JT39" i="21"/>
  <c r="JT40" i="21" s="1"/>
  <c r="BT39" i="21"/>
  <c r="BT40" i="21" s="1"/>
  <c r="CJ39" i="21"/>
  <c r="CJ40" i="21" s="1"/>
  <c r="KH39" i="21"/>
  <c r="KH40" i="21" s="1"/>
  <c r="CX39" i="21"/>
  <c r="CX40" i="21" s="1"/>
  <c r="CI39" i="21"/>
  <c r="CI40" i="21" s="1"/>
  <c r="AI39" i="21"/>
  <c r="AI40" i="21" s="1"/>
  <c r="HV39" i="21"/>
  <c r="HV40" i="21" s="1"/>
  <c r="JQ39" i="21"/>
  <c r="JQ40" i="21" s="1"/>
  <c r="DB39" i="21"/>
  <c r="DB40" i="21" s="1"/>
  <c r="FI39" i="21"/>
  <c r="FI40" i="21" s="1"/>
  <c r="JV39" i="21"/>
  <c r="JV40" i="21" s="1"/>
  <c r="CL39" i="21"/>
  <c r="CL40" i="21" s="1"/>
  <c r="BV39" i="21"/>
  <c r="BV40" i="21" s="1"/>
  <c r="JR39" i="21"/>
  <c r="JR40" i="21" s="1"/>
  <c r="JX39" i="21"/>
  <c r="JX40" i="21" s="1"/>
  <c r="BU39" i="21"/>
  <c r="BU40" i="21" s="1"/>
  <c r="ET39" i="21"/>
  <c r="ET40" i="21" s="1"/>
  <c r="EH39" i="21"/>
  <c r="EH40" i="21" s="1"/>
  <c r="AO39" i="21"/>
  <c r="AO40" i="21" s="1"/>
  <c r="HX39" i="21"/>
  <c r="HX40" i="21" s="1"/>
  <c r="HH39" i="21"/>
  <c r="HH40" i="21" s="1"/>
  <c r="GT39" i="21"/>
  <c r="GT40" i="21" s="1"/>
  <c r="JS39" i="21"/>
  <c r="JS40" i="21" s="1"/>
  <c r="JD39" i="21"/>
  <c r="JD40" i="21" s="1"/>
  <c r="DN39" i="21"/>
  <c r="DN40" i="21" s="1"/>
  <c r="AL39" i="21"/>
  <c r="AL40" i="21" s="1"/>
  <c r="HW39" i="21"/>
  <c r="HW40" i="21" s="1"/>
  <c r="KG39" i="21"/>
  <c r="KG40" i="21" s="1"/>
  <c r="IL39" i="21"/>
  <c r="IL40" i="21" s="1"/>
  <c r="HG39" i="21"/>
  <c r="HG40" i="21" s="1"/>
  <c r="EC39" i="21"/>
  <c r="EC40" i="21" s="1"/>
  <c r="ES39" i="21"/>
  <c r="ES40" i="21" s="1"/>
  <c r="GQ39" i="21"/>
  <c r="GQ40" i="21" s="1"/>
  <c r="GA39" i="21"/>
  <c r="GA40" i="21" s="1"/>
  <c r="CG39" i="21"/>
  <c r="CG40" i="21" s="1"/>
  <c r="JE39" i="21"/>
  <c r="JE40" i="21" s="1"/>
  <c r="P122" i="21"/>
  <c r="P141" i="21" s="1"/>
  <c r="P92" i="21"/>
  <c r="P138" i="21" s="1"/>
  <c r="P83" i="21"/>
  <c r="P170" i="21" s="1"/>
  <c r="Q102" i="21"/>
  <c r="Q110" i="21" s="1"/>
  <c r="Q77" i="21"/>
  <c r="Q74" i="21"/>
  <c r="Q87" i="21" s="1"/>
  <c r="Q88" i="21" s="1"/>
  <c r="Q75" i="21"/>
  <c r="Q104" i="21"/>
  <c r="P126" i="21" s="1"/>
  <c r="P127" i="21" s="1"/>
  <c r="Q106" i="21"/>
  <c r="Q103" i="21"/>
  <c r="Q117" i="21" s="1"/>
  <c r="Q118" i="21" s="1"/>
  <c r="Q15" i="21"/>
  <c r="R11" i="21"/>
  <c r="Q7" i="21"/>
  <c r="O11" i="10"/>
  <c r="N7" i="10"/>
  <c r="FF14" i="26" l="1"/>
  <c r="FG10" i="26"/>
  <c r="FF6" i="26"/>
  <c r="Q109" i="21"/>
  <c r="P171" i="21"/>
  <c r="O55" i="21"/>
  <c r="O58" i="21" s="1"/>
  <c r="O172" i="21"/>
  <c r="O173" i="21" s="1"/>
  <c r="P157" i="21"/>
  <c r="P49" i="21"/>
  <c r="DN45" i="21"/>
  <c r="DN186" i="21"/>
  <c r="ET45" i="21"/>
  <c r="ET186" i="21"/>
  <c r="BB45" i="21"/>
  <c r="BB186" i="21"/>
  <c r="GD45" i="21"/>
  <c r="GD186" i="21"/>
  <c r="ES45" i="21"/>
  <c r="ES186" i="21"/>
  <c r="JD45" i="21"/>
  <c r="JD186" i="21"/>
  <c r="BU45" i="21"/>
  <c r="BU186" i="21"/>
  <c r="JQ45" i="21"/>
  <c r="JQ186" i="21"/>
  <c r="JT45" i="21"/>
  <c r="JT186" i="21"/>
  <c r="FK45" i="21"/>
  <c r="FK186" i="21"/>
  <c r="FZ45" i="21"/>
  <c r="FZ186" i="21"/>
  <c r="AM45" i="21"/>
  <c r="AM186" i="21"/>
  <c r="JA45" i="21"/>
  <c r="JA186" i="21"/>
  <c r="IN45" i="21"/>
  <c r="IN186" i="21"/>
  <c r="EC45" i="21"/>
  <c r="EC186" i="21"/>
  <c r="JS45" i="21"/>
  <c r="JS186" i="21"/>
  <c r="JX45" i="21"/>
  <c r="JX186" i="21"/>
  <c r="HV45" i="21"/>
  <c r="HV186" i="21"/>
  <c r="HJ45" i="21"/>
  <c r="HJ186" i="21"/>
  <c r="CZ45" i="21"/>
  <c r="CZ186" i="21"/>
  <c r="EU45" i="21"/>
  <c r="EU186" i="21"/>
  <c r="EV45" i="21"/>
  <c r="EV186" i="21"/>
  <c r="AN45" i="21"/>
  <c r="AN186" i="21"/>
  <c r="CH45" i="21"/>
  <c r="CH186" i="21"/>
  <c r="GR45" i="21"/>
  <c r="GR186" i="21"/>
  <c r="GQ45" i="21"/>
  <c r="GQ186" i="21"/>
  <c r="DB45" i="21"/>
  <c r="DB186" i="21"/>
  <c r="JC45" i="21"/>
  <c r="JC186" i="21"/>
  <c r="GB45" i="21"/>
  <c r="GB186" i="21"/>
  <c r="HG45" i="21"/>
  <c r="HG186" i="21"/>
  <c r="GT45" i="21"/>
  <c r="GT186" i="21"/>
  <c r="JR45" i="21"/>
  <c r="JR186" i="21"/>
  <c r="AI45" i="21"/>
  <c r="AI186" i="21"/>
  <c r="AK45" i="21"/>
  <c r="AK186" i="21"/>
  <c r="HE45" i="21"/>
  <c r="HE186" i="21"/>
  <c r="JB45" i="21"/>
  <c r="JB186" i="21"/>
  <c r="AP45" i="21"/>
  <c r="AP186" i="21"/>
  <c r="CU45" i="21"/>
  <c r="CU186" i="21"/>
  <c r="FW45" i="21"/>
  <c r="FW186" i="21"/>
  <c r="KI45" i="21"/>
  <c r="KI186" i="21"/>
  <c r="BT45" i="21"/>
  <c r="BT186" i="21"/>
  <c r="IL45" i="21"/>
  <c r="IL186" i="21"/>
  <c r="HH45" i="21"/>
  <c r="HH186" i="21"/>
  <c r="BV45" i="21"/>
  <c r="BV186" i="21"/>
  <c r="CI45" i="21"/>
  <c r="CI186" i="21"/>
  <c r="V45" i="21"/>
  <c r="V186" i="21"/>
  <c r="HF45" i="21"/>
  <c r="HF186" i="21"/>
  <c r="DR45" i="21"/>
  <c r="DR186" i="21"/>
  <c r="FJ45" i="21"/>
  <c r="FJ186" i="21"/>
  <c r="CW45" i="21"/>
  <c r="CW186" i="21"/>
  <c r="X45" i="21"/>
  <c r="X186" i="21"/>
  <c r="BC45" i="21"/>
  <c r="BC186" i="21"/>
  <c r="JE45" i="21"/>
  <c r="JE186" i="21"/>
  <c r="KG45" i="21"/>
  <c r="KG186" i="21"/>
  <c r="HX45" i="21"/>
  <c r="HX186" i="21"/>
  <c r="CL45" i="21"/>
  <c r="CL186" i="21"/>
  <c r="CX45" i="21"/>
  <c r="CX186" i="21"/>
  <c r="IP45" i="21"/>
  <c r="IP186" i="21"/>
  <c r="BD45" i="21"/>
  <c r="BD186" i="21"/>
  <c r="HZ45" i="21"/>
  <c r="HZ186" i="21"/>
  <c r="IK45" i="21"/>
  <c r="IK186" i="21"/>
  <c r="ED45" i="21"/>
  <c r="ED186" i="21"/>
  <c r="GO45" i="21"/>
  <c r="GO186" i="21"/>
  <c r="P48" i="21"/>
  <c r="FN45" i="21"/>
  <c r="FN186" i="21"/>
  <c r="CG45" i="21"/>
  <c r="CG186" i="21"/>
  <c r="HW45" i="21"/>
  <c r="HW186" i="21"/>
  <c r="AO45" i="21"/>
  <c r="AO186" i="21"/>
  <c r="JV45" i="21"/>
  <c r="JV186" i="21"/>
  <c r="KH45" i="21"/>
  <c r="KH186" i="21"/>
  <c r="EF45" i="21"/>
  <c r="EF186" i="21"/>
  <c r="GP45" i="21"/>
  <c r="GP186" i="21"/>
  <c r="JF45" i="21"/>
  <c r="JF186" i="21"/>
  <c r="BF45" i="21"/>
  <c r="BF186" i="21"/>
  <c r="DP45" i="21"/>
  <c r="DP186" i="21"/>
  <c r="BQ45" i="21"/>
  <c r="BQ186" i="21"/>
  <c r="GA45" i="21"/>
  <c r="GA186" i="21"/>
  <c r="AL45" i="21"/>
  <c r="AL186" i="21"/>
  <c r="EH45" i="21"/>
  <c r="EH186" i="21"/>
  <c r="FI45" i="21"/>
  <c r="FI186" i="21"/>
  <c r="CJ45" i="21"/>
  <c r="CJ186" i="21"/>
  <c r="FL45" i="21"/>
  <c r="FL186" i="21"/>
  <c r="Z45" i="21"/>
  <c r="Z186" i="21"/>
  <c r="BR45" i="21"/>
  <c r="BR186" i="21"/>
  <c r="EX45" i="21"/>
  <c r="EX186" i="21"/>
  <c r="W45" i="21"/>
  <c r="W186" i="21"/>
  <c r="HU45" i="21"/>
  <c r="HU186" i="21"/>
  <c r="O64" i="21"/>
  <c r="P63" i="21"/>
  <c r="Q80" i="21"/>
  <c r="Q91" i="21" s="1"/>
  <c r="P59" i="21"/>
  <c r="P61" i="21" s="1"/>
  <c r="Q125" i="21"/>
  <c r="P96" i="21"/>
  <c r="P97" i="21" s="1"/>
  <c r="Q95" i="21" s="1"/>
  <c r="Q82" i="21"/>
  <c r="Q76" i="21"/>
  <c r="Q81" i="21" s="1"/>
  <c r="Q137" i="21" s="1"/>
  <c r="Q112" i="21"/>
  <c r="Q105" i="21"/>
  <c r="Q111" i="21" s="1"/>
  <c r="Q140" i="21" s="1"/>
  <c r="Q121" i="21"/>
  <c r="R13" i="21"/>
  <c r="R5" i="21" s="1"/>
  <c r="R14" i="21"/>
  <c r="R6" i="21" s="1"/>
  <c r="R12" i="21"/>
  <c r="R132" i="21" s="1"/>
  <c r="O12" i="10"/>
  <c r="O15" i="10" s="1"/>
  <c r="O14" i="10"/>
  <c r="O6" i="10" s="1"/>
  <c r="O13" i="10"/>
  <c r="O5" i="10" s="1"/>
  <c r="FG13" i="26" l="1"/>
  <c r="FG5" i="26" s="1"/>
  <c r="FG11" i="26"/>
  <c r="FG12" i="26"/>
  <c r="FG4" i="26" s="1"/>
  <c r="N187" i="21"/>
  <c r="P50" i="21"/>
  <c r="P172" i="21" s="1"/>
  <c r="P173" i="21" s="1"/>
  <c r="O66" i="21"/>
  <c r="O176" i="21"/>
  <c r="Q142" i="21"/>
  <c r="Q139" i="21"/>
  <c r="R75" i="21"/>
  <c r="Q96" i="21" s="1"/>
  <c r="Q97" i="21" s="1"/>
  <c r="R95" i="21" s="1"/>
  <c r="Q63" i="21"/>
  <c r="P64" i="21"/>
  <c r="P176" i="21" s="1"/>
  <c r="Q47" i="21"/>
  <c r="P55" i="21"/>
  <c r="P58" i="21" s="1"/>
  <c r="Q113" i="21"/>
  <c r="Q122" i="21"/>
  <c r="Q141" i="21" s="1"/>
  <c r="Q92" i="21"/>
  <c r="Q138" i="21" s="1"/>
  <c r="Q157" i="21" s="1"/>
  <c r="Q83" i="21"/>
  <c r="Q170" i="21" s="1"/>
  <c r="R77" i="21"/>
  <c r="R74" i="21"/>
  <c r="R87" i="21" s="1"/>
  <c r="R88" i="21" s="1"/>
  <c r="R106" i="21"/>
  <c r="R103" i="21"/>
  <c r="R117" i="21" s="1"/>
  <c r="R118" i="21" s="1"/>
  <c r="R104" i="21"/>
  <c r="R102" i="21"/>
  <c r="R110" i="21" s="1"/>
  <c r="R15" i="21"/>
  <c r="S11" i="21"/>
  <c r="R7" i="21"/>
  <c r="P11" i="10"/>
  <c r="O7" i="10"/>
  <c r="FG14" i="26" l="1"/>
  <c r="FH10" i="26"/>
  <c r="FG6" i="26"/>
  <c r="Q48" i="21"/>
  <c r="R109" i="21"/>
  <c r="Q171" i="21"/>
  <c r="Q49" i="21"/>
  <c r="Q50" i="21" s="1"/>
  <c r="Q172" i="21" s="1"/>
  <c r="R82" i="21"/>
  <c r="P66" i="21"/>
  <c r="R63" i="21"/>
  <c r="Q64" i="21"/>
  <c r="Q176" i="21" s="1"/>
  <c r="R80" i="21"/>
  <c r="R91" i="21" s="1"/>
  <c r="Q59" i="21"/>
  <c r="Q61" i="21" s="1"/>
  <c r="R76" i="21"/>
  <c r="Q126" i="21"/>
  <c r="Q127" i="21" s="1"/>
  <c r="R125" i="21" s="1"/>
  <c r="R112" i="21"/>
  <c r="R121" i="21"/>
  <c r="R105" i="21"/>
  <c r="R111" i="21" s="1"/>
  <c r="R140" i="21" s="1"/>
  <c r="S12" i="21"/>
  <c r="S132" i="21" s="1"/>
  <c r="S13" i="21"/>
  <c r="S5" i="21" s="1"/>
  <c r="S14" i="21"/>
  <c r="S6" i="21" s="1"/>
  <c r="P12" i="10"/>
  <c r="P15" i="10" s="1"/>
  <c r="P14" i="10"/>
  <c r="P6" i="10" s="1"/>
  <c r="P13" i="10"/>
  <c r="P5" i="10" s="1"/>
  <c r="FH13" i="26" l="1"/>
  <c r="FH5" i="26" s="1"/>
  <c r="FH12" i="26"/>
  <c r="FH4" i="26" s="1"/>
  <c r="FH11" i="26"/>
  <c r="Q173" i="21"/>
  <c r="R142" i="21"/>
  <c r="R139" i="21"/>
  <c r="S63" i="21"/>
  <c r="R64" i="21"/>
  <c r="R176" i="21" s="1"/>
  <c r="Q55" i="21"/>
  <c r="Q58" i="21" s="1"/>
  <c r="Q66" i="21" s="1"/>
  <c r="R48" i="21"/>
  <c r="R113" i="21"/>
  <c r="R122" i="21"/>
  <c r="R141" i="21" s="1"/>
  <c r="R92" i="21"/>
  <c r="R138" i="21" s="1"/>
  <c r="R81" i="21"/>
  <c r="S102" i="21"/>
  <c r="S110" i="21" s="1"/>
  <c r="S77" i="21"/>
  <c r="S74" i="21"/>
  <c r="S87" i="21" s="1"/>
  <c r="S88" i="21" s="1"/>
  <c r="S75" i="21"/>
  <c r="S104" i="21"/>
  <c r="S106" i="21"/>
  <c r="S103" i="21"/>
  <c r="S117" i="21" s="1"/>
  <c r="S118" i="21" s="1"/>
  <c r="S15" i="21"/>
  <c r="T11" i="21"/>
  <c r="S7" i="21"/>
  <c r="P7" i="10"/>
  <c r="Q11" i="10"/>
  <c r="FH14" i="26" l="1"/>
  <c r="FI10" i="26"/>
  <c r="FH6" i="26"/>
  <c r="R157" i="21"/>
  <c r="S109" i="21"/>
  <c r="R171" i="21"/>
  <c r="R47" i="21"/>
  <c r="R137" i="21"/>
  <c r="T63" i="21"/>
  <c r="S64" i="21"/>
  <c r="S176" i="21" s="1"/>
  <c r="R83" i="21"/>
  <c r="S82" i="21"/>
  <c r="R96" i="21"/>
  <c r="R97" i="21" s="1"/>
  <c r="S95" i="21" s="1"/>
  <c r="S76" i="21"/>
  <c r="S81" i="21" s="1"/>
  <c r="S137" i="21" s="1"/>
  <c r="S121" i="21"/>
  <c r="S122" i="21" s="1"/>
  <c r="S141" i="21" s="1"/>
  <c r="S105" i="21"/>
  <c r="S111" i="21" s="1"/>
  <c r="S140" i="21" s="1"/>
  <c r="R126" i="21"/>
  <c r="R127" i="21" s="1"/>
  <c r="S125" i="21" s="1"/>
  <c r="S112" i="21"/>
  <c r="T13" i="21"/>
  <c r="T5" i="21" s="1"/>
  <c r="T14" i="21"/>
  <c r="T6" i="21" s="1"/>
  <c r="T12" i="21"/>
  <c r="T132" i="21" s="1"/>
  <c r="Q12" i="10"/>
  <c r="Q15" i="10" s="1"/>
  <c r="Q13" i="10"/>
  <c r="Q5" i="10" s="1"/>
  <c r="Q14" i="10"/>
  <c r="Q6" i="10" s="1"/>
  <c r="FI13" i="26" l="1"/>
  <c r="FI5" i="26" s="1"/>
  <c r="FI12" i="26"/>
  <c r="FI4" i="26" s="1"/>
  <c r="FI11" i="26"/>
  <c r="S80" i="21"/>
  <c r="S91" i="21" s="1"/>
  <c r="S92" i="21" s="1"/>
  <c r="S138" i="21" s="1"/>
  <c r="R170" i="21"/>
  <c r="S157" i="21"/>
  <c r="R49" i="21"/>
  <c r="R50" i="21" s="1"/>
  <c r="R172" i="21" s="1"/>
  <c r="R59" i="21"/>
  <c r="R61" i="21" s="1"/>
  <c r="S142" i="21"/>
  <c r="S139" i="21"/>
  <c r="T75" i="21"/>
  <c r="S96" i="21" s="1"/>
  <c r="S97" i="21" s="1"/>
  <c r="T95" i="21" s="1"/>
  <c r="S47" i="21"/>
  <c r="U63" i="21"/>
  <c r="T64" i="21"/>
  <c r="T176" i="21" s="1"/>
  <c r="S48" i="21"/>
  <c r="S113" i="21"/>
  <c r="S83" i="21"/>
  <c r="S170" i="21" s="1"/>
  <c r="T104" i="21"/>
  <c r="S126" i="21" s="1"/>
  <c r="S127" i="21" s="1"/>
  <c r="T77" i="21"/>
  <c r="T74" i="21"/>
  <c r="T87" i="21" s="1"/>
  <c r="T88" i="21" s="1"/>
  <c r="T102" i="21"/>
  <c r="T106" i="21"/>
  <c r="T103" i="21"/>
  <c r="T117" i="21" s="1"/>
  <c r="T118" i="21" s="1"/>
  <c r="T15" i="21"/>
  <c r="U11" i="21"/>
  <c r="T7" i="21"/>
  <c r="Q7" i="10"/>
  <c r="R11" i="10"/>
  <c r="FI14" i="26" l="1"/>
  <c r="FJ10" i="26"/>
  <c r="FI6" i="26"/>
  <c r="R55" i="21"/>
  <c r="R58" i="21" s="1"/>
  <c r="R66" i="21" s="1"/>
  <c r="R173" i="21"/>
  <c r="T109" i="21"/>
  <c r="S171" i="21"/>
  <c r="S49" i="21"/>
  <c r="S50" i="21" s="1"/>
  <c r="V63" i="21"/>
  <c r="U64" i="21"/>
  <c r="U176" i="21" s="1"/>
  <c r="T112" i="21"/>
  <c r="T80" i="21"/>
  <c r="T82" i="21" s="1"/>
  <c r="S59" i="21"/>
  <c r="S61" i="21" s="1"/>
  <c r="T110" i="21"/>
  <c r="T125" i="21"/>
  <c r="T76" i="21"/>
  <c r="T105" i="21"/>
  <c r="T111" i="21" s="1"/>
  <c r="T140" i="21" s="1"/>
  <c r="T121" i="21"/>
  <c r="T122" i="21" s="1"/>
  <c r="T141" i="21" s="1"/>
  <c r="U13" i="21"/>
  <c r="U5" i="21" s="1"/>
  <c r="U14" i="21"/>
  <c r="U6" i="21" s="1"/>
  <c r="U12" i="21"/>
  <c r="U132" i="21" s="1"/>
  <c r="R12" i="10"/>
  <c r="R15" i="10" s="1"/>
  <c r="R13" i="10"/>
  <c r="R5" i="10" s="1"/>
  <c r="R14" i="10"/>
  <c r="R6" i="10" s="1"/>
  <c r="FJ13" i="26" l="1"/>
  <c r="FJ5" i="26" s="1"/>
  <c r="FJ12" i="26"/>
  <c r="FJ4" i="26" s="1"/>
  <c r="FJ11" i="26"/>
  <c r="S55" i="21"/>
  <c r="S58" i="21" s="1"/>
  <c r="S172" i="21"/>
  <c r="S173" i="21" s="1"/>
  <c r="T48" i="21"/>
  <c r="T142" i="21"/>
  <c r="T139" i="21"/>
  <c r="U75" i="21"/>
  <c r="U82" i="21" s="1"/>
  <c r="S66" i="21"/>
  <c r="T91" i="21"/>
  <c r="T92" i="21" s="1"/>
  <c r="T138" i="21" s="1"/>
  <c r="T157" i="21" s="1"/>
  <c r="W63" i="21"/>
  <c r="V64" i="21"/>
  <c r="V176" i="21" s="1"/>
  <c r="T113" i="21"/>
  <c r="T81" i="21"/>
  <c r="U102" i="21"/>
  <c r="U110" i="21" s="1"/>
  <c r="U77" i="21"/>
  <c r="U74" i="21"/>
  <c r="U87" i="21" s="1"/>
  <c r="U88" i="21" s="1"/>
  <c r="U104" i="21"/>
  <c r="T126" i="21" s="1"/>
  <c r="T127" i="21" s="1"/>
  <c r="U106" i="21"/>
  <c r="U103" i="21"/>
  <c r="U117" i="21" s="1"/>
  <c r="U118" i="21" s="1"/>
  <c r="U15" i="21"/>
  <c r="V11" i="21"/>
  <c r="U7" i="21"/>
  <c r="R7" i="10"/>
  <c r="S11" i="10"/>
  <c r="FJ14" i="26" l="1"/>
  <c r="FK10" i="26"/>
  <c r="FJ6" i="26"/>
  <c r="T96" i="21"/>
  <c r="T97" i="21" s="1"/>
  <c r="U95" i="21" s="1"/>
  <c r="U109" i="21"/>
  <c r="T171" i="21"/>
  <c r="T47" i="21"/>
  <c r="T49" i="21" s="1"/>
  <c r="T50" i="21" s="1"/>
  <c r="T172" i="21" s="1"/>
  <c r="T137" i="21"/>
  <c r="X63" i="21"/>
  <c r="W64" i="21"/>
  <c r="W176" i="21" s="1"/>
  <c r="U125" i="21"/>
  <c r="T83" i="21"/>
  <c r="T170" i="21" s="1"/>
  <c r="U80" i="21"/>
  <c r="U91" i="21" s="1"/>
  <c r="U92" i="21" s="1"/>
  <c r="U138" i="21" s="1"/>
  <c r="T59" i="21"/>
  <c r="T61" i="21" s="1"/>
  <c r="U76" i="21"/>
  <c r="U112" i="21"/>
  <c r="U121" i="21"/>
  <c r="U122" i="21" s="1"/>
  <c r="U141" i="21" s="1"/>
  <c r="U105" i="21"/>
  <c r="U111" i="21" s="1"/>
  <c r="U140" i="21" s="1"/>
  <c r="V13" i="21"/>
  <c r="V5" i="21" s="1"/>
  <c r="V12" i="21"/>
  <c r="V132" i="21" s="1"/>
  <c r="V14" i="21"/>
  <c r="V6" i="21" s="1"/>
  <c r="S12" i="10"/>
  <c r="S15" i="10" s="1"/>
  <c r="S13" i="10"/>
  <c r="S5" i="10" s="1"/>
  <c r="S14" i="10"/>
  <c r="S6" i="10" s="1"/>
  <c r="FK13" i="26" l="1"/>
  <c r="FK5" i="26" s="1"/>
  <c r="FK12" i="26"/>
  <c r="FK4" i="26" s="1"/>
  <c r="FK11" i="26"/>
  <c r="T173" i="21"/>
  <c r="U157" i="21"/>
  <c r="U142" i="21"/>
  <c r="U139" i="21"/>
  <c r="V75" i="21"/>
  <c r="V82" i="21" s="1"/>
  <c r="Y63" i="21"/>
  <c r="X64" i="21"/>
  <c r="X176" i="21" s="1"/>
  <c r="T55" i="21"/>
  <c r="T58" i="21" s="1"/>
  <c r="T66" i="21" s="1"/>
  <c r="U48" i="21"/>
  <c r="U113" i="21"/>
  <c r="U81" i="21"/>
  <c r="V102" i="21"/>
  <c r="V110" i="21" s="1"/>
  <c r="V77" i="21"/>
  <c r="V74" i="21"/>
  <c r="V87" i="21" s="1"/>
  <c r="V88" i="21" s="1"/>
  <c r="V104" i="21"/>
  <c r="V112" i="21" s="1"/>
  <c r="V106" i="21"/>
  <c r="V103" i="21"/>
  <c r="V117" i="21" s="1"/>
  <c r="V118" i="21" s="1"/>
  <c r="V15" i="21"/>
  <c r="W11" i="21"/>
  <c r="V7" i="21"/>
  <c r="S7" i="10"/>
  <c r="T11" i="10"/>
  <c r="FK14" i="26" l="1"/>
  <c r="FK6" i="26"/>
  <c r="FL10" i="26"/>
  <c r="U96" i="21"/>
  <c r="U97" i="21" s="1"/>
  <c r="V95" i="21" s="1"/>
  <c r="V109" i="21"/>
  <c r="U171" i="21"/>
  <c r="U47" i="21"/>
  <c r="U49" i="21" s="1"/>
  <c r="U50" i="21" s="1"/>
  <c r="U172" i="21" s="1"/>
  <c r="U137" i="21"/>
  <c r="V142" i="21"/>
  <c r="V139" i="21"/>
  <c r="Z63" i="21"/>
  <c r="Y64" i="21"/>
  <c r="Y176" i="21" s="1"/>
  <c r="U83" i="21"/>
  <c r="U126" i="21"/>
  <c r="U127" i="21" s="1"/>
  <c r="V125" i="21" s="1"/>
  <c r="V76" i="21"/>
  <c r="V121" i="21"/>
  <c r="V122" i="21" s="1"/>
  <c r="V141" i="21" s="1"/>
  <c r="V105" i="21"/>
  <c r="V111" i="21" s="1"/>
  <c r="W13" i="21"/>
  <c r="W5" i="21" s="1"/>
  <c r="W14" i="21"/>
  <c r="W6" i="21" s="1"/>
  <c r="W12" i="21"/>
  <c r="W132" i="21" s="1"/>
  <c r="T12" i="10"/>
  <c r="T15" i="10" s="1"/>
  <c r="T13" i="10"/>
  <c r="T5" i="10" s="1"/>
  <c r="T14" i="10"/>
  <c r="T6" i="10" s="1"/>
  <c r="FL13" i="26" l="1"/>
  <c r="FL5" i="26" s="1"/>
  <c r="FL12" i="26"/>
  <c r="FL4" i="26" s="1"/>
  <c r="FL11" i="26"/>
  <c r="V80" i="21"/>
  <c r="V91" i="21" s="1"/>
  <c r="V92" i="21" s="1"/>
  <c r="V138" i="21" s="1"/>
  <c r="V157" i="21" s="1"/>
  <c r="U170" i="21"/>
  <c r="U173" i="21" s="1"/>
  <c r="V113" i="21"/>
  <c r="V140" i="21"/>
  <c r="W102" i="21"/>
  <c r="W110" i="21" s="1"/>
  <c r="AA63" i="21"/>
  <c r="Z64" i="21"/>
  <c r="Z176" i="21" s="1"/>
  <c r="U59" i="21"/>
  <c r="U61" i="21" s="1"/>
  <c r="U55" i="21"/>
  <c r="U58" i="21" s="1"/>
  <c r="V48" i="21"/>
  <c r="V81" i="21"/>
  <c r="W104" i="21"/>
  <c r="W112" i="21" s="1"/>
  <c r="W77" i="21"/>
  <c r="W74" i="21"/>
  <c r="W87" i="21" s="1"/>
  <c r="W88" i="21" s="1"/>
  <c r="W75" i="21"/>
  <c r="W106" i="21"/>
  <c r="W103" i="21"/>
  <c r="W117" i="21" s="1"/>
  <c r="W118" i="21" s="1"/>
  <c r="W15" i="21"/>
  <c r="W7" i="21"/>
  <c r="X11" i="21"/>
  <c r="U11" i="10"/>
  <c r="T7" i="10"/>
  <c r="FL14" i="26" l="1"/>
  <c r="FL6" i="26"/>
  <c r="FM10" i="26"/>
  <c r="U66" i="21"/>
  <c r="W109" i="21"/>
  <c r="V171" i="21"/>
  <c r="W139" i="21"/>
  <c r="W142" i="21"/>
  <c r="V47" i="21"/>
  <c r="V49" i="21" s="1"/>
  <c r="V50" i="21" s="1"/>
  <c r="V172" i="21" s="1"/>
  <c r="V137" i="21"/>
  <c r="AB63" i="21"/>
  <c r="AA64" i="21"/>
  <c r="AA176" i="21" s="1"/>
  <c r="V126" i="21"/>
  <c r="V127" i="21" s="1"/>
  <c r="W125" i="21" s="1"/>
  <c r="V83" i="21"/>
  <c r="V170" i="21" s="1"/>
  <c r="W80" i="21"/>
  <c r="W91" i="21" s="1"/>
  <c r="W92" i="21" s="1"/>
  <c r="W138" i="21" s="1"/>
  <c r="V59" i="21"/>
  <c r="V61" i="21" s="1"/>
  <c r="V96" i="21"/>
  <c r="V97" i="21" s="1"/>
  <c r="W95" i="21" s="1"/>
  <c r="W82" i="21"/>
  <c r="W76" i="21"/>
  <c r="W81" i="21" s="1"/>
  <c r="W137" i="21" s="1"/>
  <c r="W121" i="21"/>
  <c r="W122" i="21" s="1"/>
  <c r="W141" i="21" s="1"/>
  <c r="W105" i="21"/>
  <c r="W111" i="21" s="1"/>
  <c r="X14" i="21"/>
  <c r="X6" i="21" s="1"/>
  <c r="X13" i="21"/>
  <c r="X5" i="21" s="1"/>
  <c r="X12" i="21"/>
  <c r="X132" i="21" s="1"/>
  <c r="U13" i="10"/>
  <c r="U5" i="10" s="1"/>
  <c r="U14" i="10"/>
  <c r="U6" i="10" s="1"/>
  <c r="U12" i="10"/>
  <c r="U15" i="10" s="1"/>
  <c r="FM13" i="26" l="1"/>
  <c r="FM5" i="26" s="1"/>
  <c r="FM12" i="26"/>
  <c r="FM4" i="26" s="1"/>
  <c r="FM11" i="26"/>
  <c r="V173" i="21"/>
  <c r="W157" i="21"/>
  <c r="W113" i="21"/>
  <c r="W140" i="21"/>
  <c r="W47" i="21"/>
  <c r="W49" i="21" s="1"/>
  <c r="AC63" i="21"/>
  <c r="AB64" i="21"/>
  <c r="AB176" i="21" s="1"/>
  <c r="V55" i="21"/>
  <c r="V58" i="21" s="1"/>
  <c r="V66" i="21" s="1"/>
  <c r="W48" i="21"/>
  <c r="W83" i="21"/>
  <c r="W170" i="21" s="1"/>
  <c r="X102" i="21"/>
  <c r="X110" i="21" s="1"/>
  <c r="X77" i="21"/>
  <c r="X74" i="21"/>
  <c r="X87" i="21" s="1"/>
  <c r="X88" i="21" s="1"/>
  <c r="X75" i="21"/>
  <c r="X104" i="21"/>
  <c r="X106" i="21"/>
  <c r="X103" i="21"/>
  <c r="X117" i="21" s="1"/>
  <c r="X118" i="21" s="1"/>
  <c r="X7" i="21"/>
  <c r="X15" i="21"/>
  <c r="Y11" i="21"/>
  <c r="V11" i="10"/>
  <c r="U7" i="10"/>
  <c r="FM14" i="26" l="1"/>
  <c r="FM6" i="26"/>
  <c r="FN10" i="26"/>
  <c r="X109" i="21"/>
  <c r="W171" i="21"/>
  <c r="AD63" i="21"/>
  <c r="AC64" i="21"/>
  <c r="AC176" i="21" s="1"/>
  <c r="W50" i="21"/>
  <c r="W172" i="21" s="1"/>
  <c r="X80" i="21"/>
  <c r="X91" i="21" s="1"/>
  <c r="X92" i="21" s="1"/>
  <c r="X138" i="21" s="1"/>
  <c r="W59" i="21"/>
  <c r="W61" i="21" s="1"/>
  <c r="W96" i="21"/>
  <c r="W97" i="21" s="1"/>
  <c r="X95" i="21" s="1"/>
  <c r="X82" i="21"/>
  <c r="X76" i="21"/>
  <c r="X81" i="21" s="1"/>
  <c r="X137" i="21" s="1"/>
  <c r="X121" i="21"/>
  <c r="X122" i="21" s="1"/>
  <c r="X141" i="21" s="1"/>
  <c r="X105" i="21"/>
  <c r="X111" i="21" s="1"/>
  <c r="X140" i="21" s="1"/>
  <c r="W126" i="21"/>
  <c r="W127" i="21" s="1"/>
  <c r="X125" i="21" s="1"/>
  <c r="X112" i="21"/>
  <c r="Y13" i="21"/>
  <c r="Y5" i="21" s="1"/>
  <c r="Y14" i="21"/>
  <c r="Y6" i="21" s="1"/>
  <c r="Y12" i="21"/>
  <c r="Y132" i="21" s="1"/>
  <c r="V13" i="10"/>
  <c r="V5" i="10" s="1"/>
  <c r="V14" i="10"/>
  <c r="V6" i="10" s="1"/>
  <c r="V12" i="10"/>
  <c r="V15" i="10" s="1"/>
  <c r="FN11" i="26" l="1"/>
  <c r="FN13" i="26"/>
  <c r="FN5" i="26" s="1"/>
  <c r="FN12" i="26"/>
  <c r="FN4" i="26" s="1"/>
  <c r="W173" i="21"/>
  <c r="Y149" i="21"/>
  <c r="Y162" i="21"/>
  <c r="X157" i="21"/>
  <c r="X139" i="21"/>
  <c r="X142" i="21"/>
  <c r="Y75" i="21"/>
  <c r="Y82" i="21" s="1"/>
  <c r="AE63" i="21"/>
  <c r="AD64" i="21"/>
  <c r="AD176" i="21" s="1"/>
  <c r="X47" i="21"/>
  <c r="W55" i="21"/>
  <c r="W58" i="21" s="1"/>
  <c r="W66" i="21" s="1"/>
  <c r="X48" i="21"/>
  <c r="X49" i="21"/>
  <c r="X113" i="21"/>
  <c r="X83" i="21"/>
  <c r="X170" i="21" s="1"/>
  <c r="Y104" i="21"/>
  <c r="Y112" i="21" s="1"/>
  <c r="Y77" i="21"/>
  <c r="Y74" i="21"/>
  <c r="Y87" i="21" s="1"/>
  <c r="Y88" i="21" s="1"/>
  <c r="Y106" i="21"/>
  <c r="Y103" i="21"/>
  <c r="Y117" i="21" s="1"/>
  <c r="Y118" i="21" s="1"/>
  <c r="Y102" i="21"/>
  <c r="Y110" i="21" s="1"/>
  <c r="Y7" i="21"/>
  <c r="Y15" i="21"/>
  <c r="Z11" i="21"/>
  <c r="V7" i="10"/>
  <c r="W11" i="10"/>
  <c r="FN14" i="26" l="1"/>
  <c r="FO10" i="26"/>
  <c r="FN6" i="26"/>
  <c r="Y109" i="21"/>
  <c r="X171" i="21"/>
  <c r="X96" i="21"/>
  <c r="X97" i="21" s="1"/>
  <c r="Y95" i="21" s="1"/>
  <c r="Y139" i="21"/>
  <c r="Y142" i="21"/>
  <c r="AF63" i="21"/>
  <c r="AE64" i="21"/>
  <c r="AE176" i="21" s="1"/>
  <c r="X50" i="21"/>
  <c r="X172" i="21" s="1"/>
  <c r="X126" i="21"/>
  <c r="X127" i="21" s="1"/>
  <c r="Y125" i="21" s="1"/>
  <c r="Y80" i="21"/>
  <c r="X59" i="21"/>
  <c r="X61" i="21" s="1"/>
  <c r="Y91" i="21"/>
  <c r="Y92" i="21" s="1"/>
  <c r="Y76" i="21"/>
  <c r="Y105" i="21"/>
  <c r="Y111" i="21" s="1"/>
  <c r="Y121" i="21"/>
  <c r="Y122" i="21" s="1"/>
  <c r="Y141" i="21" s="1"/>
  <c r="Z14" i="21"/>
  <c r="Z6" i="21" s="1"/>
  <c r="Z13" i="21"/>
  <c r="Z5" i="21" s="1"/>
  <c r="Z12" i="21"/>
  <c r="Z132" i="21" s="1"/>
  <c r="W13" i="10"/>
  <c r="W5" i="10" s="1"/>
  <c r="W14" i="10"/>
  <c r="W6" i="10" s="1"/>
  <c r="W12" i="10"/>
  <c r="W15" i="10" s="1"/>
  <c r="FO13" i="26" l="1"/>
  <c r="FO5" i="26" s="1"/>
  <c r="FO11" i="26"/>
  <c r="FO12" i="26"/>
  <c r="FO4" i="26" s="1"/>
  <c r="X173" i="21"/>
  <c r="Y138" i="21"/>
  <c r="Y157" i="21"/>
  <c r="Z149" i="21"/>
  <c r="Z162" i="21"/>
  <c r="Y158" i="21"/>
  <c r="Y165" i="21" s="1"/>
  <c r="Y113" i="21"/>
  <c r="Y140" i="21"/>
  <c r="AG63" i="21"/>
  <c r="AF64" i="21"/>
  <c r="AF176" i="21" s="1"/>
  <c r="X55" i="21"/>
  <c r="X58" i="21" s="1"/>
  <c r="X66" i="21" s="1"/>
  <c r="Y48" i="21"/>
  <c r="Y81" i="21"/>
  <c r="Z102" i="21"/>
  <c r="Z110" i="21" s="1"/>
  <c r="Z77" i="21"/>
  <c r="Z74" i="21"/>
  <c r="Z87" i="21" s="1"/>
  <c r="Z88" i="21" s="1"/>
  <c r="Z75" i="21"/>
  <c r="Z104" i="21"/>
  <c r="Y126" i="21" s="1"/>
  <c r="Y127" i="21" s="1"/>
  <c r="Z103" i="21"/>
  <c r="Z117" i="21" s="1"/>
  <c r="Z118" i="21" s="1"/>
  <c r="Z106" i="21"/>
  <c r="Z7" i="21"/>
  <c r="Z15" i="21"/>
  <c r="AA11" i="21"/>
  <c r="W7" i="10"/>
  <c r="X11" i="10"/>
  <c r="FO14" i="26" l="1"/>
  <c r="FP10" i="26"/>
  <c r="FO6" i="26"/>
  <c r="Z109" i="21"/>
  <c r="Y171" i="21"/>
  <c r="Y47" i="21"/>
  <c r="Y49" i="21" s="1"/>
  <c r="Y50" i="21" s="1"/>
  <c r="Y172" i="21" s="1"/>
  <c r="Y137" i="21"/>
  <c r="Z125" i="21"/>
  <c r="AH63" i="21"/>
  <c r="AG64" i="21"/>
  <c r="AG176" i="21" s="1"/>
  <c r="Y83" i="21"/>
  <c r="Y170" i="21" s="1"/>
  <c r="Z112" i="21"/>
  <c r="Y96" i="21"/>
  <c r="Y97" i="21" s="1"/>
  <c r="Z95" i="21" s="1"/>
  <c r="Z82" i="21"/>
  <c r="Z76" i="21"/>
  <c r="Z81" i="21" s="1"/>
  <c r="Z137" i="21" s="1"/>
  <c r="Z121" i="21"/>
  <c r="Z122" i="21" s="1"/>
  <c r="Z141" i="21" s="1"/>
  <c r="Z105" i="21"/>
  <c r="Z111" i="21" s="1"/>
  <c r="Z140" i="21" s="1"/>
  <c r="AA14" i="21"/>
  <c r="AA6" i="21" s="1"/>
  <c r="AA12" i="21"/>
  <c r="AA132" i="21" s="1"/>
  <c r="AA13" i="21"/>
  <c r="AA5" i="21" s="1"/>
  <c r="X13" i="10"/>
  <c r="X5" i="10" s="1"/>
  <c r="X14" i="10"/>
  <c r="X6" i="10" s="1"/>
  <c r="X12" i="10"/>
  <c r="X15" i="10" s="1"/>
  <c r="FP13" i="26" l="1"/>
  <c r="FP5" i="26" s="1"/>
  <c r="FP12" i="26"/>
  <c r="FP4" i="26" s="1"/>
  <c r="FP11" i="26"/>
  <c r="Y173" i="21"/>
  <c r="Y179" i="21" s="1"/>
  <c r="Y59" i="21"/>
  <c r="Y61" i="21" s="1"/>
  <c r="Z80" i="21"/>
  <c r="Z91" i="21" s="1"/>
  <c r="Z92" i="21" s="1"/>
  <c r="Z138" i="21" s="1"/>
  <c r="Z157" i="21" s="1"/>
  <c r="AA149" i="21"/>
  <c r="AA162" i="21"/>
  <c r="Y144" i="21"/>
  <c r="Y152" i="21" s="1"/>
  <c r="Z142" i="21"/>
  <c r="Z139" i="21"/>
  <c r="Z47" i="21"/>
  <c r="AI63" i="21"/>
  <c r="AH64" i="21"/>
  <c r="AH176" i="21" s="1"/>
  <c r="Y55" i="21"/>
  <c r="Y58" i="21" s="1"/>
  <c r="Y66" i="21" s="1"/>
  <c r="Z48" i="21"/>
  <c r="Z49" i="21"/>
  <c r="Z113" i="21"/>
  <c r="AA104" i="21"/>
  <c r="AA112" i="21" s="1"/>
  <c r="AA77" i="21"/>
  <c r="AA74" i="21"/>
  <c r="AA87" i="21" s="1"/>
  <c r="AA88" i="21" s="1"/>
  <c r="AA75" i="21"/>
  <c r="AA102" i="21"/>
  <c r="AA110" i="21" s="1"/>
  <c r="AA106" i="21"/>
  <c r="AA103" i="21"/>
  <c r="AA117" i="21" s="1"/>
  <c r="AA118" i="21" s="1"/>
  <c r="AB11" i="21"/>
  <c r="AA7" i="21"/>
  <c r="AA15" i="21"/>
  <c r="Y11" i="10"/>
  <c r="X7" i="10"/>
  <c r="FP14" i="26" l="1"/>
  <c r="FQ10" i="26"/>
  <c r="FP6" i="26"/>
  <c r="Z83" i="21"/>
  <c r="Z170" i="21" s="1"/>
  <c r="AA109" i="21"/>
  <c r="AA121" i="21" s="1"/>
  <c r="AA122" i="21" s="1"/>
  <c r="AA141" i="21" s="1"/>
  <c r="Z171" i="21"/>
  <c r="Z158" i="21"/>
  <c r="Z165" i="21" s="1"/>
  <c r="Z144" i="21"/>
  <c r="Z152" i="21" s="1"/>
  <c r="AA139" i="21"/>
  <c r="AA142" i="21"/>
  <c r="AJ63" i="21"/>
  <c r="AI64" i="21"/>
  <c r="AI176" i="21" s="1"/>
  <c r="Z126" i="21"/>
  <c r="Z127" i="21" s="1"/>
  <c r="AA125" i="21" s="1"/>
  <c r="Z50" i="21"/>
  <c r="Z172" i="21" s="1"/>
  <c r="AA80" i="21"/>
  <c r="AA91" i="21" s="1"/>
  <c r="AA92" i="21" s="1"/>
  <c r="Z59" i="21"/>
  <c r="Z61" i="21" s="1"/>
  <c r="Z96" i="21"/>
  <c r="Z97" i="21" s="1"/>
  <c r="AA95" i="21" s="1"/>
  <c r="AA82" i="21"/>
  <c r="AA76" i="21"/>
  <c r="AA81" i="21" s="1"/>
  <c r="AA137" i="21" s="1"/>
  <c r="AA105" i="21"/>
  <c r="AA111" i="21" s="1"/>
  <c r="AB12" i="21"/>
  <c r="AB132" i="21" s="1"/>
  <c r="AB14" i="21"/>
  <c r="AB6" i="21" s="1"/>
  <c r="AB13" i="21"/>
  <c r="AB5" i="21" s="1"/>
  <c r="Y12" i="10"/>
  <c r="Y15" i="10" s="1"/>
  <c r="Y14" i="10"/>
  <c r="Y6" i="10" s="1"/>
  <c r="Y13" i="10"/>
  <c r="Y5" i="10" s="1"/>
  <c r="FQ12" i="26" l="1"/>
  <c r="FQ4" i="26" s="1"/>
  <c r="FQ13" i="26"/>
  <c r="FQ5" i="26" s="1"/>
  <c r="FQ11" i="26"/>
  <c r="Z173" i="21"/>
  <c r="Z179" i="21" s="1"/>
  <c r="AA138" i="21"/>
  <c r="AA157" i="21" s="1"/>
  <c r="AA158" i="21" s="1"/>
  <c r="AA165" i="21" s="1"/>
  <c r="AB149" i="21"/>
  <c r="AB162" i="21"/>
  <c r="AA113" i="21"/>
  <c r="AA140" i="21"/>
  <c r="AA144" i="21" s="1"/>
  <c r="AA152" i="21" s="1"/>
  <c r="AK63" i="21"/>
  <c r="AJ64" i="21"/>
  <c r="AJ176" i="21" s="1"/>
  <c r="AA47" i="21"/>
  <c r="AA49" i="21" s="1"/>
  <c r="Z55" i="21"/>
  <c r="Z58" i="21" s="1"/>
  <c r="Z66" i="21" s="1"/>
  <c r="AA48" i="21"/>
  <c r="AA83" i="21"/>
  <c r="AA170" i="21" s="1"/>
  <c r="AB77" i="21"/>
  <c r="AB74" i="21"/>
  <c r="AB87" i="21" s="1"/>
  <c r="AB88" i="21" s="1"/>
  <c r="AB75" i="21"/>
  <c r="AB106" i="21"/>
  <c r="AB103" i="21"/>
  <c r="AB117" i="21" s="1"/>
  <c r="AB118" i="21" s="1"/>
  <c r="AB104" i="21"/>
  <c r="AB102" i="21"/>
  <c r="AB110" i="21" s="1"/>
  <c r="AC11" i="21"/>
  <c r="AB15" i="21"/>
  <c r="AB7" i="21"/>
  <c r="Z11" i="10"/>
  <c r="Y7" i="10"/>
  <c r="FQ14" i="26" l="1"/>
  <c r="FR10" i="26"/>
  <c r="FQ6" i="26"/>
  <c r="AB109" i="21"/>
  <c r="AA171" i="21"/>
  <c r="AL63" i="21"/>
  <c r="AK64" i="21"/>
  <c r="AK176" i="21" s="1"/>
  <c r="AA50" i="21"/>
  <c r="AA172" i="21" s="1"/>
  <c r="AB80" i="21"/>
  <c r="AB91" i="21" s="1"/>
  <c r="AB92" i="21" s="1"/>
  <c r="AA59" i="21"/>
  <c r="AA61" i="21" s="1"/>
  <c r="AB82" i="21"/>
  <c r="AA96" i="21"/>
  <c r="AA97" i="21" s="1"/>
  <c r="AB95" i="21" s="1"/>
  <c r="AB76" i="21"/>
  <c r="AB81" i="21" s="1"/>
  <c r="AB137" i="21" s="1"/>
  <c r="AA126" i="21"/>
  <c r="AA127" i="21" s="1"/>
  <c r="AB125" i="21" s="1"/>
  <c r="AB112" i="21"/>
  <c r="AB121" i="21"/>
  <c r="AB122" i="21" s="1"/>
  <c r="AB141" i="21" s="1"/>
  <c r="AB105" i="21"/>
  <c r="AB111" i="21" s="1"/>
  <c r="AB140" i="21" s="1"/>
  <c r="AC14" i="21"/>
  <c r="AC6" i="21" s="1"/>
  <c r="AC12" i="21"/>
  <c r="AC132" i="21" s="1"/>
  <c r="AC13" i="21"/>
  <c r="AC5" i="21" s="1"/>
  <c r="Z12" i="10"/>
  <c r="Z15" i="10" s="1"/>
  <c r="Z14" i="10"/>
  <c r="Z6" i="10" s="1"/>
  <c r="Z13" i="10"/>
  <c r="Z5" i="10" s="1"/>
  <c r="FR13" i="26" l="1"/>
  <c r="FR5" i="26" s="1"/>
  <c r="FR12" i="26"/>
  <c r="FR4" i="26" s="1"/>
  <c r="FR11" i="26"/>
  <c r="AA173" i="21"/>
  <c r="AA179" i="21" s="1"/>
  <c r="AB138" i="21"/>
  <c r="AC149" i="21"/>
  <c r="AC162" i="21"/>
  <c r="AB157" i="21"/>
  <c r="AB139" i="21"/>
  <c r="AB142" i="21"/>
  <c r="AB144" i="21" s="1"/>
  <c r="AB152" i="21" s="1"/>
  <c r="AC75" i="21"/>
  <c r="AB96" i="21" s="1"/>
  <c r="AB97" i="21" s="1"/>
  <c r="AC95" i="21" s="1"/>
  <c r="AB47" i="21"/>
  <c r="AB49" i="21" s="1"/>
  <c r="AM63" i="21"/>
  <c r="AL64" i="21"/>
  <c r="AL176" i="21" s="1"/>
  <c r="AA55" i="21"/>
  <c r="AA58" i="21" s="1"/>
  <c r="AA66" i="21" s="1"/>
  <c r="AB48" i="21"/>
  <c r="AB113" i="21"/>
  <c r="AB83" i="21"/>
  <c r="AB170" i="21" s="1"/>
  <c r="AC77" i="21"/>
  <c r="AC74" i="21"/>
  <c r="AC87" i="21" s="1"/>
  <c r="AC88" i="21" s="1"/>
  <c r="AC106" i="21"/>
  <c r="AC103" i="21"/>
  <c r="AC117" i="21" s="1"/>
  <c r="AC118" i="21" s="1"/>
  <c r="AC104" i="21"/>
  <c r="AC102" i="21"/>
  <c r="AC110" i="21" s="1"/>
  <c r="AC15" i="21"/>
  <c r="AC7" i="21"/>
  <c r="AD11" i="21"/>
  <c r="AA11" i="10"/>
  <c r="Z7" i="10"/>
  <c r="FR14" i="26" l="1"/>
  <c r="FS10" i="26"/>
  <c r="FR6" i="26"/>
  <c r="AC109" i="21"/>
  <c r="AB171" i="21"/>
  <c r="AB158" i="21"/>
  <c r="AB165" i="21" s="1"/>
  <c r="AC82" i="21"/>
  <c r="AN63" i="21"/>
  <c r="AM64" i="21"/>
  <c r="AM176" i="21" s="1"/>
  <c r="AB50" i="21"/>
  <c r="AB172" i="21" s="1"/>
  <c r="AC80" i="21"/>
  <c r="AC91" i="21" s="1"/>
  <c r="AC92" i="21" s="1"/>
  <c r="AB59" i="21"/>
  <c r="AB61" i="21" s="1"/>
  <c r="AC76" i="21"/>
  <c r="AB126" i="21"/>
  <c r="AB127" i="21" s="1"/>
  <c r="AC125" i="21" s="1"/>
  <c r="AC112" i="21"/>
  <c r="AC121" i="21"/>
  <c r="AC122" i="21" s="1"/>
  <c r="AC141" i="21" s="1"/>
  <c r="AC105" i="21"/>
  <c r="AC111" i="21" s="1"/>
  <c r="AC140" i="21" s="1"/>
  <c r="AD12" i="21"/>
  <c r="AD132" i="21" s="1"/>
  <c r="AD14" i="21"/>
  <c r="AD6" i="21" s="1"/>
  <c r="AD13" i="21"/>
  <c r="AD5" i="21" s="1"/>
  <c r="AA14" i="10"/>
  <c r="AA6" i="10" s="1"/>
  <c r="AA12" i="10"/>
  <c r="AA15" i="10" s="1"/>
  <c r="AA13" i="10"/>
  <c r="AA5" i="10" s="1"/>
  <c r="FS13" i="26" l="1"/>
  <c r="FS5" i="26" s="1"/>
  <c r="FS12" i="26"/>
  <c r="FS4" i="26" s="1"/>
  <c r="FS11" i="26"/>
  <c r="AB173" i="21"/>
  <c r="AB179" i="21" s="1"/>
  <c r="AC138" i="21"/>
  <c r="AC157" i="21" s="1"/>
  <c r="AC158" i="21" s="1"/>
  <c r="AC165" i="21" s="1"/>
  <c r="AD149" i="21"/>
  <c r="AD162" i="21"/>
  <c r="AC142" i="21"/>
  <c r="AC139" i="21"/>
  <c r="AD75" i="21"/>
  <c r="AC96" i="21" s="1"/>
  <c r="AC97" i="21" s="1"/>
  <c r="AD95" i="21" s="1"/>
  <c r="AO63" i="21"/>
  <c r="AN64" i="21"/>
  <c r="AN176" i="21" s="1"/>
  <c r="AB55" i="21"/>
  <c r="AB58" i="21" s="1"/>
  <c r="AB66" i="21" s="1"/>
  <c r="AC48" i="21"/>
  <c r="AC113" i="21"/>
  <c r="AC81" i="21"/>
  <c r="AD77" i="21"/>
  <c r="AD74" i="21"/>
  <c r="AD87" i="21" s="1"/>
  <c r="AD88" i="21" s="1"/>
  <c r="AD106" i="21"/>
  <c r="AD103" i="21"/>
  <c r="AD117" i="21" s="1"/>
  <c r="AD118" i="21" s="1"/>
  <c r="AD104" i="21"/>
  <c r="AD102" i="21"/>
  <c r="AD110" i="21" s="1"/>
  <c r="AD15" i="21"/>
  <c r="AD7" i="21"/>
  <c r="AE11" i="21"/>
  <c r="AB11" i="10"/>
  <c r="AA7" i="10"/>
  <c r="FS14" i="26" l="1"/>
  <c r="FS6" i="26"/>
  <c r="FT10" i="26"/>
  <c r="AD109" i="21"/>
  <c r="AC171" i="21"/>
  <c r="AD82" i="21"/>
  <c r="AC47" i="21"/>
  <c r="AC49" i="21" s="1"/>
  <c r="AC50" i="21" s="1"/>
  <c r="AC172" i="21" s="1"/>
  <c r="AC137" i="21"/>
  <c r="AP63" i="21"/>
  <c r="AO64" i="21"/>
  <c r="AO176" i="21" s="1"/>
  <c r="AC83" i="21"/>
  <c r="AC170" i="21" s="1"/>
  <c r="AD76" i="21"/>
  <c r="AD112" i="21"/>
  <c r="AC126" i="21"/>
  <c r="AC127" i="21" s="1"/>
  <c r="AD125" i="21" s="1"/>
  <c r="AD121" i="21"/>
  <c r="AD122" i="21" s="1"/>
  <c r="AD141" i="21" s="1"/>
  <c r="AD105" i="21"/>
  <c r="AD111" i="21" s="1"/>
  <c r="AD140" i="21" s="1"/>
  <c r="AE14" i="21"/>
  <c r="AE6" i="21" s="1"/>
  <c r="AE12" i="21"/>
  <c r="AE132" i="21" s="1"/>
  <c r="AE13" i="21"/>
  <c r="AE5" i="21" s="1"/>
  <c r="AB14" i="10"/>
  <c r="AB6" i="10" s="1"/>
  <c r="AB12" i="10"/>
  <c r="AB15" i="10" s="1"/>
  <c r="AB13" i="10"/>
  <c r="AB5" i="10" s="1"/>
  <c r="FT13" i="26" l="1"/>
  <c r="FT5" i="26" s="1"/>
  <c r="FT12" i="26"/>
  <c r="FT4" i="26" s="1"/>
  <c r="FT11" i="26"/>
  <c r="AC59" i="21"/>
  <c r="AC61" i="21" s="1"/>
  <c r="AD80" i="21"/>
  <c r="AD91" i="21" s="1"/>
  <c r="AD92" i="21" s="1"/>
  <c r="AD138" i="21" s="1"/>
  <c r="AD157" i="21" s="1"/>
  <c r="AC173" i="21"/>
  <c r="AC179" i="21" s="1"/>
  <c r="AE149" i="21"/>
  <c r="AE162" i="21"/>
  <c r="AC144" i="21"/>
  <c r="AC152" i="21" s="1"/>
  <c r="AD142" i="21"/>
  <c r="AD139" i="21"/>
  <c r="AQ63" i="21"/>
  <c r="AP64" i="21"/>
  <c r="AP176" i="21" s="1"/>
  <c r="AC55" i="21"/>
  <c r="AC58" i="21" s="1"/>
  <c r="AC66" i="21" s="1"/>
  <c r="AD48" i="21"/>
  <c r="AD113" i="21"/>
  <c r="AD81" i="21"/>
  <c r="AE104" i="21"/>
  <c r="AE112" i="21" s="1"/>
  <c r="AE77" i="21"/>
  <c r="AE74" i="21"/>
  <c r="AE87" i="21" s="1"/>
  <c r="AE88" i="21" s="1"/>
  <c r="AE75" i="21"/>
  <c r="AE106" i="21"/>
  <c r="AE103" i="21"/>
  <c r="AE117" i="21" s="1"/>
  <c r="AE118" i="21" s="1"/>
  <c r="AE102" i="21"/>
  <c r="AE110" i="21" s="1"/>
  <c r="AE15" i="21"/>
  <c r="AE7" i="21"/>
  <c r="AF11" i="21"/>
  <c r="AC11" i="10"/>
  <c r="AB7" i="10"/>
  <c r="FT14" i="26" l="1"/>
  <c r="FT6" i="26"/>
  <c r="FU10" i="26"/>
  <c r="AE109" i="21"/>
  <c r="AD171" i="21"/>
  <c r="AD158" i="21"/>
  <c r="AD165" i="21" s="1"/>
  <c r="AE142" i="21"/>
  <c r="AE139" i="21"/>
  <c r="AD47" i="21"/>
  <c r="AD49" i="21" s="1"/>
  <c r="AD50" i="21" s="1"/>
  <c r="AD172" i="21" s="1"/>
  <c r="AD137" i="21"/>
  <c r="AR63" i="21"/>
  <c r="AQ64" i="21"/>
  <c r="AQ176" i="21" s="1"/>
  <c r="AD126" i="21"/>
  <c r="AD127" i="21" s="1"/>
  <c r="AE125" i="21" s="1"/>
  <c r="AD83" i="21"/>
  <c r="AE82" i="21"/>
  <c r="AD96" i="21"/>
  <c r="AD97" i="21" s="1"/>
  <c r="AE95" i="21" s="1"/>
  <c r="AE76" i="21"/>
  <c r="AE81" i="21" s="1"/>
  <c r="AE137" i="21" s="1"/>
  <c r="AE121" i="21"/>
  <c r="AE122" i="21" s="1"/>
  <c r="AE141" i="21" s="1"/>
  <c r="AE105" i="21"/>
  <c r="AE111" i="21" s="1"/>
  <c r="AF13" i="21"/>
  <c r="AF5" i="21" s="1"/>
  <c r="AF12" i="21"/>
  <c r="AF132" i="21" s="1"/>
  <c r="AF14" i="21"/>
  <c r="AF6" i="21" s="1"/>
  <c r="AC14" i="10"/>
  <c r="AC6" i="10" s="1"/>
  <c r="AC12" i="10"/>
  <c r="AC15" i="10" s="1"/>
  <c r="AC13" i="10"/>
  <c r="AC5" i="10" s="1"/>
  <c r="FU13" i="26" l="1"/>
  <c r="FU5" i="26" s="1"/>
  <c r="FU12" i="26"/>
  <c r="FU4" i="26" s="1"/>
  <c r="FU11" i="26"/>
  <c r="AE80" i="21"/>
  <c r="AE91" i="21" s="1"/>
  <c r="AE92" i="21" s="1"/>
  <c r="AD170" i="21"/>
  <c r="AD173" i="21" s="1"/>
  <c r="AD179" i="21" s="1"/>
  <c r="AD59" i="21"/>
  <c r="AD61" i="21" s="1"/>
  <c r="AF149" i="21"/>
  <c r="AF162" i="21"/>
  <c r="AD144" i="21"/>
  <c r="AD152" i="21" s="1"/>
  <c r="AE113" i="21"/>
  <c r="AE140" i="21"/>
  <c r="AF75" i="21"/>
  <c r="AE96" i="21" s="1"/>
  <c r="AE97" i="21" s="1"/>
  <c r="AF95" i="21" s="1"/>
  <c r="AS63" i="21"/>
  <c r="AR64" i="21"/>
  <c r="AR176" i="21" s="1"/>
  <c r="AE47" i="21"/>
  <c r="AD55" i="21"/>
  <c r="AD58" i="21" s="1"/>
  <c r="AE48" i="21"/>
  <c r="AE83" i="21"/>
  <c r="AE170" i="21" s="1"/>
  <c r="AF77" i="21"/>
  <c r="AF74" i="21"/>
  <c r="AF87" i="21" s="1"/>
  <c r="AF88" i="21" s="1"/>
  <c r="AF106" i="21"/>
  <c r="AF103" i="21"/>
  <c r="AF117" i="21" s="1"/>
  <c r="AF118" i="21" s="1"/>
  <c r="AF104" i="21"/>
  <c r="AF102" i="21"/>
  <c r="AF110" i="21" s="1"/>
  <c r="AF15" i="21"/>
  <c r="AG11" i="21"/>
  <c r="AF7" i="21"/>
  <c r="AD11" i="10"/>
  <c r="AC7" i="10"/>
  <c r="FU14" i="26" l="1"/>
  <c r="FU6" i="26"/>
  <c r="FV10" i="26"/>
  <c r="AE138" i="21"/>
  <c r="AE157" i="21" s="1"/>
  <c r="AE158" i="21" s="1"/>
  <c r="AE165" i="21" s="1"/>
  <c r="AF109" i="21"/>
  <c r="AF121" i="21" s="1"/>
  <c r="AF122" i="21" s="1"/>
  <c r="AF141" i="21" s="1"/>
  <c r="AE171" i="21"/>
  <c r="AD66" i="21"/>
  <c r="AE49" i="21"/>
  <c r="AE50" i="21" s="1"/>
  <c r="AE172" i="21" s="1"/>
  <c r="AF82" i="21"/>
  <c r="AT63" i="21"/>
  <c r="AS64" i="21"/>
  <c r="AS176" i="21" s="1"/>
  <c r="AF80" i="21"/>
  <c r="AE59" i="21"/>
  <c r="AE61" i="21" s="1"/>
  <c r="AF91" i="21"/>
  <c r="AF92" i="21" s="1"/>
  <c r="AF76" i="21"/>
  <c r="AF112" i="21"/>
  <c r="AE126" i="21"/>
  <c r="AE127" i="21" s="1"/>
  <c r="AF125" i="21" s="1"/>
  <c r="AF105" i="21"/>
  <c r="AF111" i="21" s="1"/>
  <c r="AF140" i="21" s="1"/>
  <c r="AG13" i="21"/>
  <c r="AG5" i="21" s="1"/>
  <c r="AG12" i="21"/>
  <c r="AG132" i="21" s="1"/>
  <c r="AG14" i="21"/>
  <c r="AG6" i="21" s="1"/>
  <c r="AD14" i="10"/>
  <c r="AD6" i="10" s="1"/>
  <c r="AD12" i="10"/>
  <c r="AD15" i="10" s="1"/>
  <c r="AD13" i="10"/>
  <c r="AD5" i="10" s="1"/>
  <c r="FV12" i="26" l="1"/>
  <c r="FV4" i="26" s="1"/>
  <c r="FV11" i="26"/>
  <c r="FV13" i="26"/>
  <c r="FV5" i="26" s="1"/>
  <c r="AE173" i="21"/>
  <c r="AE179" i="21" s="1"/>
  <c r="AF138" i="21"/>
  <c r="AE144" i="21"/>
  <c r="AE152" i="21" s="1"/>
  <c r="AG149" i="21"/>
  <c r="AG162" i="21"/>
  <c r="AF157" i="21"/>
  <c r="AF142" i="21"/>
  <c r="AF139" i="21"/>
  <c r="AU63" i="21"/>
  <c r="AT64" i="21"/>
  <c r="AT176" i="21" s="1"/>
  <c r="AE55" i="21"/>
  <c r="AE58" i="21" s="1"/>
  <c r="AE66" i="21" s="1"/>
  <c r="AF48" i="21"/>
  <c r="AF113" i="21"/>
  <c r="AF81" i="21"/>
  <c r="AG77" i="21"/>
  <c r="AG74" i="21"/>
  <c r="AG87" i="21" s="1"/>
  <c r="AG88" i="21" s="1"/>
  <c r="AG75" i="21"/>
  <c r="AG104" i="21"/>
  <c r="AF126" i="21" s="1"/>
  <c r="AF127" i="21" s="1"/>
  <c r="AG102" i="21"/>
  <c r="AG110" i="21" s="1"/>
  <c r="AG106" i="21"/>
  <c r="AG103" i="21"/>
  <c r="AG117" i="21" s="1"/>
  <c r="AG118" i="21" s="1"/>
  <c r="AG15" i="21"/>
  <c r="AH11" i="21"/>
  <c r="AG7" i="21"/>
  <c r="AE11" i="10"/>
  <c r="AD7" i="10"/>
  <c r="FV14" i="26" l="1"/>
  <c r="FW10" i="26"/>
  <c r="FV6" i="26"/>
  <c r="AG109" i="21"/>
  <c r="AF171" i="21"/>
  <c r="AF158" i="21"/>
  <c r="AF165" i="21" s="1"/>
  <c r="AF47" i="21"/>
  <c r="AF49" i="21" s="1"/>
  <c r="AF50" i="21" s="1"/>
  <c r="AF172" i="21" s="1"/>
  <c r="AF137" i="21"/>
  <c r="AV63" i="21"/>
  <c r="AU64" i="21"/>
  <c r="AU176" i="21" s="1"/>
  <c r="AF83" i="21"/>
  <c r="AF170" i="21" s="1"/>
  <c r="AG125" i="21"/>
  <c r="AG112" i="21"/>
  <c r="AF96" i="21"/>
  <c r="AF97" i="21" s="1"/>
  <c r="AG95" i="21" s="1"/>
  <c r="AG82" i="21"/>
  <c r="AG76" i="21"/>
  <c r="AG81" i="21" s="1"/>
  <c r="AG137" i="21" s="1"/>
  <c r="AG121" i="21"/>
  <c r="AG122" i="21" s="1"/>
  <c r="AG141" i="21" s="1"/>
  <c r="AG105" i="21"/>
  <c r="AG111" i="21" s="1"/>
  <c r="AG140" i="21" s="1"/>
  <c r="AH13" i="21"/>
  <c r="AH5" i="21" s="1"/>
  <c r="AH14" i="21"/>
  <c r="AH6" i="21" s="1"/>
  <c r="AH12" i="21"/>
  <c r="AH132" i="21" s="1"/>
  <c r="AE12" i="10"/>
  <c r="AE15" i="10" s="1"/>
  <c r="AE13" i="10"/>
  <c r="AE5" i="10" s="1"/>
  <c r="AE14" i="10"/>
  <c r="AE6" i="10" s="1"/>
  <c r="FW12" i="26" l="1"/>
  <c r="FW4" i="26" s="1"/>
  <c r="FW13" i="26"/>
  <c r="FW5" i="26" s="1"/>
  <c r="FW11" i="26"/>
  <c r="AF59" i="21"/>
  <c r="AF61" i="21" s="1"/>
  <c r="AF173" i="21"/>
  <c r="AF179" i="21" s="1"/>
  <c r="AG80" i="21"/>
  <c r="AG91" i="21" s="1"/>
  <c r="AG92" i="21" s="1"/>
  <c r="AG138" i="21" s="1"/>
  <c r="AG157" i="21" s="1"/>
  <c r="AG158" i="21" s="1"/>
  <c r="AG165" i="21" s="1"/>
  <c r="AH149" i="21"/>
  <c r="AH162" i="21"/>
  <c r="AF144" i="21"/>
  <c r="AF152" i="21" s="1"/>
  <c r="AG142" i="21"/>
  <c r="AG139" i="21"/>
  <c r="AG47" i="21"/>
  <c r="AG49" i="21" s="1"/>
  <c r="AW63" i="21"/>
  <c r="AV64" i="21"/>
  <c r="AV176" i="21" s="1"/>
  <c r="AF55" i="21"/>
  <c r="AF58" i="21" s="1"/>
  <c r="AF66" i="21" s="1"/>
  <c r="AG48" i="21"/>
  <c r="AG113" i="21"/>
  <c r="AG83" i="21"/>
  <c r="AG170" i="21" s="1"/>
  <c r="AH104" i="21"/>
  <c r="AG126" i="21" s="1"/>
  <c r="AG127" i="21" s="1"/>
  <c r="AH77" i="21"/>
  <c r="AH74" i="21"/>
  <c r="AH87" i="21" s="1"/>
  <c r="AH88" i="21" s="1"/>
  <c r="AH75" i="21"/>
  <c r="AH106" i="21"/>
  <c r="AH103" i="21"/>
  <c r="AH117" i="21" s="1"/>
  <c r="AH118" i="21" s="1"/>
  <c r="AH102" i="21"/>
  <c r="AH110" i="21" s="1"/>
  <c r="AI11" i="21"/>
  <c r="AH15" i="21"/>
  <c r="AH7" i="21"/>
  <c r="AF11" i="10"/>
  <c r="AE7" i="10"/>
  <c r="FW14" i="26" l="1"/>
  <c r="FX10" i="26"/>
  <c r="FW6" i="26"/>
  <c r="AH109" i="21"/>
  <c r="AG171" i="21"/>
  <c r="AG144" i="21"/>
  <c r="AG152" i="21" s="1"/>
  <c r="AX63" i="21"/>
  <c r="AW64" i="21"/>
  <c r="AW176" i="21" s="1"/>
  <c r="AG50" i="21"/>
  <c r="AG172" i="21" s="1"/>
  <c r="AH112" i="21"/>
  <c r="AH80" i="21"/>
  <c r="AH91" i="21" s="1"/>
  <c r="AH92" i="21" s="1"/>
  <c r="AG59" i="21"/>
  <c r="AG61" i="21" s="1"/>
  <c r="AH125" i="21"/>
  <c r="AG96" i="21"/>
  <c r="AG97" i="21" s="1"/>
  <c r="AH95" i="21" s="1"/>
  <c r="AH82" i="21"/>
  <c r="AH76" i="21"/>
  <c r="AH81" i="21" s="1"/>
  <c r="AH137" i="21" s="1"/>
  <c r="AH121" i="21"/>
  <c r="AH122" i="21" s="1"/>
  <c r="AH141" i="21" s="1"/>
  <c r="AH105" i="21"/>
  <c r="AH111" i="21" s="1"/>
  <c r="AI12" i="21"/>
  <c r="AI132" i="21" s="1"/>
  <c r="AI13" i="21"/>
  <c r="AI5" i="21" s="1"/>
  <c r="AI14" i="21"/>
  <c r="AI6" i="21" s="1"/>
  <c r="AF12" i="10"/>
  <c r="AF15" i="10" s="1"/>
  <c r="AF14" i="10"/>
  <c r="AF6" i="10" s="1"/>
  <c r="AF13" i="10"/>
  <c r="AF5" i="10" s="1"/>
  <c r="FX13" i="26" l="1"/>
  <c r="FX5" i="26" s="1"/>
  <c r="FX12" i="26"/>
  <c r="FX4" i="26" s="1"/>
  <c r="FX11" i="26"/>
  <c r="AG173" i="21"/>
  <c r="AG179" i="21" s="1"/>
  <c r="AH138" i="21"/>
  <c r="AH157" i="21"/>
  <c r="AI149" i="21"/>
  <c r="AI162" i="21"/>
  <c r="AH113" i="21"/>
  <c r="AH140" i="21"/>
  <c r="AH142" i="21"/>
  <c r="AH139" i="21"/>
  <c r="AH47" i="21"/>
  <c r="AY63" i="21"/>
  <c r="AX64" i="21"/>
  <c r="AX176" i="21" s="1"/>
  <c r="AH49" i="21"/>
  <c r="AG55" i="21"/>
  <c r="AG58" i="21" s="1"/>
  <c r="AG66" i="21" s="1"/>
  <c r="AH48" i="21"/>
  <c r="AH83" i="21"/>
  <c r="AH170" i="21" s="1"/>
  <c r="AI104" i="21"/>
  <c r="AH126" i="21" s="1"/>
  <c r="AH127" i="21" s="1"/>
  <c r="AI77" i="21"/>
  <c r="AI74" i="21"/>
  <c r="AI87" i="21" s="1"/>
  <c r="AI88" i="21" s="1"/>
  <c r="AI75" i="21"/>
  <c r="AI102" i="21"/>
  <c r="AI110" i="21" s="1"/>
  <c r="AI106" i="21"/>
  <c r="AI103" i="21"/>
  <c r="AI117" i="21" s="1"/>
  <c r="AI118" i="21" s="1"/>
  <c r="AI15" i="21"/>
  <c r="AJ11" i="21"/>
  <c r="AI7" i="21"/>
  <c r="AF7" i="10"/>
  <c r="AG11" i="10"/>
  <c r="FX14" i="26" l="1"/>
  <c r="FY10" i="26"/>
  <c r="FX6" i="26"/>
  <c r="AI109" i="21"/>
  <c r="AH171" i="21"/>
  <c r="AH158" i="21"/>
  <c r="AH165" i="21" s="1"/>
  <c r="AH144" i="21"/>
  <c r="AH152" i="21" s="1"/>
  <c r="AH50" i="21"/>
  <c r="AH172" i="21" s="1"/>
  <c r="AZ63" i="21"/>
  <c r="AY64" i="21"/>
  <c r="AY176" i="21" s="1"/>
  <c r="AI112" i="21"/>
  <c r="AI80" i="21"/>
  <c r="AI91" i="21" s="1"/>
  <c r="AI92" i="21" s="1"/>
  <c r="AH59" i="21"/>
  <c r="AH61" i="21" s="1"/>
  <c r="AI125" i="21"/>
  <c r="AH96" i="21"/>
  <c r="AH97" i="21" s="1"/>
  <c r="AI95" i="21" s="1"/>
  <c r="AI82" i="21"/>
  <c r="AI76" i="21"/>
  <c r="AI81" i="21" s="1"/>
  <c r="AI137" i="21" s="1"/>
  <c r="AI121" i="21"/>
  <c r="AI122" i="21" s="1"/>
  <c r="AI141" i="21" s="1"/>
  <c r="AI105" i="21"/>
  <c r="AI111" i="21" s="1"/>
  <c r="AJ13" i="21"/>
  <c r="AJ5" i="21" s="1"/>
  <c r="AJ14" i="21"/>
  <c r="AJ6" i="21" s="1"/>
  <c r="AJ12" i="21"/>
  <c r="AJ132" i="21" s="1"/>
  <c r="AG12" i="10"/>
  <c r="AG15" i="10" s="1"/>
  <c r="AG13" i="10"/>
  <c r="AG5" i="10" s="1"/>
  <c r="AG14" i="10"/>
  <c r="AG6" i="10" s="1"/>
  <c r="FY12" i="26" l="1"/>
  <c r="FY4" i="26" s="1"/>
  <c r="FY13" i="26"/>
  <c r="FY5" i="26" s="1"/>
  <c r="FY11" i="26"/>
  <c r="AH173" i="21"/>
  <c r="AH179" i="21" s="1"/>
  <c r="AI48" i="21"/>
  <c r="AH55" i="21"/>
  <c r="AH58" i="21" s="1"/>
  <c r="AI138" i="21"/>
  <c r="AI157" i="21"/>
  <c r="AI158" i="21" s="1"/>
  <c r="AI165" i="21" s="1"/>
  <c r="AJ149" i="21"/>
  <c r="AJ162" i="21"/>
  <c r="AI113" i="21"/>
  <c r="AI140" i="21"/>
  <c r="AI139" i="21"/>
  <c r="AI142" i="21"/>
  <c r="AJ75" i="21"/>
  <c r="AJ82" i="21" s="1"/>
  <c r="AI47" i="21"/>
  <c r="AH66" i="21"/>
  <c r="BA63" i="21"/>
  <c r="AZ64" i="21"/>
  <c r="AZ176" i="21" s="1"/>
  <c r="AI83" i="21"/>
  <c r="AI170" i="21" s="1"/>
  <c r="AJ102" i="21"/>
  <c r="AJ110" i="21" s="1"/>
  <c r="AJ77" i="21"/>
  <c r="AJ74" i="21"/>
  <c r="AJ87" i="21" s="1"/>
  <c r="AJ88" i="21" s="1"/>
  <c r="AJ104" i="21"/>
  <c r="AJ103" i="21"/>
  <c r="AJ117" i="21" s="1"/>
  <c r="AJ118" i="21" s="1"/>
  <c r="AJ106" i="21"/>
  <c r="AJ15" i="21"/>
  <c r="AK11" i="21"/>
  <c r="AJ7" i="21"/>
  <c r="AG7" i="10"/>
  <c r="AH11" i="10"/>
  <c r="FY14" i="26" l="1"/>
  <c r="FZ10" i="26"/>
  <c r="FY6" i="26"/>
  <c r="AJ109" i="21"/>
  <c r="AJ121" i="21" s="1"/>
  <c r="AJ122" i="21" s="1"/>
  <c r="AJ141" i="21" s="1"/>
  <c r="AI171" i="21"/>
  <c r="AI144" i="21"/>
  <c r="AI152" i="21" s="1"/>
  <c r="AI49" i="21"/>
  <c r="AI50" i="21" s="1"/>
  <c r="AI172" i="21" s="1"/>
  <c r="AI96" i="21"/>
  <c r="AI97" i="21" s="1"/>
  <c r="AJ95" i="21" s="1"/>
  <c r="BB63" i="21"/>
  <c r="BA64" i="21"/>
  <c r="BA176" i="21" s="1"/>
  <c r="AJ80" i="21"/>
  <c r="AJ91" i="21" s="1"/>
  <c r="AJ92" i="21" s="1"/>
  <c r="AI59" i="21"/>
  <c r="AI61" i="21" s="1"/>
  <c r="AJ76" i="21"/>
  <c r="AJ105" i="21"/>
  <c r="AJ111" i="21" s="1"/>
  <c r="AJ140" i="21" s="1"/>
  <c r="AJ112" i="21"/>
  <c r="AI126" i="21"/>
  <c r="AI127" i="21" s="1"/>
  <c r="AJ125" i="21" s="1"/>
  <c r="AK13" i="21"/>
  <c r="AK5" i="21" s="1"/>
  <c r="AK14" i="21"/>
  <c r="AK6" i="21" s="1"/>
  <c r="AK12" i="21"/>
  <c r="AK132" i="21" s="1"/>
  <c r="AH12" i="10"/>
  <c r="AH15" i="10" s="1"/>
  <c r="AH13" i="10"/>
  <c r="AH5" i="10" s="1"/>
  <c r="AH14" i="10"/>
  <c r="AH6" i="10" s="1"/>
  <c r="FZ13" i="26" l="1"/>
  <c r="FZ5" i="26" s="1"/>
  <c r="FZ12" i="26"/>
  <c r="FZ4" i="26" s="1"/>
  <c r="FZ11" i="26"/>
  <c r="AI173" i="21"/>
  <c r="AI179" i="21" s="1"/>
  <c r="AJ48" i="21"/>
  <c r="AI55" i="21"/>
  <c r="AI58" i="21" s="1"/>
  <c r="AJ138" i="21"/>
  <c r="AK149" i="21"/>
  <c r="AK162" i="21"/>
  <c r="AJ157" i="21"/>
  <c r="AJ139" i="21"/>
  <c r="AJ142" i="21"/>
  <c r="AI66" i="21"/>
  <c r="BC63" i="21"/>
  <c r="BB64" i="21"/>
  <c r="BB176" i="21" s="1"/>
  <c r="AJ113" i="21"/>
  <c r="AJ81" i="21"/>
  <c r="AK77" i="21"/>
  <c r="AK74" i="21"/>
  <c r="AK87" i="21" s="1"/>
  <c r="AK88" i="21" s="1"/>
  <c r="AK75" i="21"/>
  <c r="AK106" i="21"/>
  <c r="AK103" i="21"/>
  <c r="AK117" i="21" s="1"/>
  <c r="AK118" i="21" s="1"/>
  <c r="AK104" i="21"/>
  <c r="AK102" i="21"/>
  <c r="AK110" i="21" s="1"/>
  <c r="AK15" i="21"/>
  <c r="AL11" i="21"/>
  <c r="AK7" i="21"/>
  <c r="AH7" i="10"/>
  <c r="AI11" i="10"/>
  <c r="FZ14" i="26" l="1"/>
  <c r="GA10" i="26"/>
  <c r="FZ6" i="26"/>
  <c r="AK109" i="21"/>
  <c r="AJ171" i="21"/>
  <c r="AJ158" i="21"/>
  <c r="AJ165" i="21" s="1"/>
  <c r="AJ47" i="21"/>
  <c r="AJ49" i="21" s="1"/>
  <c r="AJ50" i="21" s="1"/>
  <c r="AJ172" i="21" s="1"/>
  <c r="AJ137" i="21"/>
  <c r="BD63" i="21"/>
  <c r="BC64" i="21"/>
  <c r="BC176" i="21" s="1"/>
  <c r="AJ83" i="21"/>
  <c r="AJ170" i="21" s="1"/>
  <c r="AJ96" i="21"/>
  <c r="AJ97" i="21" s="1"/>
  <c r="AK95" i="21" s="1"/>
  <c r="AK82" i="21"/>
  <c r="AK76" i="21"/>
  <c r="AK81" i="21" s="1"/>
  <c r="AK137" i="21" s="1"/>
  <c r="AJ126" i="21"/>
  <c r="AJ127" i="21" s="1"/>
  <c r="AK125" i="21" s="1"/>
  <c r="AK112" i="21"/>
  <c r="AK105" i="21"/>
  <c r="AK111" i="21" s="1"/>
  <c r="AK140" i="21" s="1"/>
  <c r="AK121" i="21"/>
  <c r="AK122" i="21" s="1"/>
  <c r="AK141" i="21" s="1"/>
  <c r="AL14" i="21"/>
  <c r="AL6" i="21" s="1"/>
  <c r="AL12" i="21"/>
  <c r="AL132" i="21" s="1"/>
  <c r="AL13" i="21"/>
  <c r="AL5" i="21" s="1"/>
  <c r="AI13" i="10"/>
  <c r="AI5" i="10" s="1"/>
  <c r="AI14" i="10"/>
  <c r="AI6" i="10" s="1"/>
  <c r="AI12" i="10"/>
  <c r="AI15" i="10" s="1"/>
  <c r="GA13" i="26" l="1"/>
  <c r="GA5" i="26" s="1"/>
  <c r="GA12" i="26"/>
  <c r="GA4" i="26" s="1"/>
  <c r="GA11" i="26"/>
  <c r="AJ173" i="21"/>
  <c r="AJ179" i="21" s="1"/>
  <c r="AJ59" i="21"/>
  <c r="AJ61" i="21" s="1"/>
  <c r="AK80" i="21"/>
  <c r="AK91" i="21" s="1"/>
  <c r="AK92" i="21" s="1"/>
  <c r="AK138" i="21" s="1"/>
  <c r="AK157" i="21" s="1"/>
  <c r="AK158" i="21" s="1"/>
  <c r="AK165" i="21" s="1"/>
  <c r="AL149" i="21"/>
  <c r="AL162" i="21"/>
  <c r="AJ144" i="21"/>
  <c r="AJ152" i="21" s="1"/>
  <c r="AK139" i="21"/>
  <c r="AK142" i="21"/>
  <c r="AL75" i="21"/>
  <c r="AK96" i="21" s="1"/>
  <c r="AK97" i="21" s="1"/>
  <c r="AL95" i="21" s="1"/>
  <c r="BE63" i="21"/>
  <c r="BD64" i="21"/>
  <c r="BD176" i="21" s="1"/>
  <c r="AK47" i="21"/>
  <c r="AJ55" i="21"/>
  <c r="AJ58" i="21" s="1"/>
  <c r="AJ66" i="21" s="1"/>
  <c r="AK48" i="21"/>
  <c r="AK113" i="21"/>
  <c r="AK83" i="21"/>
  <c r="AK170" i="21" s="1"/>
  <c r="AL102" i="21"/>
  <c r="AL110" i="21" s="1"/>
  <c r="AL77" i="21"/>
  <c r="AL74" i="21"/>
  <c r="AL87" i="21" s="1"/>
  <c r="AL88" i="21" s="1"/>
  <c r="AL106" i="21"/>
  <c r="AL103" i="21"/>
  <c r="AL117" i="21" s="1"/>
  <c r="AL118" i="21" s="1"/>
  <c r="AL104" i="21"/>
  <c r="AL15" i="21"/>
  <c r="AM11" i="21"/>
  <c r="AL7" i="21"/>
  <c r="AI7" i="10"/>
  <c r="AJ11" i="10"/>
  <c r="GA14" i="26" l="1"/>
  <c r="GB10" i="26"/>
  <c r="GA6" i="26"/>
  <c r="AK144" i="21"/>
  <c r="AK152" i="21" s="1"/>
  <c r="AL109" i="21"/>
  <c r="AK171" i="21"/>
  <c r="AK49" i="21"/>
  <c r="AK50" i="21" s="1"/>
  <c r="AK172" i="21" s="1"/>
  <c r="AL82" i="21"/>
  <c r="BF63" i="21"/>
  <c r="BE64" i="21"/>
  <c r="BE176" i="21" s="1"/>
  <c r="AL80" i="21"/>
  <c r="AL91" i="21" s="1"/>
  <c r="AL92" i="21" s="1"/>
  <c r="AK59" i="21"/>
  <c r="AK61" i="21" s="1"/>
  <c r="AL76" i="21"/>
  <c r="AK126" i="21"/>
  <c r="AK127" i="21" s="1"/>
  <c r="AL125" i="21" s="1"/>
  <c r="AL112" i="21"/>
  <c r="AL121" i="21"/>
  <c r="AL122" i="21" s="1"/>
  <c r="AL141" i="21" s="1"/>
  <c r="AL105" i="21"/>
  <c r="AL111" i="21" s="1"/>
  <c r="AL140" i="21" s="1"/>
  <c r="AM13" i="21"/>
  <c r="AM5" i="21" s="1"/>
  <c r="AM14" i="21"/>
  <c r="AM6" i="21" s="1"/>
  <c r="AM12" i="21"/>
  <c r="AM132" i="21" s="1"/>
  <c r="AJ13" i="10"/>
  <c r="AJ5" i="10" s="1"/>
  <c r="AJ14" i="10"/>
  <c r="AJ6" i="10" s="1"/>
  <c r="AJ12" i="10"/>
  <c r="AJ15" i="10" s="1"/>
  <c r="GB13" i="26" l="1"/>
  <c r="GB5" i="26" s="1"/>
  <c r="GB12" i="26"/>
  <c r="GB4" i="26" s="1"/>
  <c r="GB11" i="26"/>
  <c r="AK173" i="21"/>
  <c r="AK179" i="21" s="1"/>
  <c r="AL138" i="21"/>
  <c r="AM149" i="21"/>
  <c r="AM162" i="21"/>
  <c r="AL157" i="21"/>
  <c r="AK55" i="21"/>
  <c r="AK58" i="21" s="1"/>
  <c r="AK66" i="21" s="1"/>
  <c r="AL48" i="21"/>
  <c r="AL139" i="21"/>
  <c r="AL142" i="21"/>
  <c r="AM75" i="21"/>
  <c r="AM82" i="21" s="1"/>
  <c r="BG63" i="21"/>
  <c r="BF64" i="21"/>
  <c r="BF176" i="21" s="1"/>
  <c r="AL113" i="21"/>
  <c r="AL81" i="21"/>
  <c r="AL96" i="21"/>
  <c r="AL97" i="21" s="1"/>
  <c r="AM95" i="21" s="1"/>
  <c r="AM104" i="21"/>
  <c r="AM112" i="21" s="1"/>
  <c r="AM77" i="21"/>
  <c r="AM74" i="21"/>
  <c r="AM87" i="21" s="1"/>
  <c r="AM88" i="21" s="1"/>
  <c r="AM106" i="21"/>
  <c r="AM103" i="21"/>
  <c r="AM117" i="21" s="1"/>
  <c r="AM118" i="21" s="1"/>
  <c r="AM102" i="21"/>
  <c r="AM110" i="21" s="1"/>
  <c r="AM15" i="21"/>
  <c r="AN11" i="21"/>
  <c r="AM7" i="21"/>
  <c r="AK11" i="10"/>
  <c r="AJ7" i="10"/>
  <c r="GB14" i="26" l="1"/>
  <c r="GB6" i="26"/>
  <c r="GC10" i="26"/>
  <c r="AM109" i="21"/>
  <c r="AL171" i="21"/>
  <c r="AL158" i="21"/>
  <c r="AL165" i="21" s="1"/>
  <c r="AM139" i="21"/>
  <c r="AM142" i="21"/>
  <c r="AL47" i="21"/>
  <c r="AL49" i="21" s="1"/>
  <c r="AL50" i="21" s="1"/>
  <c r="AL172" i="21" s="1"/>
  <c r="AL137" i="21"/>
  <c r="BH63" i="21"/>
  <c r="BG64" i="21"/>
  <c r="BG176" i="21" s="1"/>
  <c r="AL83" i="21"/>
  <c r="AL170" i="21" s="1"/>
  <c r="AL126" i="21"/>
  <c r="AL127" i="21" s="1"/>
  <c r="AM125" i="21" s="1"/>
  <c r="AM80" i="21"/>
  <c r="AM91" i="21" s="1"/>
  <c r="AM92" i="21" s="1"/>
  <c r="AL59" i="21"/>
  <c r="AL61" i="21" s="1"/>
  <c r="AM76" i="21"/>
  <c r="AM121" i="21"/>
  <c r="AM122" i="21" s="1"/>
  <c r="AM141" i="21" s="1"/>
  <c r="AM105" i="21"/>
  <c r="AM111" i="21" s="1"/>
  <c r="AN14" i="21"/>
  <c r="AN6" i="21" s="1"/>
  <c r="AN12" i="21"/>
  <c r="AN132" i="21" s="1"/>
  <c r="AN13" i="21"/>
  <c r="AN5" i="21" s="1"/>
  <c r="AK13" i="10"/>
  <c r="AK5" i="10" s="1"/>
  <c r="AK14" i="10"/>
  <c r="AK6" i="10" s="1"/>
  <c r="AK12" i="10"/>
  <c r="AK15" i="10" s="1"/>
  <c r="GC13" i="26" l="1"/>
  <c r="GC5" i="26" s="1"/>
  <c r="GC12" i="26"/>
  <c r="GC4" i="26" s="1"/>
  <c r="GC11" i="26"/>
  <c r="AL173" i="21"/>
  <c r="AL179" i="21" s="1"/>
  <c r="AM138" i="21"/>
  <c r="AM157" i="21"/>
  <c r="AN149" i="21"/>
  <c r="AN162" i="21"/>
  <c r="AM158" i="21"/>
  <c r="AM165" i="21" s="1"/>
  <c r="AL144" i="21"/>
  <c r="AL152" i="21" s="1"/>
  <c r="AM113" i="21"/>
  <c r="AM140" i="21"/>
  <c r="BI63" i="21"/>
  <c r="BH64" i="21"/>
  <c r="BH176" i="21" s="1"/>
  <c r="AL55" i="21"/>
  <c r="AL58" i="21" s="1"/>
  <c r="AL66" i="21" s="1"/>
  <c r="AM48" i="21"/>
  <c r="AM81" i="21"/>
  <c r="AN77" i="21"/>
  <c r="AN74" i="21"/>
  <c r="AN87" i="21" s="1"/>
  <c r="AN88" i="21" s="1"/>
  <c r="AN75" i="21"/>
  <c r="AN106" i="21"/>
  <c r="AN103" i="21"/>
  <c r="AN117" i="21" s="1"/>
  <c r="AN118" i="21" s="1"/>
  <c r="AN104" i="21"/>
  <c r="AN102" i="21"/>
  <c r="AN110" i="21" s="1"/>
  <c r="AN7" i="21"/>
  <c r="AN15" i="21"/>
  <c r="AO11" i="21"/>
  <c r="AL11" i="10"/>
  <c r="AK7" i="10"/>
  <c r="GC14" i="26" l="1"/>
  <c r="GC6" i="26"/>
  <c r="GD10" i="26"/>
  <c r="AN109" i="21"/>
  <c r="AM171" i="21"/>
  <c r="AM47" i="21"/>
  <c r="AM137" i="21"/>
  <c r="BJ63" i="21"/>
  <c r="BI64" i="21"/>
  <c r="BI176" i="21" s="1"/>
  <c r="AM83" i="21"/>
  <c r="AM49" i="21"/>
  <c r="AM50" i="21" s="1"/>
  <c r="AM172" i="21" s="1"/>
  <c r="AM96" i="21"/>
  <c r="AM97" i="21" s="1"/>
  <c r="AN95" i="21" s="1"/>
  <c r="AN82" i="21"/>
  <c r="AN76" i="21"/>
  <c r="AN81" i="21" s="1"/>
  <c r="AN137" i="21" s="1"/>
  <c r="AM126" i="21"/>
  <c r="AM127" i="21" s="1"/>
  <c r="AN125" i="21" s="1"/>
  <c r="AN112" i="21"/>
  <c r="AN121" i="21"/>
  <c r="AN122" i="21" s="1"/>
  <c r="AN141" i="21" s="1"/>
  <c r="AN105" i="21"/>
  <c r="AN111" i="21" s="1"/>
  <c r="AN140" i="21" s="1"/>
  <c r="AO13" i="21"/>
  <c r="AO5" i="21" s="1"/>
  <c r="AO14" i="21"/>
  <c r="AO6" i="21" s="1"/>
  <c r="AO12" i="21"/>
  <c r="AO132" i="21" s="1"/>
  <c r="AL13" i="10"/>
  <c r="AL5" i="10" s="1"/>
  <c r="AL12" i="10"/>
  <c r="AL15" i="10" s="1"/>
  <c r="AL14" i="10"/>
  <c r="AL6" i="10" s="1"/>
  <c r="GD12" i="26" l="1"/>
  <c r="GD4" i="26" s="1"/>
  <c r="GD11" i="26"/>
  <c r="GD13" i="26"/>
  <c r="GD5" i="26" s="1"/>
  <c r="AN80" i="21"/>
  <c r="AN91" i="21" s="1"/>
  <c r="AN92" i="21" s="1"/>
  <c r="AM170" i="21"/>
  <c r="AM173" i="21" s="1"/>
  <c r="AM179" i="21" s="1"/>
  <c r="AO149" i="21"/>
  <c r="AO162" i="21"/>
  <c r="AM144" i="21"/>
  <c r="AM152" i="21" s="1"/>
  <c r="AN139" i="21"/>
  <c r="AN142" i="21"/>
  <c r="AN47" i="21"/>
  <c r="AN49" i="21" s="1"/>
  <c r="BK63" i="21"/>
  <c r="BJ64" i="21"/>
  <c r="BJ176" i="21" s="1"/>
  <c r="AM59" i="21"/>
  <c r="AM61" i="21" s="1"/>
  <c r="AM55" i="21"/>
  <c r="AM58" i="21" s="1"/>
  <c r="AM66" i="21" s="1"/>
  <c r="AN48" i="21"/>
  <c r="AN113" i="21"/>
  <c r="AN83" i="21"/>
  <c r="AN170" i="21" s="1"/>
  <c r="AO77" i="21"/>
  <c r="AO74" i="21"/>
  <c r="AO87" i="21" s="1"/>
  <c r="AO88" i="21" s="1"/>
  <c r="AO75" i="21"/>
  <c r="AO103" i="21"/>
  <c r="AO117" i="21" s="1"/>
  <c r="AO118" i="21" s="1"/>
  <c r="AO106" i="21"/>
  <c r="AO104" i="21"/>
  <c r="AO102" i="21"/>
  <c r="AO110" i="21" s="1"/>
  <c r="AO7" i="21"/>
  <c r="AO15" i="21"/>
  <c r="AP11" i="21"/>
  <c r="AL7" i="10"/>
  <c r="AM11" i="10"/>
  <c r="GD14" i="26" l="1"/>
  <c r="GE10" i="26"/>
  <c r="GD6" i="26"/>
  <c r="AN138" i="21"/>
  <c r="AN157" i="21" s="1"/>
  <c r="AO109" i="21"/>
  <c r="AO121" i="21" s="1"/>
  <c r="AO122" i="21" s="1"/>
  <c r="AO141" i="21" s="1"/>
  <c r="AN171" i="21"/>
  <c r="AN158" i="21"/>
  <c r="AN165" i="21" s="1"/>
  <c r="AN50" i="21"/>
  <c r="AN172" i="21" s="1"/>
  <c r="BL63" i="21"/>
  <c r="BK64" i="21"/>
  <c r="BK176" i="21" s="1"/>
  <c r="AO80" i="21"/>
  <c r="AO91" i="21" s="1"/>
  <c r="AO92" i="21" s="1"/>
  <c r="AN59" i="21"/>
  <c r="AN61" i="21" s="1"/>
  <c r="AO82" i="21"/>
  <c r="AN96" i="21"/>
  <c r="AN97" i="21" s="1"/>
  <c r="AO95" i="21" s="1"/>
  <c r="AO76" i="21"/>
  <c r="AO81" i="21" s="1"/>
  <c r="AO137" i="21" s="1"/>
  <c r="AN126" i="21"/>
  <c r="AN127" i="21" s="1"/>
  <c r="AO125" i="21" s="1"/>
  <c r="AO112" i="21"/>
  <c r="AO105" i="21"/>
  <c r="AO111" i="21" s="1"/>
  <c r="AO140" i="21" s="1"/>
  <c r="AP14" i="21"/>
  <c r="AP6" i="21" s="1"/>
  <c r="AP13" i="21"/>
  <c r="AP5" i="21" s="1"/>
  <c r="AP12" i="21"/>
  <c r="AP132" i="21" s="1"/>
  <c r="AM13" i="10"/>
  <c r="AM5" i="10" s="1"/>
  <c r="AM14" i="10"/>
  <c r="AM6" i="10" s="1"/>
  <c r="AM12" i="10"/>
  <c r="AM15" i="10" s="1"/>
  <c r="GE12" i="26" l="1"/>
  <c r="GE4" i="26" s="1"/>
  <c r="GE13" i="26"/>
  <c r="GE5" i="26" s="1"/>
  <c r="GE11" i="26"/>
  <c r="AN173" i="21"/>
  <c r="AN179" i="21" s="1"/>
  <c r="AO48" i="21"/>
  <c r="AN55" i="21"/>
  <c r="AN58" i="21" s="1"/>
  <c r="AO138" i="21"/>
  <c r="AN144" i="21"/>
  <c r="AN152" i="21" s="1"/>
  <c r="AO157" i="21"/>
  <c r="AO158" i="21"/>
  <c r="AO165" i="21" s="1"/>
  <c r="AP149" i="21"/>
  <c r="AP162" i="21"/>
  <c r="AO139" i="21"/>
  <c r="AO142" i="21"/>
  <c r="AP75" i="21"/>
  <c r="AO96" i="21" s="1"/>
  <c r="AO97" i="21" s="1"/>
  <c r="AP95" i="21" s="1"/>
  <c r="AN66" i="21"/>
  <c r="BM63" i="21"/>
  <c r="BL64" i="21"/>
  <c r="BL176" i="21" s="1"/>
  <c r="AO47" i="21"/>
  <c r="AO49" i="21" s="1"/>
  <c r="AO50" i="21" s="1"/>
  <c r="AO172" i="21" s="1"/>
  <c r="AO113" i="21"/>
  <c r="AO83" i="21"/>
  <c r="AO170" i="21" s="1"/>
  <c r="AP102" i="21"/>
  <c r="AP110" i="21" s="1"/>
  <c r="AP77" i="21"/>
  <c r="AP74" i="21"/>
  <c r="AP87" i="21" s="1"/>
  <c r="AP88" i="21" s="1"/>
  <c r="AP104" i="21"/>
  <c r="AP103" i="21"/>
  <c r="AP117" i="21" s="1"/>
  <c r="AP118" i="21" s="1"/>
  <c r="AP106" i="21"/>
  <c r="AP15" i="21"/>
  <c r="AQ11" i="21"/>
  <c r="AP7" i="21"/>
  <c r="AM7" i="10"/>
  <c r="AN11" i="10"/>
  <c r="GE14" i="26" l="1"/>
  <c r="GF10" i="26"/>
  <c r="GE6" i="26"/>
  <c r="AO144" i="21"/>
  <c r="AO152" i="21" s="1"/>
  <c r="AP109" i="21"/>
  <c r="AO171" i="21"/>
  <c r="AO173" i="21" s="1"/>
  <c r="AO179" i="21" s="1"/>
  <c r="AP82" i="21"/>
  <c r="BN63" i="21"/>
  <c r="BM64" i="21"/>
  <c r="BM176" i="21" s="1"/>
  <c r="AO55" i="21"/>
  <c r="AO58" i="21" s="1"/>
  <c r="AP48" i="21"/>
  <c r="AP80" i="21"/>
  <c r="AP91" i="21" s="1"/>
  <c r="AP92" i="21" s="1"/>
  <c r="AO59" i="21"/>
  <c r="AO61" i="21" s="1"/>
  <c r="AP76" i="21"/>
  <c r="AP105" i="21"/>
  <c r="AP111" i="21" s="1"/>
  <c r="AP140" i="21" s="1"/>
  <c r="AP121" i="21"/>
  <c r="AP122" i="21" s="1"/>
  <c r="AP141" i="21" s="1"/>
  <c r="AO126" i="21"/>
  <c r="AO127" i="21" s="1"/>
  <c r="AP125" i="21" s="1"/>
  <c r="AP112" i="21"/>
  <c r="AQ14" i="21"/>
  <c r="AQ6" i="21" s="1"/>
  <c r="AQ13" i="21"/>
  <c r="AQ5" i="21" s="1"/>
  <c r="AQ12" i="21"/>
  <c r="AQ132" i="21" s="1"/>
  <c r="AN13" i="10"/>
  <c r="AN5" i="10" s="1"/>
  <c r="AN14" i="10"/>
  <c r="AN6" i="10" s="1"/>
  <c r="AN12" i="10"/>
  <c r="AN15" i="10" s="1"/>
  <c r="GF13" i="26" l="1"/>
  <c r="GF5" i="26" s="1"/>
  <c r="GF12" i="26"/>
  <c r="GF4" i="26" s="1"/>
  <c r="GF11" i="26"/>
  <c r="AP138" i="21"/>
  <c r="AP157" i="21"/>
  <c r="AQ149" i="21"/>
  <c r="AQ162" i="21"/>
  <c r="AP142" i="21"/>
  <c r="AP139" i="21"/>
  <c r="AQ75" i="21"/>
  <c r="AP96" i="21" s="1"/>
  <c r="AP97" i="21" s="1"/>
  <c r="AQ95" i="21" s="1"/>
  <c r="AO66" i="21"/>
  <c r="BO63" i="21"/>
  <c r="BN64" i="21"/>
  <c r="BN176" i="21" s="1"/>
  <c r="AP113" i="21"/>
  <c r="AP81" i="21"/>
  <c r="AQ102" i="21"/>
  <c r="AQ110" i="21" s="1"/>
  <c r="AQ77" i="21"/>
  <c r="AQ74" i="21"/>
  <c r="AQ87" i="21" s="1"/>
  <c r="AQ88" i="21" s="1"/>
  <c r="AQ106" i="21"/>
  <c r="AQ103" i="21"/>
  <c r="AQ117" i="21" s="1"/>
  <c r="AQ118" i="21" s="1"/>
  <c r="AQ104" i="21"/>
  <c r="AR11" i="21"/>
  <c r="AQ15" i="21"/>
  <c r="AQ7" i="21"/>
  <c r="AN7" i="10"/>
  <c r="AO11" i="10"/>
  <c r="GF14" i="26" l="1"/>
  <c r="GG10" i="26"/>
  <c r="GF6" i="26"/>
  <c r="AQ82" i="21"/>
  <c r="AQ109" i="21"/>
  <c r="AP171" i="21"/>
  <c r="AP158" i="21"/>
  <c r="AP165" i="21" s="1"/>
  <c r="AP47" i="21"/>
  <c r="AP49" i="21" s="1"/>
  <c r="AP50" i="21" s="1"/>
  <c r="AP172" i="21" s="1"/>
  <c r="AP137" i="21"/>
  <c r="BP63" i="21"/>
  <c r="BO64" i="21"/>
  <c r="BO176" i="21" s="1"/>
  <c r="AP83" i="21"/>
  <c r="AP170" i="21" s="1"/>
  <c r="AQ76" i="21"/>
  <c r="AQ112" i="21"/>
  <c r="AP126" i="21"/>
  <c r="AP127" i="21" s="1"/>
  <c r="AQ125" i="21" s="1"/>
  <c r="AQ121" i="21"/>
  <c r="AQ122" i="21" s="1"/>
  <c r="AQ141" i="21" s="1"/>
  <c r="AQ105" i="21"/>
  <c r="AQ111" i="21" s="1"/>
  <c r="AQ140" i="21" s="1"/>
  <c r="AR12" i="21"/>
  <c r="AR132" i="21" s="1"/>
  <c r="AR13" i="21"/>
  <c r="AR5" i="21" s="1"/>
  <c r="AR14" i="21"/>
  <c r="AR6" i="21" s="1"/>
  <c r="AO14" i="10"/>
  <c r="AO6" i="10" s="1"/>
  <c r="AO13" i="10"/>
  <c r="AO5" i="10" s="1"/>
  <c r="AO12" i="10"/>
  <c r="AO15" i="10" s="1"/>
  <c r="GG12" i="26" l="1"/>
  <c r="GG4" i="26" s="1"/>
  <c r="GG13" i="26"/>
  <c r="GG5" i="26" s="1"/>
  <c r="GG11" i="26"/>
  <c r="AP59" i="21"/>
  <c r="AP61" i="21" s="1"/>
  <c r="AQ80" i="21"/>
  <c r="AQ91" i="21" s="1"/>
  <c r="AQ92" i="21" s="1"/>
  <c r="AP173" i="21"/>
  <c r="AP179" i="21" s="1"/>
  <c r="AQ138" i="21"/>
  <c r="AQ157" i="21"/>
  <c r="AQ158" i="21" s="1"/>
  <c r="AQ165" i="21" s="1"/>
  <c r="AR149" i="21"/>
  <c r="AR162" i="21"/>
  <c r="AP144" i="21"/>
  <c r="AP152" i="21" s="1"/>
  <c r="AQ139" i="21"/>
  <c r="AQ142" i="21"/>
  <c r="AR75" i="21"/>
  <c r="AQ96" i="21" s="1"/>
  <c r="AQ97" i="21" s="1"/>
  <c r="AR95" i="21" s="1"/>
  <c r="BQ63" i="21"/>
  <c r="BP64" i="21"/>
  <c r="BP176" i="21" s="1"/>
  <c r="AP55" i="21"/>
  <c r="AP58" i="21" s="1"/>
  <c r="AP66" i="21" s="1"/>
  <c r="AQ48" i="21"/>
  <c r="AQ113" i="21"/>
  <c r="AQ81" i="21"/>
  <c r="AR77" i="21"/>
  <c r="AR74" i="21"/>
  <c r="AR87" i="21" s="1"/>
  <c r="AR88" i="21" s="1"/>
  <c r="AR106" i="21"/>
  <c r="AR103" i="21"/>
  <c r="AR117" i="21" s="1"/>
  <c r="AR118" i="21" s="1"/>
  <c r="AR104" i="21"/>
  <c r="AR102" i="21"/>
  <c r="AR110" i="21" s="1"/>
  <c r="AS11" i="21"/>
  <c r="AR15" i="21"/>
  <c r="AR7" i="21"/>
  <c r="AP11" i="10"/>
  <c r="AO7" i="10"/>
  <c r="GG14" i="26" l="1"/>
  <c r="GH10" i="26"/>
  <c r="GG6" i="26"/>
  <c r="AR109" i="21"/>
  <c r="AQ171" i="21"/>
  <c r="AR82" i="21"/>
  <c r="AQ47" i="21"/>
  <c r="AQ49" i="21" s="1"/>
  <c r="AQ50" i="21" s="1"/>
  <c r="AQ172" i="21" s="1"/>
  <c r="AQ137" i="21"/>
  <c r="BR63" i="21"/>
  <c r="BQ64" i="21"/>
  <c r="BQ176" i="21" s="1"/>
  <c r="AQ83" i="21"/>
  <c r="AQ170" i="21" s="1"/>
  <c r="AR76" i="21"/>
  <c r="AQ126" i="21"/>
  <c r="AQ127" i="21" s="1"/>
  <c r="AR125" i="21" s="1"/>
  <c r="AR112" i="21"/>
  <c r="AR121" i="21"/>
  <c r="AR122" i="21" s="1"/>
  <c r="AR141" i="21" s="1"/>
  <c r="AR105" i="21"/>
  <c r="AR111" i="21" s="1"/>
  <c r="AR140" i="21" s="1"/>
  <c r="AS14" i="21"/>
  <c r="AS6" i="21" s="1"/>
  <c r="AS13" i="21"/>
  <c r="AS5" i="21" s="1"/>
  <c r="AS12" i="21"/>
  <c r="AS132" i="21" s="1"/>
  <c r="AP14" i="10"/>
  <c r="AP6" i="10" s="1"/>
  <c r="AP13" i="10"/>
  <c r="AP5" i="10" s="1"/>
  <c r="AP12" i="10"/>
  <c r="AP15" i="10" s="1"/>
  <c r="GH13" i="26" l="1"/>
  <c r="GH5" i="26" s="1"/>
  <c r="GH12" i="26"/>
  <c r="GH4" i="26" s="1"/>
  <c r="GH11" i="26"/>
  <c r="AQ173" i="21"/>
  <c r="AQ179" i="21" s="1"/>
  <c r="AQ59" i="21"/>
  <c r="AQ61" i="21" s="1"/>
  <c r="AR80" i="21"/>
  <c r="AR91" i="21" s="1"/>
  <c r="AR92" i="21" s="1"/>
  <c r="AR138" i="21" s="1"/>
  <c r="AR157" i="21" s="1"/>
  <c r="AS149" i="21"/>
  <c r="AS162" i="21"/>
  <c r="AQ144" i="21"/>
  <c r="AQ152" i="21" s="1"/>
  <c r="AR139" i="21"/>
  <c r="AR142" i="21"/>
  <c r="BS63" i="21"/>
  <c r="BR64" i="21"/>
  <c r="BR176" i="21" s="1"/>
  <c r="AQ55" i="21"/>
  <c r="AQ58" i="21" s="1"/>
  <c r="AQ66" i="21" s="1"/>
  <c r="AR48" i="21"/>
  <c r="AR113" i="21"/>
  <c r="AR81" i="21"/>
  <c r="AS102" i="21"/>
  <c r="AS110" i="21" s="1"/>
  <c r="AS77" i="21"/>
  <c r="AS74" i="21"/>
  <c r="AS87" i="21" s="1"/>
  <c r="AS88" i="21" s="1"/>
  <c r="AS75" i="21"/>
  <c r="AS104" i="21"/>
  <c r="AS106" i="21"/>
  <c r="AS103" i="21"/>
  <c r="AS117" i="21" s="1"/>
  <c r="AS118" i="21" s="1"/>
  <c r="AS15" i="21"/>
  <c r="AS7" i="21"/>
  <c r="AT11" i="21"/>
  <c r="AQ11" i="10"/>
  <c r="AP7" i="10"/>
  <c r="GH14" i="26" l="1"/>
  <c r="GI10" i="26"/>
  <c r="GH6" i="26"/>
  <c r="AS109" i="21"/>
  <c r="AR171" i="21"/>
  <c r="AR158" i="21"/>
  <c r="AR165" i="21" s="1"/>
  <c r="AR47" i="21"/>
  <c r="AR49" i="21" s="1"/>
  <c r="AR50" i="21" s="1"/>
  <c r="AR172" i="21" s="1"/>
  <c r="AR137" i="21"/>
  <c r="BT63" i="21"/>
  <c r="BS64" i="21"/>
  <c r="BS176" i="21" s="1"/>
  <c r="AR83" i="21"/>
  <c r="AR170" i="21" s="1"/>
  <c r="AS76" i="21"/>
  <c r="AS81" i="21" s="1"/>
  <c r="AS137" i="21" s="1"/>
  <c r="AS82" i="21"/>
  <c r="AR96" i="21"/>
  <c r="AR97" i="21" s="1"/>
  <c r="AS95" i="21" s="1"/>
  <c r="AS121" i="21"/>
  <c r="AS122" i="21" s="1"/>
  <c r="AS141" i="21" s="1"/>
  <c r="AS105" i="21"/>
  <c r="AS111" i="21" s="1"/>
  <c r="AS140" i="21" s="1"/>
  <c r="AR126" i="21"/>
  <c r="AR127" i="21" s="1"/>
  <c r="AS125" i="21" s="1"/>
  <c r="AS112" i="21"/>
  <c r="AT12" i="21"/>
  <c r="AT132" i="21" s="1"/>
  <c r="AT14" i="21"/>
  <c r="AT6" i="21" s="1"/>
  <c r="AT13" i="21"/>
  <c r="AT5" i="21" s="1"/>
  <c r="AQ14" i="10"/>
  <c r="AQ6" i="10" s="1"/>
  <c r="AQ13" i="10"/>
  <c r="AQ5" i="10" s="1"/>
  <c r="AQ12" i="10"/>
  <c r="AQ15" i="10" s="1"/>
  <c r="GI13" i="26" l="1"/>
  <c r="GI5" i="26" s="1"/>
  <c r="GI12" i="26"/>
  <c r="GI4" i="26" s="1"/>
  <c r="GI11" i="26"/>
  <c r="AR173" i="21"/>
  <c r="AR179" i="21" s="1"/>
  <c r="AR59" i="21"/>
  <c r="AR61" i="21" s="1"/>
  <c r="AS80" i="21"/>
  <c r="AS91" i="21" s="1"/>
  <c r="AS92" i="21" s="1"/>
  <c r="AS138" i="21" s="1"/>
  <c r="AS157" i="21" s="1"/>
  <c r="AS158" i="21" s="1"/>
  <c r="AS165" i="21" s="1"/>
  <c r="AT149" i="21"/>
  <c r="AT162" i="21"/>
  <c r="AR144" i="21"/>
  <c r="AR152" i="21" s="1"/>
  <c r="AS142" i="21"/>
  <c r="AS139" i="21"/>
  <c r="AT75" i="21"/>
  <c r="AT82" i="21" s="1"/>
  <c r="BU63" i="21"/>
  <c r="BT64" i="21"/>
  <c r="BT176" i="21" s="1"/>
  <c r="AS47" i="21"/>
  <c r="AR55" i="21"/>
  <c r="AR58" i="21" s="1"/>
  <c r="AR66" i="21" s="1"/>
  <c r="AS48" i="21"/>
  <c r="AS113" i="21"/>
  <c r="AS83" i="21"/>
  <c r="AS170" i="21" s="1"/>
  <c r="AT104" i="21"/>
  <c r="AT112" i="21" s="1"/>
  <c r="AT77" i="21"/>
  <c r="AT74" i="21"/>
  <c r="AT87" i="21" s="1"/>
  <c r="AT88" i="21" s="1"/>
  <c r="AT106" i="21"/>
  <c r="AT103" i="21"/>
  <c r="AT117" i="21" s="1"/>
  <c r="AT118" i="21" s="1"/>
  <c r="AT102" i="21"/>
  <c r="AT110" i="21" s="1"/>
  <c r="AT15" i="21"/>
  <c r="AU11" i="21"/>
  <c r="AT7" i="21"/>
  <c r="AR11" i="10"/>
  <c r="AQ7" i="10"/>
  <c r="GI14" i="26" l="1"/>
  <c r="GJ10" i="26"/>
  <c r="GI6" i="26"/>
  <c r="AT109" i="21"/>
  <c r="AS171" i="21"/>
  <c r="AS49" i="21"/>
  <c r="AS50" i="21" s="1"/>
  <c r="AS144" i="21"/>
  <c r="AS152" i="21" s="1"/>
  <c r="AS96" i="21"/>
  <c r="AS97" i="21" s="1"/>
  <c r="AT95" i="21" s="1"/>
  <c r="AT142" i="21"/>
  <c r="AT139" i="21"/>
  <c r="BV63" i="21"/>
  <c r="BU64" i="21"/>
  <c r="BU176" i="21" s="1"/>
  <c r="AT80" i="21"/>
  <c r="AT91" i="21" s="1"/>
  <c r="AT92" i="21" s="1"/>
  <c r="AS59" i="21"/>
  <c r="AS61" i="21" s="1"/>
  <c r="AS126" i="21"/>
  <c r="AS127" i="21" s="1"/>
  <c r="AT125" i="21" s="1"/>
  <c r="AT76" i="21"/>
  <c r="AT105" i="21"/>
  <c r="AT111" i="21" s="1"/>
  <c r="AT121" i="21"/>
  <c r="AT122" i="21" s="1"/>
  <c r="AT141" i="21" s="1"/>
  <c r="AU14" i="21"/>
  <c r="AU6" i="21" s="1"/>
  <c r="AU12" i="21"/>
  <c r="AU132" i="21" s="1"/>
  <c r="AU13" i="21"/>
  <c r="AU5" i="21" s="1"/>
  <c r="AR14" i="10"/>
  <c r="AR6" i="10" s="1"/>
  <c r="AR12" i="10"/>
  <c r="AR15" i="10" s="1"/>
  <c r="AR13" i="10"/>
  <c r="AR5" i="10" s="1"/>
  <c r="GJ13" i="26" l="1"/>
  <c r="GJ5" i="26" s="1"/>
  <c r="GJ12" i="26"/>
  <c r="GJ4" i="26" s="1"/>
  <c r="GJ11" i="26"/>
  <c r="AS172" i="21"/>
  <c r="AS173" i="21" s="1"/>
  <c r="AS179" i="21" s="1"/>
  <c r="AS55" i="21"/>
  <c r="AS58" i="21" s="1"/>
  <c r="AT48" i="21"/>
  <c r="AT138" i="21"/>
  <c r="AT157" i="21"/>
  <c r="AU149" i="21"/>
  <c r="AU162" i="21"/>
  <c r="AT113" i="21"/>
  <c r="AT140" i="21"/>
  <c r="AS66" i="21"/>
  <c r="BW63" i="21"/>
  <c r="BV64" i="21"/>
  <c r="BV176" i="21" s="1"/>
  <c r="AT81" i="21"/>
  <c r="AU77" i="21"/>
  <c r="AU74" i="21"/>
  <c r="AU87" i="21" s="1"/>
  <c r="AU88" i="21" s="1"/>
  <c r="AU75" i="21"/>
  <c r="AU106" i="21"/>
  <c r="AU103" i="21"/>
  <c r="AU117" i="21" s="1"/>
  <c r="AU118" i="21" s="1"/>
  <c r="AU104" i="21"/>
  <c r="AU102" i="21"/>
  <c r="AU110" i="21" s="1"/>
  <c r="AU15" i="21"/>
  <c r="AV11" i="21"/>
  <c r="AU7" i="21"/>
  <c r="AS11" i="10"/>
  <c r="AR7" i="10"/>
  <c r="GJ14" i="26" l="1"/>
  <c r="GK10" i="26"/>
  <c r="GJ6" i="26"/>
  <c r="AU109" i="21"/>
  <c r="AT171" i="21"/>
  <c r="AT158" i="21"/>
  <c r="AT165" i="21" s="1"/>
  <c r="AT47" i="21"/>
  <c r="AT49" i="21" s="1"/>
  <c r="AT50" i="21" s="1"/>
  <c r="AT172" i="21" s="1"/>
  <c r="AT137" i="21"/>
  <c r="BX63" i="21"/>
  <c r="BW64" i="21"/>
  <c r="BW176" i="21" s="1"/>
  <c r="AT83" i="21"/>
  <c r="AT96" i="21"/>
  <c r="AT97" i="21" s="1"/>
  <c r="AU95" i="21" s="1"/>
  <c r="AU82" i="21"/>
  <c r="AU76" i="21"/>
  <c r="AU81" i="21" s="1"/>
  <c r="AU137" i="21" s="1"/>
  <c r="AU112" i="21"/>
  <c r="AT126" i="21"/>
  <c r="AT127" i="21" s="1"/>
  <c r="AU125" i="21" s="1"/>
  <c r="AU121" i="21"/>
  <c r="AU122" i="21" s="1"/>
  <c r="AU141" i="21" s="1"/>
  <c r="AU105" i="21"/>
  <c r="AU111" i="21" s="1"/>
  <c r="AU140" i="21" s="1"/>
  <c r="AV14" i="21"/>
  <c r="AV6" i="21" s="1"/>
  <c r="AV13" i="21"/>
  <c r="AV5" i="21" s="1"/>
  <c r="AV12" i="21"/>
  <c r="AV132" i="21" s="1"/>
  <c r="AS14" i="10"/>
  <c r="AS6" i="10" s="1"/>
  <c r="AS12" i="10"/>
  <c r="AS15" i="10" s="1"/>
  <c r="AS13" i="10"/>
  <c r="AS5" i="10" s="1"/>
  <c r="GK13" i="26" l="1"/>
  <c r="GK5" i="26" s="1"/>
  <c r="GK12" i="26"/>
  <c r="GK4" i="26" s="1"/>
  <c r="GK11" i="26"/>
  <c r="AU80" i="21"/>
  <c r="AU91" i="21" s="1"/>
  <c r="AU92" i="21" s="1"/>
  <c r="AT170" i="21"/>
  <c r="AT173" i="21" s="1"/>
  <c r="AT179" i="21" s="1"/>
  <c r="AV149" i="21"/>
  <c r="AV162" i="21"/>
  <c r="AT144" i="21"/>
  <c r="AT152" i="21" s="1"/>
  <c r="AU142" i="21"/>
  <c r="AU139" i="21"/>
  <c r="AV75" i="21"/>
  <c r="AU96" i="21" s="1"/>
  <c r="AU97" i="21" s="1"/>
  <c r="AV95" i="21" s="1"/>
  <c r="AU47" i="21"/>
  <c r="BY63" i="21"/>
  <c r="BX64" i="21"/>
  <c r="BX176" i="21" s="1"/>
  <c r="AT59" i="21"/>
  <c r="AT61" i="21" s="1"/>
  <c r="AT55" i="21"/>
  <c r="AT58" i="21" s="1"/>
  <c r="AU48" i="21"/>
  <c r="AU113" i="21"/>
  <c r="AU83" i="21"/>
  <c r="AU170" i="21" s="1"/>
  <c r="AV104" i="21"/>
  <c r="AV112" i="21" s="1"/>
  <c r="AV77" i="21"/>
  <c r="AV74" i="21"/>
  <c r="AV87" i="21" s="1"/>
  <c r="AV88" i="21" s="1"/>
  <c r="AV106" i="21"/>
  <c r="AV103" i="21"/>
  <c r="AV117" i="21" s="1"/>
  <c r="AV118" i="21" s="1"/>
  <c r="AV102" i="21"/>
  <c r="AV110" i="21" s="1"/>
  <c r="AV15" i="21"/>
  <c r="AW11" i="21"/>
  <c r="AV7" i="21"/>
  <c r="AT11" i="10"/>
  <c r="AS7" i="10"/>
  <c r="GK14" i="26" l="1"/>
  <c r="GL10" i="26"/>
  <c r="GK6" i="26"/>
  <c r="AU138" i="21"/>
  <c r="AU157" i="21" s="1"/>
  <c r="AU158" i="21" s="1"/>
  <c r="AU165" i="21" s="1"/>
  <c r="AV109" i="21"/>
  <c r="AV121" i="21" s="1"/>
  <c r="AV122" i="21" s="1"/>
  <c r="AV141" i="21" s="1"/>
  <c r="AU171" i="21"/>
  <c r="AU49" i="21"/>
  <c r="AU50" i="21" s="1"/>
  <c r="AU144" i="21"/>
  <c r="AU152" i="21" s="1"/>
  <c r="AV82" i="21"/>
  <c r="AV142" i="21"/>
  <c r="AV139" i="21"/>
  <c r="AT66" i="21"/>
  <c r="BZ63" i="21"/>
  <c r="BY64" i="21"/>
  <c r="BY176" i="21" s="1"/>
  <c r="AV80" i="21"/>
  <c r="AV91" i="21" s="1"/>
  <c r="AV92" i="21" s="1"/>
  <c r="AU59" i="21"/>
  <c r="AU61" i="21" s="1"/>
  <c r="AU126" i="21"/>
  <c r="AU127" i="21" s="1"/>
  <c r="AV125" i="21" s="1"/>
  <c r="AV76" i="21"/>
  <c r="AV105" i="21"/>
  <c r="AV111" i="21" s="1"/>
  <c r="AW13" i="21"/>
  <c r="AW5" i="21" s="1"/>
  <c r="AW14" i="21"/>
  <c r="AW6" i="21" s="1"/>
  <c r="AW12" i="21"/>
  <c r="AW132" i="21" s="1"/>
  <c r="AT14" i="10"/>
  <c r="AT6" i="10" s="1"/>
  <c r="AT12" i="10"/>
  <c r="AT15" i="10" s="1"/>
  <c r="AT13" i="10"/>
  <c r="AT5" i="10" s="1"/>
  <c r="GL12" i="26" l="1"/>
  <c r="GL4" i="26" s="1"/>
  <c r="GL13" i="26"/>
  <c r="GL5" i="26" s="1"/>
  <c r="GL11" i="26"/>
  <c r="AV138" i="21"/>
  <c r="AU55" i="21"/>
  <c r="AU58" i="21" s="1"/>
  <c r="AU66" i="21" s="1"/>
  <c r="AU172" i="21"/>
  <c r="AU173" i="21" s="1"/>
  <c r="AU179" i="21" s="1"/>
  <c r="AW149" i="21"/>
  <c r="AW162" i="21"/>
  <c r="AV157" i="21"/>
  <c r="AV113" i="21"/>
  <c r="AV140" i="21"/>
  <c r="AW104" i="21"/>
  <c r="AV126" i="21" s="1"/>
  <c r="AV127" i="21" s="1"/>
  <c r="AV48" i="21"/>
  <c r="CA63" i="21"/>
  <c r="BZ64" i="21"/>
  <c r="BZ176" i="21" s="1"/>
  <c r="AV81" i="21"/>
  <c r="AW102" i="21"/>
  <c r="AW110" i="21" s="1"/>
  <c r="AW77" i="21"/>
  <c r="AW74" i="21"/>
  <c r="AW87" i="21" s="1"/>
  <c r="AW88" i="21" s="1"/>
  <c r="AW75" i="21"/>
  <c r="AW106" i="21"/>
  <c r="AW103" i="21"/>
  <c r="AW117" i="21" s="1"/>
  <c r="AW118" i="21" s="1"/>
  <c r="AW15" i="21"/>
  <c r="AW7" i="21"/>
  <c r="AX11" i="21"/>
  <c r="AU11" i="10"/>
  <c r="AT7" i="10"/>
  <c r="GL14" i="26" l="1"/>
  <c r="GM10" i="26"/>
  <c r="GL6" i="26"/>
  <c r="AW109" i="21"/>
  <c r="AV171" i="21"/>
  <c r="AV158" i="21"/>
  <c r="AV165" i="21" s="1"/>
  <c r="AW112" i="21"/>
  <c r="AW142" i="21" s="1"/>
  <c r="AW139" i="21"/>
  <c r="AV47" i="21"/>
  <c r="AV49" i="21" s="1"/>
  <c r="AV50" i="21" s="1"/>
  <c r="AV172" i="21" s="1"/>
  <c r="AV137" i="21"/>
  <c r="CB63" i="21"/>
  <c r="CA64" i="21"/>
  <c r="CA176" i="21" s="1"/>
  <c r="AW125" i="21"/>
  <c r="AV83" i="21"/>
  <c r="AW80" i="21"/>
  <c r="AW91" i="21" s="1"/>
  <c r="AW92" i="21" s="1"/>
  <c r="AV96" i="21"/>
  <c r="AV97" i="21" s="1"/>
  <c r="AW95" i="21" s="1"/>
  <c r="AW82" i="21"/>
  <c r="AW76" i="21"/>
  <c r="AW81" i="21" s="1"/>
  <c r="AW137" i="21" s="1"/>
  <c r="AW121" i="21"/>
  <c r="AW122" i="21" s="1"/>
  <c r="AW141" i="21" s="1"/>
  <c r="AW105" i="21"/>
  <c r="AW111" i="21" s="1"/>
  <c r="AX13" i="21"/>
  <c r="AX5" i="21" s="1"/>
  <c r="AX12" i="21"/>
  <c r="AX132" i="21" s="1"/>
  <c r="AX14" i="21"/>
  <c r="AX6" i="21" s="1"/>
  <c r="AU12" i="10"/>
  <c r="AU15" i="10" s="1"/>
  <c r="AU13" i="10"/>
  <c r="AU5" i="10" s="1"/>
  <c r="AU14" i="10"/>
  <c r="AU6" i="10" s="1"/>
  <c r="GM12" i="26" l="1"/>
  <c r="GM4" i="26" s="1"/>
  <c r="GM13" i="26"/>
  <c r="GM5" i="26" s="1"/>
  <c r="GM11" i="26"/>
  <c r="AW138" i="21"/>
  <c r="AV59" i="21"/>
  <c r="AV61" i="21" s="1"/>
  <c r="AV170" i="21"/>
  <c r="AV173" i="21" s="1"/>
  <c r="AV179" i="21" s="1"/>
  <c r="AW157" i="21"/>
  <c r="AX149" i="21"/>
  <c r="AX162" i="21"/>
  <c r="AW158" i="21"/>
  <c r="AW165" i="21" s="1"/>
  <c r="AV144" i="21"/>
  <c r="AV152" i="21" s="1"/>
  <c r="AW113" i="21"/>
  <c r="AW140" i="21"/>
  <c r="AW144" i="21" s="1"/>
  <c r="AW152" i="21" s="1"/>
  <c r="AX75" i="21"/>
  <c r="AW96" i="21" s="1"/>
  <c r="AW97" i="21" s="1"/>
  <c r="AX95" i="21" s="1"/>
  <c r="AW47" i="21"/>
  <c r="CC63" i="21"/>
  <c r="CB64" i="21"/>
  <c r="CB176" i="21" s="1"/>
  <c r="AW48" i="21"/>
  <c r="AV55" i="21"/>
  <c r="AV58" i="21" s="1"/>
  <c r="AW83" i="21"/>
  <c r="AW170" i="21" s="1"/>
  <c r="AX77" i="21"/>
  <c r="AX74" i="21"/>
  <c r="AX87" i="21" s="1"/>
  <c r="AX88" i="21" s="1"/>
  <c r="AX106" i="21"/>
  <c r="AX103" i="21"/>
  <c r="AX117" i="21" s="1"/>
  <c r="AX118" i="21" s="1"/>
  <c r="AX104" i="21"/>
  <c r="AX102" i="21"/>
  <c r="AX110" i="21" s="1"/>
  <c r="AX15" i="21"/>
  <c r="AY11" i="21"/>
  <c r="AX7" i="21"/>
  <c r="AV11" i="10"/>
  <c r="AU7" i="10"/>
  <c r="GM14" i="26" l="1"/>
  <c r="GM6" i="26"/>
  <c r="GN10" i="26"/>
  <c r="AV66" i="21"/>
  <c r="AX109" i="21"/>
  <c r="AX121" i="21" s="1"/>
  <c r="AX122" i="21" s="1"/>
  <c r="AX141" i="21" s="1"/>
  <c r="AW171" i="21"/>
  <c r="AW49" i="21"/>
  <c r="AW50" i="21" s="1"/>
  <c r="AX82" i="21"/>
  <c r="CD63" i="21"/>
  <c r="CC64" i="21"/>
  <c r="CC176" i="21" s="1"/>
  <c r="AX80" i="21"/>
  <c r="AX91" i="21" s="1"/>
  <c r="AX92" i="21" s="1"/>
  <c r="AW59" i="21"/>
  <c r="AW61" i="21" s="1"/>
  <c r="AX76" i="21"/>
  <c r="AW126" i="21"/>
  <c r="AW127" i="21" s="1"/>
  <c r="AX125" i="21" s="1"/>
  <c r="AX112" i="21"/>
  <c r="AX105" i="21"/>
  <c r="AX111" i="21" s="1"/>
  <c r="AX140" i="21" s="1"/>
  <c r="AY12" i="21"/>
  <c r="AY132" i="21" s="1"/>
  <c r="AY13" i="21"/>
  <c r="AY5" i="21" s="1"/>
  <c r="AY14" i="21"/>
  <c r="AY6" i="21" s="1"/>
  <c r="AV12" i="10"/>
  <c r="AV15" i="10" s="1"/>
  <c r="AV13" i="10"/>
  <c r="AV5" i="10" s="1"/>
  <c r="AV14" i="10"/>
  <c r="AV6" i="10" s="1"/>
  <c r="GN13" i="26" l="1"/>
  <c r="GN5" i="26" s="1"/>
  <c r="GN12" i="26"/>
  <c r="GN4" i="26" s="1"/>
  <c r="GN11" i="26"/>
  <c r="AW172" i="21"/>
  <c r="AW55" i="21"/>
  <c r="AW58" i="21" s="1"/>
  <c r="AX48" i="21"/>
  <c r="AW173" i="21"/>
  <c r="AW179" i="21" s="1"/>
  <c r="AX138" i="21"/>
  <c r="AX157" i="21"/>
  <c r="AY149" i="21"/>
  <c r="AY162" i="21"/>
  <c r="AX139" i="21"/>
  <c r="AX142" i="21"/>
  <c r="AW66" i="21"/>
  <c r="CE63" i="21"/>
  <c r="CD64" i="21"/>
  <c r="CD176" i="21" s="1"/>
  <c r="AX113" i="21"/>
  <c r="AX81" i="21"/>
  <c r="AY104" i="21"/>
  <c r="AY112" i="21" s="1"/>
  <c r="AY77" i="21"/>
  <c r="AY74" i="21"/>
  <c r="AY87" i="21" s="1"/>
  <c r="AY88" i="21" s="1"/>
  <c r="AY75" i="21"/>
  <c r="AY106" i="21"/>
  <c r="AY103" i="21"/>
  <c r="AY117" i="21" s="1"/>
  <c r="AY118" i="21" s="1"/>
  <c r="AY102" i="21"/>
  <c r="AY110" i="21" s="1"/>
  <c r="AY15" i="21"/>
  <c r="AZ11" i="21"/>
  <c r="AY7" i="21"/>
  <c r="AV7" i="10"/>
  <c r="AW11" i="10"/>
  <c r="GN14" i="26" l="1"/>
  <c r="GN6" i="26"/>
  <c r="GO10" i="26"/>
  <c r="AY109" i="21"/>
  <c r="AX171" i="21"/>
  <c r="AX158" i="21"/>
  <c r="AX165" i="21" s="1"/>
  <c r="AY139" i="21"/>
  <c r="AY142" i="21"/>
  <c r="AX47" i="21"/>
  <c r="AX49" i="21" s="1"/>
  <c r="AX50" i="21" s="1"/>
  <c r="AX172" i="21" s="1"/>
  <c r="AX137" i="21"/>
  <c r="CF63" i="21"/>
  <c r="CE64" i="21"/>
  <c r="CE176" i="21" s="1"/>
  <c r="AX126" i="21"/>
  <c r="AX127" i="21" s="1"/>
  <c r="AY125" i="21" s="1"/>
  <c r="AX83" i="21"/>
  <c r="AX170" i="21" s="1"/>
  <c r="AY80" i="21"/>
  <c r="AY91" i="21" s="1"/>
  <c r="AY92" i="21" s="1"/>
  <c r="AX59" i="21"/>
  <c r="AX61" i="21" s="1"/>
  <c r="AX96" i="21"/>
  <c r="AX97" i="21" s="1"/>
  <c r="AY95" i="21" s="1"/>
  <c r="AY82" i="21"/>
  <c r="AY76" i="21"/>
  <c r="AY81" i="21" s="1"/>
  <c r="AY137" i="21" s="1"/>
  <c r="AY121" i="21"/>
  <c r="AY122" i="21" s="1"/>
  <c r="AY141" i="21" s="1"/>
  <c r="AY105" i="21"/>
  <c r="AY111" i="21" s="1"/>
  <c r="AZ13" i="21"/>
  <c r="AZ5" i="21" s="1"/>
  <c r="AZ12" i="21"/>
  <c r="AZ132" i="21" s="1"/>
  <c r="AZ14" i="21"/>
  <c r="AZ6" i="21" s="1"/>
  <c r="AW12" i="10"/>
  <c r="AW15" i="10" s="1"/>
  <c r="AW13" i="10"/>
  <c r="AW5" i="10" s="1"/>
  <c r="AW14" i="10"/>
  <c r="AW6" i="10" s="1"/>
  <c r="GO12" i="26" l="1"/>
  <c r="GO4" i="26" s="1"/>
  <c r="GO13" i="26"/>
  <c r="GO5" i="26" s="1"/>
  <c r="GO11" i="26"/>
  <c r="AX173" i="21"/>
  <c r="AX179" i="21" s="1"/>
  <c r="AY138" i="21"/>
  <c r="AY157" i="21"/>
  <c r="AY158" i="21"/>
  <c r="AY165" i="21" s="1"/>
  <c r="AZ149" i="21"/>
  <c r="AZ162" i="21"/>
  <c r="AX144" i="21"/>
  <c r="AX152" i="21" s="1"/>
  <c r="AY113" i="21"/>
  <c r="AY140" i="21"/>
  <c r="AY47" i="21"/>
  <c r="CG63" i="21"/>
  <c r="CF64" i="21"/>
  <c r="CF176" i="21" s="1"/>
  <c r="AX55" i="21"/>
  <c r="AX58" i="21" s="1"/>
  <c r="AX66" i="21" s="1"/>
  <c r="AY48" i="21"/>
  <c r="AY83" i="21"/>
  <c r="AY170" i="21" s="1"/>
  <c r="AZ104" i="21"/>
  <c r="AY126" i="21" s="1"/>
  <c r="AY127" i="21" s="1"/>
  <c r="AZ77" i="21"/>
  <c r="AZ74" i="21"/>
  <c r="AZ87" i="21" s="1"/>
  <c r="AZ88" i="21" s="1"/>
  <c r="AZ75" i="21"/>
  <c r="AZ102" i="21"/>
  <c r="AZ110" i="21" s="1"/>
  <c r="AZ106" i="21"/>
  <c r="AZ103" i="21"/>
  <c r="AZ117" i="21" s="1"/>
  <c r="AZ118" i="21" s="1"/>
  <c r="AZ15" i="21"/>
  <c r="BA11" i="21"/>
  <c r="AZ7" i="21"/>
  <c r="AW7" i="10"/>
  <c r="AX11" i="10"/>
  <c r="GO14" i="26" l="1"/>
  <c r="GO6" i="26"/>
  <c r="GP10" i="26"/>
  <c r="AY144" i="21"/>
  <c r="AY152" i="21" s="1"/>
  <c r="AZ109" i="21"/>
  <c r="AY171" i="21"/>
  <c r="AY49" i="21"/>
  <c r="AY50" i="21"/>
  <c r="AZ48" i="21" s="1"/>
  <c r="CH63" i="21"/>
  <c r="CG64" i="21"/>
  <c r="CG176" i="21" s="1"/>
  <c r="AZ125" i="21"/>
  <c r="AZ112" i="21"/>
  <c r="AZ80" i="21"/>
  <c r="AZ91" i="21" s="1"/>
  <c r="AZ92" i="21" s="1"/>
  <c r="AY59" i="21"/>
  <c r="AY61" i="21" s="1"/>
  <c r="AY96" i="21"/>
  <c r="AY97" i="21" s="1"/>
  <c r="AZ95" i="21" s="1"/>
  <c r="AZ82" i="21"/>
  <c r="AZ76" i="21"/>
  <c r="AZ81" i="21" s="1"/>
  <c r="AZ137" i="21" s="1"/>
  <c r="AZ121" i="21"/>
  <c r="AZ122" i="21" s="1"/>
  <c r="AZ141" i="21" s="1"/>
  <c r="AZ105" i="21"/>
  <c r="AZ111" i="21" s="1"/>
  <c r="BA13" i="21"/>
  <c r="BA5" i="21" s="1"/>
  <c r="BA14" i="21"/>
  <c r="BA6" i="21" s="1"/>
  <c r="BA12" i="21"/>
  <c r="BA132" i="21" s="1"/>
  <c r="AX12" i="10"/>
  <c r="AX15" i="10" s="1"/>
  <c r="AX13" i="10"/>
  <c r="AX5" i="10" s="1"/>
  <c r="AX14" i="10"/>
  <c r="AX6" i="10" s="1"/>
  <c r="GP13" i="26" l="1"/>
  <c r="GP5" i="26" s="1"/>
  <c r="GP12" i="26"/>
  <c r="GP4" i="26" s="1"/>
  <c r="GP11" i="26"/>
  <c r="AZ138" i="21"/>
  <c r="AY55" i="21"/>
  <c r="AY58" i="21" s="1"/>
  <c r="AY172" i="21"/>
  <c r="AY173" i="21" s="1"/>
  <c r="AY179" i="21" s="1"/>
  <c r="AZ157" i="21"/>
  <c r="BA149" i="21"/>
  <c r="BA162" i="21"/>
  <c r="AZ113" i="21"/>
  <c r="AZ140" i="21"/>
  <c r="AZ142" i="21"/>
  <c r="AZ139" i="21"/>
  <c r="AY66" i="21"/>
  <c r="BA75" i="21"/>
  <c r="AZ96" i="21" s="1"/>
  <c r="AZ97" i="21" s="1"/>
  <c r="BA95" i="21" s="1"/>
  <c r="AZ47" i="21"/>
  <c r="CI63" i="21"/>
  <c r="CH64" i="21"/>
  <c r="CH176" i="21" s="1"/>
  <c r="AZ83" i="21"/>
  <c r="AZ170" i="21" s="1"/>
  <c r="BA104" i="21"/>
  <c r="BA112" i="21" s="1"/>
  <c r="BA77" i="21"/>
  <c r="BA74" i="21"/>
  <c r="BA87" i="21" s="1"/>
  <c r="BA88" i="21" s="1"/>
  <c r="BA102" i="21"/>
  <c r="BA110" i="21" s="1"/>
  <c r="BA103" i="21"/>
  <c r="BA117" i="21" s="1"/>
  <c r="BA118" i="21" s="1"/>
  <c r="BA106" i="21"/>
  <c r="BA15" i="21"/>
  <c r="BA7" i="21"/>
  <c r="BB11" i="21"/>
  <c r="AX7" i="10"/>
  <c r="AY11" i="10"/>
  <c r="GP14" i="26" l="1"/>
  <c r="GP6" i="26"/>
  <c r="GQ10" i="26"/>
  <c r="BA109" i="21"/>
  <c r="AZ171" i="21"/>
  <c r="AZ158" i="21"/>
  <c r="AZ165" i="21" s="1"/>
  <c r="AZ49" i="21"/>
  <c r="AZ50" i="21" s="1"/>
  <c r="AZ172" i="21" s="1"/>
  <c r="AZ144" i="21"/>
  <c r="AZ152" i="21" s="1"/>
  <c r="BA82" i="21"/>
  <c r="BA142" i="21"/>
  <c r="BA139" i="21"/>
  <c r="CJ63" i="21"/>
  <c r="CI64" i="21"/>
  <c r="CI176" i="21" s="1"/>
  <c r="BA80" i="21"/>
  <c r="BA91" i="21" s="1"/>
  <c r="BA92" i="21" s="1"/>
  <c r="AZ59" i="21"/>
  <c r="AZ61" i="21" s="1"/>
  <c r="AZ126" i="21"/>
  <c r="AZ127" i="21" s="1"/>
  <c r="BA125" i="21" s="1"/>
  <c r="BA76" i="21"/>
  <c r="BA121" i="21"/>
  <c r="BA122" i="21" s="1"/>
  <c r="BA141" i="21" s="1"/>
  <c r="BA105" i="21"/>
  <c r="BA111" i="21" s="1"/>
  <c r="BB12" i="21"/>
  <c r="BB132" i="21" s="1"/>
  <c r="BB13" i="21"/>
  <c r="BB5" i="21" s="1"/>
  <c r="BB14" i="21"/>
  <c r="BB6" i="21" s="1"/>
  <c r="AY13" i="10"/>
  <c r="AY5" i="10" s="1"/>
  <c r="AY12" i="10"/>
  <c r="AY15" i="10" s="1"/>
  <c r="AY14" i="10"/>
  <c r="AY6" i="10" s="1"/>
  <c r="GQ13" i="26" l="1"/>
  <c r="GQ5" i="26" s="1"/>
  <c r="GQ11" i="26"/>
  <c r="GQ12" i="26"/>
  <c r="GQ4" i="26" s="1"/>
  <c r="AZ173" i="21"/>
  <c r="AZ179" i="21" s="1"/>
  <c r="AZ55" i="21"/>
  <c r="AZ58" i="21" s="1"/>
  <c r="BA48" i="21"/>
  <c r="BA138" i="21"/>
  <c r="BA157" i="21"/>
  <c r="BA158" i="21"/>
  <c r="BA165" i="21" s="1"/>
  <c r="BB149" i="21"/>
  <c r="BB162" i="21"/>
  <c r="BA113" i="21"/>
  <c r="BA140" i="21"/>
  <c r="BB75" i="21"/>
  <c r="BA96" i="21" s="1"/>
  <c r="BA97" i="21" s="1"/>
  <c r="BB95" i="21" s="1"/>
  <c r="AZ66" i="21"/>
  <c r="CK63" i="21"/>
  <c r="CJ64" i="21"/>
  <c r="CJ176" i="21" s="1"/>
  <c r="BA81" i="21"/>
  <c r="BB102" i="21"/>
  <c r="BB110" i="21" s="1"/>
  <c r="BB77" i="21"/>
  <c r="BB74" i="21"/>
  <c r="BB87" i="21" s="1"/>
  <c r="BB88" i="21" s="1"/>
  <c r="BB104" i="21"/>
  <c r="BA126" i="21" s="1"/>
  <c r="BA127" i="21" s="1"/>
  <c r="BB106" i="21"/>
  <c r="BB103" i="21"/>
  <c r="BB117" i="21" s="1"/>
  <c r="BB118" i="21" s="1"/>
  <c r="BB15" i="21"/>
  <c r="BC11" i="21"/>
  <c r="BB7" i="21"/>
  <c r="AY7" i="10"/>
  <c r="AZ11" i="10"/>
  <c r="GQ14" i="26" l="1"/>
  <c r="GR10" i="26"/>
  <c r="GQ6" i="26"/>
  <c r="BB109" i="21"/>
  <c r="BA171" i="21"/>
  <c r="BB82" i="21"/>
  <c r="BA47" i="21"/>
  <c r="BA49" i="21" s="1"/>
  <c r="BA50" i="21" s="1"/>
  <c r="BA172" i="21" s="1"/>
  <c r="BA137" i="21"/>
  <c r="CL63" i="21"/>
  <c r="CK64" i="21"/>
  <c r="CK176" i="21" s="1"/>
  <c r="BB125" i="21"/>
  <c r="BA83" i="21"/>
  <c r="BA170" i="21" s="1"/>
  <c r="BB80" i="21"/>
  <c r="BB91" i="21" s="1"/>
  <c r="BB92" i="21" s="1"/>
  <c r="BA59" i="21"/>
  <c r="BA61" i="21" s="1"/>
  <c r="BB112" i="21"/>
  <c r="BB76" i="21"/>
  <c r="BB121" i="21"/>
  <c r="BB122" i="21" s="1"/>
  <c r="BB141" i="21" s="1"/>
  <c r="BB105" i="21"/>
  <c r="BB111" i="21" s="1"/>
  <c r="BB140" i="21" s="1"/>
  <c r="BC13" i="21"/>
  <c r="BC5" i="21" s="1"/>
  <c r="BC14" i="21"/>
  <c r="BC6" i="21" s="1"/>
  <c r="BC12" i="21"/>
  <c r="BC132" i="21" s="1"/>
  <c r="AZ13" i="10"/>
  <c r="AZ5" i="10" s="1"/>
  <c r="AZ12" i="10"/>
  <c r="AZ15" i="10" s="1"/>
  <c r="AZ14" i="10"/>
  <c r="AZ6" i="10" s="1"/>
  <c r="GR13" i="26" l="1"/>
  <c r="GR5" i="26" s="1"/>
  <c r="GR12" i="26"/>
  <c r="GR4" i="26" s="1"/>
  <c r="GR11" i="26"/>
  <c r="BA173" i="21"/>
  <c r="BA179" i="21" s="1"/>
  <c r="BB138" i="21"/>
  <c r="BB157" i="21"/>
  <c r="BC149" i="21"/>
  <c r="BC162" i="21"/>
  <c r="BA144" i="21"/>
  <c r="BA152" i="21" s="1"/>
  <c r="BB139" i="21"/>
  <c r="BB142" i="21"/>
  <c r="CM63" i="21"/>
  <c r="CL64" i="21"/>
  <c r="CL176" i="21" s="1"/>
  <c r="BA55" i="21"/>
  <c r="BA58" i="21" s="1"/>
  <c r="BA66" i="21" s="1"/>
  <c r="BB48" i="21"/>
  <c r="BB113" i="21"/>
  <c r="BB81" i="21"/>
  <c r="BC77" i="21"/>
  <c r="BC74" i="21"/>
  <c r="BC87" i="21" s="1"/>
  <c r="BC88" i="21" s="1"/>
  <c r="BC75" i="21"/>
  <c r="BC106" i="21"/>
  <c r="BC103" i="21"/>
  <c r="BC117" i="21" s="1"/>
  <c r="BC118" i="21" s="1"/>
  <c r="BC104" i="21"/>
  <c r="BC102" i="21"/>
  <c r="BC110" i="21" s="1"/>
  <c r="BC15" i="21"/>
  <c r="BD11" i="21"/>
  <c r="BC7" i="21"/>
  <c r="BA11" i="10"/>
  <c r="AZ7" i="10"/>
  <c r="GR14" i="26" l="1"/>
  <c r="GS10" i="26"/>
  <c r="GR6" i="26"/>
  <c r="BC109" i="21"/>
  <c r="BB171" i="21"/>
  <c r="BB158" i="21"/>
  <c r="BB165" i="21" s="1"/>
  <c r="BB47" i="21"/>
  <c r="BB49" i="21" s="1"/>
  <c r="BB50" i="21" s="1"/>
  <c r="BB172" i="21" s="1"/>
  <c r="BB137" i="21"/>
  <c r="CN63" i="21"/>
  <c r="CM64" i="21"/>
  <c r="CM176" i="21" s="1"/>
  <c r="BB83" i="21"/>
  <c r="BB59" i="21" s="1"/>
  <c r="BB61" i="21" s="1"/>
  <c r="BB96" i="21"/>
  <c r="BB97" i="21" s="1"/>
  <c r="BC95" i="21" s="1"/>
  <c r="BC82" i="21"/>
  <c r="BC76" i="21"/>
  <c r="BC81" i="21" s="1"/>
  <c r="BC137" i="21" s="1"/>
  <c r="BB126" i="21"/>
  <c r="BB127" i="21" s="1"/>
  <c r="BC125" i="21" s="1"/>
  <c r="BC112" i="21"/>
  <c r="BC121" i="21"/>
  <c r="BC122" i="21" s="1"/>
  <c r="BC141" i="21" s="1"/>
  <c r="BC105" i="21"/>
  <c r="BC111" i="21" s="1"/>
  <c r="BC140" i="21" s="1"/>
  <c r="BD14" i="21"/>
  <c r="BD6" i="21" s="1"/>
  <c r="BD12" i="21"/>
  <c r="BD132" i="21" s="1"/>
  <c r="BD13" i="21"/>
  <c r="BD5" i="21" s="1"/>
  <c r="BA13" i="10"/>
  <c r="BA5" i="10" s="1"/>
  <c r="BA14" i="10"/>
  <c r="BA6" i="10" s="1"/>
  <c r="BA12" i="10"/>
  <c r="BA15" i="10" s="1"/>
  <c r="GS13" i="26" l="1"/>
  <c r="GS5" i="26" s="1"/>
  <c r="GS12" i="26"/>
  <c r="GS4" i="26" s="1"/>
  <c r="GS11" i="26"/>
  <c r="BC80" i="21"/>
  <c r="BC91" i="21" s="1"/>
  <c r="BC92" i="21" s="1"/>
  <c r="BB170" i="21"/>
  <c r="BB173" i="21" s="1"/>
  <c r="BB179" i="21" s="1"/>
  <c r="BD149" i="21"/>
  <c r="BD162" i="21"/>
  <c r="BB144" i="21"/>
  <c r="BB152" i="21" s="1"/>
  <c r="BC142" i="21"/>
  <c r="BC139" i="21"/>
  <c r="CO63" i="21"/>
  <c r="CN64" i="21"/>
  <c r="CN176" i="21" s="1"/>
  <c r="BC47" i="21"/>
  <c r="BC49" i="21" s="1"/>
  <c r="BB55" i="21"/>
  <c r="BB58" i="21" s="1"/>
  <c r="BB66" i="21" s="1"/>
  <c r="BC48" i="21"/>
  <c r="BC113" i="21"/>
  <c r="BC83" i="21"/>
  <c r="BC170" i="21" s="1"/>
  <c r="BD77" i="21"/>
  <c r="BD74" i="21"/>
  <c r="BD87" i="21" s="1"/>
  <c r="BD88" i="21" s="1"/>
  <c r="BD75" i="21"/>
  <c r="BD103" i="21"/>
  <c r="BD117" i="21" s="1"/>
  <c r="BD118" i="21" s="1"/>
  <c r="BD106" i="21"/>
  <c r="BD102" i="21"/>
  <c r="BD110" i="21" s="1"/>
  <c r="BD104" i="21"/>
  <c r="BD7" i="21"/>
  <c r="BD15" i="21"/>
  <c r="BE11" i="21"/>
  <c r="BB11" i="10"/>
  <c r="BA7" i="10"/>
  <c r="GS14" i="26" l="1"/>
  <c r="GT10" i="26"/>
  <c r="GS6" i="26"/>
  <c r="BC138" i="21"/>
  <c r="BC157" i="21" s="1"/>
  <c r="BC158" i="21" s="1"/>
  <c r="BC165" i="21" s="1"/>
  <c r="BD109" i="21"/>
  <c r="BC171" i="21"/>
  <c r="BC144" i="21"/>
  <c r="BC152" i="21" s="1"/>
  <c r="CP63" i="21"/>
  <c r="CO64" i="21"/>
  <c r="CO176" i="21" s="1"/>
  <c r="BC50" i="21"/>
  <c r="BC172" i="21" s="1"/>
  <c r="BD80" i="21"/>
  <c r="BD91" i="21" s="1"/>
  <c r="BD92" i="21" s="1"/>
  <c r="BC59" i="21"/>
  <c r="BC61" i="21" s="1"/>
  <c r="BC96" i="21"/>
  <c r="BC97" i="21" s="1"/>
  <c r="BD95" i="21" s="1"/>
  <c r="BD82" i="21"/>
  <c r="BD76" i="21"/>
  <c r="BD81" i="21" s="1"/>
  <c r="BD137" i="21" s="1"/>
  <c r="BC126" i="21"/>
  <c r="BC127" i="21" s="1"/>
  <c r="BD125" i="21" s="1"/>
  <c r="BD112" i="21"/>
  <c r="BD121" i="21"/>
  <c r="BD122" i="21" s="1"/>
  <c r="BD141" i="21" s="1"/>
  <c r="BD105" i="21"/>
  <c r="BD111" i="21" s="1"/>
  <c r="BD140" i="21" s="1"/>
  <c r="BE13" i="21"/>
  <c r="BE5" i="21" s="1"/>
  <c r="BE14" i="21"/>
  <c r="BE6" i="21" s="1"/>
  <c r="BE12" i="21"/>
  <c r="BE132" i="21" s="1"/>
  <c r="BB13" i="10"/>
  <c r="BB5" i="10" s="1"/>
  <c r="BB12" i="10"/>
  <c r="BB15" i="10" s="1"/>
  <c r="BB14" i="10"/>
  <c r="BB6" i="10" s="1"/>
  <c r="GT12" i="26" l="1"/>
  <c r="GT4" i="26" s="1"/>
  <c r="GT11" i="26"/>
  <c r="GT13" i="26"/>
  <c r="GT5" i="26" s="1"/>
  <c r="BC173" i="21"/>
  <c r="BC179" i="21" s="1"/>
  <c r="BD138" i="21"/>
  <c r="BD157" i="21"/>
  <c r="BE149" i="21"/>
  <c r="BE162" i="21"/>
  <c r="BD139" i="21"/>
  <c r="BD142" i="21"/>
  <c r="BD144" i="21" s="1"/>
  <c r="BD152" i="21" s="1"/>
  <c r="CQ63" i="21"/>
  <c r="CP64" i="21"/>
  <c r="CP176" i="21" s="1"/>
  <c r="BD47" i="21"/>
  <c r="BC55" i="21"/>
  <c r="BC58" i="21" s="1"/>
  <c r="BC66" i="21" s="1"/>
  <c r="BD48" i="21"/>
  <c r="BD49" i="21"/>
  <c r="BD113" i="21"/>
  <c r="BD83" i="21"/>
  <c r="BD170" i="21" s="1"/>
  <c r="BE104" i="21"/>
  <c r="BE112" i="21" s="1"/>
  <c r="BE77" i="21"/>
  <c r="BE74" i="21"/>
  <c r="BE87" i="21" s="1"/>
  <c r="BE88" i="21" s="1"/>
  <c r="BE75" i="21"/>
  <c r="BE106" i="21"/>
  <c r="BE103" i="21"/>
  <c r="BE117" i="21" s="1"/>
  <c r="BE118" i="21" s="1"/>
  <c r="BE102" i="21"/>
  <c r="BE110" i="21" s="1"/>
  <c r="BE7" i="21"/>
  <c r="BE15" i="21"/>
  <c r="BF11" i="21"/>
  <c r="BC11" i="10"/>
  <c r="BB7" i="10"/>
  <c r="GT14" i="26" l="1"/>
  <c r="GU10" i="26"/>
  <c r="GT6" i="26"/>
  <c r="BE109" i="21"/>
  <c r="BE121" i="21" s="1"/>
  <c r="BE122" i="21" s="1"/>
  <c r="BE141" i="21" s="1"/>
  <c r="BD171" i="21"/>
  <c r="BD158" i="21"/>
  <c r="BD165" i="21" s="1"/>
  <c r="BE139" i="21"/>
  <c r="BE142" i="21"/>
  <c r="CR63" i="21"/>
  <c r="CQ64" i="21"/>
  <c r="CQ176" i="21" s="1"/>
  <c r="BD126" i="21"/>
  <c r="BD127" i="21" s="1"/>
  <c r="BE125" i="21" s="1"/>
  <c r="BD50" i="21"/>
  <c r="BD172" i="21" s="1"/>
  <c r="BE80" i="21"/>
  <c r="BE91" i="21" s="1"/>
  <c r="BE92" i="21" s="1"/>
  <c r="BD59" i="21"/>
  <c r="BD61" i="21" s="1"/>
  <c r="BD96" i="21"/>
  <c r="BD97" i="21" s="1"/>
  <c r="BE95" i="21" s="1"/>
  <c r="BE82" i="21"/>
  <c r="BE76" i="21"/>
  <c r="BE81" i="21" s="1"/>
  <c r="BE137" i="21" s="1"/>
  <c r="BE105" i="21"/>
  <c r="BE111" i="21" s="1"/>
  <c r="BF14" i="21"/>
  <c r="BF6" i="21" s="1"/>
  <c r="BF13" i="21"/>
  <c r="BF5" i="21" s="1"/>
  <c r="BF12" i="21"/>
  <c r="BF132" i="21" s="1"/>
  <c r="BC13" i="10"/>
  <c r="BC5" i="10" s="1"/>
  <c r="BC14" i="10"/>
  <c r="BC6" i="10" s="1"/>
  <c r="BC12" i="10"/>
  <c r="BC15" i="10" s="1"/>
  <c r="GU12" i="26" l="1"/>
  <c r="GU4" i="26" s="1"/>
  <c r="GU13" i="26"/>
  <c r="GU5" i="26" s="1"/>
  <c r="GU11" i="26"/>
  <c r="BD173" i="21"/>
  <c r="BD179" i="21" s="1"/>
  <c r="BE138" i="21"/>
  <c r="BE157" i="21"/>
  <c r="BF149" i="21"/>
  <c r="BF162" i="21"/>
  <c r="BE158" i="21"/>
  <c r="BE165" i="21" s="1"/>
  <c r="BE113" i="21"/>
  <c r="BE140" i="21"/>
  <c r="BE144" i="21" s="1"/>
  <c r="BE152" i="21" s="1"/>
  <c r="BF75" i="21"/>
  <c r="BE96" i="21" s="1"/>
  <c r="BE97" i="21" s="1"/>
  <c r="BF95" i="21" s="1"/>
  <c r="BE47" i="21"/>
  <c r="BE49" i="21" s="1"/>
  <c r="CS63" i="21"/>
  <c r="CR64" i="21"/>
  <c r="CR176" i="21" s="1"/>
  <c r="BE48" i="21"/>
  <c r="BD55" i="21"/>
  <c r="BD58" i="21" s="1"/>
  <c r="BD66" i="21" s="1"/>
  <c r="BE83" i="21"/>
  <c r="BE170" i="21" s="1"/>
  <c r="BF77" i="21"/>
  <c r="BF74" i="21"/>
  <c r="BF87" i="21" s="1"/>
  <c r="BF88" i="21" s="1"/>
  <c r="BF106" i="21"/>
  <c r="BF103" i="21"/>
  <c r="BF117" i="21" s="1"/>
  <c r="BF118" i="21" s="1"/>
  <c r="BF104" i="21"/>
  <c r="BF102" i="21"/>
  <c r="BF110" i="21" s="1"/>
  <c r="BG11" i="21"/>
  <c r="BF7" i="21"/>
  <c r="BF15" i="21"/>
  <c r="BD11" i="10"/>
  <c r="BC7" i="10"/>
  <c r="GU14" i="26" l="1"/>
  <c r="GV10" i="26"/>
  <c r="GU6" i="26"/>
  <c r="BF109" i="21"/>
  <c r="BE171" i="21"/>
  <c r="BF82" i="21"/>
  <c r="CT63" i="21"/>
  <c r="CS64" i="21"/>
  <c r="CS176" i="21" s="1"/>
  <c r="BE50" i="21"/>
  <c r="BE172" i="21" s="1"/>
  <c r="BF80" i="21"/>
  <c r="BF91" i="21" s="1"/>
  <c r="BF92" i="21" s="1"/>
  <c r="BE59" i="21"/>
  <c r="BE61" i="21" s="1"/>
  <c r="BF76" i="21"/>
  <c r="BE126" i="21"/>
  <c r="BE127" i="21" s="1"/>
  <c r="BF125" i="21" s="1"/>
  <c r="BF112" i="21"/>
  <c r="BF105" i="21"/>
  <c r="BF111" i="21" s="1"/>
  <c r="BF140" i="21" s="1"/>
  <c r="BF121" i="21"/>
  <c r="BF122" i="21" s="1"/>
  <c r="BF141" i="21" s="1"/>
  <c r="BG14" i="21"/>
  <c r="BG6" i="21" s="1"/>
  <c r="BG13" i="21"/>
  <c r="BG5" i="21" s="1"/>
  <c r="BG12" i="21"/>
  <c r="BG132" i="21" s="1"/>
  <c r="BD13" i="10"/>
  <c r="BD5" i="10" s="1"/>
  <c r="BD14" i="10"/>
  <c r="BD6" i="10" s="1"/>
  <c r="BD12" i="10"/>
  <c r="BD15" i="10" s="1"/>
  <c r="GV13" i="26" l="1"/>
  <c r="GV5" i="26" s="1"/>
  <c r="GV12" i="26"/>
  <c r="GV4" i="26" s="1"/>
  <c r="GV11" i="26"/>
  <c r="BE173" i="21"/>
  <c r="BE179" i="21" s="1"/>
  <c r="BF138" i="21"/>
  <c r="BF157" i="21" s="1"/>
  <c r="BG149" i="21"/>
  <c r="BG162" i="21"/>
  <c r="BF142" i="21"/>
  <c r="BF139" i="21"/>
  <c r="CU63" i="21"/>
  <c r="CT64" i="21"/>
  <c r="CT176" i="21" s="1"/>
  <c r="BE55" i="21"/>
  <c r="BE58" i="21" s="1"/>
  <c r="BE66" i="21" s="1"/>
  <c r="BF48" i="21"/>
  <c r="BF113" i="21"/>
  <c r="BF81" i="21"/>
  <c r="BG104" i="21"/>
  <c r="BG112" i="21" s="1"/>
  <c r="BG77" i="21"/>
  <c r="BG74" i="21"/>
  <c r="BG87" i="21" s="1"/>
  <c r="BG88" i="21" s="1"/>
  <c r="BG75" i="21"/>
  <c r="BG102" i="21"/>
  <c r="BG110" i="21" s="1"/>
  <c r="BG106" i="21"/>
  <c r="BG103" i="21"/>
  <c r="BG117" i="21" s="1"/>
  <c r="BG118" i="21" s="1"/>
  <c r="BH11" i="21"/>
  <c r="BG15" i="21"/>
  <c r="BG7" i="21"/>
  <c r="BD7" i="10"/>
  <c r="BE11" i="10"/>
  <c r="GV14" i="26" l="1"/>
  <c r="GW10" i="26"/>
  <c r="GV6" i="26"/>
  <c r="BG109" i="21"/>
  <c r="BF171" i="21"/>
  <c r="BF158" i="21"/>
  <c r="BF165" i="21" s="1"/>
  <c r="BG139" i="21"/>
  <c r="BG142" i="21"/>
  <c r="BF47" i="21"/>
  <c r="BF49" i="21" s="1"/>
  <c r="BF50" i="21" s="1"/>
  <c r="BF172" i="21" s="1"/>
  <c r="BF137" i="21"/>
  <c r="CV63" i="21"/>
  <c r="CU64" i="21"/>
  <c r="CU176" i="21" s="1"/>
  <c r="BF126" i="21"/>
  <c r="BF127" i="21" s="1"/>
  <c r="BG125" i="21" s="1"/>
  <c r="BF83" i="21"/>
  <c r="BG80" i="21" s="1"/>
  <c r="BG91" i="21" s="1"/>
  <c r="BG92" i="21" s="1"/>
  <c r="BF96" i="21"/>
  <c r="BF97" i="21" s="1"/>
  <c r="BG95" i="21" s="1"/>
  <c r="BG82" i="21"/>
  <c r="BG76" i="21"/>
  <c r="BG81" i="21" s="1"/>
  <c r="BG137" i="21" s="1"/>
  <c r="BG121" i="21"/>
  <c r="BG122" i="21" s="1"/>
  <c r="BG141" i="21" s="1"/>
  <c r="BG105" i="21"/>
  <c r="BG111" i="21" s="1"/>
  <c r="BH12" i="21"/>
  <c r="BH132" i="21" s="1"/>
  <c r="BH13" i="21"/>
  <c r="BH5" i="21" s="1"/>
  <c r="BH14" i="21"/>
  <c r="BH6" i="21" s="1"/>
  <c r="BE12" i="10"/>
  <c r="BE15" i="10" s="1"/>
  <c r="BE13" i="10"/>
  <c r="BE5" i="10" s="1"/>
  <c r="BE14" i="10"/>
  <c r="BE6" i="10" s="1"/>
  <c r="GW12" i="26" l="1"/>
  <c r="GW4" i="26" s="1"/>
  <c r="GW11" i="26"/>
  <c r="GW13" i="26"/>
  <c r="GW5" i="26" s="1"/>
  <c r="BG138" i="21"/>
  <c r="BF59" i="21"/>
  <c r="BF61" i="21" s="1"/>
  <c r="BF170" i="21"/>
  <c r="BF173" i="21" s="1"/>
  <c r="BF179" i="21" s="1"/>
  <c r="BG157" i="21"/>
  <c r="BG158" i="21"/>
  <c r="BG165" i="21" s="1"/>
  <c r="BH149" i="21"/>
  <c r="BH162" i="21"/>
  <c r="BF144" i="21"/>
  <c r="BF152" i="21" s="1"/>
  <c r="BG113" i="21"/>
  <c r="BG140" i="21"/>
  <c r="BG144" i="21" s="1"/>
  <c r="BG152" i="21" s="1"/>
  <c r="BG47" i="21"/>
  <c r="CW63" i="21"/>
  <c r="CV64" i="21"/>
  <c r="CV176" i="21" s="1"/>
  <c r="BF55" i="21"/>
  <c r="BF58" i="21" s="1"/>
  <c r="BF66" i="21" s="1"/>
  <c r="BG48" i="21"/>
  <c r="BG83" i="21"/>
  <c r="BG170" i="21" s="1"/>
  <c r="BH102" i="21"/>
  <c r="BH110" i="21" s="1"/>
  <c r="BH77" i="21"/>
  <c r="BH74" i="21"/>
  <c r="BH87" i="21" s="1"/>
  <c r="BH88" i="21" s="1"/>
  <c r="BH75" i="21"/>
  <c r="BH104" i="21"/>
  <c r="BG126" i="21" s="1"/>
  <c r="BG127" i="21" s="1"/>
  <c r="BH103" i="21"/>
  <c r="BH117" i="21" s="1"/>
  <c r="BH118" i="21" s="1"/>
  <c r="BH106" i="21"/>
  <c r="BI11" i="21"/>
  <c r="BH15" i="21"/>
  <c r="BH7" i="21"/>
  <c r="BE7" i="10"/>
  <c r="BF11" i="10"/>
  <c r="GW14" i="26" l="1"/>
  <c r="GX10" i="26"/>
  <c r="GW6" i="26"/>
  <c r="BH109" i="21"/>
  <c r="BG171" i="21"/>
  <c r="BG49" i="21"/>
  <c r="CX63" i="21"/>
  <c r="CW64" i="21"/>
  <c r="CW176" i="21" s="1"/>
  <c r="BH125" i="21"/>
  <c r="BG50" i="21"/>
  <c r="BG172" i="21" s="1"/>
  <c r="BH80" i="21"/>
  <c r="BH91" i="21" s="1"/>
  <c r="BH92" i="21" s="1"/>
  <c r="BG59" i="21"/>
  <c r="BG61" i="21" s="1"/>
  <c r="BH112" i="21"/>
  <c r="BG96" i="21"/>
  <c r="BG97" i="21" s="1"/>
  <c r="BH95" i="21" s="1"/>
  <c r="BH82" i="21"/>
  <c r="BH76" i="21"/>
  <c r="BH81" i="21" s="1"/>
  <c r="BH137" i="21" s="1"/>
  <c r="BH121" i="21"/>
  <c r="BH122" i="21" s="1"/>
  <c r="BH141" i="21" s="1"/>
  <c r="BH105" i="21"/>
  <c r="BH111" i="21" s="1"/>
  <c r="BH140" i="21" s="1"/>
  <c r="BI14" i="21"/>
  <c r="BI6" i="21" s="1"/>
  <c r="BI12" i="21"/>
  <c r="BI132" i="21" s="1"/>
  <c r="BI13" i="21"/>
  <c r="BI5" i="21" s="1"/>
  <c r="BF12" i="10"/>
  <c r="BF15" i="10" s="1"/>
  <c r="BF13" i="10"/>
  <c r="BF5" i="10" s="1"/>
  <c r="BF14" i="10"/>
  <c r="BF6" i="10" s="1"/>
  <c r="GX13" i="26" l="1"/>
  <c r="GX5" i="26" s="1"/>
  <c r="GX12" i="26"/>
  <c r="GX4" i="26" s="1"/>
  <c r="GX11" i="26"/>
  <c r="BG173" i="21"/>
  <c r="BG179" i="21" s="1"/>
  <c r="BH138" i="21"/>
  <c r="BH157" i="21" s="1"/>
  <c r="BI149" i="21"/>
  <c r="BI162" i="21"/>
  <c r="BH139" i="21"/>
  <c r="BH142" i="21"/>
  <c r="BH47" i="21"/>
  <c r="BH49" i="21" s="1"/>
  <c r="CY63" i="21"/>
  <c r="CX64" i="21"/>
  <c r="CX176" i="21" s="1"/>
  <c r="BG55" i="21"/>
  <c r="BG58" i="21" s="1"/>
  <c r="BG66" i="21" s="1"/>
  <c r="BH48" i="21"/>
  <c r="BH113" i="21"/>
  <c r="BH83" i="21"/>
  <c r="BH170" i="21" s="1"/>
  <c r="BI102" i="21"/>
  <c r="BI110" i="21" s="1"/>
  <c r="BI77" i="21"/>
  <c r="BI74" i="21"/>
  <c r="BI87" i="21" s="1"/>
  <c r="BI88" i="21" s="1"/>
  <c r="BI75" i="21"/>
  <c r="BI104" i="21"/>
  <c r="BI106" i="21"/>
  <c r="BI103" i="21"/>
  <c r="BI117" i="21" s="1"/>
  <c r="BI118" i="21" s="1"/>
  <c r="BI15" i="21"/>
  <c r="BI7" i="21"/>
  <c r="BJ11" i="21"/>
  <c r="BF7" i="10"/>
  <c r="BG11" i="10"/>
  <c r="GX14" i="26" l="1"/>
  <c r="GY10" i="26"/>
  <c r="GX6" i="26"/>
  <c r="BH50" i="21"/>
  <c r="BH172" i="21" s="1"/>
  <c r="BI109" i="21"/>
  <c r="BI121" i="21" s="1"/>
  <c r="BI122" i="21" s="1"/>
  <c r="BI141" i="21" s="1"/>
  <c r="BH171" i="21"/>
  <c r="BH173" i="21" s="1"/>
  <c r="BH179" i="21" s="1"/>
  <c r="BH158" i="21"/>
  <c r="BH165" i="21" s="1"/>
  <c r="BH144" i="21"/>
  <c r="BH152" i="21" s="1"/>
  <c r="CZ63" i="21"/>
  <c r="CY64" i="21"/>
  <c r="CY176" i="21" s="1"/>
  <c r="BH55" i="21"/>
  <c r="BH58" i="21" s="1"/>
  <c r="BI48" i="21"/>
  <c r="BI80" i="21"/>
  <c r="BI91" i="21" s="1"/>
  <c r="BI92" i="21" s="1"/>
  <c r="BH59" i="21"/>
  <c r="BH61" i="21" s="1"/>
  <c r="BH96" i="21"/>
  <c r="BH97" i="21" s="1"/>
  <c r="BI95" i="21" s="1"/>
  <c r="BI82" i="21"/>
  <c r="BI76" i="21"/>
  <c r="BI81" i="21" s="1"/>
  <c r="BI137" i="21" s="1"/>
  <c r="BI105" i="21"/>
  <c r="BI111" i="21" s="1"/>
  <c r="BI140" i="21" s="1"/>
  <c r="BH126" i="21"/>
  <c r="BH127" i="21" s="1"/>
  <c r="BI125" i="21" s="1"/>
  <c r="BI112" i="21"/>
  <c r="BJ12" i="21"/>
  <c r="BJ132" i="21" s="1"/>
  <c r="BJ13" i="21"/>
  <c r="BJ5" i="21" s="1"/>
  <c r="BJ14" i="21"/>
  <c r="BJ6" i="21" s="1"/>
  <c r="BG14" i="10"/>
  <c r="BG6" i="10" s="1"/>
  <c r="BG12" i="10"/>
  <c r="BG15" i="10" s="1"/>
  <c r="BG13" i="10"/>
  <c r="BG5" i="10" s="1"/>
  <c r="GY13" i="26" l="1"/>
  <c r="GY5" i="26" s="1"/>
  <c r="GY12" i="26"/>
  <c r="GY4" i="26" s="1"/>
  <c r="GY11" i="26"/>
  <c r="BI138" i="21"/>
  <c r="BI157" i="21"/>
  <c r="BI158" i="21"/>
  <c r="BI165" i="21" s="1"/>
  <c r="BJ149" i="21"/>
  <c r="BJ162" i="21"/>
  <c r="BI142" i="21"/>
  <c r="BI139" i="21"/>
  <c r="BH66" i="21"/>
  <c r="BI47" i="21"/>
  <c r="BI49" i="21" s="1"/>
  <c r="BI50" i="21" s="1"/>
  <c r="BI172" i="21" s="1"/>
  <c r="DA63" i="21"/>
  <c r="CZ64" i="21"/>
  <c r="CZ176" i="21" s="1"/>
  <c r="BI113" i="21"/>
  <c r="BI83" i="21"/>
  <c r="BI170" i="21" s="1"/>
  <c r="BJ102" i="21"/>
  <c r="BJ110" i="21" s="1"/>
  <c r="BJ77" i="21"/>
  <c r="BJ74" i="21"/>
  <c r="BJ87" i="21" s="1"/>
  <c r="BJ88" i="21" s="1"/>
  <c r="BJ75" i="21"/>
  <c r="BJ104" i="21"/>
  <c r="BJ106" i="21"/>
  <c r="BJ103" i="21"/>
  <c r="BJ117" i="21" s="1"/>
  <c r="BJ118" i="21" s="1"/>
  <c r="BJ15" i="21"/>
  <c r="BJ7" i="21"/>
  <c r="BK11" i="21"/>
  <c r="BH11" i="10"/>
  <c r="BG7" i="10"/>
  <c r="GY14" i="26" l="1"/>
  <c r="GZ10" i="26"/>
  <c r="GY6" i="26"/>
  <c r="BJ109" i="21"/>
  <c r="BI171" i="21"/>
  <c r="BI173" i="21" s="1"/>
  <c r="BI179" i="21" s="1"/>
  <c r="BI144" i="21"/>
  <c r="BI152" i="21" s="1"/>
  <c r="DB63" i="21"/>
  <c r="DA64" i="21"/>
  <c r="DA176" i="21" s="1"/>
  <c r="BI55" i="21"/>
  <c r="BI58" i="21" s="1"/>
  <c r="BJ48" i="21"/>
  <c r="BJ80" i="21"/>
  <c r="BJ91" i="21" s="1"/>
  <c r="BJ92" i="21" s="1"/>
  <c r="BI59" i="21"/>
  <c r="BI61" i="21" s="1"/>
  <c r="BI96" i="21"/>
  <c r="BI97" i="21" s="1"/>
  <c r="BJ95" i="21" s="1"/>
  <c r="BJ82" i="21"/>
  <c r="BJ76" i="21"/>
  <c r="BJ81" i="21" s="1"/>
  <c r="BJ137" i="21" s="1"/>
  <c r="BJ121" i="21"/>
  <c r="BJ122" i="21" s="1"/>
  <c r="BJ141" i="21" s="1"/>
  <c r="BJ105" i="21"/>
  <c r="BJ111" i="21" s="1"/>
  <c r="BJ140" i="21" s="1"/>
  <c r="BJ112" i="21"/>
  <c r="BI126" i="21"/>
  <c r="BI127" i="21" s="1"/>
  <c r="BJ125" i="21" s="1"/>
  <c r="BK14" i="21"/>
  <c r="BK6" i="21" s="1"/>
  <c r="BK12" i="21"/>
  <c r="BK132" i="21" s="1"/>
  <c r="BK13" i="21"/>
  <c r="BK5" i="21" s="1"/>
  <c r="BH14" i="10"/>
  <c r="BH6" i="10" s="1"/>
  <c r="BH12" i="10"/>
  <c r="BH15" i="10" s="1"/>
  <c r="BH13" i="10"/>
  <c r="BH5" i="10" s="1"/>
  <c r="GZ13" i="26" l="1"/>
  <c r="GZ5" i="26" s="1"/>
  <c r="GZ12" i="26"/>
  <c r="GZ4" i="26" s="1"/>
  <c r="GZ11" i="26"/>
  <c r="BJ138" i="21"/>
  <c r="BJ157" i="21"/>
  <c r="BK149" i="21"/>
  <c r="BK162" i="21"/>
  <c r="BJ142" i="21"/>
  <c r="BJ139" i="21"/>
  <c r="BK75" i="21"/>
  <c r="BJ96" i="21" s="1"/>
  <c r="BJ97" i="21" s="1"/>
  <c r="BK95" i="21" s="1"/>
  <c r="BI66" i="21"/>
  <c r="BJ47" i="21"/>
  <c r="DC63" i="21"/>
  <c r="DB64" i="21"/>
  <c r="DB176" i="21" s="1"/>
  <c r="BJ49" i="21"/>
  <c r="BJ50" i="21" s="1"/>
  <c r="BJ172" i="21" s="1"/>
  <c r="BJ113" i="21"/>
  <c r="BJ83" i="21"/>
  <c r="BJ170" i="21" s="1"/>
  <c r="BK77" i="21"/>
  <c r="BK74" i="21"/>
  <c r="BK87" i="21" s="1"/>
  <c r="BK88" i="21" s="1"/>
  <c r="BK106" i="21"/>
  <c r="BK103" i="21"/>
  <c r="BK117" i="21" s="1"/>
  <c r="BK118" i="21" s="1"/>
  <c r="BK104" i="21"/>
  <c r="BK102" i="21"/>
  <c r="BK110" i="21" s="1"/>
  <c r="BK15" i="21"/>
  <c r="BK7" i="21"/>
  <c r="BL11" i="21"/>
  <c r="BI11" i="10"/>
  <c r="BH7" i="10"/>
  <c r="GZ14" i="26" l="1"/>
  <c r="HA10" i="26"/>
  <c r="GZ6" i="26"/>
  <c r="BK109" i="21"/>
  <c r="BJ171" i="21"/>
  <c r="BJ173" i="21" s="1"/>
  <c r="BJ179" i="21" s="1"/>
  <c r="BJ158" i="21"/>
  <c r="BJ165" i="21" s="1"/>
  <c r="BJ144" i="21"/>
  <c r="BJ152" i="21" s="1"/>
  <c r="BK82" i="21"/>
  <c r="DD63" i="21"/>
  <c r="DC64" i="21"/>
  <c r="DC176" i="21" s="1"/>
  <c r="BJ55" i="21"/>
  <c r="BJ58" i="21" s="1"/>
  <c r="BK48" i="21"/>
  <c r="BK80" i="21"/>
  <c r="BK91" i="21" s="1"/>
  <c r="BK92" i="21" s="1"/>
  <c r="BJ59" i="21"/>
  <c r="BJ61" i="21" s="1"/>
  <c r="BK76" i="21"/>
  <c r="BJ126" i="21"/>
  <c r="BJ127" i="21" s="1"/>
  <c r="BK125" i="21" s="1"/>
  <c r="BK112" i="21"/>
  <c r="BK121" i="21"/>
  <c r="BK122" i="21" s="1"/>
  <c r="BK141" i="21" s="1"/>
  <c r="BK105" i="21"/>
  <c r="BK111" i="21" s="1"/>
  <c r="BK140" i="21" s="1"/>
  <c r="BL14" i="21"/>
  <c r="BL6" i="21" s="1"/>
  <c r="BL13" i="21"/>
  <c r="BL5" i="21" s="1"/>
  <c r="BL12" i="21"/>
  <c r="BL132" i="21" s="1"/>
  <c r="BI14" i="10"/>
  <c r="BI6" i="10" s="1"/>
  <c r="BI12" i="10"/>
  <c r="BI15" i="10" s="1"/>
  <c r="BI13" i="10"/>
  <c r="BI5" i="10" s="1"/>
  <c r="HA13" i="26" l="1"/>
  <c r="HA5" i="26" s="1"/>
  <c r="HA12" i="26"/>
  <c r="HA4" i="26" s="1"/>
  <c r="HA11" i="26"/>
  <c r="BK138" i="21"/>
  <c r="BK157" i="21"/>
  <c r="BK158" i="21" s="1"/>
  <c r="BK165" i="21" s="1"/>
  <c r="BL149" i="21"/>
  <c r="BL162" i="21"/>
  <c r="BK142" i="21"/>
  <c r="BK139" i="21"/>
  <c r="BJ66" i="21"/>
  <c r="DE63" i="21"/>
  <c r="DD64" i="21"/>
  <c r="DD176" i="21" s="1"/>
  <c r="BK113" i="21"/>
  <c r="BK81" i="21"/>
  <c r="BL77" i="21"/>
  <c r="BL74" i="21"/>
  <c r="BL87" i="21" s="1"/>
  <c r="BL88" i="21" s="1"/>
  <c r="BL75" i="21"/>
  <c r="BL106" i="21"/>
  <c r="BL103" i="21"/>
  <c r="BL117" i="21" s="1"/>
  <c r="BL118" i="21" s="1"/>
  <c r="BL104" i="21"/>
  <c r="BL102" i="21"/>
  <c r="BL110" i="21" s="1"/>
  <c r="BL15" i="21"/>
  <c r="BM11" i="21"/>
  <c r="BL7" i="21"/>
  <c r="BJ11" i="10"/>
  <c r="BI7" i="10"/>
  <c r="HA14" i="26" l="1"/>
  <c r="HB10" i="26"/>
  <c r="HA6" i="26"/>
  <c r="BL109" i="21"/>
  <c r="BK171" i="21"/>
  <c r="BK47" i="21"/>
  <c r="BK137" i="21"/>
  <c r="DF63" i="21"/>
  <c r="DE64" i="21"/>
  <c r="DE176" i="21" s="1"/>
  <c r="BK83" i="21"/>
  <c r="BK170" i="21" s="1"/>
  <c r="BK49" i="21"/>
  <c r="BK50" i="21" s="1"/>
  <c r="BK172" i="21" s="1"/>
  <c r="BK96" i="21"/>
  <c r="BK97" i="21" s="1"/>
  <c r="BL95" i="21" s="1"/>
  <c r="BL82" i="21"/>
  <c r="BL76" i="21"/>
  <c r="BL81" i="21" s="1"/>
  <c r="BL137" i="21" s="1"/>
  <c r="BK126" i="21"/>
  <c r="BK127" i="21" s="1"/>
  <c r="BL125" i="21" s="1"/>
  <c r="BL112" i="21"/>
  <c r="BL105" i="21"/>
  <c r="BL111" i="21" s="1"/>
  <c r="BL140" i="21" s="1"/>
  <c r="BL121" i="21"/>
  <c r="BL122" i="21" s="1"/>
  <c r="BL141" i="21" s="1"/>
  <c r="BM13" i="21"/>
  <c r="BM5" i="21" s="1"/>
  <c r="BM14" i="21"/>
  <c r="BM6" i="21" s="1"/>
  <c r="BM12" i="21"/>
  <c r="BM132" i="21" s="1"/>
  <c r="BJ14" i="10"/>
  <c r="BJ6" i="10" s="1"/>
  <c r="BJ13" i="10"/>
  <c r="BJ5" i="10" s="1"/>
  <c r="BJ12" i="10"/>
  <c r="BJ15" i="10" s="1"/>
  <c r="HB12" i="26" l="1"/>
  <c r="HB4" i="26" s="1"/>
  <c r="HB11" i="26"/>
  <c r="HB13" i="26"/>
  <c r="HB5" i="26" s="1"/>
  <c r="BK173" i="21"/>
  <c r="BK179" i="21" s="1"/>
  <c r="BK59" i="21"/>
  <c r="BK61" i="21" s="1"/>
  <c r="BL80" i="21"/>
  <c r="BL91" i="21" s="1"/>
  <c r="BL92" i="21" s="1"/>
  <c r="BL138" i="21" s="1"/>
  <c r="BL157" i="21" s="1"/>
  <c r="BM149" i="21"/>
  <c r="BM162" i="21"/>
  <c r="BK144" i="21"/>
  <c r="BK152" i="21" s="1"/>
  <c r="BL142" i="21"/>
  <c r="BL139" i="21"/>
  <c r="BM75" i="21"/>
  <c r="BL96" i="21" s="1"/>
  <c r="BL97" i="21" s="1"/>
  <c r="BM95" i="21" s="1"/>
  <c r="BL47" i="21"/>
  <c r="DG63" i="21"/>
  <c r="DF64" i="21"/>
  <c r="DF176" i="21" s="1"/>
  <c r="BK55" i="21"/>
  <c r="BK58" i="21" s="1"/>
  <c r="BK66" i="21" s="1"/>
  <c r="BL48" i="21"/>
  <c r="BL113" i="21"/>
  <c r="BM77" i="21"/>
  <c r="BM74" i="21"/>
  <c r="BM87" i="21" s="1"/>
  <c r="BM88" i="21" s="1"/>
  <c r="BM106" i="21"/>
  <c r="BM103" i="21"/>
  <c r="BM117" i="21" s="1"/>
  <c r="BM118" i="21" s="1"/>
  <c r="BM104" i="21"/>
  <c r="BM102" i="21"/>
  <c r="BM110" i="21" s="1"/>
  <c r="BM15" i="21"/>
  <c r="BN11" i="21"/>
  <c r="BM7" i="21"/>
  <c r="BK11" i="10"/>
  <c r="BJ7" i="10"/>
  <c r="HB14" i="26" l="1"/>
  <c r="HC10" i="26"/>
  <c r="HB6" i="26"/>
  <c r="BL83" i="21"/>
  <c r="BL170" i="21" s="1"/>
  <c r="BM109" i="21"/>
  <c r="BL171" i="21"/>
  <c r="BL158" i="21"/>
  <c r="BL165" i="21" s="1"/>
  <c r="BL49" i="21"/>
  <c r="BL50" i="21" s="1"/>
  <c r="BL172" i="21" s="1"/>
  <c r="BL144" i="21"/>
  <c r="BL152" i="21" s="1"/>
  <c r="BM82" i="21"/>
  <c r="DH63" i="21"/>
  <c r="DG64" i="21"/>
  <c r="DG176" i="21" s="1"/>
  <c r="BM80" i="21"/>
  <c r="BM91" i="21" s="1"/>
  <c r="BM92" i="21" s="1"/>
  <c r="BL59" i="21"/>
  <c r="BL61" i="21" s="1"/>
  <c r="BM76" i="21"/>
  <c r="BM112" i="21"/>
  <c r="BL126" i="21"/>
  <c r="BL127" i="21" s="1"/>
  <c r="BM125" i="21" s="1"/>
  <c r="BM105" i="21"/>
  <c r="BM111" i="21" s="1"/>
  <c r="BM140" i="21" s="1"/>
  <c r="BM121" i="21"/>
  <c r="BM122" i="21" s="1"/>
  <c r="BM141" i="21" s="1"/>
  <c r="BN13" i="21"/>
  <c r="BN5" i="21" s="1"/>
  <c r="BN14" i="21"/>
  <c r="BN6" i="21" s="1"/>
  <c r="BN12" i="21"/>
  <c r="BN132" i="21" s="1"/>
  <c r="BK12" i="10"/>
  <c r="BK15" i="10" s="1"/>
  <c r="BK13" i="10"/>
  <c r="BK5" i="10" s="1"/>
  <c r="BK14" i="10"/>
  <c r="BK6" i="10" s="1"/>
  <c r="HC12" i="26" l="1"/>
  <c r="HC4" i="26" s="1"/>
  <c r="HC13" i="26"/>
  <c r="HC5" i="26" s="1"/>
  <c r="HC11" i="26"/>
  <c r="BL173" i="21"/>
  <c r="BL179" i="21" s="1"/>
  <c r="BM138" i="21"/>
  <c r="BM157" i="21" s="1"/>
  <c r="BM158" i="21" s="1"/>
  <c r="BM165" i="21" s="1"/>
  <c r="BN149" i="21"/>
  <c r="BN162" i="21"/>
  <c r="BL55" i="21"/>
  <c r="BL58" i="21" s="1"/>
  <c r="BL66" i="21" s="1"/>
  <c r="BM48" i="21"/>
  <c r="BM142" i="21"/>
  <c r="BM139" i="21"/>
  <c r="BN75" i="21"/>
  <c r="BM96" i="21" s="1"/>
  <c r="BM97" i="21" s="1"/>
  <c r="BN95" i="21" s="1"/>
  <c r="DI63" i="21"/>
  <c r="DH64" i="21"/>
  <c r="DH176" i="21" s="1"/>
  <c r="BM113" i="21"/>
  <c r="BM81" i="21"/>
  <c r="BN102" i="21"/>
  <c r="BN110" i="21" s="1"/>
  <c r="BN77" i="21"/>
  <c r="BN74" i="21"/>
  <c r="BN87" i="21" s="1"/>
  <c r="BN88" i="21" s="1"/>
  <c r="BN104" i="21"/>
  <c r="BN106" i="21"/>
  <c r="BN103" i="21"/>
  <c r="BN117" i="21" s="1"/>
  <c r="BN118" i="21" s="1"/>
  <c r="BN15" i="21"/>
  <c r="BO11" i="21"/>
  <c r="BN7" i="21"/>
  <c r="BL11" i="10"/>
  <c r="BK7" i="10"/>
  <c r="HC14" i="26" l="1"/>
  <c r="HD10" i="26"/>
  <c r="HC6" i="26"/>
  <c r="BN109" i="21"/>
  <c r="BM171" i="21"/>
  <c r="BN82" i="21"/>
  <c r="BM47" i="21"/>
  <c r="BM49" i="21" s="1"/>
  <c r="BM50" i="21" s="1"/>
  <c r="BM172" i="21" s="1"/>
  <c r="BM137" i="21"/>
  <c r="BM144" i="21" s="1"/>
  <c r="BM152" i="21" s="1"/>
  <c r="DJ63" i="21"/>
  <c r="DI64" i="21"/>
  <c r="DI176" i="21" s="1"/>
  <c r="BM83" i="21"/>
  <c r="BM170" i="21" s="1"/>
  <c r="BN76" i="21"/>
  <c r="BN121" i="21"/>
  <c r="BN122" i="21" s="1"/>
  <c r="BN141" i="21" s="1"/>
  <c r="BN105" i="21"/>
  <c r="BN111" i="21" s="1"/>
  <c r="BN140" i="21" s="1"/>
  <c r="BM126" i="21"/>
  <c r="BM127" i="21" s="1"/>
  <c r="BN125" i="21" s="1"/>
  <c r="BN112" i="21"/>
  <c r="BO12" i="21"/>
  <c r="BO132" i="21" s="1"/>
  <c r="BO13" i="21"/>
  <c r="BO5" i="21" s="1"/>
  <c r="BO14" i="21"/>
  <c r="BO6" i="21" s="1"/>
  <c r="BL12" i="10"/>
  <c r="BL15" i="10" s="1"/>
  <c r="BL13" i="10"/>
  <c r="BL5" i="10" s="1"/>
  <c r="BL14" i="10"/>
  <c r="BL6" i="10" s="1"/>
  <c r="HD13" i="26" l="1"/>
  <c r="HD5" i="26" s="1"/>
  <c r="HD12" i="26"/>
  <c r="HD4" i="26" s="1"/>
  <c r="HD11" i="26"/>
  <c r="BM173" i="21"/>
  <c r="BM179" i="21" s="1"/>
  <c r="BM59" i="21"/>
  <c r="BM61" i="21" s="1"/>
  <c r="BN80" i="21"/>
  <c r="BN91" i="21" s="1"/>
  <c r="BN92" i="21" s="1"/>
  <c r="BN138" i="21" s="1"/>
  <c r="BN157" i="21" s="1"/>
  <c r="BO149" i="21"/>
  <c r="BO162" i="21"/>
  <c r="BN142" i="21"/>
  <c r="BN139" i="21"/>
  <c r="DK63" i="21"/>
  <c r="DJ64" i="21"/>
  <c r="DJ176" i="21" s="1"/>
  <c r="BM55" i="21"/>
  <c r="BM58" i="21" s="1"/>
  <c r="BM66" i="21" s="1"/>
  <c r="BN48" i="21"/>
  <c r="BN113" i="21"/>
  <c r="BN81" i="21"/>
  <c r="BO102" i="21"/>
  <c r="BO110" i="21" s="1"/>
  <c r="BO77" i="21"/>
  <c r="BO74" i="21"/>
  <c r="BO87" i="21" s="1"/>
  <c r="BO88" i="21" s="1"/>
  <c r="BO75" i="21"/>
  <c r="BO106" i="21"/>
  <c r="BO103" i="21"/>
  <c r="BO117" i="21" s="1"/>
  <c r="BO118" i="21" s="1"/>
  <c r="BO104" i="21"/>
  <c r="BO15" i="21"/>
  <c r="BP11" i="21"/>
  <c r="BO7" i="21"/>
  <c r="BL7" i="10"/>
  <c r="BM11" i="10"/>
  <c r="HD14" i="26" l="1"/>
  <c r="HE10" i="26"/>
  <c r="HD6" i="26"/>
  <c r="BO109" i="21"/>
  <c r="BN171" i="21"/>
  <c r="BN158" i="21"/>
  <c r="BN165" i="21" s="1"/>
  <c r="BN47" i="21"/>
  <c r="BN49" i="21" s="1"/>
  <c r="BN50" i="21" s="1"/>
  <c r="BN172" i="21" s="1"/>
  <c r="BN137" i="21"/>
  <c r="DL63" i="21"/>
  <c r="DK64" i="21"/>
  <c r="DK176" i="21" s="1"/>
  <c r="BN83" i="21"/>
  <c r="BN170" i="21" s="1"/>
  <c r="BN96" i="21"/>
  <c r="BN97" i="21" s="1"/>
  <c r="BO95" i="21" s="1"/>
  <c r="BO82" i="21"/>
  <c r="BO76" i="21"/>
  <c r="BO81" i="21" s="1"/>
  <c r="BO137" i="21" s="1"/>
  <c r="BO112" i="21"/>
  <c r="BN126" i="21"/>
  <c r="BN127" i="21" s="1"/>
  <c r="BO125" i="21" s="1"/>
  <c r="BO121" i="21"/>
  <c r="BO122" i="21" s="1"/>
  <c r="BO141" i="21" s="1"/>
  <c r="BO105" i="21"/>
  <c r="BO111" i="21" s="1"/>
  <c r="BO140" i="21" s="1"/>
  <c r="BP13" i="21"/>
  <c r="BP5" i="21" s="1"/>
  <c r="BP14" i="21"/>
  <c r="BP6" i="21" s="1"/>
  <c r="BP12" i="21"/>
  <c r="BP132" i="21" s="1"/>
  <c r="BM12" i="10"/>
  <c r="BM15" i="10" s="1"/>
  <c r="BM13" i="10"/>
  <c r="BM5" i="10" s="1"/>
  <c r="BM14" i="10"/>
  <c r="BM6" i="10" s="1"/>
  <c r="HE12" i="26" l="1"/>
  <c r="HE4" i="26" s="1"/>
  <c r="HE13" i="26"/>
  <c r="HE5" i="26" s="1"/>
  <c r="HE11" i="26"/>
  <c r="BN173" i="21"/>
  <c r="BN179" i="21" s="1"/>
  <c r="BN59" i="21"/>
  <c r="BN61" i="21" s="1"/>
  <c r="BO80" i="21"/>
  <c r="BO91" i="21" s="1"/>
  <c r="BO92" i="21" s="1"/>
  <c r="BO138" i="21" s="1"/>
  <c r="BO157" i="21" s="1"/>
  <c r="BO158" i="21" s="1"/>
  <c r="BO165" i="21" s="1"/>
  <c r="BP149" i="21"/>
  <c r="BP162" i="21"/>
  <c r="BN144" i="21"/>
  <c r="BN152" i="21" s="1"/>
  <c r="BO142" i="21"/>
  <c r="BO139" i="21"/>
  <c r="BP75" i="21"/>
  <c r="BO96" i="21" s="1"/>
  <c r="BO97" i="21" s="1"/>
  <c r="BP95" i="21" s="1"/>
  <c r="BO47" i="21"/>
  <c r="DM63" i="21"/>
  <c r="DL64" i="21"/>
  <c r="DL176" i="21" s="1"/>
  <c r="BN55" i="21"/>
  <c r="BN58" i="21" s="1"/>
  <c r="BN66" i="21" s="1"/>
  <c r="BO48" i="21"/>
  <c r="BO113" i="21"/>
  <c r="BO83" i="21"/>
  <c r="BO170" i="21" s="1"/>
  <c r="BP104" i="21"/>
  <c r="BP112" i="21" s="1"/>
  <c r="BP102" i="21"/>
  <c r="BP110" i="21" s="1"/>
  <c r="BP77" i="21"/>
  <c r="BP74" i="21"/>
  <c r="BP87" i="21" s="1"/>
  <c r="BP88" i="21" s="1"/>
  <c r="BP103" i="21"/>
  <c r="BP117" i="21" s="1"/>
  <c r="BP118" i="21" s="1"/>
  <c r="BP106" i="21"/>
  <c r="BP15" i="21"/>
  <c r="BQ11" i="21"/>
  <c r="BP7" i="21"/>
  <c r="BM7" i="10"/>
  <c r="BN11" i="10"/>
  <c r="HE14" i="26" l="1"/>
  <c r="HF10" i="26"/>
  <c r="HE6" i="26"/>
  <c r="BP109" i="21"/>
  <c r="BO171" i="21"/>
  <c r="BO49" i="21"/>
  <c r="BO50" i="21" s="1"/>
  <c r="BO144" i="21"/>
  <c r="BO152" i="21" s="1"/>
  <c r="BP82" i="21"/>
  <c r="BP142" i="21"/>
  <c r="BP139" i="21"/>
  <c r="DN63" i="21"/>
  <c r="DM64" i="21"/>
  <c r="DM176" i="21" s="1"/>
  <c r="BP80" i="21"/>
  <c r="BP91" i="21" s="1"/>
  <c r="BP92" i="21" s="1"/>
  <c r="BO59" i="21"/>
  <c r="BO61" i="21" s="1"/>
  <c r="BO126" i="21"/>
  <c r="BO127" i="21" s="1"/>
  <c r="BP125" i="21" s="1"/>
  <c r="BP76" i="21"/>
  <c r="BP121" i="21"/>
  <c r="BP122" i="21" s="1"/>
  <c r="BP141" i="21" s="1"/>
  <c r="BP105" i="21"/>
  <c r="BP111" i="21" s="1"/>
  <c r="BQ13" i="21"/>
  <c r="BQ5" i="21" s="1"/>
  <c r="BQ14" i="21"/>
  <c r="BQ6" i="21" s="1"/>
  <c r="BQ12" i="21"/>
  <c r="BQ132" i="21" s="1"/>
  <c r="BN12" i="10"/>
  <c r="BN15" i="10" s="1"/>
  <c r="BN13" i="10"/>
  <c r="BN5" i="10" s="1"/>
  <c r="BN14" i="10"/>
  <c r="BN6" i="10" s="1"/>
  <c r="HF13" i="26" l="1"/>
  <c r="HF5" i="26" s="1"/>
  <c r="HF12" i="26"/>
  <c r="HF4" i="26" s="1"/>
  <c r="HF11" i="26"/>
  <c r="BO172" i="21"/>
  <c r="BO55" i="21"/>
  <c r="BO58" i="21" s="1"/>
  <c r="BO66" i="21" s="1"/>
  <c r="BP48" i="21"/>
  <c r="BO173" i="21"/>
  <c r="BO179" i="21" s="1"/>
  <c r="BP138" i="21"/>
  <c r="BQ149" i="21"/>
  <c r="BQ162" i="21"/>
  <c r="BP157" i="21"/>
  <c r="BP113" i="21"/>
  <c r="BP140" i="21"/>
  <c r="DO63" i="21"/>
  <c r="DN64" i="21"/>
  <c r="DN176" i="21" s="1"/>
  <c r="BP81" i="21"/>
  <c r="BQ104" i="21"/>
  <c r="BP126" i="21" s="1"/>
  <c r="BP127" i="21" s="1"/>
  <c r="BQ77" i="21"/>
  <c r="BQ74" i="21"/>
  <c r="BQ87" i="21" s="1"/>
  <c r="BQ88" i="21" s="1"/>
  <c r="BQ75" i="21"/>
  <c r="BQ106" i="21"/>
  <c r="BQ103" i="21"/>
  <c r="BQ117" i="21" s="1"/>
  <c r="BQ118" i="21" s="1"/>
  <c r="BQ102" i="21"/>
  <c r="BQ110" i="21" s="1"/>
  <c r="BQ15" i="21"/>
  <c r="BR11" i="21"/>
  <c r="BQ7" i="21"/>
  <c r="BN7" i="10"/>
  <c r="BO11" i="10"/>
  <c r="HF14" i="26" l="1"/>
  <c r="HG10" i="26"/>
  <c r="HF6" i="26"/>
  <c r="BQ109" i="21"/>
  <c r="BP171" i="21"/>
  <c r="BP158" i="21"/>
  <c r="BP165" i="21" s="1"/>
  <c r="BP47" i="21"/>
  <c r="BP49" i="21" s="1"/>
  <c r="BP50" i="21" s="1"/>
  <c r="BP172" i="21" s="1"/>
  <c r="BP137" i="21"/>
  <c r="BQ125" i="21"/>
  <c r="BQ112" i="21"/>
  <c r="DP63" i="21"/>
  <c r="DO64" i="21"/>
  <c r="DO176" i="21" s="1"/>
  <c r="BP83" i="21"/>
  <c r="BP59" i="21"/>
  <c r="BP61" i="21" s="1"/>
  <c r="BP96" i="21"/>
  <c r="BP97" i="21" s="1"/>
  <c r="BQ95" i="21" s="1"/>
  <c r="BQ82" i="21"/>
  <c r="BQ76" i="21"/>
  <c r="BQ81" i="21" s="1"/>
  <c r="BQ137" i="21" s="1"/>
  <c r="BQ105" i="21"/>
  <c r="BQ111" i="21" s="1"/>
  <c r="BQ121" i="21"/>
  <c r="BQ122" i="21" s="1"/>
  <c r="BQ141" i="21" s="1"/>
  <c r="BR14" i="21"/>
  <c r="BR6" i="21" s="1"/>
  <c r="BR12" i="21"/>
  <c r="BR132" i="21" s="1"/>
  <c r="BR13" i="21"/>
  <c r="BR5" i="21" s="1"/>
  <c r="BO14" i="10"/>
  <c r="BO6" i="10" s="1"/>
  <c r="BO12" i="10"/>
  <c r="BO15" i="10" s="1"/>
  <c r="BO13" i="10"/>
  <c r="BO5" i="10" s="1"/>
  <c r="HG13" i="26" l="1"/>
  <c r="HG5" i="26" s="1"/>
  <c r="HG12" i="26"/>
  <c r="HG4" i="26" s="1"/>
  <c r="HG11" i="26"/>
  <c r="BQ80" i="21"/>
  <c r="BQ91" i="21" s="1"/>
  <c r="BQ92" i="21" s="1"/>
  <c r="BP170" i="21"/>
  <c r="BP173" i="21" s="1"/>
  <c r="BP179" i="21" s="1"/>
  <c r="BR149" i="21"/>
  <c r="BR162" i="21"/>
  <c r="BP144" i="21"/>
  <c r="BP152" i="21" s="1"/>
  <c r="BQ113" i="21"/>
  <c r="BQ140" i="21"/>
  <c r="BQ142" i="21"/>
  <c r="BQ139" i="21"/>
  <c r="BR75" i="21"/>
  <c r="BQ96" i="21" s="1"/>
  <c r="BQ97" i="21" s="1"/>
  <c r="BR95" i="21" s="1"/>
  <c r="DQ63" i="21"/>
  <c r="DP64" i="21"/>
  <c r="DP176" i="21" s="1"/>
  <c r="BQ47" i="21"/>
  <c r="BQ49" i="21"/>
  <c r="BP55" i="21"/>
  <c r="BP58" i="21" s="1"/>
  <c r="BP66" i="21" s="1"/>
  <c r="BQ48" i="21"/>
  <c r="BQ83" i="21"/>
  <c r="BQ170" i="21" s="1"/>
  <c r="BR77" i="21"/>
  <c r="BR74" i="21"/>
  <c r="BR87" i="21" s="1"/>
  <c r="BR88" i="21" s="1"/>
  <c r="BR106" i="21"/>
  <c r="BR103" i="21"/>
  <c r="BR117" i="21" s="1"/>
  <c r="BR118" i="21" s="1"/>
  <c r="BR104" i="21"/>
  <c r="BR102" i="21"/>
  <c r="BR110" i="21" s="1"/>
  <c r="BR15" i="21"/>
  <c r="BS11" i="21"/>
  <c r="BR7" i="21"/>
  <c r="BO7" i="10"/>
  <c r="BP11" i="10"/>
  <c r="HG14" i="26" l="1"/>
  <c r="HH10" i="26"/>
  <c r="HG6" i="26"/>
  <c r="BQ138" i="21"/>
  <c r="BQ157" i="21" s="1"/>
  <c r="BQ158" i="21" s="1"/>
  <c r="BQ165" i="21" s="1"/>
  <c r="BR109" i="21"/>
  <c r="BR121" i="21" s="1"/>
  <c r="BR122" i="21" s="1"/>
  <c r="BR141" i="21" s="1"/>
  <c r="BQ171" i="21"/>
  <c r="BQ50" i="21"/>
  <c r="BQ172" i="21" s="1"/>
  <c r="BQ144" i="21"/>
  <c r="BQ152" i="21" s="1"/>
  <c r="BR82" i="21"/>
  <c r="DR63" i="21"/>
  <c r="DQ64" i="21"/>
  <c r="DQ176" i="21" s="1"/>
  <c r="BR80" i="21"/>
  <c r="BQ59" i="21"/>
  <c r="BQ61" i="21" s="1"/>
  <c r="BR91" i="21"/>
  <c r="BR92" i="21" s="1"/>
  <c r="BR76" i="21"/>
  <c r="BQ126" i="21"/>
  <c r="BQ127" i="21" s="1"/>
  <c r="BR125" i="21" s="1"/>
  <c r="BR112" i="21"/>
  <c r="BR105" i="21"/>
  <c r="BR111" i="21" s="1"/>
  <c r="BR140" i="21" s="1"/>
  <c r="BS13" i="21"/>
  <c r="BS5" i="21" s="1"/>
  <c r="BS14" i="21"/>
  <c r="BS6" i="21" s="1"/>
  <c r="BS12" i="21"/>
  <c r="BS132" i="21" s="1"/>
  <c r="BP14" i="10"/>
  <c r="BP6" i="10" s="1"/>
  <c r="BP12" i="10"/>
  <c r="BP15" i="10" s="1"/>
  <c r="BP13" i="10"/>
  <c r="BP5" i="10" s="1"/>
  <c r="HH13" i="26" l="1"/>
  <c r="HH5" i="26" s="1"/>
  <c r="HH12" i="26"/>
  <c r="HH4" i="26" s="1"/>
  <c r="HH11" i="26"/>
  <c r="BQ173" i="21"/>
  <c r="BQ179" i="21" s="1"/>
  <c r="BR48" i="21"/>
  <c r="BQ55" i="21"/>
  <c r="BQ58" i="21" s="1"/>
  <c r="BQ66" i="21" s="1"/>
  <c r="BR138" i="21"/>
  <c r="BS149" i="21"/>
  <c r="BS162" i="21"/>
  <c r="BR157" i="21"/>
  <c r="BR139" i="21"/>
  <c r="BR142" i="21"/>
  <c r="DS63" i="21"/>
  <c r="DR64" i="21"/>
  <c r="DR176" i="21" s="1"/>
  <c r="BR113" i="21"/>
  <c r="BR81" i="21"/>
  <c r="BS104" i="21"/>
  <c r="BR126" i="21" s="1"/>
  <c r="BR127" i="21" s="1"/>
  <c r="BS77" i="21"/>
  <c r="BS74" i="21"/>
  <c r="BS87" i="21" s="1"/>
  <c r="BS88" i="21" s="1"/>
  <c r="BS75" i="21"/>
  <c r="BS106" i="21"/>
  <c r="BS103" i="21"/>
  <c r="BS117" i="21" s="1"/>
  <c r="BS118" i="21" s="1"/>
  <c r="BS102" i="21"/>
  <c r="BS110" i="21" s="1"/>
  <c r="BS15" i="21"/>
  <c r="BT11" i="21"/>
  <c r="BS7" i="21"/>
  <c r="BQ11" i="10"/>
  <c r="BP7" i="10"/>
  <c r="HH14" i="26" l="1"/>
  <c r="HI10" i="26"/>
  <c r="HH6" i="26"/>
  <c r="BS109" i="21"/>
  <c r="BR171" i="21"/>
  <c r="BR158" i="21"/>
  <c r="BR165" i="21" s="1"/>
  <c r="BR47" i="21"/>
  <c r="BR49" i="21" s="1"/>
  <c r="BR50" i="21" s="1"/>
  <c r="BR172" i="21" s="1"/>
  <c r="BR137" i="21"/>
  <c r="DT63" i="21"/>
  <c r="DS64" i="21"/>
  <c r="DS176" i="21" s="1"/>
  <c r="BS125" i="21"/>
  <c r="BR83" i="21"/>
  <c r="BR170" i="21" s="1"/>
  <c r="BS80" i="21"/>
  <c r="BS91" i="21" s="1"/>
  <c r="BS92" i="21" s="1"/>
  <c r="BR59" i="21"/>
  <c r="BR61" i="21" s="1"/>
  <c r="BS112" i="21"/>
  <c r="BR96" i="21"/>
  <c r="BR97" i="21" s="1"/>
  <c r="BS95" i="21" s="1"/>
  <c r="BS82" i="21"/>
  <c r="BS76" i="21"/>
  <c r="BS81" i="21" s="1"/>
  <c r="BS137" i="21" s="1"/>
  <c r="BS121" i="21"/>
  <c r="BS122" i="21" s="1"/>
  <c r="BS141" i="21" s="1"/>
  <c r="BS105" i="21"/>
  <c r="BS111" i="21" s="1"/>
  <c r="BS140" i="21" s="1"/>
  <c r="BT14" i="21"/>
  <c r="BT6" i="21" s="1"/>
  <c r="BT12" i="21"/>
  <c r="BT132" i="21" s="1"/>
  <c r="BT13" i="21"/>
  <c r="BT5" i="21" s="1"/>
  <c r="BQ13" i="10"/>
  <c r="BQ5" i="10" s="1"/>
  <c r="BQ14" i="10"/>
  <c r="BQ6" i="10" s="1"/>
  <c r="BQ12" i="10"/>
  <c r="BQ15" i="10" s="1"/>
  <c r="HI13" i="26" l="1"/>
  <c r="HI5" i="26" s="1"/>
  <c r="HI12" i="26"/>
  <c r="HI4" i="26" s="1"/>
  <c r="HI11" i="26"/>
  <c r="BR173" i="21"/>
  <c r="BR179" i="21" s="1"/>
  <c r="BS138" i="21"/>
  <c r="BS157" i="21"/>
  <c r="BS158" i="21" s="1"/>
  <c r="BS165" i="21" s="1"/>
  <c r="BT149" i="21"/>
  <c r="BT162" i="21"/>
  <c r="BR144" i="21"/>
  <c r="BR152" i="21" s="1"/>
  <c r="BS139" i="21"/>
  <c r="BS142" i="21"/>
  <c r="BT75" i="21"/>
  <c r="BS96" i="21" s="1"/>
  <c r="BS97" i="21" s="1"/>
  <c r="BT95" i="21" s="1"/>
  <c r="BS47" i="21"/>
  <c r="DU63" i="21"/>
  <c r="DT64" i="21"/>
  <c r="DT176" i="21" s="1"/>
  <c r="BR55" i="21"/>
  <c r="BR58" i="21" s="1"/>
  <c r="BR66" i="21" s="1"/>
  <c r="BS48" i="21"/>
  <c r="BS113" i="21"/>
  <c r="BS83" i="21"/>
  <c r="BS170" i="21" s="1"/>
  <c r="BT77" i="21"/>
  <c r="BT74" i="21"/>
  <c r="BT87" i="21" s="1"/>
  <c r="BT88" i="21" s="1"/>
  <c r="BT103" i="21"/>
  <c r="BT117" i="21" s="1"/>
  <c r="BT118" i="21" s="1"/>
  <c r="BT106" i="21"/>
  <c r="BT104" i="21"/>
  <c r="BT102" i="21"/>
  <c r="BT110" i="21" s="1"/>
  <c r="BT7" i="21"/>
  <c r="BT15" i="21"/>
  <c r="BU11" i="21"/>
  <c r="BR11" i="10"/>
  <c r="BQ7" i="10"/>
  <c r="HI14" i="26" l="1"/>
  <c r="HJ10" i="26"/>
  <c r="HI6" i="26"/>
  <c r="BT109" i="21"/>
  <c r="BS171" i="21"/>
  <c r="BS49" i="21"/>
  <c r="BS50" i="21" s="1"/>
  <c r="BS172" i="21" s="1"/>
  <c r="BS144" i="21"/>
  <c r="BS152" i="21" s="1"/>
  <c r="BT82" i="21"/>
  <c r="DV63" i="21"/>
  <c r="DU64" i="21"/>
  <c r="DU176" i="21" s="1"/>
  <c r="BT80" i="21"/>
  <c r="BT91" i="21" s="1"/>
  <c r="BT92" i="21" s="1"/>
  <c r="BS59" i="21"/>
  <c r="BS61" i="21" s="1"/>
  <c r="BT76" i="21"/>
  <c r="BS126" i="21"/>
  <c r="BS127" i="21" s="1"/>
  <c r="BT125" i="21" s="1"/>
  <c r="BT112" i="21"/>
  <c r="BT121" i="21"/>
  <c r="BT122" i="21" s="1"/>
  <c r="BT141" i="21" s="1"/>
  <c r="BT105" i="21"/>
  <c r="BT111" i="21" s="1"/>
  <c r="BT140" i="21" s="1"/>
  <c r="BU13" i="21"/>
  <c r="BU5" i="21" s="1"/>
  <c r="BU14" i="21"/>
  <c r="BU6" i="21" s="1"/>
  <c r="BU12" i="21"/>
  <c r="BU132" i="21" s="1"/>
  <c r="BR13" i="10"/>
  <c r="BR5" i="10" s="1"/>
  <c r="BR14" i="10"/>
  <c r="BR6" i="10" s="1"/>
  <c r="BR12" i="10"/>
  <c r="BR15" i="10" s="1"/>
  <c r="HJ12" i="26" l="1"/>
  <c r="HJ4" i="26" s="1"/>
  <c r="HJ11" i="26"/>
  <c r="HJ13" i="26"/>
  <c r="HJ5" i="26" s="1"/>
  <c r="BS173" i="21"/>
  <c r="BS179" i="21" s="1"/>
  <c r="BT138" i="21"/>
  <c r="BU149" i="21"/>
  <c r="BU162" i="21"/>
  <c r="BT157" i="21"/>
  <c r="BT139" i="21"/>
  <c r="BT142" i="21"/>
  <c r="DW63" i="21"/>
  <c r="DV64" i="21"/>
  <c r="DV176" i="21" s="1"/>
  <c r="BS55" i="21"/>
  <c r="BS58" i="21" s="1"/>
  <c r="BS66" i="21" s="1"/>
  <c r="BT48" i="21"/>
  <c r="BT113" i="21"/>
  <c r="BT81" i="21"/>
  <c r="BU104" i="21"/>
  <c r="BU112" i="21" s="1"/>
  <c r="BU77" i="21"/>
  <c r="BU74" i="21"/>
  <c r="BU87" i="21" s="1"/>
  <c r="BU88" i="21" s="1"/>
  <c r="BU75" i="21"/>
  <c r="BU106" i="21"/>
  <c r="BU103" i="21"/>
  <c r="BU117" i="21" s="1"/>
  <c r="BU118" i="21" s="1"/>
  <c r="BU102" i="21"/>
  <c r="BU110" i="21" s="1"/>
  <c r="BV11" i="21"/>
  <c r="BU7" i="21"/>
  <c r="BU15" i="21"/>
  <c r="BR7" i="10"/>
  <c r="BS11" i="10"/>
  <c r="HJ14" i="26" l="1"/>
  <c r="HK10" i="26"/>
  <c r="HJ6" i="26"/>
  <c r="BU109" i="21"/>
  <c r="BT171" i="21"/>
  <c r="BT158" i="21"/>
  <c r="BT165" i="21" s="1"/>
  <c r="BU139" i="21"/>
  <c r="BU142" i="21"/>
  <c r="BT47" i="21"/>
  <c r="BT49" i="21" s="1"/>
  <c r="BT50" i="21" s="1"/>
  <c r="BT172" i="21" s="1"/>
  <c r="BT137" i="21"/>
  <c r="DX63" i="21"/>
  <c r="DW64" i="21"/>
  <c r="DW176" i="21" s="1"/>
  <c r="BT126" i="21"/>
  <c r="BT127" i="21" s="1"/>
  <c r="BU125" i="21" s="1"/>
  <c r="BT83" i="21"/>
  <c r="BT170" i="21" s="1"/>
  <c r="BT59" i="21"/>
  <c r="BT61" i="21" s="1"/>
  <c r="BT96" i="21"/>
  <c r="BT97" i="21" s="1"/>
  <c r="BU95" i="21" s="1"/>
  <c r="BU82" i="21"/>
  <c r="BU76" i="21"/>
  <c r="BU81" i="21" s="1"/>
  <c r="BU137" i="21" s="1"/>
  <c r="BU121" i="21"/>
  <c r="BU122" i="21" s="1"/>
  <c r="BU141" i="21" s="1"/>
  <c r="BU105" i="21"/>
  <c r="BU111" i="21" s="1"/>
  <c r="BV14" i="21"/>
  <c r="BV6" i="21" s="1"/>
  <c r="BV13" i="21"/>
  <c r="BV5" i="21" s="1"/>
  <c r="BV12" i="21"/>
  <c r="BV132" i="21" s="1"/>
  <c r="BS13" i="10"/>
  <c r="BS5" i="10" s="1"/>
  <c r="BS14" i="10"/>
  <c r="BS6" i="10" s="1"/>
  <c r="BS12" i="10"/>
  <c r="BS15" i="10" s="1"/>
  <c r="HK12" i="26" l="1"/>
  <c r="HK4" i="26" s="1"/>
  <c r="HK13" i="26"/>
  <c r="HK5" i="26" s="1"/>
  <c r="HK11" i="26"/>
  <c r="BU80" i="21"/>
  <c r="BU91" i="21" s="1"/>
  <c r="BU92" i="21" s="1"/>
  <c r="BU138" i="21" s="1"/>
  <c r="BU157" i="21" s="1"/>
  <c r="BU158" i="21" s="1"/>
  <c r="BU165" i="21" s="1"/>
  <c r="BT173" i="21"/>
  <c r="BT179" i="21" s="1"/>
  <c r="BV149" i="21"/>
  <c r="BV162" i="21"/>
  <c r="BT144" i="21"/>
  <c r="BT152" i="21" s="1"/>
  <c r="BU113" i="21"/>
  <c r="BU140" i="21"/>
  <c r="BU47" i="21"/>
  <c r="DY63" i="21"/>
  <c r="DX64" i="21"/>
  <c r="DX176" i="21" s="1"/>
  <c r="BT55" i="21"/>
  <c r="BT58" i="21" s="1"/>
  <c r="BT66" i="21" s="1"/>
  <c r="BU48" i="21"/>
  <c r="BU83" i="21"/>
  <c r="BU170" i="21" s="1"/>
  <c r="BV104" i="21"/>
  <c r="BV112" i="21" s="1"/>
  <c r="BV77" i="21"/>
  <c r="BV74" i="21"/>
  <c r="BV87" i="21" s="1"/>
  <c r="BV88" i="21" s="1"/>
  <c r="BV75" i="21"/>
  <c r="BV102" i="21"/>
  <c r="BV110" i="21" s="1"/>
  <c r="BV103" i="21"/>
  <c r="BV117" i="21" s="1"/>
  <c r="BV118" i="21" s="1"/>
  <c r="BV106" i="21"/>
  <c r="BW11" i="21"/>
  <c r="BV15" i="21"/>
  <c r="BV7" i="21"/>
  <c r="BS7" i="10"/>
  <c r="BT11" i="10"/>
  <c r="HK14" i="26" l="1"/>
  <c r="HL10" i="26"/>
  <c r="HK6" i="26"/>
  <c r="BU144" i="21"/>
  <c r="BU152" i="21" s="1"/>
  <c r="BV109" i="21"/>
  <c r="BV121" i="21" s="1"/>
  <c r="BV122" i="21" s="1"/>
  <c r="BV141" i="21" s="1"/>
  <c r="BU171" i="21"/>
  <c r="BU49" i="21"/>
  <c r="BU50" i="21" s="1"/>
  <c r="BU172" i="21" s="1"/>
  <c r="BV142" i="21"/>
  <c r="BV139" i="21"/>
  <c r="DZ63" i="21"/>
  <c r="DY64" i="21"/>
  <c r="DY176" i="21" s="1"/>
  <c r="BV80" i="21"/>
  <c r="BV91" i="21" s="1"/>
  <c r="BV92" i="21" s="1"/>
  <c r="BU59" i="21"/>
  <c r="BU61" i="21" s="1"/>
  <c r="BU126" i="21"/>
  <c r="BU127" i="21" s="1"/>
  <c r="BV125" i="21" s="1"/>
  <c r="BU96" i="21"/>
  <c r="BU97" i="21" s="1"/>
  <c r="BV95" i="21" s="1"/>
  <c r="BV82" i="21"/>
  <c r="BV76" i="21"/>
  <c r="BV81" i="21" s="1"/>
  <c r="BV137" i="21" s="1"/>
  <c r="BV105" i="21"/>
  <c r="BV111" i="21" s="1"/>
  <c r="BW14" i="21"/>
  <c r="BW6" i="21" s="1"/>
  <c r="BW13" i="21"/>
  <c r="BW5" i="21" s="1"/>
  <c r="BW12" i="21"/>
  <c r="BW132" i="21" s="1"/>
  <c r="BT13" i="10"/>
  <c r="BT5" i="10" s="1"/>
  <c r="BT14" i="10"/>
  <c r="BT6" i="10" s="1"/>
  <c r="BT12" i="10"/>
  <c r="BT15" i="10" s="1"/>
  <c r="HL13" i="26" l="1"/>
  <c r="HL5" i="26" s="1"/>
  <c r="HL12" i="26"/>
  <c r="HL4" i="26" s="1"/>
  <c r="HL11" i="26"/>
  <c r="BU173" i="21"/>
  <c r="BU179" i="21" s="1"/>
  <c r="BV138" i="21"/>
  <c r="BW149" i="21"/>
  <c r="BW162" i="21"/>
  <c r="BV157" i="21"/>
  <c r="BV113" i="21"/>
  <c r="BV140" i="21"/>
  <c r="BV144" i="21" s="1"/>
  <c r="BV152" i="21" s="1"/>
  <c r="BV47" i="21"/>
  <c r="EA63" i="21"/>
  <c r="DZ64" i="21"/>
  <c r="DZ176" i="21" s="1"/>
  <c r="BU55" i="21"/>
  <c r="BU58" i="21" s="1"/>
  <c r="BU66" i="21" s="1"/>
  <c r="BV48" i="21"/>
  <c r="BV83" i="21"/>
  <c r="BV170" i="21" s="1"/>
  <c r="BW77" i="21"/>
  <c r="BW74" i="21"/>
  <c r="BW87" i="21" s="1"/>
  <c r="BW88" i="21" s="1"/>
  <c r="BW75" i="21"/>
  <c r="BW106" i="21"/>
  <c r="BW103" i="21"/>
  <c r="BW117" i="21" s="1"/>
  <c r="BW118" i="21" s="1"/>
  <c r="BW104" i="21"/>
  <c r="BW102" i="21"/>
  <c r="BW110" i="21" s="1"/>
  <c r="BW15" i="21"/>
  <c r="BX11" i="21"/>
  <c r="BW7" i="21"/>
  <c r="BT7" i="10"/>
  <c r="BU11" i="10"/>
  <c r="HL14" i="26" l="1"/>
  <c r="HM10" i="26"/>
  <c r="HL6" i="26"/>
  <c r="BW109" i="21"/>
  <c r="BV171" i="21"/>
  <c r="BV158" i="21"/>
  <c r="BV165" i="21" s="1"/>
  <c r="BV49" i="21"/>
  <c r="EB63" i="21"/>
  <c r="EA64" i="21"/>
  <c r="EA176" i="21" s="1"/>
  <c r="BV50" i="21"/>
  <c r="BV172" i="21" s="1"/>
  <c r="BW80" i="21"/>
  <c r="BW91" i="21" s="1"/>
  <c r="BW92" i="21" s="1"/>
  <c r="BV59" i="21"/>
  <c r="BV61" i="21" s="1"/>
  <c r="BV96" i="21"/>
  <c r="BV97" i="21" s="1"/>
  <c r="BW95" i="21" s="1"/>
  <c r="BW82" i="21"/>
  <c r="BW76" i="21"/>
  <c r="BW81" i="21" s="1"/>
  <c r="BW137" i="21" s="1"/>
  <c r="BV126" i="21"/>
  <c r="BV127" i="21" s="1"/>
  <c r="BW125" i="21" s="1"/>
  <c r="BW112" i="21"/>
  <c r="BW121" i="21"/>
  <c r="BW122" i="21" s="1"/>
  <c r="BW141" i="21" s="1"/>
  <c r="BW105" i="21"/>
  <c r="BW111" i="21" s="1"/>
  <c r="BW140" i="21" s="1"/>
  <c r="BX12" i="21"/>
  <c r="BX132" i="21" s="1"/>
  <c r="BX14" i="21"/>
  <c r="BX6" i="21" s="1"/>
  <c r="BX13" i="21"/>
  <c r="BX5" i="21" s="1"/>
  <c r="BU12" i="10"/>
  <c r="BU15" i="10" s="1"/>
  <c r="BU14" i="10"/>
  <c r="BU6" i="10" s="1"/>
  <c r="BU13" i="10"/>
  <c r="BU5" i="10" s="1"/>
  <c r="HM12" i="26" l="1"/>
  <c r="HM4" i="26" s="1"/>
  <c r="HM13" i="26"/>
  <c r="HM5" i="26" s="1"/>
  <c r="HM11" i="26"/>
  <c r="BV173" i="21"/>
  <c r="BV179" i="21" s="1"/>
  <c r="BW138" i="21"/>
  <c r="BW157" i="21"/>
  <c r="BW158" i="21"/>
  <c r="BW165" i="21" s="1"/>
  <c r="BX149" i="21"/>
  <c r="BX162" i="21"/>
  <c r="BW139" i="21"/>
  <c r="BW142" i="21"/>
  <c r="BW144" i="21" s="1"/>
  <c r="BW152" i="21" s="1"/>
  <c r="EC63" i="21"/>
  <c r="EB64" i="21"/>
  <c r="EB176" i="21" s="1"/>
  <c r="BW47" i="21"/>
  <c r="BW49" i="21" s="1"/>
  <c r="BV55" i="21"/>
  <c r="BV58" i="21" s="1"/>
  <c r="BV66" i="21" s="1"/>
  <c r="BW48" i="21"/>
  <c r="BW113" i="21"/>
  <c r="BW83" i="21"/>
  <c r="BW170" i="21" s="1"/>
  <c r="BX77" i="21"/>
  <c r="BX74" i="21"/>
  <c r="BX87" i="21" s="1"/>
  <c r="BX88" i="21" s="1"/>
  <c r="BX75" i="21"/>
  <c r="BX103" i="21"/>
  <c r="BX117" i="21" s="1"/>
  <c r="BX118" i="21" s="1"/>
  <c r="BX106" i="21"/>
  <c r="BX102" i="21"/>
  <c r="BX110" i="21" s="1"/>
  <c r="BX104" i="21"/>
  <c r="BX15" i="21"/>
  <c r="BX7" i="21"/>
  <c r="BY11" i="21"/>
  <c r="BU7" i="10"/>
  <c r="BV11" i="10"/>
  <c r="HM14" i="26" l="1"/>
  <c r="HN10" i="26"/>
  <c r="HM6" i="26"/>
  <c r="BX109" i="21"/>
  <c r="BW171" i="21"/>
  <c r="ED63" i="21"/>
  <c r="EC64" i="21"/>
  <c r="EC176" i="21" s="1"/>
  <c r="BW50" i="21"/>
  <c r="BW172" i="21" s="1"/>
  <c r="BX80" i="21"/>
  <c r="BX91" i="21" s="1"/>
  <c r="BX92" i="21" s="1"/>
  <c r="BW59" i="21"/>
  <c r="BW61" i="21" s="1"/>
  <c r="BW96" i="21"/>
  <c r="BW97" i="21" s="1"/>
  <c r="BX95" i="21" s="1"/>
  <c r="BX82" i="21"/>
  <c r="BX76" i="21"/>
  <c r="BX81" i="21" s="1"/>
  <c r="BX137" i="21" s="1"/>
  <c r="BW126" i="21"/>
  <c r="BW127" i="21" s="1"/>
  <c r="BX125" i="21" s="1"/>
  <c r="BX112" i="21"/>
  <c r="BX105" i="21"/>
  <c r="BX111" i="21" s="1"/>
  <c r="BX140" i="21" s="1"/>
  <c r="BX121" i="21"/>
  <c r="BX122" i="21" s="1"/>
  <c r="BX141" i="21" s="1"/>
  <c r="BY14" i="21"/>
  <c r="BY6" i="21" s="1"/>
  <c r="BY12" i="21"/>
  <c r="BY132" i="21" s="1"/>
  <c r="BY13" i="21"/>
  <c r="BY5" i="21" s="1"/>
  <c r="BV12" i="10"/>
  <c r="BV15" i="10" s="1"/>
  <c r="BV14" i="10"/>
  <c r="BV6" i="10" s="1"/>
  <c r="BV13" i="10"/>
  <c r="BV5" i="10" s="1"/>
  <c r="HN13" i="26" l="1"/>
  <c r="HN5" i="26" s="1"/>
  <c r="HN12" i="26"/>
  <c r="HN4" i="26" s="1"/>
  <c r="HN11" i="26"/>
  <c r="BW173" i="21"/>
  <c r="BW179" i="21" s="1"/>
  <c r="BX138" i="21"/>
  <c r="BX157" i="21"/>
  <c r="BY149" i="21"/>
  <c r="BY162" i="21"/>
  <c r="BX139" i="21"/>
  <c r="BX142" i="21"/>
  <c r="BX144" i="21" s="1"/>
  <c r="BX152" i="21" s="1"/>
  <c r="BX47" i="21"/>
  <c r="BX49" i="21" s="1"/>
  <c r="EE63" i="21"/>
  <c r="ED64" i="21"/>
  <c r="ED176" i="21" s="1"/>
  <c r="BW55" i="21"/>
  <c r="BW58" i="21" s="1"/>
  <c r="BW66" i="21" s="1"/>
  <c r="BX48" i="21"/>
  <c r="BX113" i="21"/>
  <c r="BX83" i="21"/>
  <c r="BX170" i="21" s="1"/>
  <c r="BY102" i="21"/>
  <c r="BY110" i="21" s="1"/>
  <c r="BY77" i="21"/>
  <c r="BY74" i="21"/>
  <c r="BY87" i="21" s="1"/>
  <c r="BY88" i="21" s="1"/>
  <c r="BY75" i="21"/>
  <c r="BY104" i="21"/>
  <c r="BY106" i="21"/>
  <c r="BY103" i="21"/>
  <c r="BY117" i="21" s="1"/>
  <c r="BY118" i="21" s="1"/>
  <c r="BY15" i="21"/>
  <c r="BZ11" i="21"/>
  <c r="BY7" i="21"/>
  <c r="BW11" i="10"/>
  <c r="BV7" i="10"/>
  <c r="HN14" i="26" l="1"/>
  <c r="HO10" i="26"/>
  <c r="HN6" i="26"/>
  <c r="BY109" i="21"/>
  <c r="BX171" i="21"/>
  <c r="BX158" i="21"/>
  <c r="BX165" i="21" s="1"/>
  <c r="EF63" i="21"/>
  <c r="EE64" i="21"/>
  <c r="EE176" i="21" s="1"/>
  <c r="BX50" i="21"/>
  <c r="BX172" i="21" s="1"/>
  <c r="BX55" i="21"/>
  <c r="BX58" i="21" s="1"/>
  <c r="BY80" i="21"/>
  <c r="BY91" i="21" s="1"/>
  <c r="BY92" i="21" s="1"/>
  <c r="BX59" i="21"/>
  <c r="BX61" i="21" s="1"/>
  <c r="BX96" i="21"/>
  <c r="BX97" i="21" s="1"/>
  <c r="BY95" i="21" s="1"/>
  <c r="BY82" i="21"/>
  <c r="BY76" i="21"/>
  <c r="BY81" i="21" s="1"/>
  <c r="BY137" i="21" s="1"/>
  <c r="BY105" i="21"/>
  <c r="BY111" i="21" s="1"/>
  <c r="BY140" i="21" s="1"/>
  <c r="BY121" i="21"/>
  <c r="BY122" i="21" s="1"/>
  <c r="BY141" i="21" s="1"/>
  <c r="BX126" i="21"/>
  <c r="BX127" i="21" s="1"/>
  <c r="BY125" i="21" s="1"/>
  <c r="BY112" i="21"/>
  <c r="BZ12" i="21"/>
  <c r="BZ132" i="21" s="1"/>
  <c r="BZ14" i="21"/>
  <c r="BZ6" i="21" s="1"/>
  <c r="BZ13" i="21"/>
  <c r="BZ5" i="21" s="1"/>
  <c r="BW14" i="10"/>
  <c r="BW6" i="10" s="1"/>
  <c r="BW12" i="10"/>
  <c r="BW15" i="10" s="1"/>
  <c r="BW13" i="10"/>
  <c r="BW5" i="10" s="1"/>
  <c r="HO13" i="26" l="1"/>
  <c r="HO5" i="26" s="1"/>
  <c r="HO12" i="26"/>
  <c r="HO4" i="26" s="1"/>
  <c r="HO11" i="26"/>
  <c r="BX173" i="21"/>
  <c r="BX179" i="21" s="1"/>
  <c r="BY48" i="21"/>
  <c r="BY138" i="21"/>
  <c r="BY157" i="21"/>
  <c r="BY158" i="21"/>
  <c r="BY165" i="21" s="1"/>
  <c r="BZ149" i="21"/>
  <c r="BZ162" i="21"/>
  <c r="BY142" i="21"/>
  <c r="BY139" i="21"/>
  <c r="BZ75" i="21"/>
  <c r="BY96" i="21" s="1"/>
  <c r="BY97" i="21" s="1"/>
  <c r="BZ95" i="21" s="1"/>
  <c r="BX66" i="21"/>
  <c r="BY47" i="21"/>
  <c r="BY49" i="21" s="1"/>
  <c r="BY50" i="21" s="1"/>
  <c r="BY172" i="21" s="1"/>
  <c r="EG63" i="21"/>
  <c r="EF64" i="21"/>
  <c r="EF176" i="21" s="1"/>
  <c r="BY113" i="21"/>
  <c r="BY83" i="21"/>
  <c r="BY170" i="21" s="1"/>
  <c r="BZ77" i="21"/>
  <c r="BZ74" i="21"/>
  <c r="BZ87" i="21" s="1"/>
  <c r="BZ88" i="21" s="1"/>
  <c r="BZ106" i="21"/>
  <c r="BZ103" i="21"/>
  <c r="BZ117" i="21" s="1"/>
  <c r="BZ118" i="21" s="1"/>
  <c r="BZ102" i="21"/>
  <c r="BZ110" i="21" s="1"/>
  <c r="BZ104" i="21"/>
  <c r="CA11" i="21"/>
  <c r="BZ15" i="21"/>
  <c r="BZ7" i="21"/>
  <c r="BX11" i="10"/>
  <c r="BW7" i="10"/>
  <c r="HO14" i="26" l="1"/>
  <c r="HP10" i="26"/>
  <c r="HO6" i="26"/>
  <c r="BZ109" i="21"/>
  <c r="BY171" i="21"/>
  <c r="BY173" i="21" s="1"/>
  <c r="BY179" i="21" s="1"/>
  <c r="BY144" i="21"/>
  <c r="BY152" i="21" s="1"/>
  <c r="BZ82" i="21"/>
  <c r="EH63" i="21"/>
  <c r="EG64" i="21"/>
  <c r="EG176" i="21" s="1"/>
  <c r="BY55" i="21"/>
  <c r="BY58" i="21" s="1"/>
  <c r="BZ48" i="21"/>
  <c r="BZ80" i="21"/>
  <c r="BY59" i="21"/>
  <c r="BY61" i="21" s="1"/>
  <c r="BZ91" i="21"/>
  <c r="BZ92" i="21" s="1"/>
  <c r="BZ76" i="21"/>
  <c r="BZ112" i="21"/>
  <c r="BY126" i="21"/>
  <c r="BY127" i="21" s="1"/>
  <c r="BZ125" i="21" s="1"/>
  <c r="BZ121" i="21"/>
  <c r="BZ122" i="21" s="1"/>
  <c r="BZ141" i="21" s="1"/>
  <c r="BZ105" i="21"/>
  <c r="BZ111" i="21" s="1"/>
  <c r="BZ140" i="21" s="1"/>
  <c r="CA14" i="21"/>
  <c r="CA6" i="21" s="1"/>
  <c r="CA12" i="21"/>
  <c r="CA132" i="21" s="1"/>
  <c r="CA13" i="21"/>
  <c r="CA5" i="21" s="1"/>
  <c r="BX14" i="10"/>
  <c r="BX6" i="10" s="1"/>
  <c r="BX12" i="10"/>
  <c r="BX15" i="10" s="1"/>
  <c r="BX13" i="10"/>
  <c r="BX5" i="10" s="1"/>
  <c r="HP13" i="26" l="1"/>
  <c r="HP5" i="26" s="1"/>
  <c r="HP12" i="26"/>
  <c r="HP4" i="26" s="1"/>
  <c r="HP11" i="26"/>
  <c r="BZ138" i="21"/>
  <c r="BZ157" i="21"/>
  <c r="CA149" i="21"/>
  <c r="CA162" i="21"/>
  <c r="BZ142" i="21"/>
  <c r="BZ139" i="21"/>
  <c r="BY66" i="21"/>
  <c r="EI63" i="21"/>
  <c r="EH64" i="21"/>
  <c r="EH176" i="21" s="1"/>
  <c r="BZ113" i="21"/>
  <c r="BZ81" i="21"/>
  <c r="CA77" i="21"/>
  <c r="CA74" i="21"/>
  <c r="CA87" i="21" s="1"/>
  <c r="CA88" i="21" s="1"/>
  <c r="CA75" i="21"/>
  <c r="CA106" i="21"/>
  <c r="CA103" i="21"/>
  <c r="CA117" i="21" s="1"/>
  <c r="CA118" i="21" s="1"/>
  <c r="CA104" i="21"/>
  <c r="CA102" i="21"/>
  <c r="CA110" i="21" s="1"/>
  <c r="CA15" i="21"/>
  <c r="CB11" i="21"/>
  <c r="CA7" i="21"/>
  <c r="BY11" i="10"/>
  <c r="BX7" i="10"/>
  <c r="HQ10" i="26" l="1"/>
  <c r="HP14" i="26"/>
  <c r="HP6" i="26"/>
  <c r="CA109" i="21"/>
  <c r="BZ171" i="21"/>
  <c r="BZ158" i="21"/>
  <c r="BZ165" i="21" s="1"/>
  <c r="BZ47" i="21"/>
  <c r="BZ49" i="21" s="1"/>
  <c r="BZ50" i="21" s="1"/>
  <c r="BZ172" i="21" s="1"/>
  <c r="BZ137" i="21"/>
  <c r="EJ63" i="21"/>
  <c r="EI64" i="21"/>
  <c r="EI176" i="21" s="1"/>
  <c r="BZ83" i="21"/>
  <c r="BZ170" i="21" s="1"/>
  <c r="CA82" i="21"/>
  <c r="BZ96" i="21"/>
  <c r="BZ97" i="21" s="1"/>
  <c r="CA95" i="21" s="1"/>
  <c r="CA76" i="21"/>
  <c r="CA81" i="21" s="1"/>
  <c r="CA137" i="21" s="1"/>
  <c r="BZ126" i="21"/>
  <c r="BZ127" i="21" s="1"/>
  <c r="CA125" i="21" s="1"/>
  <c r="CA121" i="21"/>
  <c r="CA122" i="21" s="1"/>
  <c r="CA141" i="21" s="1"/>
  <c r="CA105" i="21"/>
  <c r="CA111" i="21" s="1"/>
  <c r="CB12" i="21"/>
  <c r="CB132" i="21" s="1"/>
  <c r="CB14" i="21"/>
  <c r="CB6" i="21" s="1"/>
  <c r="CB13" i="21"/>
  <c r="CB5" i="21" s="1"/>
  <c r="BY14" i="10"/>
  <c r="BY6" i="10" s="1"/>
  <c r="BY12" i="10"/>
  <c r="BY15" i="10" s="1"/>
  <c r="BY13" i="10"/>
  <c r="BY5" i="10" s="1"/>
  <c r="HQ13" i="26" l="1"/>
  <c r="HQ5" i="26" s="1"/>
  <c r="HQ12" i="26"/>
  <c r="HQ4" i="26" s="1"/>
  <c r="HQ11" i="26"/>
  <c r="BZ173" i="21"/>
  <c r="BZ179" i="21" s="1"/>
  <c r="BZ59" i="21"/>
  <c r="BZ61" i="21" s="1"/>
  <c r="CA80" i="21"/>
  <c r="CA91" i="21" s="1"/>
  <c r="CA92" i="21" s="1"/>
  <c r="CA138" i="21" s="1"/>
  <c r="CA157" i="21" s="1"/>
  <c r="CA158" i="21" s="1"/>
  <c r="CA165" i="21" s="1"/>
  <c r="CB149" i="21"/>
  <c r="CB162" i="21"/>
  <c r="BZ144" i="21"/>
  <c r="BZ152" i="21" s="1"/>
  <c r="CA112" i="21"/>
  <c r="CA47" i="21" s="1"/>
  <c r="CA140" i="21"/>
  <c r="EK63" i="21"/>
  <c r="EJ64" i="21"/>
  <c r="EJ176" i="21" s="1"/>
  <c r="BZ55" i="21"/>
  <c r="BZ58" i="21" s="1"/>
  <c r="BZ66" i="21" s="1"/>
  <c r="CA48" i="21"/>
  <c r="CA83" i="21"/>
  <c r="CA170" i="21" s="1"/>
  <c r="CB104" i="21"/>
  <c r="CA126" i="21" s="1"/>
  <c r="CA127" i="21" s="1"/>
  <c r="CB77" i="21"/>
  <c r="CB74" i="21"/>
  <c r="CB87" i="21" s="1"/>
  <c r="CB88" i="21" s="1"/>
  <c r="CB75" i="21"/>
  <c r="CB106" i="21"/>
  <c r="CB103" i="21"/>
  <c r="CB117" i="21" s="1"/>
  <c r="CB118" i="21" s="1"/>
  <c r="CB102" i="21"/>
  <c r="CB110" i="21" s="1"/>
  <c r="CB15" i="21"/>
  <c r="CB7" i="21"/>
  <c r="CC11" i="21"/>
  <c r="BZ11" i="10"/>
  <c r="BY7" i="10"/>
  <c r="HQ14" i="26" l="1"/>
  <c r="HR10" i="26"/>
  <c r="HQ6" i="26"/>
  <c r="CA49" i="21"/>
  <c r="CA113" i="21"/>
  <c r="CA142" i="21"/>
  <c r="CA139" i="21"/>
  <c r="CA50" i="21"/>
  <c r="CA172" i="21" s="1"/>
  <c r="EL63" i="21"/>
  <c r="EK64" i="21"/>
  <c r="EK176" i="21" s="1"/>
  <c r="CB125" i="21"/>
  <c r="CB112" i="21"/>
  <c r="CB80" i="21"/>
  <c r="CB91" i="21" s="1"/>
  <c r="CB92" i="21" s="1"/>
  <c r="CA59" i="21"/>
  <c r="CA61" i="21" s="1"/>
  <c r="CA96" i="21"/>
  <c r="CA97" i="21" s="1"/>
  <c r="CB95" i="21" s="1"/>
  <c r="CB82" i="21"/>
  <c r="CB76" i="21"/>
  <c r="CB81" i="21" s="1"/>
  <c r="CB137" i="21" s="1"/>
  <c r="CB105" i="21"/>
  <c r="CB111" i="21" s="1"/>
  <c r="CC13" i="21"/>
  <c r="CC5" i="21" s="1"/>
  <c r="CC12" i="21"/>
  <c r="CC132" i="21" s="1"/>
  <c r="CC14" i="21"/>
  <c r="CC6" i="21" s="1"/>
  <c r="BZ14" i="10"/>
  <c r="BZ6" i="10" s="1"/>
  <c r="BZ13" i="10"/>
  <c r="BZ5" i="10" s="1"/>
  <c r="BZ12" i="10"/>
  <c r="BZ15" i="10" s="1"/>
  <c r="HR12" i="26" l="1"/>
  <c r="HR4" i="26" s="1"/>
  <c r="HR13" i="26"/>
  <c r="HR5" i="26" s="1"/>
  <c r="HR11" i="26"/>
  <c r="CB48" i="21"/>
  <c r="CA55" i="21"/>
  <c r="CA58" i="21" s="1"/>
  <c r="CB138" i="21"/>
  <c r="CB109" i="21"/>
  <c r="CB121" i="21" s="1"/>
  <c r="CB122" i="21" s="1"/>
  <c r="CB141" i="21" s="1"/>
  <c r="CB157" i="21" s="1"/>
  <c r="CB158" i="21" s="1"/>
  <c r="CB165" i="21" s="1"/>
  <c r="CA171" i="21"/>
  <c r="CA173" i="21" s="1"/>
  <c r="CA179" i="21" s="1"/>
  <c r="CC149" i="21"/>
  <c r="CC162" i="21"/>
  <c r="CA144" i="21"/>
  <c r="CA152" i="21" s="1"/>
  <c r="CB140" i="21"/>
  <c r="CB142" i="21"/>
  <c r="CB139" i="21"/>
  <c r="CA66" i="21"/>
  <c r="CB47" i="21"/>
  <c r="CB49" i="21" s="1"/>
  <c r="CB50" i="21" s="1"/>
  <c r="CB172" i="21" s="1"/>
  <c r="EM63" i="21"/>
  <c r="EL64" i="21"/>
  <c r="EL176" i="21" s="1"/>
  <c r="CB83" i="21"/>
  <c r="CB170" i="21" s="1"/>
  <c r="CC102" i="21"/>
  <c r="CC110" i="21" s="1"/>
  <c r="CC77" i="21"/>
  <c r="CC74" i="21"/>
  <c r="CC87" i="21" s="1"/>
  <c r="CC88" i="21" s="1"/>
  <c r="CC75" i="21"/>
  <c r="CC104" i="21"/>
  <c r="CC106" i="21"/>
  <c r="CC103" i="21"/>
  <c r="CC117" i="21" s="1"/>
  <c r="CC118" i="21" s="1"/>
  <c r="CC15" i="21"/>
  <c r="CC7" i="21"/>
  <c r="CD11" i="21"/>
  <c r="BZ7" i="10"/>
  <c r="CA11" i="10"/>
  <c r="HR14" i="26" l="1"/>
  <c r="HS10" i="26"/>
  <c r="HR6" i="26"/>
  <c r="CB113" i="21"/>
  <c r="CC109" i="21"/>
  <c r="CB171" i="21"/>
  <c r="CB173" i="21" s="1"/>
  <c r="CB179" i="21" s="1"/>
  <c r="CB144" i="21"/>
  <c r="CB152" i="21" s="1"/>
  <c r="EN63" i="21"/>
  <c r="EM64" i="21"/>
  <c r="EM176" i="21" s="1"/>
  <c r="CB55" i="21"/>
  <c r="CB58" i="21" s="1"/>
  <c r="CC48" i="21"/>
  <c r="CC80" i="21"/>
  <c r="CC91" i="21" s="1"/>
  <c r="CC92" i="21" s="1"/>
  <c r="CB59" i="21"/>
  <c r="CB61" i="21" s="1"/>
  <c r="CC82" i="21"/>
  <c r="CB96" i="21"/>
  <c r="CB97" i="21" s="1"/>
  <c r="CC95" i="21" s="1"/>
  <c r="CC76" i="21"/>
  <c r="CC81" i="21" s="1"/>
  <c r="CC137" i="21" s="1"/>
  <c r="CC105" i="21"/>
  <c r="CC111" i="21" s="1"/>
  <c r="CC140" i="21" s="1"/>
  <c r="CC121" i="21"/>
  <c r="CC122" i="21" s="1"/>
  <c r="CC141" i="21" s="1"/>
  <c r="CC112" i="21"/>
  <c r="CB126" i="21"/>
  <c r="CB127" i="21" s="1"/>
  <c r="CC125" i="21" s="1"/>
  <c r="CD13" i="21"/>
  <c r="CD5" i="21" s="1"/>
  <c r="CD14" i="21"/>
  <c r="CD6" i="21" s="1"/>
  <c r="CD12" i="21"/>
  <c r="CD132" i="21" s="1"/>
  <c r="CA12" i="10"/>
  <c r="CA15" i="10" s="1"/>
  <c r="CA13" i="10"/>
  <c r="CA5" i="10" s="1"/>
  <c r="CA14" i="10"/>
  <c r="CA6" i="10" s="1"/>
  <c r="HS12" i="26" l="1"/>
  <c r="HS4" i="26" s="1"/>
  <c r="HS13" i="26"/>
  <c r="HS5" i="26" s="1"/>
  <c r="HS11" i="26"/>
  <c r="CC138" i="21"/>
  <c r="CD149" i="21"/>
  <c r="CD162" i="21"/>
  <c r="CC157" i="21"/>
  <c r="CC142" i="21"/>
  <c r="CC139" i="21"/>
  <c r="CC47" i="21"/>
  <c r="CC49" i="21" s="1"/>
  <c r="CC50" i="21" s="1"/>
  <c r="CC172" i="21" s="1"/>
  <c r="CB66" i="21"/>
  <c r="EO63" i="21"/>
  <c r="EN64" i="21"/>
  <c r="EN176" i="21" s="1"/>
  <c r="CC113" i="21"/>
  <c r="CC83" i="21"/>
  <c r="CC170" i="21" s="1"/>
  <c r="CD102" i="21"/>
  <c r="CD110" i="21" s="1"/>
  <c r="CD77" i="21"/>
  <c r="CD74" i="21"/>
  <c r="CD87" i="21" s="1"/>
  <c r="CD88" i="21" s="1"/>
  <c r="CD75" i="21"/>
  <c r="CD104" i="21"/>
  <c r="CD106" i="21"/>
  <c r="CD103" i="21"/>
  <c r="CD117" i="21" s="1"/>
  <c r="CD118" i="21" s="1"/>
  <c r="CD15" i="21"/>
  <c r="CE11" i="21"/>
  <c r="CD7" i="21"/>
  <c r="CB11" i="10"/>
  <c r="CA7" i="10"/>
  <c r="HS14" i="26" l="1"/>
  <c r="HT10" i="26"/>
  <c r="HS6" i="26"/>
  <c r="CD109" i="21"/>
  <c r="CC171" i="21"/>
  <c r="CC173" i="21" s="1"/>
  <c r="CC179" i="21" s="1"/>
  <c r="CC158" i="21"/>
  <c r="CC165" i="21" s="1"/>
  <c r="CC144" i="21"/>
  <c r="CC152" i="21" s="1"/>
  <c r="EP63" i="21"/>
  <c r="EO64" i="21"/>
  <c r="EO176" i="21" s="1"/>
  <c r="CC55" i="21"/>
  <c r="CC58" i="21" s="1"/>
  <c r="CD48" i="21"/>
  <c r="CD80" i="21"/>
  <c r="CD91" i="21" s="1"/>
  <c r="CD92" i="21" s="1"/>
  <c r="CC59" i="21"/>
  <c r="CC61" i="21" s="1"/>
  <c r="CC96" i="21"/>
  <c r="CC97" i="21" s="1"/>
  <c r="CD95" i="21" s="1"/>
  <c r="CD82" i="21"/>
  <c r="CD76" i="21"/>
  <c r="CD81" i="21" s="1"/>
  <c r="CD137" i="21" s="1"/>
  <c r="CD121" i="21"/>
  <c r="CD122" i="21" s="1"/>
  <c r="CD141" i="21" s="1"/>
  <c r="CD105" i="21"/>
  <c r="CD111" i="21" s="1"/>
  <c r="CD140" i="21" s="1"/>
  <c r="CD112" i="21"/>
  <c r="CC126" i="21"/>
  <c r="CC127" i="21" s="1"/>
  <c r="CD125" i="21" s="1"/>
  <c r="CE12" i="21"/>
  <c r="CE132" i="21" s="1"/>
  <c r="CE13" i="21"/>
  <c r="CE5" i="21" s="1"/>
  <c r="CE14" i="21"/>
  <c r="CE6" i="21" s="1"/>
  <c r="CB12" i="10"/>
  <c r="CB15" i="10" s="1"/>
  <c r="CB13" i="10"/>
  <c r="CB5" i="10" s="1"/>
  <c r="CB14" i="10"/>
  <c r="CB6" i="10" s="1"/>
  <c r="HT13" i="26" l="1"/>
  <c r="HT5" i="26" s="1"/>
  <c r="HT12" i="26"/>
  <c r="HT4" i="26" s="1"/>
  <c r="HT11" i="26"/>
  <c r="CD138" i="21"/>
  <c r="CD157" i="21"/>
  <c r="CD158" i="21"/>
  <c r="CD165" i="21" s="1"/>
  <c r="CE149" i="21"/>
  <c r="CE162" i="21"/>
  <c r="CD139" i="21"/>
  <c r="CD142" i="21"/>
  <c r="CD144" i="21" s="1"/>
  <c r="CD152" i="21" s="1"/>
  <c r="CE75" i="21"/>
  <c r="CD96" i="21" s="1"/>
  <c r="CD97" i="21" s="1"/>
  <c r="CE95" i="21" s="1"/>
  <c r="CC66" i="21"/>
  <c r="CD47" i="21"/>
  <c r="EQ63" i="21"/>
  <c r="EP64" i="21"/>
  <c r="EP176" i="21" s="1"/>
  <c r="CD49" i="21"/>
  <c r="CD50" i="21" s="1"/>
  <c r="CD172" i="21" s="1"/>
  <c r="CD113" i="21"/>
  <c r="CD83" i="21"/>
  <c r="CD170" i="21" s="1"/>
  <c r="CE104" i="21"/>
  <c r="CE112" i="21" s="1"/>
  <c r="CE77" i="21"/>
  <c r="CE74" i="21"/>
  <c r="CE87" i="21" s="1"/>
  <c r="CE88" i="21" s="1"/>
  <c r="CE102" i="21"/>
  <c r="CE110" i="21" s="1"/>
  <c r="CE106" i="21"/>
  <c r="CE103" i="21"/>
  <c r="CE117" i="21" s="1"/>
  <c r="CE118" i="21" s="1"/>
  <c r="CE15" i="21"/>
  <c r="CF11" i="21"/>
  <c r="CE7" i="21"/>
  <c r="CB7" i="10"/>
  <c r="CC11" i="10"/>
  <c r="HT14" i="26" l="1"/>
  <c r="HU10" i="26"/>
  <c r="HT6" i="26"/>
  <c r="CE109" i="21"/>
  <c r="CD171" i="21"/>
  <c r="CD173" i="21" s="1"/>
  <c r="CD179" i="21" s="1"/>
  <c r="CE82" i="21"/>
  <c r="CE139" i="21"/>
  <c r="CE142" i="21"/>
  <c r="ER63" i="21"/>
  <c r="EQ64" i="21"/>
  <c r="EQ176" i="21" s="1"/>
  <c r="CD55" i="21"/>
  <c r="CD58" i="21" s="1"/>
  <c r="CE48" i="21"/>
  <c r="CE80" i="21"/>
  <c r="CE91" i="21" s="1"/>
  <c r="CE92" i="21" s="1"/>
  <c r="CD59" i="21"/>
  <c r="CD61" i="21" s="1"/>
  <c r="CD126" i="21"/>
  <c r="CD127" i="21" s="1"/>
  <c r="CE125" i="21" s="1"/>
  <c r="CE76" i="21"/>
  <c r="CE121" i="21"/>
  <c r="CE122" i="21" s="1"/>
  <c r="CE141" i="21" s="1"/>
  <c r="CE105" i="21"/>
  <c r="CE111" i="21" s="1"/>
  <c r="CF13" i="21"/>
  <c r="CF5" i="21" s="1"/>
  <c r="CF14" i="21"/>
  <c r="CF6" i="21" s="1"/>
  <c r="CF12" i="21"/>
  <c r="CF132" i="21" s="1"/>
  <c r="CC12" i="10"/>
  <c r="CC15" i="10" s="1"/>
  <c r="CC13" i="10"/>
  <c r="CC5" i="10" s="1"/>
  <c r="CC14" i="10"/>
  <c r="CC6" i="10" s="1"/>
  <c r="HU12" i="26" l="1"/>
  <c r="HU4" i="26" s="1"/>
  <c r="HU13" i="26"/>
  <c r="HU5" i="26" s="1"/>
  <c r="HU11" i="26"/>
  <c r="CE138" i="21"/>
  <c r="CE157" i="21"/>
  <c r="CF149" i="21"/>
  <c r="CF162" i="21"/>
  <c r="CE113" i="21"/>
  <c r="CE140" i="21"/>
  <c r="CD66" i="21"/>
  <c r="ES63" i="21"/>
  <c r="ER64" i="21"/>
  <c r="ER176" i="21" s="1"/>
  <c r="CE81" i="21"/>
  <c r="CF102" i="21"/>
  <c r="CF110" i="21" s="1"/>
  <c r="CF77" i="21"/>
  <c r="CF74" i="21"/>
  <c r="CF87" i="21" s="1"/>
  <c r="CF88" i="21" s="1"/>
  <c r="CF75" i="21"/>
  <c r="CF104" i="21"/>
  <c r="CF103" i="21"/>
  <c r="CF117" i="21" s="1"/>
  <c r="CF118" i="21" s="1"/>
  <c r="CF106" i="21"/>
  <c r="CF15" i="21"/>
  <c r="CG11" i="21"/>
  <c r="CF7" i="21"/>
  <c r="CC7" i="10"/>
  <c r="CD11" i="10"/>
  <c r="HU14" i="26" l="1"/>
  <c r="HV10" i="26"/>
  <c r="HU6" i="26"/>
  <c r="CF109" i="21"/>
  <c r="CE171" i="21"/>
  <c r="CE158" i="21"/>
  <c r="CE165" i="21" s="1"/>
  <c r="CE47" i="21"/>
  <c r="CE49" i="21" s="1"/>
  <c r="CE50" i="21" s="1"/>
  <c r="CE172" i="21" s="1"/>
  <c r="CE137" i="21"/>
  <c r="ET63" i="21"/>
  <c r="ES64" i="21"/>
  <c r="ES176" i="21" s="1"/>
  <c r="CE83" i="21"/>
  <c r="CE170" i="21" s="1"/>
  <c r="CF82" i="21"/>
  <c r="CE96" i="21"/>
  <c r="CE97" i="21" s="1"/>
  <c r="CF95" i="21" s="1"/>
  <c r="CF76" i="21"/>
  <c r="CF81" i="21" s="1"/>
  <c r="CF137" i="21" s="1"/>
  <c r="CF121" i="21"/>
  <c r="CF122" i="21" s="1"/>
  <c r="CF141" i="21" s="1"/>
  <c r="CF105" i="21"/>
  <c r="CF111" i="21" s="1"/>
  <c r="CF140" i="21" s="1"/>
  <c r="CE126" i="21"/>
  <c r="CE127" i="21" s="1"/>
  <c r="CF125" i="21" s="1"/>
  <c r="CF112" i="21"/>
  <c r="CG13" i="21"/>
  <c r="CG5" i="21" s="1"/>
  <c r="CG12" i="21"/>
  <c r="CG132" i="21" s="1"/>
  <c r="CG14" i="21"/>
  <c r="CG6" i="21" s="1"/>
  <c r="CD12" i="10"/>
  <c r="CD15" i="10" s="1"/>
  <c r="CD13" i="10"/>
  <c r="CD5" i="10" s="1"/>
  <c r="CD14" i="10"/>
  <c r="CD6" i="10" s="1"/>
  <c r="HV13" i="26" l="1"/>
  <c r="HV5" i="26" s="1"/>
  <c r="HV12" i="26"/>
  <c r="HV4" i="26" s="1"/>
  <c r="HV11" i="26"/>
  <c r="CE59" i="21"/>
  <c r="CE61" i="21" s="1"/>
  <c r="CF80" i="21"/>
  <c r="CF91" i="21" s="1"/>
  <c r="CF92" i="21" s="1"/>
  <c r="CF138" i="21" s="1"/>
  <c r="CF157" i="21" s="1"/>
  <c r="CF158" i="21" s="1"/>
  <c r="CF165" i="21" s="1"/>
  <c r="CE173" i="21"/>
  <c r="CE179" i="21" s="1"/>
  <c r="CG149" i="21"/>
  <c r="CG162" i="21"/>
  <c r="CE144" i="21"/>
  <c r="CE152" i="21" s="1"/>
  <c r="CF139" i="21"/>
  <c r="CF142" i="21"/>
  <c r="CF47" i="21"/>
  <c r="EU63" i="21"/>
  <c r="ET64" i="21"/>
  <c r="ET176" i="21" s="1"/>
  <c r="CE55" i="21"/>
  <c r="CE58" i="21" s="1"/>
  <c r="CE66" i="21" s="1"/>
  <c r="CF48" i="21"/>
  <c r="CF113" i="21"/>
  <c r="CG77" i="21"/>
  <c r="CG74" i="21"/>
  <c r="CG87" i="21" s="1"/>
  <c r="CG88" i="21" s="1"/>
  <c r="CG75" i="21"/>
  <c r="CG106" i="21"/>
  <c r="CG103" i="21"/>
  <c r="CG117" i="21" s="1"/>
  <c r="CG118" i="21" s="1"/>
  <c r="CG102" i="21"/>
  <c r="CG110" i="21" s="1"/>
  <c r="CG104" i="21"/>
  <c r="CG15" i="21"/>
  <c r="CH11" i="21"/>
  <c r="CG7" i="21"/>
  <c r="CD7" i="10"/>
  <c r="CE11" i="10"/>
  <c r="HV14" i="26" l="1"/>
  <c r="HW10" i="26"/>
  <c r="HV6" i="26"/>
  <c r="CF83" i="21"/>
  <c r="CF170" i="21" s="1"/>
  <c r="CF144" i="21"/>
  <c r="CF152" i="21" s="1"/>
  <c r="CG109" i="21"/>
  <c r="CF171" i="21"/>
  <c r="CF49" i="21"/>
  <c r="CF50" i="21"/>
  <c r="CF172" i="21" s="1"/>
  <c r="EV63" i="21"/>
  <c r="EU64" i="21"/>
  <c r="EU176" i="21" s="1"/>
  <c r="CG80" i="21"/>
  <c r="CG91" i="21" s="1"/>
  <c r="CG92" i="21" s="1"/>
  <c r="CF59" i="21"/>
  <c r="CF61" i="21" s="1"/>
  <c r="CF96" i="21"/>
  <c r="CF97" i="21" s="1"/>
  <c r="CG95" i="21" s="1"/>
  <c r="CG82" i="21"/>
  <c r="CG76" i="21"/>
  <c r="CG81" i="21" s="1"/>
  <c r="CG137" i="21" s="1"/>
  <c r="CG112" i="21"/>
  <c r="CF126" i="21"/>
  <c r="CF127" i="21" s="1"/>
  <c r="CG125" i="21" s="1"/>
  <c r="CG105" i="21"/>
  <c r="CG111" i="21" s="1"/>
  <c r="CG140" i="21" s="1"/>
  <c r="CG121" i="21"/>
  <c r="CG122" i="21" s="1"/>
  <c r="CG141" i="21" s="1"/>
  <c r="CH13" i="21"/>
  <c r="CH5" i="21" s="1"/>
  <c r="CH14" i="21"/>
  <c r="CH6" i="21" s="1"/>
  <c r="CH12" i="21"/>
  <c r="CH132" i="21" s="1"/>
  <c r="CE12" i="10"/>
  <c r="CE15" i="10" s="1"/>
  <c r="CE13" i="10"/>
  <c r="CE5" i="10" s="1"/>
  <c r="CE14" i="10"/>
  <c r="CE6" i="10" s="1"/>
  <c r="HW13" i="26" l="1"/>
  <c r="HW5" i="26" s="1"/>
  <c r="HW11" i="26"/>
  <c r="HW12" i="26"/>
  <c r="HW4" i="26" s="1"/>
  <c r="CF173" i="21"/>
  <c r="CF179" i="21" s="1"/>
  <c r="CG48" i="21"/>
  <c r="CF55" i="21"/>
  <c r="CF58" i="21" s="1"/>
  <c r="CF66" i="21" s="1"/>
  <c r="CG138" i="21"/>
  <c r="CG157" i="21"/>
  <c r="CH149" i="21"/>
  <c r="CH162" i="21"/>
  <c r="CG139" i="21"/>
  <c r="CG142" i="21"/>
  <c r="CG47" i="21"/>
  <c r="EW63" i="21"/>
  <c r="EV64" i="21"/>
  <c r="EV176" i="21" s="1"/>
  <c r="CG113" i="21"/>
  <c r="CG83" i="21"/>
  <c r="CG170" i="21" s="1"/>
  <c r="CH104" i="21"/>
  <c r="CG126" i="21" s="1"/>
  <c r="CG127" i="21" s="1"/>
  <c r="CH77" i="21"/>
  <c r="CH74" i="21"/>
  <c r="CH87" i="21" s="1"/>
  <c r="CH88" i="21" s="1"/>
  <c r="CH75" i="21"/>
  <c r="CH106" i="21"/>
  <c r="CH103" i="21"/>
  <c r="CH117" i="21" s="1"/>
  <c r="CH118" i="21" s="1"/>
  <c r="CH102" i="21"/>
  <c r="CH110" i="21" s="1"/>
  <c r="CH15" i="21"/>
  <c r="CI11" i="21"/>
  <c r="CH7" i="21"/>
  <c r="CE7" i="10"/>
  <c r="CF11" i="10"/>
  <c r="HW14" i="26" l="1"/>
  <c r="HX10" i="26"/>
  <c r="HW6" i="26"/>
  <c r="CH109" i="21"/>
  <c r="CG171" i="21"/>
  <c r="CG158" i="21"/>
  <c r="CG165" i="21" s="1"/>
  <c r="CG144" i="21"/>
  <c r="CG152" i="21" s="1"/>
  <c r="CG49" i="21"/>
  <c r="CG50" i="21" s="1"/>
  <c r="CG172" i="21" s="1"/>
  <c r="CH112" i="21"/>
  <c r="EX63" i="21"/>
  <c r="EW64" i="21"/>
  <c r="EW176" i="21" s="1"/>
  <c r="CH125" i="21"/>
  <c r="CH80" i="21"/>
  <c r="CH91" i="21" s="1"/>
  <c r="CH92" i="21" s="1"/>
  <c r="CG59" i="21"/>
  <c r="CG61" i="21" s="1"/>
  <c r="CG96" i="21"/>
  <c r="CG97" i="21" s="1"/>
  <c r="CH95" i="21" s="1"/>
  <c r="CH82" i="21"/>
  <c r="CH76" i="21"/>
  <c r="CH81" i="21" s="1"/>
  <c r="CH137" i="21" s="1"/>
  <c r="CH121" i="21"/>
  <c r="CH122" i="21" s="1"/>
  <c r="CH141" i="21" s="1"/>
  <c r="CH105" i="21"/>
  <c r="CH111" i="21" s="1"/>
  <c r="CI13" i="21"/>
  <c r="CI5" i="21" s="1"/>
  <c r="CI14" i="21"/>
  <c r="CI6" i="21" s="1"/>
  <c r="CI12" i="21"/>
  <c r="CI132" i="21" s="1"/>
  <c r="CF12" i="10"/>
  <c r="CF15" i="10" s="1"/>
  <c r="CF14" i="10"/>
  <c r="CF6" i="10" s="1"/>
  <c r="CF13" i="10"/>
  <c r="CF5" i="10" s="1"/>
  <c r="HX13" i="26" l="1"/>
  <c r="HX5" i="26" s="1"/>
  <c r="HX12" i="26"/>
  <c r="HX4" i="26" s="1"/>
  <c r="HX11" i="26"/>
  <c r="CG173" i="21"/>
  <c r="CG179" i="21" s="1"/>
  <c r="CH48" i="21"/>
  <c r="CG55" i="21"/>
  <c r="CG58" i="21" s="1"/>
  <c r="CH138" i="21"/>
  <c r="CH157" i="21"/>
  <c r="CI149" i="21"/>
  <c r="CI162" i="21"/>
  <c r="CH158" i="21"/>
  <c r="CH165" i="21" s="1"/>
  <c r="CH113" i="21"/>
  <c r="CH140" i="21"/>
  <c r="CH139" i="21"/>
  <c r="CH142" i="21"/>
  <c r="CH144" i="21" s="1"/>
  <c r="CH152" i="21" s="1"/>
  <c r="CG66" i="21"/>
  <c r="CH47" i="21"/>
  <c r="CH49" i="21" s="1"/>
  <c r="CH50" i="21" s="1"/>
  <c r="CH172" i="21" s="1"/>
  <c r="EY63" i="21"/>
  <c r="EX64" i="21"/>
  <c r="EX176" i="21" s="1"/>
  <c r="CH83" i="21"/>
  <c r="CH170" i="21" s="1"/>
  <c r="CI102" i="21"/>
  <c r="CI110" i="21" s="1"/>
  <c r="CI77" i="21"/>
  <c r="CI74" i="21"/>
  <c r="CI87" i="21" s="1"/>
  <c r="CI88" i="21" s="1"/>
  <c r="CI75" i="21"/>
  <c r="CI106" i="21"/>
  <c r="CI103" i="21"/>
  <c r="CI117" i="21" s="1"/>
  <c r="CI118" i="21" s="1"/>
  <c r="CI104" i="21"/>
  <c r="CJ11" i="21"/>
  <c r="CI15" i="21"/>
  <c r="CI7" i="21"/>
  <c r="CG11" i="10"/>
  <c r="CF7" i="10"/>
  <c r="HY10" i="26" l="1"/>
  <c r="HX14" i="26"/>
  <c r="HX6" i="26"/>
  <c r="CI109" i="21"/>
  <c r="CH171" i="21"/>
  <c r="CH173" i="21" s="1"/>
  <c r="CH179" i="21" s="1"/>
  <c r="EZ63" i="21"/>
  <c r="EY64" i="21"/>
  <c r="EY176" i="21" s="1"/>
  <c r="CH55" i="21"/>
  <c r="CH58" i="21" s="1"/>
  <c r="CI48" i="21"/>
  <c r="CI80" i="21"/>
  <c r="CI91" i="21" s="1"/>
  <c r="CI92" i="21" s="1"/>
  <c r="CH59" i="21"/>
  <c r="CH61" i="21" s="1"/>
  <c r="CH96" i="21"/>
  <c r="CH97" i="21" s="1"/>
  <c r="CI95" i="21" s="1"/>
  <c r="CI82" i="21"/>
  <c r="CI76" i="21"/>
  <c r="CI81" i="21" s="1"/>
  <c r="CI137" i="21" s="1"/>
  <c r="CH126" i="21"/>
  <c r="CH127" i="21" s="1"/>
  <c r="CI125" i="21" s="1"/>
  <c r="CI112" i="21"/>
  <c r="CI121" i="21"/>
  <c r="CI122" i="21" s="1"/>
  <c r="CI141" i="21" s="1"/>
  <c r="CI105" i="21"/>
  <c r="CI111" i="21" s="1"/>
  <c r="CI140" i="21" s="1"/>
  <c r="CJ14" i="21"/>
  <c r="CJ6" i="21" s="1"/>
  <c r="CJ13" i="21"/>
  <c r="CJ5" i="21" s="1"/>
  <c r="CJ12" i="21"/>
  <c r="CJ132" i="21" s="1"/>
  <c r="CG13" i="10"/>
  <c r="CG5" i="10" s="1"/>
  <c r="CG14" i="10"/>
  <c r="CG6" i="10" s="1"/>
  <c r="CG12" i="10"/>
  <c r="CG15" i="10" s="1"/>
  <c r="HY13" i="26" l="1"/>
  <c r="HY5" i="26" s="1"/>
  <c r="HY12" i="26"/>
  <c r="HY4" i="26" s="1"/>
  <c r="HY11" i="26"/>
  <c r="CI138" i="21"/>
  <c r="CJ149" i="21"/>
  <c r="CJ162" i="21"/>
  <c r="CI157" i="21"/>
  <c r="CI139" i="21"/>
  <c r="CI142" i="21"/>
  <c r="CH66" i="21"/>
  <c r="CI47" i="21"/>
  <c r="FA63" i="21"/>
  <c r="EZ64" i="21"/>
  <c r="EZ176" i="21" s="1"/>
  <c r="CI113" i="21"/>
  <c r="CI83" i="21"/>
  <c r="CI170" i="21" s="1"/>
  <c r="CJ104" i="21"/>
  <c r="CJ112" i="21" s="1"/>
  <c r="CJ77" i="21"/>
  <c r="CJ74" i="21"/>
  <c r="CJ87" i="21" s="1"/>
  <c r="CJ88" i="21" s="1"/>
  <c r="CJ75" i="21"/>
  <c r="CJ103" i="21"/>
  <c r="CJ117" i="21" s="1"/>
  <c r="CJ118" i="21" s="1"/>
  <c r="CJ106" i="21"/>
  <c r="CJ102" i="21"/>
  <c r="CJ110" i="21" s="1"/>
  <c r="CJ7" i="21"/>
  <c r="CJ15" i="21"/>
  <c r="CK11" i="21"/>
  <c r="CH11" i="10"/>
  <c r="CG7" i="10"/>
  <c r="HY14" i="26" l="1"/>
  <c r="HZ10" i="26"/>
  <c r="HY6" i="26"/>
  <c r="CJ109" i="21"/>
  <c r="CI171" i="21"/>
  <c r="CI158" i="21"/>
  <c r="CI165" i="21" s="1"/>
  <c r="CI144" i="21"/>
  <c r="CI152" i="21" s="1"/>
  <c r="CI49" i="21"/>
  <c r="CI50" i="21" s="1"/>
  <c r="CI172" i="21" s="1"/>
  <c r="CJ139" i="21"/>
  <c r="CJ142" i="21"/>
  <c r="CI126" i="21"/>
  <c r="CI127" i="21" s="1"/>
  <c r="CJ125" i="21" s="1"/>
  <c r="FB63" i="21"/>
  <c r="FA64" i="21"/>
  <c r="FA176" i="21" s="1"/>
  <c r="CJ80" i="21"/>
  <c r="CJ91" i="21" s="1"/>
  <c r="CJ92" i="21" s="1"/>
  <c r="CI59" i="21"/>
  <c r="CI61" i="21" s="1"/>
  <c r="CJ82" i="21"/>
  <c r="CI96" i="21"/>
  <c r="CI97" i="21" s="1"/>
  <c r="CJ95" i="21" s="1"/>
  <c r="CJ76" i="21"/>
  <c r="CJ81" i="21" s="1"/>
  <c r="CJ137" i="21" s="1"/>
  <c r="CJ105" i="21"/>
  <c r="CJ111" i="21" s="1"/>
  <c r="CJ121" i="21"/>
  <c r="CJ122" i="21" s="1"/>
  <c r="CJ141" i="21" s="1"/>
  <c r="CK13" i="21"/>
  <c r="CK5" i="21" s="1"/>
  <c r="CK14" i="21"/>
  <c r="CK6" i="21" s="1"/>
  <c r="CK12" i="21"/>
  <c r="CK132" i="21" s="1"/>
  <c r="CH13" i="10"/>
  <c r="CH5" i="10" s="1"/>
  <c r="CH12" i="10"/>
  <c r="CH15" i="10" s="1"/>
  <c r="CH14" i="10"/>
  <c r="CH6" i="10" s="1"/>
  <c r="HZ12" i="26" l="1"/>
  <c r="HZ4" i="26" s="1"/>
  <c r="HZ11" i="26"/>
  <c r="HZ13" i="26"/>
  <c r="HZ5" i="26" s="1"/>
  <c r="CI173" i="21"/>
  <c r="CI179" i="21" s="1"/>
  <c r="CJ48" i="21"/>
  <c r="CI55" i="21"/>
  <c r="CI58" i="21" s="1"/>
  <c r="CI66" i="21" s="1"/>
  <c r="CJ138" i="21"/>
  <c r="CJ157" i="21" s="1"/>
  <c r="CJ158" i="21" s="1"/>
  <c r="CJ165" i="21" s="1"/>
  <c r="CK149" i="21"/>
  <c r="CK162" i="21"/>
  <c r="CJ113" i="21"/>
  <c r="CJ140" i="21"/>
  <c r="CJ144" i="21" s="1"/>
  <c r="CJ152" i="21" s="1"/>
  <c r="CK75" i="21"/>
  <c r="CK82" i="21" s="1"/>
  <c r="CJ47" i="21"/>
  <c r="CJ49" i="21" s="1"/>
  <c r="CJ50" i="21" s="1"/>
  <c r="CJ172" i="21" s="1"/>
  <c r="FC63" i="21"/>
  <c r="FB64" i="21"/>
  <c r="FB176" i="21" s="1"/>
  <c r="CJ83" i="21"/>
  <c r="CJ170" i="21" s="1"/>
  <c r="CK102" i="21"/>
  <c r="CK110" i="21" s="1"/>
  <c r="CK77" i="21"/>
  <c r="CK74" i="21"/>
  <c r="CK87" i="21" s="1"/>
  <c r="CK88" i="21" s="1"/>
  <c r="CK104" i="21"/>
  <c r="CK112" i="21" s="1"/>
  <c r="CK103" i="21"/>
  <c r="CK117" i="21" s="1"/>
  <c r="CK118" i="21" s="1"/>
  <c r="CK106" i="21"/>
  <c r="CL11" i="21"/>
  <c r="CK7" i="21"/>
  <c r="CK15" i="21"/>
  <c r="CI11" i="10"/>
  <c r="CH7" i="10"/>
  <c r="HZ14" i="26" l="1"/>
  <c r="IA10" i="26"/>
  <c r="HZ6" i="26"/>
  <c r="CK109" i="21"/>
  <c r="CJ171" i="21"/>
  <c r="CJ173" i="21" s="1"/>
  <c r="CJ179" i="21" s="1"/>
  <c r="CJ96" i="21"/>
  <c r="CJ97" i="21" s="1"/>
  <c r="CK95" i="21" s="1"/>
  <c r="CK139" i="21"/>
  <c r="CK142" i="21"/>
  <c r="FD63" i="21"/>
  <c r="FC64" i="21"/>
  <c r="FC176" i="21" s="1"/>
  <c r="CJ55" i="21"/>
  <c r="CJ58" i="21" s="1"/>
  <c r="CK48" i="21"/>
  <c r="CK80" i="21"/>
  <c r="CJ59" i="21"/>
  <c r="CJ61" i="21" s="1"/>
  <c r="CK91" i="21"/>
  <c r="CK92" i="21" s="1"/>
  <c r="CK76" i="21"/>
  <c r="CJ126" i="21"/>
  <c r="CJ127" i="21" s="1"/>
  <c r="CK125" i="21" s="1"/>
  <c r="CK121" i="21"/>
  <c r="CK122" i="21" s="1"/>
  <c r="CK141" i="21" s="1"/>
  <c r="CK105" i="21"/>
  <c r="CK111" i="21" s="1"/>
  <c r="CL14" i="21"/>
  <c r="CL6" i="21" s="1"/>
  <c r="CL13" i="21"/>
  <c r="CL5" i="21" s="1"/>
  <c r="CL12" i="21"/>
  <c r="CL132" i="21" s="1"/>
  <c r="CI13" i="10"/>
  <c r="CI5" i="10" s="1"/>
  <c r="CI14" i="10"/>
  <c r="CI6" i="10" s="1"/>
  <c r="CI12" i="10"/>
  <c r="CI15" i="10" s="1"/>
  <c r="IA12" i="26" l="1"/>
  <c r="IA4" i="26" s="1"/>
  <c r="IA13" i="26"/>
  <c r="IA5" i="26" s="1"/>
  <c r="IA11" i="26"/>
  <c r="CK138" i="21"/>
  <c r="CK157" i="21"/>
  <c r="CL149" i="21"/>
  <c r="CL162" i="21"/>
  <c r="CK158" i="21"/>
  <c r="CK165" i="21" s="1"/>
  <c r="CK113" i="21"/>
  <c r="CK140" i="21"/>
  <c r="CJ66" i="21"/>
  <c r="FE63" i="21"/>
  <c r="FD64" i="21"/>
  <c r="FD176" i="21" s="1"/>
  <c r="CK81" i="21"/>
  <c r="CL102" i="21"/>
  <c r="CL110" i="21" s="1"/>
  <c r="CL77" i="21"/>
  <c r="CL74" i="21"/>
  <c r="CL87" i="21" s="1"/>
  <c r="CL88" i="21" s="1"/>
  <c r="CL75" i="21"/>
  <c r="CL104" i="21"/>
  <c r="CL103" i="21"/>
  <c r="CL117" i="21" s="1"/>
  <c r="CL118" i="21" s="1"/>
  <c r="CL106" i="21"/>
  <c r="CM11" i="21"/>
  <c r="CL15" i="21"/>
  <c r="CL7" i="21"/>
  <c r="CJ11" i="10"/>
  <c r="CI7" i="10"/>
  <c r="IA14" i="26" l="1"/>
  <c r="IB10" i="26"/>
  <c r="IA6" i="26"/>
  <c r="CL109" i="21"/>
  <c r="CK171" i="21"/>
  <c r="CK47" i="21"/>
  <c r="CK137" i="21"/>
  <c r="FF63" i="21"/>
  <c r="FE64" i="21"/>
  <c r="FE176" i="21" s="1"/>
  <c r="CK83" i="21"/>
  <c r="CK59" i="21" s="1"/>
  <c r="CK61" i="21" s="1"/>
  <c r="CK49" i="21"/>
  <c r="CK50" i="21" s="1"/>
  <c r="CK172" i="21" s="1"/>
  <c r="CK96" i="21"/>
  <c r="CK97" i="21" s="1"/>
  <c r="CL95" i="21" s="1"/>
  <c r="CL82" i="21"/>
  <c r="CL76" i="21"/>
  <c r="CL81" i="21" s="1"/>
  <c r="CL137" i="21" s="1"/>
  <c r="CL121" i="21"/>
  <c r="CL122" i="21" s="1"/>
  <c r="CL141" i="21" s="1"/>
  <c r="CL105" i="21"/>
  <c r="CL111" i="21" s="1"/>
  <c r="CL140" i="21" s="1"/>
  <c r="CL112" i="21"/>
  <c r="CK126" i="21"/>
  <c r="CK127" i="21" s="1"/>
  <c r="CL125" i="21" s="1"/>
  <c r="CM14" i="21"/>
  <c r="CM6" i="21" s="1"/>
  <c r="CM12" i="21"/>
  <c r="CM132" i="21" s="1"/>
  <c r="CM13" i="21"/>
  <c r="CM5" i="21" s="1"/>
  <c r="CJ13" i="10"/>
  <c r="CJ5" i="10" s="1"/>
  <c r="CJ14" i="10"/>
  <c r="CJ6" i="10" s="1"/>
  <c r="CJ12" i="10"/>
  <c r="CJ15" i="10" s="1"/>
  <c r="IB13" i="26" l="1"/>
  <c r="IB5" i="26" s="1"/>
  <c r="IB12" i="26"/>
  <c r="IB4" i="26" s="1"/>
  <c r="IB11" i="26"/>
  <c r="CL80" i="21"/>
  <c r="CL91" i="21" s="1"/>
  <c r="CL92" i="21" s="1"/>
  <c r="CK170" i="21"/>
  <c r="CK173" i="21" s="1"/>
  <c r="CK179" i="21" s="1"/>
  <c r="CM149" i="21"/>
  <c r="CM162" i="21"/>
  <c r="CK144" i="21"/>
  <c r="CK152" i="21" s="1"/>
  <c r="CL142" i="21"/>
  <c r="CL139" i="21"/>
  <c r="CM75" i="21"/>
  <c r="CM82" i="21" s="1"/>
  <c r="FG63" i="21"/>
  <c r="FF64" i="21"/>
  <c r="FF176" i="21" s="1"/>
  <c r="CL47" i="21"/>
  <c r="CK55" i="21"/>
  <c r="CK58" i="21" s="1"/>
  <c r="CK66" i="21" s="1"/>
  <c r="CL48" i="21"/>
  <c r="CL113" i="21"/>
  <c r="CL83" i="21"/>
  <c r="CL170" i="21" s="1"/>
  <c r="CM77" i="21"/>
  <c r="CM74" i="21"/>
  <c r="CM87" i="21" s="1"/>
  <c r="CM88" i="21" s="1"/>
  <c r="CM106" i="21"/>
  <c r="CM103" i="21"/>
  <c r="CM117" i="21" s="1"/>
  <c r="CM118" i="21" s="1"/>
  <c r="CM104" i="21"/>
  <c r="CM102" i="21"/>
  <c r="CM110" i="21" s="1"/>
  <c r="CM15" i="21"/>
  <c r="CM7" i="21"/>
  <c r="CN11" i="21"/>
  <c r="CK11" i="10"/>
  <c r="CJ7" i="10"/>
  <c r="IB14" i="26" l="1"/>
  <c r="IC10" i="26"/>
  <c r="IB6" i="26"/>
  <c r="CL138" i="21"/>
  <c r="CL157" i="21" s="1"/>
  <c r="CM109" i="21"/>
  <c r="CL171" i="21"/>
  <c r="CL158" i="21"/>
  <c r="CL165" i="21" s="1"/>
  <c r="CL49" i="21"/>
  <c r="CL50" i="21" s="1"/>
  <c r="CL144" i="21"/>
  <c r="CL152" i="21" s="1"/>
  <c r="CL96" i="21"/>
  <c r="CL97" i="21" s="1"/>
  <c r="CM95" i="21" s="1"/>
  <c r="FH63" i="21"/>
  <c r="FG64" i="21"/>
  <c r="FG176" i="21" s="1"/>
  <c r="CM80" i="21"/>
  <c r="CM91" i="21" s="1"/>
  <c r="CM92" i="21" s="1"/>
  <c r="CL59" i="21"/>
  <c r="CL61" i="21" s="1"/>
  <c r="CM76" i="21"/>
  <c r="CM112" i="21"/>
  <c r="CL126" i="21"/>
  <c r="CL127" i="21" s="1"/>
  <c r="CM125" i="21" s="1"/>
  <c r="CM105" i="21"/>
  <c r="CM111" i="21" s="1"/>
  <c r="CM140" i="21" s="1"/>
  <c r="CM121" i="21"/>
  <c r="CM122" i="21" s="1"/>
  <c r="CM141" i="21" s="1"/>
  <c r="CN12" i="21"/>
  <c r="CN132" i="21" s="1"/>
  <c r="CN13" i="21"/>
  <c r="CN5" i="21" s="1"/>
  <c r="CN14" i="21"/>
  <c r="CN6" i="21" s="1"/>
  <c r="CK13" i="10"/>
  <c r="CK5" i="10" s="1"/>
  <c r="CK14" i="10"/>
  <c r="CK6" i="10" s="1"/>
  <c r="CK12" i="10"/>
  <c r="CK15" i="10" s="1"/>
  <c r="IC12" i="26" l="1"/>
  <c r="IC4" i="26" s="1"/>
  <c r="IC11" i="26"/>
  <c r="IC13" i="26"/>
  <c r="IC5" i="26" s="1"/>
  <c r="CL172" i="21"/>
  <c r="CL173" i="21" s="1"/>
  <c r="CL179" i="21" s="1"/>
  <c r="CL55" i="21"/>
  <c r="CL58" i="21" s="1"/>
  <c r="CM48" i="21"/>
  <c r="CM138" i="21"/>
  <c r="CM157" i="21"/>
  <c r="CM158" i="21"/>
  <c r="CM165" i="21" s="1"/>
  <c r="CN149" i="21"/>
  <c r="CN162" i="21"/>
  <c r="CM139" i="21"/>
  <c r="CM142" i="21"/>
  <c r="CL66" i="21"/>
  <c r="FI63" i="21"/>
  <c r="FH64" i="21"/>
  <c r="FH176" i="21" s="1"/>
  <c r="CM113" i="21"/>
  <c r="CM81" i="21"/>
  <c r="CN77" i="21"/>
  <c r="CN74" i="21"/>
  <c r="CN87" i="21" s="1"/>
  <c r="CN88" i="21" s="1"/>
  <c r="CN75" i="21"/>
  <c r="CN103" i="21"/>
  <c r="CN117" i="21" s="1"/>
  <c r="CN118" i="21" s="1"/>
  <c r="CN106" i="21"/>
  <c r="CN104" i="21"/>
  <c r="CN102" i="21"/>
  <c r="CN110" i="21" s="1"/>
  <c r="CN15" i="21"/>
  <c r="CO11" i="21"/>
  <c r="CN7" i="21"/>
  <c r="CL11" i="10"/>
  <c r="CK7" i="10"/>
  <c r="IC14" i="26" l="1"/>
  <c r="ID10" i="26"/>
  <c r="IC6" i="26"/>
  <c r="CN109" i="21"/>
  <c r="CM171" i="21"/>
  <c r="CM47" i="21"/>
  <c r="CM137" i="21"/>
  <c r="FJ63" i="21"/>
  <c r="FI64" i="21"/>
  <c r="FI176" i="21" s="1"/>
  <c r="CM83" i="21"/>
  <c r="CM170" i="21" s="1"/>
  <c r="CM49" i="21"/>
  <c r="CM50" i="21" s="1"/>
  <c r="CM172" i="21" s="1"/>
  <c r="CM96" i="21"/>
  <c r="CM97" i="21" s="1"/>
  <c r="CN95" i="21" s="1"/>
  <c r="CN82" i="21"/>
  <c r="CN76" i="21"/>
  <c r="CN81" i="21" s="1"/>
  <c r="CN137" i="21" s="1"/>
  <c r="CM126" i="21"/>
  <c r="CM127" i="21" s="1"/>
  <c r="CN125" i="21" s="1"/>
  <c r="CN112" i="21"/>
  <c r="CN105" i="21"/>
  <c r="CN111" i="21" s="1"/>
  <c r="CN140" i="21" s="1"/>
  <c r="CN121" i="21"/>
  <c r="CN122" i="21" s="1"/>
  <c r="CN141" i="21" s="1"/>
  <c r="CO14" i="21"/>
  <c r="CO6" i="21" s="1"/>
  <c r="CO12" i="21"/>
  <c r="CO132" i="21" s="1"/>
  <c r="CO13" i="21"/>
  <c r="CO5" i="21" s="1"/>
  <c r="CL13" i="10"/>
  <c r="CL5" i="10" s="1"/>
  <c r="CL14" i="10"/>
  <c r="CL6" i="10" s="1"/>
  <c r="CL12" i="10"/>
  <c r="CL15" i="10" s="1"/>
  <c r="ID13" i="26" l="1"/>
  <c r="ID5" i="26" s="1"/>
  <c r="ID12" i="26"/>
  <c r="ID4" i="26" s="1"/>
  <c r="ID11" i="26"/>
  <c r="CM59" i="21"/>
  <c r="CM61" i="21" s="1"/>
  <c r="CM173" i="21"/>
  <c r="CM179" i="21" s="1"/>
  <c r="CN80" i="21"/>
  <c r="CN91" i="21" s="1"/>
  <c r="CN92" i="21" s="1"/>
  <c r="CN138" i="21" s="1"/>
  <c r="CN157" i="21" s="1"/>
  <c r="CO149" i="21"/>
  <c r="CO162" i="21"/>
  <c r="CM144" i="21"/>
  <c r="CM152" i="21" s="1"/>
  <c r="CN139" i="21"/>
  <c r="CN142" i="21"/>
  <c r="CN47" i="21"/>
  <c r="FK63" i="21"/>
  <c r="FJ64" i="21"/>
  <c r="FJ176" i="21" s="1"/>
  <c r="CM55" i="21"/>
  <c r="CM58" i="21" s="1"/>
  <c r="CM66" i="21" s="1"/>
  <c r="CN48" i="21"/>
  <c r="CN49" i="21"/>
  <c r="CN113" i="21"/>
  <c r="CN83" i="21"/>
  <c r="CN170" i="21" s="1"/>
  <c r="CO104" i="21"/>
  <c r="CO112" i="21" s="1"/>
  <c r="CO77" i="21"/>
  <c r="CO74" i="21"/>
  <c r="CO87" i="21" s="1"/>
  <c r="CO88" i="21" s="1"/>
  <c r="CO75" i="21"/>
  <c r="CO102" i="21"/>
  <c r="CO110" i="21" s="1"/>
  <c r="CO106" i="21"/>
  <c r="CO103" i="21"/>
  <c r="CO117" i="21" s="1"/>
  <c r="CO118" i="21" s="1"/>
  <c r="CO15" i="21"/>
  <c r="CP11" i="21"/>
  <c r="CO7" i="21"/>
  <c r="CM11" i="10"/>
  <c r="CL7" i="10"/>
  <c r="ID14" i="26" l="1"/>
  <c r="ID6" i="26"/>
  <c r="IE10" i="26"/>
  <c r="CN144" i="21"/>
  <c r="CN152" i="21" s="1"/>
  <c r="CO109" i="21"/>
  <c r="CO121" i="21" s="1"/>
  <c r="CO122" i="21" s="1"/>
  <c r="CO141" i="21" s="1"/>
  <c r="CN171" i="21"/>
  <c r="CN158" i="21"/>
  <c r="CN165" i="21" s="1"/>
  <c r="CO142" i="21"/>
  <c r="CO139" i="21"/>
  <c r="FL63" i="21"/>
  <c r="FK64" i="21"/>
  <c r="FK176" i="21" s="1"/>
  <c r="CN126" i="21"/>
  <c r="CN127" i="21" s="1"/>
  <c r="CO125" i="21" s="1"/>
  <c r="CN50" i="21"/>
  <c r="CN172" i="21" s="1"/>
  <c r="CO80" i="21"/>
  <c r="CO91" i="21" s="1"/>
  <c r="CO92" i="21" s="1"/>
  <c r="CN59" i="21"/>
  <c r="CN61" i="21" s="1"/>
  <c r="CN96" i="21"/>
  <c r="CN97" i="21" s="1"/>
  <c r="CO95" i="21" s="1"/>
  <c r="CO82" i="21"/>
  <c r="CO76" i="21"/>
  <c r="CO81" i="21" s="1"/>
  <c r="CO137" i="21" s="1"/>
  <c r="CO105" i="21"/>
  <c r="CO111" i="21" s="1"/>
  <c r="CP12" i="21"/>
  <c r="CP132" i="21" s="1"/>
  <c r="CP14" i="21"/>
  <c r="CP6" i="21" s="1"/>
  <c r="CP13" i="21"/>
  <c r="CP5" i="21" s="1"/>
  <c r="CM14" i="10"/>
  <c r="CM6" i="10" s="1"/>
  <c r="CM13" i="10"/>
  <c r="CM5" i="10" s="1"/>
  <c r="CM12" i="10"/>
  <c r="CM15" i="10" s="1"/>
  <c r="IE13" i="26" l="1"/>
  <c r="IE5" i="26" s="1"/>
  <c r="IE12" i="26"/>
  <c r="IE4" i="26" s="1"/>
  <c r="IE11" i="26"/>
  <c r="CN173" i="21"/>
  <c r="CN179" i="21" s="1"/>
  <c r="CO138" i="21"/>
  <c r="CO157" i="21"/>
  <c r="CO158" i="21"/>
  <c r="CO165" i="21" s="1"/>
  <c r="CP149" i="21"/>
  <c r="CP162" i="21"/>
  <c r="CO113" i="21"/>
  <c r="CO140" i="21"/>
  <c r="CO144" i="21" s="1"/>
  <c r="CO152" i="21" s="1"/>
  <c r="CP75" i="21"/>
  <c r="CO96" i="21" s="1"/>
  <c r="CO97" i="21" s="1"/>
  <c r="CP95" i="21" s="1"/>
  <c r="CO47" i="21"/>
  <c r="FM63" i="21"/>
  <c r="FL64" i="21"/>
  <c r="FL176" i="21" s="1"/>
  <c r="CN55" i="21"/>
  <c r="CN58" i="21" s="1"/>
  <c r="CN66" i="21" s="1"/>
  <c r="CO48" i="21"/>
  <c r="CO83" i="21"/>
  <c r="CO170" i="21" s="1"/>
  <c r="CP102" i="21"/>
  <c r="CP110" i="21" s="1"/>
  <c r="CP77" i="21"/>
  <c r="CP74" i="21"/>
  <c r="CP87" i="21" s="1"/>
  <c r="CP88" i="21" s="1"/>
  <c r="CP104" i="21"/>
  <c r="CP106" i="21"/>
  <c r="CP103" i="21"/>
  <c r="CP117" i="21" s="1"/>
  <c r="CP118" i="21" s="1"/>
  <c r="CQ11" i="21"/>
  <c r="CP15" i="21"/>
  <c r="CP7" i="21"/>
  <c r="CN11" i="10"/>
  <c r="CM7" i="10"/>
  <c r="IE14" i="26" l="1"/>
  <c r="IF10" i="26"/>
  <c r="IE6" i="26"/>
  <c r="CP109" i="21"/>
  <c r="CO171" i="21"/>
  <c r="CO49" i="21"/>
  <c r="CP82" i="21"/>
  <c r="FN63" i="21"/>
  <c r="FM64" i="21"/>
  <c r="FM176" i="21" s="1"/>
  <c r="CO50" i="21"/>
  <c r="CO172" i="21" s="1"/>
  <c r="CP80" i="21"/>
  <c r="CP91" i="21" s="1"/>
  <c r="CP92" i="21" s="1"/>
  <c r="CO59" i="21"/>
  <c r="CO61" i="21" s="1"/>
  <c r="CP76" i="21"/>
  <c r="CP121" i="21"/>
  <c r="CP122" i="21" s="1"/>
  <c r="CP141" i="21" s="1"/>
  <c r="CP105" i="21"/>
  <c r="CP111" i="21" s="1"/>
  <c r="CP140" i="21" s="1"/>
  <c r="CO126" i="21"/>
  <c r="CO127" i="21" s="1"/>
  <c r="CP125" i="21" s="1"/>
  <c r="CP112" i="21"/>
  <c r="CQ14" i="21"/>
  <c r="CQ6" i="21" s="1"/>
  <c r="CQ12" i="21"/>
  <c r="CQ132" i="21" s="1"/>
  <c r="CQ13" i="21"/>
  <c r="CQ5" i="21" s="1"/>
  <c r="CN14" i="10"/>
  <c r="CN6" i="10" s="1"/>
  <c r="CN12" i="10"/>
  <c r="CN15" i="10" s="1"/>
  <c r="CN13" i="10"/>
  <c r="CN5" i="10" s="1"/>
  <c r="IF13" i="26" l="1"/>
  <c r="IF5" i="26" s="1"/>
  <c r="IF12" i="26"/>
  <c r="IF4" i="26" s="1"/>
  <c r="IF11" i="26"/>
  <c r="CO173" i="21"/>
  <c r="CO179" i="21" s="1"/>
  <c r="CP138" i="21"/>
  <c r="CQ149" i="21"/>
  <c r="CQ162" i="21"/>
  <c r="CP157" i="21"/>
  <c r="CP142" i="21"/>
  <c r="CP139" i="21"/>
  <c r="CQ75" i="21"/>
  <c r="CP96" i="21" s="1"/>
  <c r="CP97" i="21" s="1"/>
  <c r="CQ95" i="21" s="1"/>
  <c r="FO63" i="21"/>
  <c r="FN64" i="21"/>
  <c r="FN176" i="21" s="1"/>
  <c r="CO55" i="21"/>
  <c r="CO58" i="21" s="1"/>
  <c r="CO66" i="21" s="1"/>
  <c r="CP48" i="21"/>
  <c r="CP113" i="21"/>
  <c r="CP81" i="21"/>
  <c r="CQ77" i="21"/>
  <c r="CQ74" i="21"/>
  <c r="CQ87" i="21" s="1"/>
  <c r="CQ88" i="21" s="1"/>
  <c r="CQ106" i="21"/>
  <c r="CQ103" i="21"/>
  <c r="CQ117" i="21" s="1"/>
  <c r="CQ118" i="21" s="1"/>
  <c r="CQ104" i="21"/>
  <c r="CQ102" i="21"/>
  <c r="CQ110" i="21" s="1"/>
  <c r="CQ15" i="21"/>
  <c r="CR11" i="21"/>
  <c r="CQ7" i="21"/>
  <c r="CO11" i="10"/>
  <c r="CN7" i="10"/>
  <c r="IG10" i="26" l="1"/>
  <c r="IF14" i="26"/>
  <c r="IF6" i="26"/>
  <c r="CQ109" i="21"/>
  <c r="CP171" i="21"/>
  <c r="CP158" i="21"/>
  <c r="CP165" i="21" s="1"/>
  <c r="CQ82" i="21"/>
  <c r="CP47" i="21"/>
  <c r="CP49" i="21" s="1"/>
  <c r="CP50" i="21" s="1"/>
  <c r="CP172" i="21" s="1"/>
  <c r="CP137" i="21"/>
  <c r="FP63" i="21"/>
  <c r="FO64" i="21"/>
  <c r="FO176" i="21" s="1"/>
  <c r="CP83" i="21"/>
  <c r="CP59" i="21"/>
  <c r="CP61" i="21" s="1"/>
  <c r="CQ76" i="21"/>
  <c r="CQ112" i="21"/>
  <c r="CP126" i="21"/>
  <c r="CP127" i="21" s="1"/>
  <c r="CQ125" i="21" s="1"/>
  <c r="CQ121" i="21"/>
  <c r="CQ122" i="21" s="1"/>
  <c r="CQ141" i="21" s="1"/>
  <c r="CQ105" i="21"/>
  <c r="CQ111" i="21" s="1"/>
  <c r="CQ140" i="21" s="1"/>
  <c r="CR13" i="21"/>
  <c r="CR5" i="21" s="1"/>
  <c r="CR14" i="21"/>
  <c r="CR6" i="21" s="1"/>
  <c r="CR12" i="21"/>
  <c r="CR132" i="21" s="1"/>
  <c r="CO14" i="10"/>
  <c r="CO6" i="10" s="1"/>
  <c r="CO12" i="10"/>
  <c r="CO15" i="10" s="1"/>
  <c r="CO13" i="10"/>
  <c r="CO5" i="10" s="1"/>
  <c r="IG13" i="26" l="1"/>
  <c r="IG5" i="26" s="1"/>
  <c r="IG12" i="26"/>
  <c r="IG4" i="26" s="1"/>
  <c r="IG11" i="26"/>
  <c r="CQ80" i="21"/>
  <c r="CQ91" i="21" s="1"/>
  <c r="CQ92" i="21" s="1"/>
  <c r="CP170" i="21"/>
  <c r="CP173" i="21" s="1"/>
  <c r="CP179" i="21" s="1"/>
  <c r="CR149" i="21"/>
  <c r="CR162" i="21"/>
  <c r="CP144" i="21"/>
  <c r="CP152" i="21" s="1"/>
  <c r="CQ142" i="21"/>
  <c r="CQ139" i="21"/>
  <c r="CR75" i="21"/>
  <c r="CQ96" i="21" s="1"/>
  <c r="CQ97" i="21" s="1"/>
  <c r="CR95" i="21" s="1"/>
  <c r="FQ63" i="21"/>
  <c r="FP64" i="21"/>
  <c r="FP176" i="21" s="1"/>
  <c r="CP55" i="21"/>
  <c r="CP58" i="21" s="1"/>
  <c r="CP66" i="21" s="1"/>
  <c r="CQ48" i="21"/>
  <c r="CQ113" i="21"/>
  <c r="CQ81" i="21"/>
  <c r="CR77" i="21"/>
  <c r="CR74" i="21"/>
  <c r="CR87" i="21" s="1"/>
  <c r="CR88" i="21" s="1"/>
  <c r="CR106" i="21"/>
  <c r="CR103" i="21"/>
  <c r="CR117" i="21" s="1"/>
  <c r="CR118" i="21" s="1"/>
  <c r="CR104" i="21"/>
  <c r="CR102" i="21"/>
  <c r="CR110" i="21" s="1"/>
  <c r="CR15" i="21"/>
  <c r="CR7" i="21"/>
  <c r="CS11" i="21"/>
  <c r="CP11" i="10"/>
  <c r="CO7" i="10"/>
  <c r="IG14" i="26" l="1"/>
  <c r="IH10" i="26"/>
  <c r="IG6" i="26"/>
  <c r="CQ138" i="21"/>
  <c r="CQ157" i="21" s="1"/>
  <c r="CQ158" i="21" s="1"/>
  <c r="CQ165" i="21" s="1"/>
  <c r="CR109" i="21"/>
  <c r="CR121" i="21" s="1"/>
  <c r="CR122" i="21" s="1"/>
  <c r="CR141" i="21" s="1"/>
  <c r="CQ171" i="21"/>
  <c r="CR82" i="21"/>
  <c r="CQ47" i="21"/>
  <c r="CQ49" i="21" s="1"/>
  <c r="CQ50" i="21" s="1"/>
  <c r="CQ172" i="21" s="1"/>
  <c r="CQ137" i="21"/>
  <c r="FR63" i="21"/>
  <c r="FQ64" i="21"/>
  <c r="FQ176" i="21" s="1"/>
  <c r="CQ83" i="21"/>
  <c r="CQ170" i="21" s="1"/>
  <c r="CR80" i="21"/>
  <c r="CR91" i="21" s="1"/>
  <c r="CR92" i="21" s="1"/>
  <c r="CQ59" i="21"/>
  <c r="CQ61" i="21" s="1"/>
  <c r="CR76" i="21"/>
  <c r="CQ126" i="21"/>
  <c r="CQ127" i="21" s="1"/>
  <c r="CR125" i="21" s="1"/>
  <c r="CR112" i="21"/>
  <c r="CR105" i="21"/>
  <c r="CR111" i="21" s="1"/>
  <c r="CR140" i="21" s="1"/>
  <c r="CS13" i="21"/>
  <c r="CS5" i="21" s="1"/>
  <c r="CS12" i="21"/>
  <c r="CS132" i="21" s="1"/>
  <c r="CS14" i="21"/>
  <c r="CS6" i="21" s="1"/>
  <c r="CP14" i="10"/>
  <c r="CP6" i="10" s="1"/>
  <c r="CP12" i="10"/>
  <c r="CP15" i="10" s="1"/>
  <c r="CP13" i="10"/>
  <c r="CP5" i="10" s="1"/>
  <c r="IH12" i="26" l="1"/>
  <c r="IH4" i="26" s="1"/>
  <c r="IH11" i="26"/>
  <c r="IH13" i="26"/>
  <c r="IH5" i="26" s="1"/>
  <c r="CQ173" i="21"/>
  <c r="CQ179" i="21" s="1"/>
  <c r="CR138" i="21"/>
  <c r="CR157" i="21"/>
  <c r="CS149" i="21"/>
  <c r="CS162" i="21"/>
  <c r="CQ144" i="21"/>
  <c r="CQ152" i="21" s="1"/>
  <c r="CR142" i="21"/>
  <c r="CR139" i="21"/>
  <c r="FS63" i="21"/>
  <c r="FR64" i="21"/>
  <c r="FR176" i="21" s="1"/>
  <c r="CQ55" i="21"/>
  <c r="CQ58" i="21" s="1"/>
  <c r="CQ66" i="21" s="1"/>
  <c r="CR48" i="21"/>
  <c r="CR113" i="21"/>
  <c r="CR81" i="21"/>
  <c r="CS77" i="21"/>
  <c r="CS74" i="21"/>
  <c r="CS87" i="21" s="1"/>
  <c r="CS88" i="21" s="1"/>
  <c r="CS75" i="21"/>
  <c r="CS106" i="21"/>
  <c r="CS103" i="21"/>
  <c r="CS117" i="21" s="1"/>
  <c r="CS118" i="21" s="1"/>
  <c r="CS104" i="21"/>
  <c r="CS102" i="21"/>
  <c r="CS110" i="21" s="1"/>
  <c r="CS15" i="21"/>
  <c r="CS7" i="21"/>
  <c r="CT11" i="21"/>
  <c r="CQ11" i="10"/>
  <c r="CP7" i="10"/>
  <c r="IH14" i="26" l="1"/>
  <c r="II10" i="26"/>
  <c r="IH6" i="26"/>
  <c r="CS109" i="21"/>
  <c r="CR171" i="21"/>
  <c r="CR158" i="21"/>
  <c r="CR165" i="21" s="1"/>
  <c r="CR47" i="21"/>
  <c r="CR49" i="21" s="1"/>
  <c r="CR50" i="21" s="1"/>
  <c r="CR172" i="21" s="1"/>
  <c r="CR137" i="21"/>
  <c r="FT63" i="21"/>
  <c r="FS64" i="21"/>
  <c r="FS176" i="21" s="1"/>
  <c r="CR83" i="21"/>
  <c r="CR96" i="21"/>
  <c r="CR97" i="21" s="1"/>
  <c r="CS95" i="21" s="1"/>
  <c r="CS82" i="21"/>
  <c r="CS76" i="21"/>
  <c r="CS81" i="21" s="1"/>
  <c r="CR126" i="21"/>
  <c r="CR127" i="21" s="1"/>
  <c r="CS125" i="21" s="1"/>
  <c r="CS112" i="21"/>
  <c r="CS121" i="21"/>
  <c r="CS122" i="21" s="1"/>
  <c r="CS141" i="21" s="1"/>
  <c r="CS105" i="21"/>
  <c r="CS111" i="21" s="1"/>
  <c r="CS140" i="21" s="1"/>
  <c r="CT13" i="21"/>
  <c r="CT5" i="21" s="1"/>
  <c r="CT14" i="21"/>
  <c r="CT6" i="21" s="1"/>
  <c r="CT12" i="21"/>
  <c r="CT132" i="21" s="1"/>
  <c r="CQ12" i="10"/>
  <c r="CQ15" i="10" s="1"/>
  <c r="CQ14" i="10"/>
  <c r="CQ6" i="10" s="1"/>
  <c r="CQ13" i="10"/>
  <c r="CQ5" i="10" s="1"/>
  <c r="II12" i="26" l="1"/>
  <c r="II4" i="26" s="1"/>
  <c r="II13" i="26"/>
  <c r="II5" i="26" s="1"/>
  <c r="II11" i="26"/>
  <c r="CS80" i="21"/>
  <c r="CS91" i="21" s="1"/>
  <c r="CS92" i="21" s="1"/>
  <c r="CR170" i="21"/>
  <c r="CR173" i="21" s="1"/>
  <c r="CR179" i="21" s="1"/>
  <c r="CT149" i="21"/>
  <c r="CT162" i="21"/>
  <c r="CR144" i="21"/>
  <c r="CR152" i="21" s="1"/>
  <c r="CS47" i="21"/>
  <c r="CS137" i="21"/>
  <c r="CS142" i="21"/>
  <c r="CS139" i="21"/>
  <c r="CT102" i="21"/>
  <c r="CT110" i="21" s="1"/>
  <c r="FU63" i="21"/>
  <c r="FT64" i="21"/>
  <c r="FT176" i="21" s="1"/>
  <c r="CR59" i="21"/>
  <c r="CR61" i="21" s="1"/>
  <c r="CR55" i="21"/>
  <c r="CR58" i="21" s="1"/>
  <c r="CS48" i="21"/>
  <c r="CS113" i="21"/>
  <c r="CS83" i="21"/>
  <c r="CS170" i="21" s="1"/>
  <c r="CT104" i="21"/>
  <c r="CT112" i="21" s="1"/>
  <c r="CT77" i="21"/>
  <c r="CT74" i="21"/>
  <c r="CT87" i="21" s="1"/>
  <c r="CT88" i="21" s="1"/>
  <c r="CT75" i="21"/>
  <c r="CT106" i="21"/>
  <c r="CT103" i="21"/>
  <c r="CT117" i="21" s="1"/>
  <c r="CT118" i="21" s="1"/>
  <c r="CU11" i="21"/>
  <c r="CT15" i="21"/>
  <c r="CT7" i="21"/>
  <c r="CR11" i="10"/>
  <c r="CQ7" i="10"/>
  <c r="II14" i="26" l="1"/>
  <c r="IJ10" i="26"/>
  <c r="II6" i="26"/>
  <c r="CS138" i="21"/>
  <c r="CS157" i="21" s="1"/>
  <c r="CS158" i="21" s="1"/>
  <c r="CS165" i="21" s="1"/>
  <c r="CT109" i="21"/>
  <c r="CS171" i="21"/>
  <c r="CS49" i="21"/>
  <c r="CS144" i="21"/>
  <c r="CS152" i="21" s="1"/>
  <c r="CT139" i="21"/>
  <c r="CT142" i="21"/>
  <c r="CR66" i="21"/>
  <c r="FV63" i="21"/>
  <c r="FU64" i="21"/>
  <c r="FU176" i="21" s="1"/>
  <c r="CS126" i="21"/>
  <c r="CS127" i="21" s="1"/>
  <c r="CT125" i="21" s="1"/>
  <c r="CS50" i="21"/>
  <c r="CS172" i="21" s="1"/>
  <c r="CT80" i="21"/>
  <c r="CT91" i="21" s="1"/>
  <c r="CT92" i="21" s="1"/>
  <c r="CS59" i="21"/>
  <c r="CS61" i="21" s="1"/>
  <c r="CS96" i="21"/>
  <c r="CS97" i="21" s="1"/>
  <c r="CT95" i="21" s="1"/>
  <c r="CT82" i="21"/>
  <c r="CT76" i="21"/>
  <c r="CT81" i="21" s="1"/>
  <c r="CT137" i="21" s="1"/>
  <c r="CT105" i="21"/>
  <c r="CT111" i="21" s="1"/>
  <c r="CT121" i="21"/>
  <c r="CT122" i="21" s="1"/>
  <c r="CT141" i="21" s="1"/>
  <c r="CU12" i="21"/>
  <c r="CU132" i="21" s="1"/>
  <c r="CU13" i="21"/>
  <c r="CU5" i="21" s="1"/>
  <c r="CU14" i="21"/>
  <c r="CU6" i="21" s="1"/>
  <c r="CR12" i="10"/>
  <c r="CR15" i="10" s="1"/>
  <c r="CR14" i="10"/>
  <c r="CR6" i="10" s="1"/>
  <c r="CR13" i="10"/>
  <c r="CR5" i="10" s="1"/>
  <c r="IJ13" i="26" l="1"/>
  <c r="IJ5" i="26" s="1"/>
  <c r="IJ12" i="26"/>
  <c r="IJ4" i="26" s="1"/>
  <c r="IJ11" i="26"/>
  <c r="CS173" i="21"/>
  <c r="CS179" i="21" s="1"/>
  <c r="CT138" i="21"/>
  <c r="CT157" i="21" s="1"/>
  <c r="CU149" i="21"/>
  <c r="CU162" i="21"/>
  <c r="CT113" i="21"/>
  <c r="CT140" i="21"/>
  <c r="CT144" i="21" s="1"/>
  <c r="CT152" i="21" s="1"/>
  <c r="CU75" i="21"/>
  <c r="CU82" i="21" s="1"/>
  <c r="CT47" i="21"/>
  <c r="CT49" i="21" s="1"/>
  <c r="FW63" i="21"/>
  <c r="FV64" i="21"/>
  <c r="FV176" i="21" s="1"/>
  <c r="CS55" i="21"/>
  <c r="CS58" i="21" s="1"/>
  <c r="CS66" i="21" s="1"/>
  <c r="CT48" i="21"/>
  <c r="CT83" i="21"/>
  <c r="CT170" i="21" s="1"/>
  <c r="CU104" i="21"/>
  <c r="CU112" i="21" s="1"/>
  <c r="CU77" i="21"/>
  <c r="CU74" i="21"/>
  <c r="CU87" i="21" s="1"/>
  <c r="CU88" i="21" s="1"/>
  <c r="CU102" i="21"/>
  <c r="CU110" i="21" s="1"/>
  <c r="CU106" i="21"/>
  <c r="CU103" i="21"/>
  <c r="CU117" i="21" s="1"/>
  <c r="CU118" i="21" s="1"/>
  <c r="CU15" i="21"/>
  <c r="CV11" i="21"/>
  <c r="CU7" i="21"/>
  <c r="CR7" i="10"/>
  <c r="CS11" i="10"/>
  <c r="IJ14" i="26" l="1"/>
  <c r="IK10" i="26"/>
  <c r="IJ6" i="26"/>
  <c r="CU109" i="21"/>
  <c r="CT171" i="21"/>
  <c r="CT173" i="21" s="1"/>
  <c r="CT179" i="21" s="1"/>
  <c r="CT158" i="21"/>
  <c r="CT165" i="21" s="1"/>
  <c r="CT96" i="21"/>
  <c r="CT97" i="21" s="1"/>
  <c r="CU95" i="21" s="1"/>
  <c r="CU139" i="21"/>
  <c r="CU142" i="21"/>
  <c r="FX63" i="21"/>
  <c r="FW64" i="21"/>
  <c r="FW176" i="21" s="1"/>
  <c r="CT50" i="21"/>
  <c r="CT172" i="21" s="1"/>
  <c r="CT126" i="21"/>
  <c r="CT127" i="21" s="1"/>
  <c r="CU125" i="21" s="1"/>
  <c r="CU80" i="21"/>
  <c r="CU91" i="21" s="1"/>
  <c r="CU92" i="21" s="1"/>
  <c r="CT59" i="21"/>
  <c r="CT61" i="21" s="1"/>
  <c r="CU76" i="21"/>
  <c r="CU121" i="21"/>
  <c r="CU122" i="21" s="1"/>
  <c r="CU141" i="21" s="1"/>
  <c r="CU105" i="21"/>
  <c r="CU111" i="21" s="1"/>
  <c r="CV13" i="21"/>
  <c r="CV5" i="21" s="1"/>
  <c r="CV14" i="21"/>
  <c r="CV6" i="21" s="1"/>
  <c r="CV12" i="21"/>
  <c r="CV132" i="21" s="1"/>
  <c r="CS12" i="10"/>
  <c r="CS15" i="10" s="1"/>
  <c r="CS13" i="10"/>
  <c r="CS5" i="10" s="1"/>
  <c r="CS14" i="10"/>
  <c r="CS6" i="10" s="1"/>
  <c r="IK12" i="26" l="1"/>
  <c r="IK4" i="26" s="1"/>
  <c r="IK13" i="26"/>
  <c r="IK5" i="26" s="1"/>
  <c r="IK11" i="26"/>
  <c r="CU138" i="21"/>
  <c r="CU157" i="21"/>
  <c r="CV149" i="21"/>
  <c r="CV162" i="21"/>
  <c r="CU113" i="21"/>
  <c r="CU140" i="21"/>
  <c r="FY63" i="21"/>
  <c r="FX64" i="21"/>
  <c r="FX176" i="21" s="1"/>
  <c r="CT55" i="21"/>
  <c r="CT58" i="21" s="1"/>
  <c r="CT66" i="21" s="1"/>
  <c r="CU48" i="21"/>
  <c r="CU81" i="21"/>
  <c r="CV102" i="21"/>
  <c r="CV110" i="21" s="1"/>
  <c r="CV77" i="21"/>
  <c r="CV74" i="21"/>
  <c r="CV87" i="21" s="1"/>
  <c r="CV88" i="21" s="1"/>
  <c r="CV75" i="21"/>
  <c r="CV104" i="21"/>
  <c r="CV112" i="21" s="1"/>
  <c r="CV106" i="21"/>
  <c r="CV103" i="21"/>
  <c r="CV117" i="21" s="1"/>
  <c r="CV118" i="21" s="1"/>
  <c r="CV15" i="21"/>
  <c r="CV7" i="21"/>
  <c r="CW11" i="21"/>
  <c r="CS7" i="10"/>
  <c r="CT11" i="10"/>
  <c r="IK14" i="26" l="1"/>
  <c r="IL10" i="26"/>
  <c r="IK6" i="26"/>
  <c r="CV109" i="21"/>
  <c r="CU171" i="21"/>
  <c r="CU158" i="21"/>
  <c r="CU165" i="21" s="1"/>
  <c r="CV139" i="21"/>
  <c r="CV142" i="21"/>
  <c r="CU47" i="21"/>
  <c r="CU49" i="21" s="1"/>
  <c r="CU50" i="21" s="1"/>
  <c r="CU172" i="21" s="1"/>
  <c r="CU137" i="21"/>
  <c r="FZ63" i="21"/>
  <c r="FY64" i="21"/>
  <c r="FY176" i="21" s="1"/>
  <c r="CU83" i="21"/>
  <c r="CU170" i="21" s="1"/>
  <c r="CV80" i="21"/>
  <c r="CV91" i="21" s="1"/>
  <c r="CV92" i="21" s="1"/>
  <c r="CU59" i="21"/>
  <c r="CU61" i="21" s="1"/>
  <c r="CU126" i="21"/>
  <c r="CU127" i="21" s="1"/>
  <c r="CV125" i="21" s="1"/>
  <c r="CU96" i="21"/>
  <c r="CU97" i="21" s="1"/>
  <c r="CV95" i="21" s="1"/>
  <c r="CV82" i="21"/>
  <c r="CV76" i="21"/>
  <c r="CV81" i="21" s="1"/>
  <c r="CV137" i="21" s="1"/>
  <c r="CV121" i="21"/>
  <c r="CV122" i="21" s="1"/>
  <c r="CV141" i="21" s="1"/>
  <c r="CV105" i="21"/>
  <c r="CV111" i="21" s="1"/>
  <c r="CW13" i="21"/>
  <c r="CW5" i="21" s="1"/>
  <c r="CW14" i="21"/>
  <c r="CW6" i="21" s="1"/>
  <c r="CW12" i="21"/>
  <c r="CW132" i="21" s="1"/>
  <c r="CT12" i="10"/>
  <c r="CT15" i="10" s="1"/>
  <c r="CT13" i="10"/>
  <c r="CT5" i="10" s="1"/>
  <c r="CT14" i="10"/>
  <c r="CT6" i="10" s="1"/>
  <c r="IL13" i="26" l="1"/>
  <c r="IL5" i="26" s="1"/>
  <c r="IL12" i="26"/>
  <c r="IL4" i="26" s="1"/>
  <c r="IL11" i="26"/>
  <c r="CU173" i="21"/>
  <c r="CU179" i="21" s="1"/>
  <c r="CV138" i="21"/>
  <c r="CV157" i="21"/>
  <c r="CV158" i="21"/>
  <c r="CV165" i="21" s="1"/>
  <c r="CW149" i="21"/>
  <c r="CW162" i="21"/>
  <c r="CU144" i="21"/>
  <c r="CU152" i="21" s="1"/>
  <c r="CV113" i="21"/>
  <c r="CV140" i="21"/>
  <c r="CV47" i="21"/>
  <c r="GA63" i="21"/>
  <c r="FZ64" i="21"/>
  <c r="FZ176" i="21" s="1"/>
  <c r="CU55" i="21"/>
  <c r="CU58" i="21" s="1"/>
  <c r="CU66" i="21" s="1"/>
  <c r="CV48" i="21"/>
  <c r="CV83" i="21"/>
  <c r="CV170" i="21" s="1"/>
  <c r="CW102" i="21"/>
  <c r="CW110" i="21" s="1"/>
  <c r="CW77" i="21"/>
  <c r="CW74" i="21"/>
  <c r="CW87" i="21" s="1"/>
  <c r="CW88" i="21" s="1"/>
  <c r="CW75" i="21"/>
  <c r="CW104" i="21"/>
  <c r="CW112" i="21" s="1"/>
  <c r="CW106" i="21"/>
  <c r="CW103" i="21"/>
  <c r="CW117" i="21" s="1"/>
  <c r="CW118" i="21" s="1"/>
  <c r="CW15" i="21"/>
  <c r="CX11" i="21"/>
  <c r="CW7" i="21"/>
  <c r="CT7" i="10"/>
  <c r="CU11" i="10"/>
  <c r="IL14" i="26" l="1"/>
  <c r="IL6" i="26"/>
  <c r="IM10" i="26"/>
  <c r="CV144" i="21"/>
  <c r="CV152" i="21" s="1"/>
  <c r="CW109" i="21"/>
  <c r="CW121" i="21" s="1"/>
  <c r="CW122" i="21" s="1"/>
  <c r="CW141" i="21" s="1"/>
  <c r="CV171" i="21"/>
  <c r="CV49" i="21"/>
  <c r="CV50" i="21" s="1"/>
  <c r="CV172" i="21" s="1"/>
  <c r="CW142" i="21"/>
  <c r="CW139" i="21"/>
  <c r="GB63" i="21"/>
  <c r="GA64" i="21"/>
  <c r="GA176" i="21" s="1"/>
  <c r="CW80" i="21"/>
  <c r="CW91" i="21" s="1"/>
  <c r="CW92" i="21" s="1"/>
  <c r="CV59" i="21"/>
  <c r="CV61" i="21" s="1"/>
  <c r="CV126" i="21"/>
  <c r="CV127" i="21" s="1"/>
  <c r="CW125" i="21" s="1"/>
  <c r="CW82" i="21"/>
  <c r="CV96" i="21"/>
  <c r="CV97" i="21" s="1"/>
  <c r="CW95" i="21" s="1"/>
  <c r="CW76" i="21"/>
  <c r="CW81" i="21" s="1"/>
  <c r="CW137" i="21" s="1"/>
  <c r="CW105" i="21"/>
  <c r="CW111" i="21" s="1"/>
  <c r="CX14" i="21"/>
  <c r="CX6" i="21" s="1"/>
  <c r="CX13" i="21"/>
  <c r="CX5" i="21" s="1"/>
  <c r="CX12" i="21"/>
  <c r="CX132" i="21" s="1"/>
  <c r="CU14" i="10"/>
  <c r="CU6" i="10" s="1"/>
  <c r="CU12" i="10"/>
  <c r="CU15" i="10" s="1"/>
  <c r="CU13" i="10"/>
  <c r="CU5" i="10" s="1"/>
  <c r="IM13" i="26" l="1"/>
  <c r="IM5" i="26" s="1"/>
  <c r="IM12" i="26"/>
  <c r="IM4" i="26" s="1"/>
  <c r="IM11" i="26"/>
  <c r="CV173" i="21"/>
  <c r="CV179" i="21" s="1"/>
  <c r="CW138" i="21"/>
  <c r="CX149" i="21"/>
  <c r="CX162" i="21"/>
  <c r="CW157" i="21"/>
  <c r="CW113" i="21"/>
  <c r="CW140" i="21"/>
  <c r="CW144" i="21" s="1"/>
  <c r="CW152" i="21" s="1"/>
  <c r="CX75" i="21"/>
  <c r="CW96" i="21" s="1"/>
  <c r="CW97" i="21" s="1"/>
  <c r="CX95" i="21" s="1"/>
  <c r="CW47" i="21"/>
  <c r="GC63" i="21"/>
  <c r="GB64" i="21"/>
  <c r="GB176" i="21" s="1"/>
  <c r="CV55" i="21"/>
  <c r="CV58" i="21" s="1"/>
  <c r="CV66" i="21" s="1"/>
  <c r="CW48" i="21"/>
  <c r="CW83" i="21"/>
  <c r="CW170" i="21" s="1"/>
  <c r="CX104" i="21"/>
  <c r="CX112" i="21" s="1"/>
  <c r="CX77" i="21"/>
  <c r="CX74" i="21"/>
  <c r="CX87" i="21" s="1"/>
  <c r="CX88" i="21" s="1"/>
  <c r="CX106" i="21"/>
  <c r="CX103" i="21"/>
  <c r="CX117" i="21" s="1"/>
  <c r="CX118" i="21" s="1"/>
  <c r="CX102" i="21"/>
  <c r="CX110" i="21" s="1"/>
  <c r="CY11" i="21"/>
  <c r="CX15" i="21"/>
  <c r="CX7" i="21"/>
  <c r="CU7" i="10"/>
  <c r="CV11" i="10"/>
  <c r="IM14" i="26" l="1"/>
  <c r="IN10" i="26"/>
  <c r="IM6" i="26"/>
  <c r="CX109" i="21"/>
  <c r="CW171" i="21"/>
  <c r="CW158" i="21"/>
  <c r="CW165" i="21" s="1"/>
  <c r="CW49" i="21"/>
  <c r="CW50" i="21" s="1"/>
  <c r="CX82" i="21"/>
  <c r="CX139" i="21"/>
  <c r="CX142" i="21"/>
  <c r="GD63" i="21"/>
  <c r="GC64" i="21"/>
  <c r="GC176" i="21" s="1"/>
  <c r="CX80" i="21"/>
  <c r="CX91" i="21" s="1"/>
  <c r="CX92" i="21" s="1"/>
  <c r="CW59" i="21"/>
  <c r="CW61" i="21" s="1"/>
  <c r="CW126" i="21"/>
  <c r="CW127" i="21" s="1"/>
  <c r="CX125" i="21" s="1"/>
  <c r="CX76" i="21"/>
  <c r="CX121" i="21"/>
  <c r="CX122" i="21" s="1"/>
  <c r="CX141" i="21" s="1"/>
  <c r="CX105" i="21"/>
  <c r="CX111" i="21" s="1"/>
  <c r="CY13" i="21"/>
  <c r="CY5" i="21" s="1"/>
  <c r="CY14" i="21"/>
  <c r="CY6" i="21" s="1"/>
  <c r="CY12" i="21"/>
  <c r="CY132" i="21" s="1"/>
  <c r="CV12" i="10"/>
  <c r="CV15" i="10" s="1"/>
  <c r="CV13" i="10"/>
  <c r="CV5" i="10" s="1"/>
  <c r="CV14" i="10"/>
  <c r="CV6" i="10" s="1"/>
  <c r="IN13" i="26" l="1"/>
  <c r="IN5" i="26" s="1"/>
  <c r="IN12" i="26"/>
  <c r="IN4" i="26" s="1"/>
  <c r="IN11" i="26"/>
  <c r="CW172" i="21"/>
  <c r="CW55" i="21"/>
  <c r="CW58" i="21" s="1"/>
  <c r="CW66" i="21" s="1"/>
  <c r="CX48" i="21"/>
  <c r="CW173" i="21"/>
  <c r="CW179" i="21" s="1"/>
  <c r="CX138" i="21"/>
  <c r="CX157" i="21"/>
  <c r="CX158" i="21" s="1"/>
  <c r="CX165" i="21" s="1"/>
  <c r="CY149" i="21"/>
  <c r="CY162" i="21"/>
  <c r="CX113" i="21"/>
  <c r="CX140" i="21"/>
  <c r="GE63" i="21"/>
  <c r="GD64" i="21"/>
  <c r="GD176" i="21" s="1"/>
  <c r="CX81" i="21"/>
  <c r="CY77" i="21"/>
  <c r="CY74" i="21"/>
  <c r="CY87" i="21" s="1"/>
  <c r="CY88" i="21" s="1"/>
  <c r="CY75" i="21"/>
  <c r="CY106" i="21"/>
  <c r="CY103" i="21"/>
  <c r="CY117" i="21" s="1"/>
  <c r="CY118" i="21" s="1"/>
  <c r="CY104" i="21"/>
  <c r="CY102" i="21"/>
  <c r="CY110" i="21" s="1"/>
  <c r="CZ11" i="21"/>
  <c r="CY15" i="21"/>
  <c r="CY7" i="21"/>
  <c r="CW11" i="10"/>
  <c r="CV7" i="10"/>
  <c r="IN14" i="26" l="1"/>
  <c r="IO10" i="26"/>
  <c r="IN6" i="26"/>
  <c r="CY109" i="21"/>
  <c r="CX171" i="21"/>
  <c r="CX47" i="21"/>
  <c r="CX137" i="21"/>
  <c r="GF63" i="21"/>
  <c r="GE64" i="21"/>
  <c r="GE176" i="21" s="1"/>
  <c r="CX83" i="21"/>
  <c r="CX59" i="21" s="1"/>
  <c r="CX61" i="21" s="1"/>
  <c r="CX49" i="21"/>
  <c r="CX50" i="21" s="1"/>
  <c r="CX172" i="21" s="1"/>
  <c r="CX96" i="21"/>
  <c r="CX97" i="21" s="1"/>
  <c r="CY95" i="21" s="1"/>
  <c r="CY82" i="21"/>
  <c r="CY76" i="21"/>
  <c r="CY81" i="21" s="1"/>
  <c r="CY137" i="21" s="1"/>
  <c r="CY112" i="21"/>
  <c r="CX126" i="21"/>
  <c r="CX127" i="21" s="1"/>
  <c r="CY125" i="21" s="1"/>
  <c r="CY105" i="21"/>
  <c r="CY111" i="21" s="1"/>
  <c r="CY140" i="21" s="1"/>
  <c r="CY121" i="21"/>
  <c r="CY122" i="21" s="1"/>
  <c r="CY141" i="21" s="1"/>
  <c r="CZ14" i="21"/>
  <c r="CZ6" i="21" s="1"/>
  <c r="CZ13" i="21"/>
  <c r="CZ5" i="21" s="1"/>
  <c r="CZ12" i="21"/>
  <c r="CZ132" i="21" s="1"/>
  <c r="CW13" i="10"/>
  <c r="CW5" i="10" s="1"/>
  <c r="CW14" i="10"/>
  <c r="CW6" i="10" s="1"/>
  <c r="CW12" i="10"/>
  <c r="CW15" i="10" s="1"/>
  <c r="IO13" i="26" l="1"/>
  <c r="IO5" i="26" s="1"/>
  <c r="IO12" i="26"/>
  <c r="IO4" i="26" s="1"/>
  <c r="IO11" i="26"/>
  <c r="CY80" i="21"/>
  <c r="CY91" i="21" s="1"/>
  <c r="CY92" i="21" s="1"/>
  <c r="CX170" i="21"/>
  <c r="CX173" i="21" s="1"/>
  <c r="CX179" i="21" s="1"/>
  <c r="CZ149" i="21"/>
  <c r="CZ162" i="21"/>
  <c r="CX144" i="21"/>
  <c r="CX152" i="21" s="1"/>
  <c r="CY142" i="21"/>
  <c r="CY139" i="21"/>
  <c r="GG63" i="21"/>
  <c r="GF64" i="21"/>
  <c r="GF176" i="21" s="1"/>
  <c r="CY47" i="21"/>
  <c r="CX55" i="21"/>
  <c r="CX58" i="21" s="1"/>
  <c r="CX66" i="21" s="1"/>
  <c r="CY48" i="21"/>
  <c r="CY113" i="21"/>
  <c r="CY83" i="21"/>
  <c r="CY170" i="21" s="1"/>
  <c r="CZ77" i="21"/>
  <c r="CZ74" i="21"/>
  <c r="CZ87" i="21" s="1"/>
  <c r="CZ88" i="21" s="1"/>
  <c r="CZ75" i="21"/>
  <c r="CZ106" i="21"/>
  <c r="CZ103" i="21"/>
  <c r="CZ117" i="21" s="1"/>
  <c r="CZ118" i="21" s="1"/>
  <c r="CZ104" i="21"/>
  <c r="CZ102" i="21"/>
  <c r="CZ110" i="21" s="1"/>
  <c r="CZ15" i="21"/>
  <c r="CZ7" i="21"/>
  <c r="DA11" i="21"/>
  <c r="CX11" i="10"/>
  <c r="CW7" i="10"/>
  <c r="IO14" i="26" l="1"/>
  <c r="IP10" i="26"/>
  <c r="IO6" i="26"/>
  <c r="CY138" i="21"/>
  <c r="CY157" i="21" s="1"/>
  <c r="CZ109" i="21"/>
  <c r="CZ121" i="21" s="1"/>
  <c r="CZ122" i="21" s="1"/>
  <c r="CZ141" i="21" s="1"/>
  <c r="CY171" i="21"/>
  <c r="CY158" i="21"/>
  <c r="CY165" i="21" s="1"/>
  <c r="CY49" i="21"/>
  <c r="CY144" i="21"/>
  <c r="CY152" i="21" s="1"/>
  <c r="CY50" i="21"/>
  <c r="CY172" i="21" s="1"/>
  <c r="GH63" i="21"/>
  <c r="GG64" i="21"/>
  <c r="GG176" i="21" s="1"/>
  <c r="CZ80" i="21"/>
  <c r="CZ91" i="21" s="1"/>
  <c r="CZ92" i="21" s="1"/>
  <c r="CY59" i="21"/>
  <c r="CY61" i="21" s="1"/>
  <c r="CY96" i="21"/>
  <c r="CY97" i="21" s="1"/>
  <c r="CZ95" i="21" s="1"/>
  <c r="CZ82" i="21"/>
  <c r="CZ76" i="21"/>
  <c r="CZ81" i="21" s="1"/>
  <c r="CZ137" i="21" s="1"/>
  <c r="CY126" i="21"/>
  <c r="CY127" i="21" s="1"/>
  <c r="CZ125" i="21" s="1"/>
  <c r="CZ112" i="21"/>
  <c r="CZ105" i="21"/>
  <c r="CZ111" i="21" s="1"/>
  <c r="CZ140" i="21" s="1"/>
  <c r="DA13" i="21"/>
  <c r="DA5" i="21" s="1"/>
  <c r="DA14" i="21"/>
  <c r="DA6" i="21" s="1"/>
  <c r="DA12" i="21"/>
  <c r="DA132" i="21" s="1"/>
  <c r="CX13" i="10"/>
  <c r="CX5" i="10" s="1"/>
  <c r="CX12" i="10"/>
  <c r="CX15" i="10" s="1"/>
  <c r="CX14" i="10"/>
  <c r="CX6" i="10" s="1"/>
  <c r="IP12" i="26" l="1"/>
  <c r="IP4" i="26" s="1"/>
  <c r="IP11" i="26"/>
  <c r="IP13" i="26"/>
  <c r="IP5" i="26" s="1"/>
  <c r="CY173" i="21"/>
  <c r="CY179" i="21" s="1"/>
  <c r="CZ48" i="21"/>
  <c r="CY55" i="21"/>
  <c r="CY58" i="21" s="1"/>
  <c r="CY66" i="21" s="1"/>
  <c r="CZ138" i="21"/>
  <c r="CZ157" i="21" s="1"/>
  <c r="CZ158" i="21" s="1"/>
  <c r="CZ165" i="21" s="1"/>
  <c r="DA149" i="21"/>
  <c r="DA162" i="21"/>
  <c r="CZ139" i="21"/>
  <c r="CZ142" i="21"/>
  <c r="CZ47" i="21"/>
  <c r="GI63" i="21"/>
  <c r="GH64" i="21"/>
  <c r="GH176" i="21" s="1"/>
  <c r="CZ49" i="21"/>
  <c r="CZ50" i="21" s="1"/>
  <c r="CZ172" i="21" s="1"/>
  <c r="CZ113" i="21"/>
  <c r="CZ83" i="21"/>
  <c r="CZ170" i="21" s="1"/>
  <c r="DA104" i="21"/>
  <c r="DA112" i="21" s="1"/>
  <c r="DA77" i="21"/>
  <c r="DA74" i="21"/>
  <c r="DA87" i="21" s="1"/>
  <c r="DA88" i="21" s="1"/>
  <c r="DA75" i="21"/>
  <c r="DA102" i="21"/>
  <c r="DA110" i="21" s="1"/>
  <c r="DA103" i="21"/>
  <c r="DA117" i="21" s="1"/>
  <c r="DA118" i="21" s="1"/>
  <c r="DA106" i="21"/>
  <c r="DB11" i="21"/>
  <c r="DA15" i="21"/>
  <c r="DA7" i="21"/>
  <c r="CY11" i="10"/>
  <c r="CX7" i="10"/>
  <c r="IP14" i="26" l="1"/>
  <c r="IQ10" i="26"/>
  <c r="IP6" i="26"/>
  <c r="CZ144" i="21"/>
  <c r="CZ152" i="21" s="1"/>
  <c r="DA109" i="21"/>
  <c r="CZ171" i="21"/>
  <c r="CZ173" i="21" s="1"/>
  <c r="CZ179" i="21" s="1"/>
  <c r="DA139" i="21"/>
  <c r="DA142" i="21"/>
  <c r="GJ63" i="21"/>
  <c r="GI64" i="21"/>
  <c r="GI176" i="21" s="1"/>
  <c r="CZ55" i="21"/>
  <c r="CZ58" i="21" s="1"/>
  <c r="DA48" i="21"/>
  <c r="DA80" i="21"/>
  <c r="DA91" i="21" s="1"/>
  <c r="DA92" i="21" s="1"/>
  <c r="CZ59" i="21"/>
  <c r="CZ61" i="21" s="1"/>
  <c r="CZ126" i="21"/>
  <c r="CZ127" i="21" s="1"/>
  <c r="DA125" i="21" s="1"/>
  <c r="DA82" i="21"/>
  <c r="CZ96" i="21"/>
  <c r="CZ97" i="21" s="1"/>
  <c r="DA95" i="21" s="1"/>
  <c r="DA76" i="21"/>
  <c r="DA81" i="21" s="1"/>
  <c r="DA137" i="21" s="1"/>
  <c r="DA105" i="21"/>
  <c r="DA111" i="21" s="1"/>
  <c r="DA121" i="21"/>
  <c r="DA122" i="21" s="1"/>
  <c r="DA141" i="21" s="1"/>
  <c r="DB14" i="21"/>
  <c r="DB6" i="21" s="1"/>
  <c r="DB13" i="21"/>
  <c r="DB5" i="21" s="1"/>
  <c r="DB12" i="21"/>
  <c r="DB132" i="21" s="1"/>
  <c r="CY13" i="10"/>
  <c r="CY5" i="10" s="1"/>
  <c r="CY14" i="10"/>
  <c r="CY6" i="10" s="1"/>
  <c r="CY12" i="10"/>
  <c r="CY15" i="10" s="1"/>
  <c r="IQ12" i="26" l="1"/>
  <c r="IQ4" i="26" s="1"/>
  <c r="IQ13" i="26"/>
  <c r="IQ5" i="26" s="1"/>
  <c r="IQ11" i="26"/>
  <c r="DA138" i="21"/>
  <c r="DA157" i="21"/>
  <c r="DB149" i="21"/>
  <c r="DB162" i="21"/>
  <c r="DA113" i="21"/>
  <c r="DA140" i="21"/>
  <c r="DA144" i="21" s="1"/>
  <c r="DA152" i="21" s="1"/>
  <c r="CZ66" i="21"/>
  <c r="DA47" i="21"/>
  <c r="DA49" i="21" s="1"/>
  <c r="DA50" i="21" s="1"/>
  <c r="DA172" i="21" s="1"/>
  <c r="GK63" i="21"/>
  <c r="GJ64" i="21"/>
  <c r="GJ176" i="21" s="1"/>
  <c r="DA83" i="21"/>
  <c r="DA170" i="21" s="1"/>
  <c r="DB77" i="21"/>
  <c r="DB74" i="21"/>
  <c r="DB87" i="21" s="1"/>
  <c r="DB88" i="21" s="1"/>
  <c r="DB75" i="21"/>
  <c r="DB106" i="21"/>
  <c r="DB103" i="21"/>
  <c r="DB117" i="21" s="1"/>
  <c r="DB118" i="21" s="1"/>
  <c r="DB104" i="21"/>
  <c r="DB102" i="21"/>
  <c r="DB110" i="21" s="1"/>
  <c r="DC11" i="21"/>
  <c r="DB15" i="21"/>
  <c r="DB7" i="21"/>
  <c r="CZ11" i="10"/>
  <c r="CY7" i="10"/>
  <c r="IQ14" i="26" l="1"/>
  <c r="IR10" i="26"/>
  <c r="IQ6" i="26"/>
  <c r="DB109" i="21"/>
  <c r="DB121" i="21" s="1"/>
  <c r="DB122" i="21" s="1"/>
  <c r="DB141" i="21" s="1"/>
  <c r="DA171" i="21"/>
  <c r="DA173" i="21" s="1"/>
  <c r="DA179" i="21" s="1"/>
  <c r="DA158" i="21"/>
  <c r="DA165" i="21" s="1"/>
  <c r="GL63" i="21"/>
  <c r="GK64" i="21"/>
  <c r="GK176" i="21" s="1"/>
  <c r="DA55" i="21"/>
  <c r="DA58" i="21" s="1"/>
  <c r="DB48" i="21"/>
  <c r="DB80" i="21"/>
  <c r="DB91" i="21" s="1"/>
  <c r="DB92" i="21" s="1"/>
  <c r="DA59" i="21"/>
  <c r="DA61" i="21" s="1"/>
  <c r="DB82" i="21"/>
  <c r="DA96" i="21"/>
  <c r="DA97" i="21" s="1"/>
  <c r="DB95" i="21" s="1"/>
  <c r="DB76" i="21"/>
  <c r="DB81" i="21" s="1"/>
  <c r="DB137" i="21" s="1"/>
  <c r="DA126" i="21"/>
  <c r="DA127" i="21" s="1"/>
  <c r="DB125" i="21" s="1"/>
  <c r="DB112" i="21"/>
  <c r="DB105" i="21"/>
  <c r="DB111" i="21" s="1"/>
  <c r="DB140" i="21" s="1"/>
  <c r="DC14" i="21"/>
  <c r="DC6" i="21" s="1"/>
  <c r="DC13" i="21"/>
  <c r="DC5" i="21" s="1"/>
  <c r="DC12" i="21"/>
  <c r="DC132" i="21" s="1"/>
  <c r="CZ13" i="10"/>
  <c r="CZ5" i="10" s="1"/>
  <c r="CZ14" i="10"/>
  <c r="CZ6" i="10" s="1"/>
  <c r="CZ12" i="10"/>
  <c r="CZ15" i="10" s="1"/>
  <c r="IR13" i="26" l="1"/>
  <c r="IR5" i="26" s="1"/>
  <c r="IR12" i="26"/>
  <c r="IR4" i="26" s="1"/>
  <c r="IR11" i="26"/>
  <c r="DB138" i="21"/>
  <c r="DB157" i="21"/>
  <c r="DC149" i="21"/>
  <c r="DC162" i="21"/>
  <c r="DB158" i="21"/>
  <c r="DB165" i="21" s="1"/>
  <c r="DB142" i="21"/>
  <c r="DB139" i="21"/>
  <c r="DA66" i="21"/>
  <c r="DB47" i="21"/>
  <c r="GM63" i="21"/>
  <c r="GL64" i="21"/>
  <c r="GL176" i="21" s="1"/>
  <c r="DB49" i="21"/>
  <c r="DB50" i="21" s="1"/>
  <c r="DB172" i="21" s="1"/>
  <c r="DB113" i="21"/>
  <c r="DB83" i="21"/>
  <c r="DB170" i="21" s="1"/>
  <c r="DC77" i="21"/>
  <c r="DC74" i="21"/>
  <c r="DC87" i="21" s="1"/>
  <c r="DC88" i="21" s="1"/>
  <c r="DC75" i="21"/>
  <c r="DC106" i="21"/>
  <c r="DC103" i="21"/>
  <c r="DC117" i="21" s="1"/>
  <c r="DC118" i="21" s="1"/>
  <c r="DC102" i="21"/>
  <c r="DC110" i="21" s="1"/>
  <c r="DC104" i="21"/>
  <c r="DD11" i="21"/>
  <c r="DC7" i="21"/>
  <c r="DC15" i="21"/>
  <c r="DA11" i="10"/>
  <c r="CZ7" i="10"/>
  <c r="IR14" i="26" l="1"/>
  <c r="IS10" i="26"/>
  <c r="IR6" i="26"/>
  <c r="DC109" i="21"/>
  <c r="DB171" i="21"/>
  <c r="DB173" i="21" s="1"/>
  <c r="DB179" i="21" s="1"/>
  <c r="DB144" i="21"/>
  <c r="DB152" i="21" s="1"/>
  <c r="GN63" i="21"/>
  <c r="GM64" i="21"/>
  <c r="GM176" i="21" s="1"/>
  <c r="DB55" i="21"/>
  <c r="DB58" i="21" s="1"/>
  <c r="DC48" i="21"/>
  <c r="DC80" i="21"/>
  <c r="DC91" i="21" s="1"/>
  <c r="DC92" i="21" s="1"/>
  <c r="DB59" i="21"/>
  <c r="DB61" i="21" s="1"/>
  <c r="DB96" i="21"/>
  <c r="DB97" i="21" s="1"/>
  <c r="DC95" i="21" s="1"/>
  <c r="DC82" i="21"/>
  <c r="DC76" i="21"/>
  <c r="DC81" i="21" s="1"/>
  <c r="DC137" i="21" s="1"/>
  <c r="DC105" i="21"/>
  <c r="DC111" i="21" s="1"/>
  <c r="DC140" i="21" s="1"/>
  <c r="DC121" i="21"/>
  <c r="DC122" i="21" s="1"/>
  <c r="DC141" i="21" s="1"/>
  <c r="DC112" i="21"/>
  <c r="DB126" i="21"/>
  <c r="DB127" i="21" s="1"/>
  <c r="DC125" i="21" s="1"/>
  <c r="DD12" i="21"/>
  <c r="DD132" i="21" s="1"/>
  <c r="DD14" i="21"/>
  <c r="DD6" i="21" s="1"/>
  <c r="DD13" i="21"/>
  <c r="DD5" i="21" s="1"/>
  <c r="DA12" i="10"/>
  <c r="DA15" i="10" s="1"/>
  <c r="DA13" i="10"/>
  <c r="DA5" i="10" s="1"/>
  <c r="DA14" i="10"/>
  <c r="DA6" i="10" s="1"/>
  <c r="IS12" i="26" l="1"/>
  <c r="IS4" i="26" s="1"/>
  <c r="IS13" i="26"/>
  <c r="IS5" i="26" s="1"/>
  <c r="IS11" i="26"/>
  <c r="DC138" i="21"/>
  <c r="DD149" i="21"/>
  <c r="DD162" i="21"/>
  <c r="DC157" i="21"/>
  <c r="DC139" i="21"/>
  <c r="DC142" i="21"/>
  <c r="DC144" i="21" s="1"/>
  <c r="DC152" i="21" s="1"/>
  <c r="DD75" i="21"/>
  <c r="DD82" i="21" s="1"/>
  <c r="DB66" i="21"/>
  <c r="DC47" i="21"/>
  <c r="GO63" i="21"/>
  <c r="GN64" i="21"/>
  <c r="GN176" i="21" s="1"/>
  <c r="DC49" i="21"/>
  <c r="DC50" i="21" s="1"/>
  <c r="DC172" i="21" s="1"/>
  <c r="DC113" i="21"/>
  <c r="DC83" i="21"/>
  <c r="DC170" i="21" s="1"/>
  <c r="DD104" i="21"/>
  <c r="DD112" i="21" s="1"/>
  <c r="DD77" i="21"/>
  <c r="DD74" i="21"/>
  <c r="DD87" i="21" s="1"/>
  <c r="DD88" i="21" s="1"/>
  <c r="DD103" i="21"/>
  <c r="DD117" i="21" s="1"/>
  <c r="DD118" i="21" s="1"/>
  <c r="DD106" i="21"/>
  <c r="DD102" i="21"/>
  <c r="DD110" i="21" s="1"/>
  <c r="DD7" i="21"/>
  <c r="DD15" i="21"/>
  <c r="DE11" i="21"/>
  <c r="DB11" i="10"/>
  <c r="DA7" i="10"/>
  <c r="IS14" i="26" l="1"/>
  <c r="IT10" i="26"/>
  <c r="IS6" i="26"/>
  <c r="DD109" i="21"/>
  <c r="DD121" i="21" s="1"/>
  <c r="DD122" i="21" s="1"/>
  <c r="DD141" i="21" s="1"/>
  <c r="DC171" i="21"/>
  <c r="DC173" i="21" s="1"/>
  <c r="DC179" i="21" s="1"/>
  <c r="DC158" i="21"/>
  <c r="DC165" i="21" s="1"/>
  <c r="DC96" i="21"/>
  <c r="DC97" i="21" s="1"/>
  <c r="DD95" i="21" s="1"/>
  <c r="DD139" i="21"/>
  <c r="DD142" i="21"/>
  <c r="DC126" i="21"/>
  <c r="DC127" i="21" s="1"/>
  <c r="DD125" i="21" s="1"/>
  <c r="GP63" i="21"/>
  <c r="GO64" i="21"/>
  <c r="GO176" i="21" s="1"/>
  <c r="DC55" i="21"/>
  <c r="DC58" i="21" s="1"/>
  <c r="DD48" i="21"/>
  <c r="DD80" i="21"/>
  <c r="DD91" i="21" s="1"/>
  <c r="DD92" i="21" s="1"/>
  <c r="DC59" i="21"/>
  <c r="DC61" i="21" s="1"/>
  <c r="DD76" i="21"/>
  <c r="DD105" i="21"/>
  <c r="DD111" i="21" s="1"/>
  <c r="DE14" i="21"/>
  <c r="DE6" i="21" s="1"/>
  <c r="DE13" i="21"/>
  <c r="DE5" i="21" s="1"/>
  <c r="DE12" i="21"/>
  <c r="DE132" i="21" s="1"/>
  <c r="DB12" i="10"/>
  <c r="DB15" i="10" s="1"/>
  <c r="DB13" i="10"/>
  <c r="DB5" i="10" s="1"/>
  <c r="DB14" i="10"/>
  <c r="DB6" i="10" s="1"/>
  <c r="IT13" i="26" l="1"/>
  <c r="IT5" i="26" s="1"/>
  <c r="IT12" i="26"/>
  <c r="IT4" i="26" s="1"/>
  <c r="IT11" i="26"/>
  <c r="DD138" i="21"/>
  <c r="DD157" i="21"/>
  <c r="DD158" i="21" s="1"/>
  <c r="DD165" i="21" s="1"/>
  <c r="DE149" i="21"/>
  <c r="DE162" i="21"/>
  <c r="DD113" i="21"/>
  <c r="DD140" i="21"/>
  <c r="DC66" i="21"/>
  <c r="GQ63" i="21"/>
  <c r="GP64" i="21"/>
  <c r="GP176" i="21" s="1"/>
  <c r="DD81" i="21"/>
  <c r="DE77" i="21"/>
  <c r="DE74" i="21"/>
  <c r="DE87" i="21" s="1"/>
  <c r="DE88" i="21" s="1"/>
  <c r="DE75" i="21"/>
  <c r="DE106" i="21"/>
  <c r="DE103" i="21"/>
  <c r="DE117" i="21" s="1"/>
  <c r="DE118" i="21" s="1"/>
  <c r="DE102" i="21"/>
  <c r="DE110" i="21" s="1"/>
  <c r="DE104" i="21"/>
  <c r="DE15" i="21"/>
  <c r="DE7" i="21"/>
  <c r="DF11" i="21"/>
  <c r="DC11" i="10"/>
  <c r="DB7" i="10"/>
  <c r="IT14" i="26" l="1"/>
  <c r="IT6" i="26"/>
  <c r="IU10" i="26"/>
  <c r="DE109" i="21"/>
  <c r="DD171" i="21"/>
  <c r="DD47" i="21"/>
  <c r="DD137" i="21"/>
  <c r="GR63" i="21"/>
  <c r="GQ64" i="21"/>
  <c r="GQ176" i="21" s="1"/>
  <c r="DD83" i="21"/>
  <c r="DD170" i="21" s="1"/>
  <c r="DD49" i="21"/>
  <c r="DD50" i="21" s="1"/>
  <c r="DD172" i="21" s="1"/>
  <c r="DD96" i="21"/>
  <c r="DD97" i="21" s="1"/>
  <c r="DE95" i="21" s="1"/>
  <c r="DE82" i="21"/>
  <c r="DE76" i="21"/>
  <c r="DE81" i="21" s="1"/>
  <c r="DE137" i="21" s="1"/>
  <c r="DD126" i="21"/>
  <c r="DD127" i="21" s="1"/>
  <c r="DE125" i="21" s="1"/>
  <c r="DE112" i="21"/>
  <c r="DE121" i="21"/>
  <c r="DE122" i="21" s="1"/>
  <c r="DE141" i="21" s="1"/>
  <c r="DE105" i="21"/>
  <c r="DE111" i="21" s="1"/>
  <c r="DE140" i="21" s="1"/>
  <c r="DF12" i="21"/>
  <c r="DF132" i="21" s="1"/>
  <c r="DF14" i="21"/>
  <c r="DF6" i="21" s="1"/>
  <c r="DF13" i="21"/>
  <c r="DF5" i="21" s="1"/>
  <c r="DC14" i="10"/>
  <c r="DC6" i="10" s="1"/>
  <c r="DC12" i="10"/>
  <c r="DC15" i="10" s="1"/>
  <c r="DC13" i="10"/>
  <c r="DC5" i="10" s="1"/>
  <c r="IU13" i="26" l="1"/>
  <c r="IU5" i="26" s="1"/>
  <c r="IU12" i="26"/>
  <c r="IU4" i="26" s="1"/>
  <c r="IU11" i="26"/>
  <c r="DD173" i="21"/>
  <c r="DD179" i="21" s="1"/>
  <c r="DD59" i="21"/>
  <c r="DD61" i="21" s="1"/>
  <c r="DE80" i="21"/>
  <c r="DE91" i="21" s="1"/>
  <c r="DE92" i="21" s="1"/>
  <c r="DE138" i="21" s="1"/>
  <c r="DE157" i="21" s="1"/>
  <c r="DF149" i="21"/>
  <c r="DF162" i="21"/>
  <c r="DD144" i="21"/>
  <c r="DD152" i="21" s="1"/>
  <c r="DE142" i="21"/>
  <c r="DE139" i="21"/>
  <c r="DF102" i="21"/>
  <c r="DF110" i="21" s="1"/>
  <c r="DE47" i="21"/>
  <c r="GS63" i="21"/>
  <c r="GR64" i="21"/>
  <c r="GR176" i="21" s="1"/>
  <c r="DD55" i="21"/>
  <c r="DD58" i="21" s="1"/>
  <c r="DD66" i="21" s="1"/>
  <c r="DE48" i="21"/>
  <c r="DE113" i="21"/>
  <c r="DF104" i="21"/>
  <c r="DE126" i="21" s="1"/>
  <c r="DE127" i="21" s="1"/>
  <c r="DF77" i="21"/>
  <c r="DF74" i="21"/>
  <c r="DF87" i="21" s="1"/>
  <c r="DF88" i="21" s="1"/>
  <c r="DF75" i="21"/>
  <c r="DF106" i="21"/>
  <c r="DF103" i="21"/>
  <c r="DF117" i="21" s="1"/>
  <c r="DF118" i="21" s="1"/>
  <c r="DG11" i="21"/>
  <c r="DF15" i="21"/>
  <c r="DF7" i="21"/>
  <c r="DD11" i="10"/>
  <c r="DC7" i="10"/>
  <c r="IU14" i="26" l="1"/>
  <c r="IV10" i="26"/>
  <c r="IU6" i="26"/>
  <c r="DE83" i="21"/>
  <c r="DE170" i="21" s="1"/>
  <c r="DF109" i="21"/>
  <c r="DF121" i="21" s="1"/>
  <c r="DF122" i="21" s="1"/>
  <c r="DF141" i="21" s="1"/>
  <c r="DE171" i="21"/>
  <c r="DE158" i="21"/>
  <c r="DE165" i="21" s="1"/>
  <c r="DE49" i="21"/>
  <c r="DE144" i="21"/>
  <c r="DE152" i="21" s="1"/>
  <c r="DF125" i="21"/>
  <c r="DE50" i="21"/>
  <c r="DE172" i="21" s="1"/>
  <c r="GT63" i="21"/>
  <c r="GS64" i="21"/>
  <c r="GS176" i="21" s="1"/>
  <c r="DF112" i="21"/>
  <c r="DF80" i="21"/>
  <c r="DF91" i="21" s="1"/>
  <c r="DF92" i="21" s="1"/>
  <c r="DE59" i="21"/>
  <c r="DE61" i="21" s="1"/>
  <c r="DE96" i="21"/>
  <c r="DE97" i="21" s="1"/>
  <c r="DF95" i="21" s="1"/>
  <c r="DF82" i="21"/>
  <c r="DF76" i="21"/>
  <c r="DF81" i="21" s="1"/>
  <c r="DF137" i="21" s="1"/>
  <c r="DF105" i="21"/>
  <c r="DF111" i="21" s="1"/>
  <c r="DG14" i="21"/>
  <c r="DG6" i="21" s="1"/>
  <c r="DG12" i="21"/>
  <c r="DG132" i="21" s="1"/>
  <c r="DG13" i="21"/>
  <c r="DG5" i="21" s="1"/>
  <c r="DD14" i="10"/>
  <c r="DD6" i="10" s="1"/>
  <c r="DD12" i="10"/>
  <c r="DD15" i="10" s="1"/>
  <c r="DD13" i="10"/>
  <c r="DD5" i="10" s="1"/>
  <c r="IV13" i="26" l="1"/>
  <c r="IV5" i="26" s="1"/>
  <c r="IV12" i="26"/>
  <c r="IV4" i="26" s="1"/>
  <c r="IV11" i="26"/>
  <c r="DE55" i="21"/>
  <c r="DE58" i="21" s="1"/>
  <c r="DF48" i="21"/>
  <c r="DE173" i="21"/>
  <c r="DE179" i="21" s="1"/>
  <c r="DF138" i="21"/>
  <c r="DF157" i="21" s="1"/>
  <c r="DF158" i="21" s="1"/>
  <c r="DF165" i="21" s="1"/>
  <c r="DG149" i="21"/>
  <c r="DG162" i="21"/>
  <c r="DF113" i="21"/>
  <c r="DF140" i="21"/>
  <c r="DF142" i="21"/>
  <c r="DF139" i="21"/>
  <c r="DG75" i="21"/>
  <c r="DG82" i="21" s="1"/>
  <c r="DE66" i="21"/>
  <c r="DF47" i="21"/>
  <c r="DF49" i="21" s="1"/>
  <c r="DF50" i="21" s="1"/>
  <c r="DF172" i="21" s="1"/>
  <c r="GU63" i="21"/>
  <c r="GT64" i="21"/>
  <c r="GT176" i="21" s="1"/>
  <c r="DF83" i="21"/>
  <c r="DF170" i="21" s="1"/>
  <c r="DG104" i="21"/>
  <c r="DF126" i="21" s="1"/>
  <c r="DF127" i="21" s="1"/>
  <c r="DG77" i="21"/>
  <c r="DG74" i="21"/>
  <c r="DG87" i="21" s="1"/>
  <c r="DG88" i="21" s="1"/>
  <c r="DG106" i="21"/>
  <c r="DG103" i="21"/>
  <c r="DG117" i="21" s="1"/>
  <c r="DG118" i="21" s="1"/>
  <c r="DG102" i="21"/>
  <c r="DG110" i="21" s="1"/>
  <c r="DG15" i="21"/>
  <c r="DH11" i="21"/>
  <c r="DG7" i="21"/>
  <c r="DE11" i="10"/>
  <c r="DD7" i="10"/>
  <c r="IV14" i="26" l="1"/>
  <c r="IW10" i="26"/>
  <c r="IV6" i="26"/>
  <c r="DG109" i="21"/>
  <c r="DF171" i="21"/>
  <c r="DF173" i="21" s="1"/>
  <c r="DF179" i="21" s="1"/>
  <c r="DF144" i="21"/>
  <c r="DF152" i="21" s="1"/>
  <c r="DF96" i="21"/>
  <c r="DF97" i="21" s="1"/>
  <c r="DG95" i="21" s="1"/>
  <c r="GV63" i="21"/>
  <c r="GU64" i="21"/>
  <c r="GU176" i="21" s="1"/>
  <c r="DF55" i="21"/>
  <c r="DF58" i="21" s="1"/>
  <c r="DG48" i="21"/>
  <c r="DG112" i="21"/>
  <c r="DG80" i="21"/>
  <c r="DG91" i="21" s="1"/>
  <c r="DG92" i="21" s="1"/>
  <c r="DF59" i="21"/>
  <c r="DF61" i="21" s="1"/>
  <c r="DG125" i="21"/>
  <c r="DG76" i="21"/>
  <c r="DG105" i="21"/>
  <c r="DG111" i="21" s="1"/>
  <c r="DG140" i="21" s="1"/>
  <c r="DG121" i="21"/>
  <c r="DG122" i="21" s="1"/>
  <c r="DG141" i="21" s="1"/>
  <c r="DH14" i="21"/>
  <c r="DH6" i="21" s="1"/>
  <c r="DH13" i="21"/>
  <c r="DH5" i="21" s="1"/>
  <c r="DH12" i="21"/>
  <c r="DH132" i="21" s="1"/>
  <c r="DE14" i="10"/>
  <c r="DE6" i="10" s="1"/>
  <c r="DE13" i="10"/>
  <c r="DE5" i="10" s="1"/>
  <c r="DE12" i="10"/>
  <c r="DE15" i="10" s="1"/>
  <c r="IW13" i="26" l="1"/>
  <c r="IW5" i="26" s="1"/>
  <c r="IW12" i="26"/>
  <c r="IW4" i="26" s="1"/>
  <c r="IW11" i="26"/>
  <c r="DG138" i="21"/>
  <c r="DH149" i="21"/>
  <c r="DH162" i="21"/>
  <c r="DG157" i="21"/>
  <c r="DG142" i="21"/>
  <c r="DG139" i="21"/>
  <c r="DH75" i="21"/>
  <c r="DH82" i="21" s="1"/>
  <c r="DF66" i="21"/>
  <c r="GW63" i="21"/>
  <c r="GV64" i="21"/>
  <c r="GV176" i="21" s="1"/>
  <c r="DG113" i="21"/>
  <c r="DG81" i="21"/>
  <c r="DH77" i="21"/>
  <c r="DH74" i="21"/>
  <c r="DH87" i="21" s="1"/>
  <c r="DH88" i="21" s="1"/>
  <c r="DH106" i="21"/>
  <c r="DH103" i="21"/>
  <c r="DH117" i="21" s="1"/>
  <c r="DH118" i="21" s="1"/>
  <c r="DH104" i="21"/>
  <c r="DH102" i="21"/>
  <c r="DH110" i="21" s="1"/>
  <c r="DH15" i="21"/>
  <c r="DH7" i="21"/>
  <c r="DI11" i="21"/>
  <c r="DF11" i="10"/>
  <c r="DE7" i="10"/>
  <c r="IW14" i="26" l="1"/>
  <c r="IX10" i="26"/>
  <c r="IW6" i="26"/>
  <c r="DG96" i="21"/>
  <c r="DG97" i="21" s="1"/>
  <c r="DH95" i="21" s="1"/>
  <c r="DH109" i="21"/>
  <c r="DG171" i="21"/>
  <c r="DG158" i="21"/>
  <c r="DG165" i="21" s="1"/>
  <c r="DG47" i="21"/>
  <c r="DG49" i="21" s="1"/>
  <c r="DG50" i="21" s="1"/>
  <c r="DG172" i="21" s="1"/>
  <c r="DG137" i="21"/>
  <c r="GX63" i="21"/>
  <c r="GW64" i="21"/>
  <c r="GW176" i="21" s="1"/>
  <c r="DG83" i="21"/>
  <c r="DG170" i="21" s="1"/>
  <c r="DG59" i="21"/>
  <c r="DG61" i="21" s="1"/>
  <c r="DH76" i="21"/>
  <c r="DG126" i="21"/>
  <c r="DG127" i="21" s="1"/>
  <c r="DH125" i="21" s="1"/>
  <c r="DH112" i="21"/>
  <c r="DH121" i="21"/>
  <c r="DH122" i="21" s="1"/>
  <c r="DH141" i="21" s="1"/>
  <c r="DH105" i="21"/>
  <c r="DH111" i="21" s="1"/>
  <c r="DH140" i="21" s="1"/>
  <c r="DI13" i="21"/>
  <c r="DI5" i="21" s="1"/>
  <c r="DI14" i="21"/>
  <c r="DI6" i="21" s="1"/>
  <c r="DI12" i="21"/>
  <c r="DI132" i="21" s="1"/>
  <c r="DF14" i="10"/>
  <c r="DF6" i="10" s="1"/>
  <c r="DF13" i="10"/>
  <c r="DF5" i="10" s="1"/>
  <c r="DF12" i="10"/>
  <c r="DF15" i="10" s="1"/>
  <c r="IX12" i="26" l="1"/>
  <c r="IX4" i="26" s="1"/>
  <c r="IX13" i="26"/>
  <c r="IX5" i="26" s="1"/>
  <c r="IX11" i="26"/>
  <c r="DH80" i="21"/>
  <c r="DH91" i="21" s="1"/>
  <c r="DH92" i="21" s="1"/>
  <c r="DH138" i="21" s="1"/>
  <c r="DH157" i="21" s="1"/>
  <c r="DH158" i="21" s="1"/>
  <c r="DH165" i="21" s="1"/>
  <c r="DG173" i="21"/>
  <c r="DG179" i="21" s="1"/>
  <c r="DI149" i="21"/>
  <c r="DI162" i="21"/>
  <c r="DG144" i="21"/>
  <c r="DG152" i="21" s="1"/>
  <c r="DH142" i="21"/>
  <c r="DH139" i="21"/>
  <c r="DI102" i="21"/>
  <c r="DI110" i="21" s="1"/>
  <c r="GY63" i="21"/>
  <c r="GX64" i="21"/>
  <c r="GX176" i="21" s="1"/>
  <c r="DG55" i="21"/>
  <c r="DG58" i="21" s="1"/>
  <c r="DG66" i="21" s="1"/>
  <c r="DH48" i="21"/>
  <c r="DH113" i="21"/>
  <c r="DH81" i="21"/>
  <c r="DI104" i="21"/>
  <c r="DH126" i="21" s="1"/>
  <c r="DH127" i="21" s="1"/>
  <c r="DI77" i="21"/>
  <c r="DI74" i="21"/>
  <c r="DI87" i="21" s="1"/>
  <c r="DI88" i="21" s="1"/>
  <c r="DI75" i="21"/>
  <c r="DI106" i="21"/>
  <c r="DI103" i="21"/>
  <c r="DI117" i="21" s="1"/>
  <c r="DI118" i="21" s="1"/>
  <c r="DI15" i="21"/>
  <c r="DI7" i="21"/>
  <c r="DJ11" i="21"/>
  <c r="DG11" i="10"/>
  <c r="DF7" i="10"/>
  <c r="IX14" i="26" l="1"/>
  <c r="IY10" i="26"/>
  <c r="IX6" i="26"/>
  <c r="DI109" i="21"/>
  <c r="DH171" i="21"/>
  <c r="DI125" i="21"/>
  <c r="DH47" i="21"/>
  <c r="DH49" i="21" s="1"/>
  <c r="DH50" i="21" s="1"/>
  <c r="DH172" i="21" s="1"/>
  <c r="DH137" i="21"/>
  <c r="GZ63" i="21"/>
  <c r="GY64" i="21"/>
  <c r="GY176" i="21" s="1"/>
  <c r="DI112" i="21"/>
  <c r="DH83" i="21"/>
  <c r="DH59" i="21"/>
  <c r="DH61" i="21" s="1"/>
  <c r="DH96" i="21"/>
  <c r="DH97" i="21" s="1"/>
  <c r="DI95" i="21" s="1"/>
  <c r="DI82" i="21"/>
  <c r="DI76" i="21"/>
  <c r="DI81" i="21" s="1"/>
  <c r="DI137" i="21" s="1"/>
  <c r="DI121" i="21"/>
  <c r="DI122" i="21" s="1"/>
  <c r="DI141" i="21" s="1"/>
  <c r="DI105" i="21"/>
  <c r="DI111" i="21" s="1"/>
  <c r="DJ13" i="21"/>
  <c r="DJ5" i="21" s="1"/>
  <c r="DJ12" i="21"/>
  <c r="DJ132" i="21" s="1"/>
  <c r="DJ14" i="21"/>
  <c r="DJ6" i="21" s="1"/>
  <c r="DG12" i="10"/>
  <c r="DG15" i="10" s="1"/>
  <c r="DG13" i="10"/>
  <c r="DG5" i="10" s="1"/>
  <c r="DG14" i="10"/>
  <c r="DG6" i="10" s="1"/>
  <c r="IY12" i="26" l="1"/>
  <c r="IY4" i="26" s="1"/>
  <c r="IY13" i="26"/>
  <c r="IY5" i="26" s="1"/>
  <c r="IY11" i="26"/>
  <c r="DI80" i="21"/>
  <c r="DI91" i="21" s="1"/>
  <c r="DI92" i="21" s="1"/>
  <c r="DH170" i="21"/>
  <c r="DH173" i="21" s="1"/>
  <c r="DH179" i="21" s="1"/>
  <c r="DJ149" i="21"/>
  <c r="DJ162" i="21"/>
  <c r="DH144" i="21"/>
  <c r="DH152" i="21" s="1"/>
  <c r="DI113" i="21"/>
  <c r="DI140" i="21"/>
  <c r="DI142" i="21"/>
  <c r="DI139" i="21"/>
  <c r="DI47" i="21"/>
  <c r="HA63" i="21"/>
  <c r="GZ64" i="21"/>
  <c r="GZ176" i="21" s="1"/>
  <c r="DI48" i="21"/>
  <c r="DH55" i="21"/>
  <c r="DH58" i="21" s="1"/>
  <c r="DH66" i="21" s="1"/>
  <c r="DI83" i="21"/>
  <c r="DI170" i="21" s="1"/>
  <c r="DJ102" i="21"/>
  <c r="DJ110" i="21" s="1"/>
  <c r="DJ77" i="21"/>
  <c r="DJ74" i="21"/>
  <c r="DJ87" i="21" s="1"/>
  <c r="DJ88" i="21" s="1"/>
  <c r="DJ75" i="21"/>
  <c r="DJ104" i="21"/>
  <c r="DJ106" i="21"/>
  <c r="DJ103" i="21"/>
  <c r="DJ117" i="21" s="1"/>
  <c r="DJ118" i="21" s="1"/>
  <c r="DJ7" i="21"/>
  <c r="DJ15" i="21"/>
  <c r="DK11" i="21"/>
  <c r="DH11" i="10"/>
  <c r="DG7" i="10"/>
  <c r="IY14" i="26" l="1"/>
  <c r="IZ10" i="26"/>
  <c r="IY6" i="26"/>
  <c r="DI138" i="21"/>
  <c r="DI157" i="21" s="1"/>
  <c r="DJ109" i="21"/>
  <c r="DJ121" i="21" s="1"/>
  <c r="DJ122" i="21" s="1"/>
  <c r="DJ141" i="21" s="1"/>
  <c r="DI171" i="21"/>
  <c r="DI158" i="21"/>
  <c r="DI165" i="21" s="1"/>
  <c r="DI49" i="21"/>
  <c r="DI144" i="21"/>
  <c r="DI152" i="21" s="1"/>
  <c r="DI50" i="21"/>
  <c r="DI172" i="21" s="1"/>
  <c r="HB63" i="21"/>
  <c r="HA64" i="21"/>
  <c r="HA176" i="21" s="1"/>
  <c r="DJ80" i="21"/>
  <c r="DJ91" i="21" s="1"/>
  <c r="DJ92" i="21" s="1"/>
  <c r="DI59" i="21"/>
  <c r="DI61" i="21" s="1"/>
  <c r="DJ82" i="21"/>
  <c r="DI96" i="21"/>
  <c r="DI97" i="21" s="1"/>
  <c r="DJ95" i="21" s="1"/>
  <c r="DJ76" i="21"/>
  <c r="DJ81" i="21" s="1"/>
  <c r="DJ137" i="21" s="1"/>
  <c r="DJ105" i="21"/>
  <c r="DJ111" i="21" s="1"/>
  <c r="DJ140" i="21" s="1"/>
  <c r="DI126" i="21"/>
  <c r="DI127" i="21" s="1"/>
  <c r="DJ125" i="21" s="1"/>
  <c r="DJ112" i="21"/>
  <c r="DK12" i="21"/>
  <c r="DK132" i="21" s="1"/>
  <c r="DK13" i="21"/>
  <c r="DK5" i="21" s="1"/>
  <c r="DK14" i="21"/>
  <c r="DK6" i="21" s="1"/>
  <c r="DH12" i="10"/>
  <c r="DH15" i="10" s="1"/>
  <c r="DH13" i="10"/>
  <c r="DH5" i="10" s="1"/>
  <c r="DH14" i="10"/>
  <c r="DH6" i="10" s="1"/>
  <c r="IZ13" i="26" l="1"/>
  <c r="IZ5" i="26" s="1"/>
  <c r="IZ12" i="26"/>
  <c r="IZ4" i="26" s="1"/>
  <c r="IZ11" i="26"/>
  <c r="DI173" i="21"/>
  <c r="DI179" i="21" s="1"/>
  <c r="DJ48" i="21"/>
  <c r="DI55" i="21"/>
  <c r="DI58" i="21" s="1"/>
  <c r="DJ138" i="21"/>
  <c r="DJ157" i="21"/>
  <c r="DJ158" i="21"/>
  <c r="DJ165" i="21" s="1"/>
  <c r="DK149" i="21"/>
  <c r="DK162" i="21"/>
  <c r="DJ142" i="21"/>
  <c r="DJ139" i="21"/>
  <c r="DK75" i="21"/>
  <c r="DK82" i="21" s="1"/>
  <c r="DI66" i="21"/>
  <c r="DJ47" i="21"/>
  <c r="DJ49" i="21" s="1"/>
  <c r="DJ50" i="21" s="1"/>
  <c r="DJ172" i="21" s="1"/>
  <c r="HC63" i="21"/>
  <c r="HB64" i="21"/>
  <c r="HB176" i="21" s="1"/>
  <c r="DJ113" i="21"/>
  <c r="DJ83" i="21"/>
  <c r="DJ170" i="21" s="1"/>
  <c r="DK77" i="21"/>
  <c r="DK74" i="21"/>
  <c r="DK87" i="21" s="1"/>
  <c r="DK88" i="21" s="1"/>
  <c r="DK106" i="21"/>
  <c r="DK103" i="21"/>
  <c r="DK117" i="21" s="1"/>
  <c r="DK118" i="21" s="1"/>
  <c r="DK104" i="21"/>
  <c r="DK102" i="21"/>
  <c r="DK110" i="21" s="1"/>
  <c r="DK15" i="21"/>
  <c r="DL11" i="21"/>
  <c r="DK7" i="21"/>
  <c r="DI11" i="10"/>
  <c r="DH7" i="10"/>
  <c r="IZ14" i="26" l="1"/>
  <c r="JA10" i="26"/>
  <c r="IZ6" i="26"/>
  <c r="DK109" i="21"/>
  <c r="DJ171" i="21"/>
  <c r="DJ173" i="21" s="1"/>
  <c r="DJ179" i="21" s="1"/>
  <c r="DJ144" i="21"/>
  <c r="DJ152" i="21" s="1"/>
  <c r="DJ96" i="21"/>
  <c r="DJ97" i="21" s="1"/>
  <c r="DK95" i="21" s="1"/>
  <c r="HD63" i="21"/>
  <c r="HC64" i="21"/>
  <c r="HC176" i="21" s="1"/>
  <c r="DJ55" i="21"/>
  <c r="DJ58" i="21" s="1"/>
  <c r="DK48" i="21"/>
  <c r="DK80" i="21"/>
  <c r="DJ59" i="21"/>
  <c r="DJ61" i="21" s="1"/>
  <c r="DK91" i="21"/>
  <c r="DK92" i="21" s="1"/>
  <c r="DK76" i="21"/>
  <c r="DJ126" i="21"/>
  <c r="DJ127" i="21" s="1"/>
  <c r="DK125" i="21" s="1"/>
  <c r="DK112" i="21"/>
  <c r="DK121" i="21"/>
  <c r="DK122" i="21" s="1"/>
  <c r="DK141" i="21" s="1"/>
  <c r="DK105" i="21"/>
  <c r="DK111" i="21" s="1"/>
  <c r="DK140" i="21" s="1"/>
  <c r="DL13" i="21"/>
  <c r="DL5" i="21" s="1"/>
  <c r="DL12" i="21"/>
  <c r="DL132" i="21" s="1"/>
  <c r="DL14" i="21"/>
  <c r="DL6" i="21" s="1"/>
  <c r="DI12" i="10"/>
  <c r="DI15" i="10" s="1"/>
  <c r="DI13" i="10"/>
  <c r="DI5" i="10" s="1"/>
  <c r="DI14" i="10"/>
  <c r="DI6" i="10" s="1"/>
  <c r="JA12" i="26" l="1"/>
  <c r="JA4" i="26" s="1"/>
  <c r="JA13" i="26"/>
  <c r="JA5" i="26" s="1"/>
  <c r="JA11" i="26"/>
  <c r="DK138" i="21"/>
  <c r="DL149" i="21"/>
  <c r="DL162" i="21"/>
  <c r="DK157" i="21"/>
  <c r="DK142" i="21"/>
  <c r="DK139" i="21"/>
  <c r="DJ66" i="21"/>
  <c r="HE63" i="21"/>
  <c r="HD64" i="21"/>
  <c r="HD176" i="21" s="1"/>
  <c r="DK113" i="21"/>
  <c r="DK81" i="21"/>
  <c r="DL77" i="21"/>
  <c r="DL74" i="21"/>
  <c r="DL87" i="21" s="1"/>
  <c r="DL88" i="21" s="1"/>
  <c r="DL75" i="21"/>
  <c r="DL106" i="21"/>
  <c r="DL103" i="21"/>
  <c r="DL117" i="21" s="1"/>
  <c r="DL118" i="21" s="1"/>
  <c r="DL104" i="21"/>
  <c r="DL102" i="21"/>
  <c r="DL110" i="21" s="1"/>
  <c r="DM11" i="21"/>
  <c r="DL7" i="21"/>
  <c r="DL15" i="21"/>
  <c r="DJ11" i="10"/>
  <c r="DI7" i="10"/>
  <c r="JA14" i="26" l="1"/>
  <c r="JB10" i="26"/>
  <c r="JA6" i="26"/>
  <c r="DL109" i="21"/>
  <c r="DK171" i="21"/>
  <c r="DK158" i="21"/>
  <c r="DK165" i="21" s="1"/>
  <c r="DK47" i="21"/>
  <c r="DK49" i="21" s="1"/>
  <c r="DK50" i="21" s="1"/>
  <c r="DK172" i="21" s="1"/>
  <c r="DK137" i="21"/>
  <c r="HF63" i="21"/>
  <c r="HE64" i="21"/>
  <c r="HE176" i="21" s="1"/>
  <c r="DK83" i="21"/>
  <c r="DK170" i="21" s="1"/>
  <c r="DK96" i="21"/>
  <c r="DK97" i="21" s="1"/>
  <c r="DL95" i="21" s="1"/>
  <c r="DL82" i="21"/>
  <c r="DL76" i="21"/>
  <c r="DL81" i="21" s="1"/>
  <c r="DL137" i="21" s="1"/>
  <c r="DK126" i="21"/>
  <c r="DK127" i="21" s="1"/>
  <c r="DL125" i="21" s="1"/>
  <c r="DL112" i="21"/>
  <c r="DL105" i="21"/>
  <c r="DL111" i="21" s="1"/>
  <c r="DL140" i="21" s="1"/>
  <c r="DL121" i="21"/>
  <c r="DL122" i="21" s="1"/>
  <c r="DL141" i="21" s="1"/>
  <c r="DM13" i="21"/>
  <c r="DM5" i="21" s="1"/>
  <c r="DM14" i="21"/>
  <c r="DM6" i="21" s="1"/>
  <c r="DM12" i="21"/>
  <c r="DM132" i="21" s="1"/>
  <c r="DJ12" i="10"/>
  <c r="DJ15" i="10" s="1"/>
  <c r="DJ13" i="10"/>
  <c r="DJ5" i="10" s="1"/>
  <c r="DJ14" i="10"/>
  <c r="DJ6" i="10" s="1"/>
  <c r="JB13" i="26" l="1"/>
  <c r="JB5" i="26" s="1"/>
  <c r="JB12" i="26"/>
  <c r="JB4" i="26" s="1"/>
  <c r="JB11" i="26"/>
  <c r="DK173" i="21"/>
  <c r="DK179" i="21" s="1"/>
  <c r="DL80" i="21"/>
  <c r="DL91" i="21" s="1"/>
  <c r="DL92" i="21" s="1"/>
  <c r="DL138" i="21" s="1"/>
  <c r="DL157" i="21" s="1"/>
  <c r="DL158" i="21" s="1"/>
  <c r="DL165" i="21" s="1"/>
  <c r="DK59" i="21"/>
  <c r="DK61" i="21" s="1"/>
  <c r="DM149" i="21"/>
  <c r="DM162" i="21"/>
  <c r="DK144" i="21"/>
  <c r="DK152" i="21" s="1"/>
  <c r="DL142" i="21"/>
  <c r="DL139" i="21"/>
  <c r="DL47" i="21"/>
  <c r="HG63" i="21"/>
  <c r="HF64" i="21"/>
  <c r="HF176" i="21" s="1"/>
  <c r="DK55" i="21"/>
  <c r="DK58" i="21" s="1"/>
  <c r="DK66" i="21" s="1"/>
  <c r="DL48" i="21"/>
  <c r="DL113" i="21"/>
  <c r="DL83" i="21"/>
  <c r="DL170" i="21" s="1"/>
  <c r="DM104" i="21"/>
  <c r="DM112" i="21" s="1"/>
  <c r="DM77" i="21"/>
  <c r="DM74" i="21"/>
  <c r="DM87" i="21" s="1"/>
  <c r="DM88" i="21" s="1"/>
  <c r="DM75" i="21"/>
  <c r="DM102" i="21"/>
  <c r="DM110" i="21" s="1"/>
  <c r="DM106" i="21"/>
  <c r="DM103" i="21"/>
  <c r="DM117" i="21" s="1"/>
  <c r="DM118" i="21" s="1"/>
  <c r="DM15" i="21"/>
  <c r="DN11" i="21"/>
  <c r="DM7" i="21"/>
  <c r="DJ7" i="10"/>
  <c r="DK11" i="10"/>
  <c r="JB14" i="26" l="1"/>
  <c r="JB6" i="26"/>
  <c r="JC10" i="26"/>
  <c r="DM109" i="21"/>
  <c r="DM121" i="21" s="1"/>
  <c r="DM122" i="21" s="1"/>
  <c r="DM141" i="21" s="1"/>
  <c r="DL171" i="21"/>
  <c r="DL49" i="21"/>
  <c r="DL144" i="21"/>
  <c r="DL152" i="21" s="1"/>
  <c r="DM142" i="21"/>
  <c r="DM139" i="21"/>
  <c r="DL50" i="21"/>
  <c r="HH63" i="21"/>
  <c r="HG64" i="21"/>
  <c r="HG176" i="21" s="1"/>
  <c r="DL126" i="21"/>
  <c r="DL127" i="21" s="1"/>
  <c r="DM125" i="21" s="1"/>
  <c r="DM80" i="21"/>
  <c r="DM91" i="21" s="1"/>
  <c r="DM92" i="21" s="1"/>
  <c r="DL59" i="21"/>
  <c r="DL61" i="21" s="1"/>
  <c r="DL96" i="21"/>
  <c r="DL97" i="21" s="1"/>
  <c r="DM95" i="21" s="1"/>
  <c r="DM82" i="21"/>
  <c r="DM76" i="21"/>
  <c r="DM81" i="21" s="1"/>
  <c r="DM137" i="21" s="1"/>
  <c r="DM105" i="21"/>
  <c r="DM111" i="21" s="1"/>
  <c r="DN14" i="21"/>
  <c r="DN6" i="21" s="1"/>
  <c r="DN13" i="21"/>
  <c r="DN5" i="21" s="1"/>
  <c r="DN12" i="21"/>
  <c r="DN132" i="21" s="1"/>
  <c r="DK13" i="10"/>
  <c r="DK5" i="10" s="1"/>
  <c r="DK14" i="10"/>
  <c r="DK6" i="10" s="1"/>
  <c r="DK12" i="10"/>
  <c r="DK15" i="10" s="1"/>
  <c r="JC13" i="26" l="1"/>
  <c r="JC5" i="26" s="1"/>
  <c r="JC11" i="26"/>
  <c r="JC12" i="26"/>
  <c r="JC4" i="26" s="1"/>
  <c r="DM138" i="21"/>
  <c r="DL55" i="21"/>
  <c r="DL58" i="21" s="1"/>
  <c r="DL172" i="21"/>
  <c r="DL173" i="21" s="1"/>
  <c r="DL179" i="21" s="1"/>
  <c r="DM157" i="21"/>
  <c r="DN149" i="21"/>
  <c r="DN162" i="21"/>
  <c r="DM113" i="21"/>
  <c r="DM140" i="21"/>
  <c r="DN75" i="21"/>
  <c r="DN82" i="21" s="1"/>
  <c r="DM47" i="21"/>
  <c r="DL66" i="21"/>
  <c r="DM48" i="21"/>
  <c r="HI63" i="21"/>
  <c r="HH64" i="21"/>
  <c r="HH176" i="21" s="1"/>
  <c r="DM83" i="21"/>
  <c r="DM170" i="21" s="1"/>
  <c r="DN102" i="21"/>
  <c r="DN110" i="21" s="1"/>
  <c r="DN77" i="21"/>
  <c r="DN74" i="21"/>
  <c r="DN87" i="21" s="1"/>
  <c r="DN88" i="21" s="1"/>
  <c r="DN104" i="21"/>
  <c r="DN106" i="21"/>
  <c r="DN103" i="21"/>
  <c r="DN117" i="21" s="1"/>
  <c r="DN118" i="21" s="1"/>
  <c r="DO11" i="21"/>
  <c r="DN15" i="21"/>
  <c r="DN7" i="21"/>
  <c r="DK7" i="10"/>
  <c r="DL11" i="10"/>
  <c r="JC14" i="26" l="1"/>
  <c r="JD10" i="26"/>
  <c r="JC6" i="26"/>
  <c r="DM144" i="21"/>
  <c r="DM152" i="21" s="1"/>
  <c r="DN109" i="21"/>
  <c r="DM171" i="21"/>
  <c r="DM158" i="21"/>
  <c r="DM165" i="21" s="1"/>
  <c r="DM49" i="21"/>
  <c r="DM50" i="21" s="1"/>
  <c r="DM172" i="21" s="1"/>
  <c r="DM96" i="21"/>
  <c r="DM97" i="21" s="1"/>
  <c r="DN95" i="21" s="1"/>
  <c r="HJ63" i="21"/>
  <c r="HI64" i="21"/>
  <c r="HI176" i="21" s="1"/>
  <c r="DN80" i="21"/>
  <c r="DM59" i="21"/>
  <c r="DM61" i="21" s="1"/>
  <c r="DN91" i="21"/>
  <c r="DN92" i="21" s="1"/>
  <c r="DN76" i="21"/>
  <c r="DN121" i="21"/>
  <c r="DN122" i="21" s="1"/>
  <c r="DN141" i="21" s="1"/>
  <c r="DN105" i="21"/>
  <c r="DN111" i="21" s="1"/>
  <c r="DN140" i="21" s="1"/>
  <c r="DM126" i="21"/>
  <c r="DM127" i="21" s="1"/>
  <c r="DN125" i="21" s="1"/>
  <c r="DN112" i="21"/>
  <c r="DO13" i="21"/>
  <c r="DO5" i="21" s="1"/>
  <c r="DO14" i="21"/>
  <c r="DO6" i="21" s="1"/>
  <c r="DO12" i="21"/>
  <c r="DO132" i="21" s="1"/>
  <c r="DL13" i="10"/>
  <c r="DL5" i="10" s="1"/>
  <c r="DL14" i="10"/>
  <c r="DL6" i="10" s="1"/>
  <c r="DL12" i="10"/>
  <c r="DL15" i="10" s="1"/>
  <c r="JD13" i="26" l="1"/>
  <c r="JD5" i="26" s="1"/>
  <c r="JD12" i="26"/>
  <c r="JD4" i="26" s="1"/>
  <c r="JD11" i="26"/>
  <c r="DM173" i="21"/>
  <c r="DM179" i="21" s="1"/>
  <c r="DN138" i="21"/>
  <c r="DN48" i="21"/>
  <c r="DM55" i="21"/>
  <c r="DM58" i="21" s="1"/>
  <c r="DN157" i="21"/>
  <c r="DO149" i="21"/>
  <c r="DO162" i="21"/>
  <c r="DN158" i="21"/>
  <c r="DN165" i="21" s="1"/>
  <c r="DN139" i="21"/>
  <c r="DN142" i="21"/>
  <c r="DO75" i="21"/>
  <c r="DO82" i="21" s="1"/>
  <c r="DM66" i="21"/>
  <c r="HK63" i="21"/>
  <c r="HJ64" i="21"/>
  <c r="HJ176" i="21" s="1"/>
  <c r="DN113" i="21"/>
  <c r="DN81" i="21"/>
  <c r="DO77" i="21"/>
  <c r="DO74" i="21"/>
  <c r="DO87" i="21" s="1"/>
  <c r="DO88" i="21" s="1"/>
  <c r="DO106" i="21"/>
  <c r="DO103" i="21"/>
  <c r="DO117" i="21" s="1"/>
  <c r="DO118" i="21" s="1"/>
  <c r="DO104" i="21"/>
  <c r="DO102" i="21"/>
  <c r="DO110" i="21" s="1"/>
  <c r="DP11" i="21"/>
  <c r="DO15" i="21"/>
  <c r="DO7" i="21"/>
  <c r="DL7" i="10"/>
  <c r="DM11" i="10"/>
  <c r="JD14" i="26" l="1"/>
  <c r="JE10" i="26"/>
  <c r="JD6" i="26"/>
  <c r="DO109" i="21"/>
  <c r="DN171" i="21"/>
  <c r="DN96" i="21"/>
  <c r="DN97" i="21" s="1"/>
  <c r="DO95" i="21" s="1"/>
  <c r="DN47" i="21"/>
  <c r="DN49" i="21" s="1"/>
  <c r="DN50" i="21" s="1"/>
  <c r="DN172" i="21" s="1"/>
  <c r="DN137" i="21"/>
  <c r="HL63" i="21"/>
  <c r="HK64" i="21"/>
  <c r="HK176" i="21" s="1"/>
  <c r="DN83" i="21"/>
  <c r="DN170" i="21" s="1"/>
  <c r="DO76" i="21"/>
  <c r="DO112" i="21"/>
  <c r="DN126" i="21"/>
  <c r="DN127" i="21" s="1"/>
  <c r="DO125" i="21" s="1"/>
  <c r="DO121" i="21"/>
  <c r="DO122" i="21" s="1"/>
  <c r="DO141" i="21" s="1"/>
  <c r="DO105" i="21"/>
  <c r="DO111" i="21" s="1"/>
  <c r="DO140" i="21" s="1"/>
  <c r="DP14" i="21"/>
  <c r="DP6" i="21" s="1"/>
  <c r="DP12" i="21"/>
  <c r="DP132" i="21" s="1"/>
  <c r="DP13" i="21"/>
  <c r="DP5" i="21" s="1"/>
  <c r="DM13" i="10"/>
  <c r="DM5" i="10" s="1"/>
  <c r="DM14" i="10"/>
  <c r="DM6" i="10" s="1"/>
  <c r="DM12" i="10"/>
  <c r="DM15" i="10" s="1"/>
  <c r="JE13" i="26" l="1"/>
  <c r="JE5" i="26" s="1"/>
  <c r="JE12" i="26"/>
  <c r="JE4" i="26" s="1"/>
  <c r="JE11" i="26"/>
  <c r="DN173" i="21"/>
  <c r="DN179" i="21" s="1"/>
  <c r="DN59" i="21"/>
  <c r="DN61" i="21" s="1"/>
  <c r="DO80" i="21"/>
  <c r="DO91" i="21" s="1"/>
  <c r="DO92" i="21" s="1"/>
  <c r="DO138" i="21" s="1"/>
  <c r="DO157" i="21" s="1"/>
  <c r="DP149" i="21"/>
  <c r="DP162" i="21"/>
  <c r="DN144" i="21"/>
  <c r="DN152" i="21" s="1"/>
  <c r="DO142" i="21"/>
  <c r="DO139" i="21"/>
  <c r="DP75" i="21"/>
  <c r="DO96" i="21" s="1"/>
  <c r="DO97" i="21" s="1"/>
  <c r="DP95" i="21" s="1"/>
  <c r="HM63" i="21"/>
  <c r="HL64" i="21"/>
  <c r="HL176" i="21" s="1"/>
  <c r="DN55" i="21"/>
  <c r="DN58" i="21" s="1"/>
  <c r="DN66" i="21" s="1"/>
  <c r="DO48" i="21"/>
  <c r="DO113" i="21"/>
  <c r="DO81" i="21"/>
  <c r="DP77" i="21"/>
  <c r="DP74" i="21"/>
  <c r="DP87" i="21" s="1"/>
  <c r="DP88" i="21" s="1"/>
  <c r="DP103" i="21"/>
  <c r="DP117" i="21" s="1"/>
  <c r="DP118" i="21" s="1"/>
  <c r="DP106" i="21"/>
  <c r="DP104" i="21"/>
  <c r="DP102" i="21"/>
  <c r="DP110" i="21" s="1"/>
  <c r="DQ11" i="21"/>
  <c r="DP7" i="21"/>
  <c r="DP15" i="21"/>
  <c r="DM7" i="10"/>
  <c r="DN11" i="10"/>
  <c r="JE14" i="26" l="1"/>
  <c r="JF10" i="26"/>
  <c r="JE6" i="26"/>
  <c r="DP109" i="21"/>
  <c r="DO171" i="21"/>
  <c r="DO158" i="21"/>
  <c r="DO165" i="21" s="1"/>
  <c r="DP82" i="21"/>
  <c r="DO47" i="21"/>
  <c r="DO49" i="21" s="1"/>
  <c r="DO50" i="21" s="1"/>
  <c r="DO172" i="21" s="1"/>
  <c r="DO137" i="21"/>
  <c r="HN63" i="21"/>
  <c r="HM64" i="21"/>
  <c r="HM176" i="21" s="1"/>
  <c r="DO83" i="21"/>
  <c r="DO170" i="21" s="1"/>
  <c r="DP80" i="21"/>
  <c r="DP91" i="21" s="1"/>
  <c r="DP92" i="21" s="1"/>
  <c r="DO59" i="21"/>
  <c r="DO61" i="21" s="1"/>
  <c r="DP76" i="21"/>
  <c r="DP112" i="21"/>
  <c r="DO126" i="21"/>
  <c r="DO127" i="21" s="1"/>
  <c r="DP125" i="21" s="1"/>
  <c r="DP121" i="21"/>
  <c r="DP122" i="21" s="1"/>
  <c r="DP141" i="21" s="1"/>
  <c r="DP105" i="21"/>
  <c r="DP111" i="21" s="1"/>
  <c r="DP140" i="21" s="1"/>
  <c r="DQ13" i="21"/>
  <c r="DQ5" i="21" s="1"/>
  <c r="DQ14" i="21"/>
  <c r="DQ6" i="21" s="1"/>
  <c r="DQ12" i="21"/>
  <c r="DQ132" i="21" s="1"/>
  <c r="DN13" i="10"/>
  <c r="DN5" i="10" s="1"/>
  <c r="DN14" i="10"/>
  <c r="DN6" i="10" s="1"/>
  <c r="DN12" i="10"/>
  <c r="DN15" i="10" s="1"/>
  <c r="JF12" i="26" l="1"/>
  <c r="JF4" i="26" s="1"/>
  <c r="JF11" i="26"/>
  <c r="JF13" i="26"/>
  <c r="JF5" i="26" s="1"/>
  <c r="DO173" i="21"/>
  <c r="DO179" i="21" s="1"/>
  <c r="DP138" i="21"/>
  <c r="DP157" i="21"/>
  <c r="DP158" i="21"/>
  <c r="DP165" i="21" s="1"/>
  <c r="DQ149" i="21"/>
  <c r="DQ162" i="21"/>
  <c r="DO144" i="21"/>
  <c r="DO152" i="21" s="1"/>
  <c r="DP139" i="21"/>
  <c r="DP142" i="21"/>
  <c r="HO63" i="21"/>
  <c r="HN64" i="21"/>
  <c r="HN176" i="21" s="1"/>
  <c r="DO55" i="21"/>
  <c r="DO58" i="21" s="1"/>
  <c r="DO66" i="21" s="1"/>
  <c r="DP48" i="21"/>
  <c r="DP113" i="21"/>
  <c r="DP81" i="21"/>
  <c r="DQ77" i="21"/>
  <c r="DQ74" i="21"/>
  <c r="DQ87" i="21" s="1"/>
  <c r="DQ88" i="21" s="1"/>
  <c r="DQ75" i="21"/>
  <c r="DQ103" i="21"/>
  <c r="DQ117" i="21" s="1"/>
  <c r="DQ118" i="21" s="1"/>
  <c r="DQ106" i="21"/>
  <c r="DQ104" i="21"/>
  <c r="DQ102" i="21"/>
  <c r="DQ110" i="21" s="1"/>
  <c r="DR11" i="21"/>
  <c r="DQ7" i="21"/>
  <c r="DQ15" i="21"/>
  <c r="DN7" i="10"/>
  <c r="DO11" i="10"/>
  <c r="JF14" i="26" l="1"/>
  <c r="JG10" i="26"/>
  <c r="JF6" i="26"/>
  <c r="DQ109" i="21"/>
  <c r="DP171" i="21"/>
  <c r="DP47" i="21"/>
  <c r="DP137" i="21"/>
  <c r="HP63" i="21"/>
  <c r="HO64" i="21"/>
  <c r="HO176" i="21" s="1"/>
  <c r="DP83" i="21"/>
  <c r="DP170" i="21" s="1"/>
  <c r="DP49" i="21"/>
  <c r="DP50" i="21" s="1"/>
  <c r="DP172" i="21" s="1"/>
  <c r="DP96" i="21"/>
  <c r="DP97" i="21" s="1"/>
  <c r="DQ95" i="21" s="1"/>
  <c r="DQ82" i="21"/>
  <c r="DQ76" i="21"/>
  <c r="DQ81" i="21" s="1"/>
  <c r="DQ137" i="21" s="1"/>
  <c r="DP126" i="21"/>
  <c r="DP127" i="21" s="1"/>
  <c r="DQ125" i="21" s="1"/>
  <c r="DQ112" i="21"/>
  <c r="DQ121" i="21"/>
  <c r="DQ122" i="21" s="1"/>
  <c r="DQ141" i="21" s="1"/>
  <c r="DQ105" i="21"/>
  <c r="DQ111" i="21" s="1"/>
  <c r="DQ140" i="21" s="1"/>
  <c r="DR14" i="21"/>
  <c r="DR6" i="21" s="1"/>
  <c r="DR13" i="21"/>
  <c r="DR5" i="21" s="1"/>
  <c r="DR12" i="21"/>
  <c r="DR132" i="21" s="1"/>
  <c r="DO13" i="10"/>
  <c r="DO5" i="10" s="1"/>
  <c r="DO14" i="10"/>
  <c r="DO6" i="10" s="1"/>
  <c r="DO12" i="10"/>
  <c r="DO15" i="10" s="1"/>
  <c r="JG12" i="26" l="1"/>
  <c r="JG4" i="26" s="1"/>
  <c r="JG13" i="26"/>
  <c r="JG5" i="26" s="1"/>
  <c r="JG11" i="26"/>
  <c r="DP59" i="21"/>
  <c r="DP61" i="21" s="1"/>
  <c r="DP173" i="21"/>
  <c r="DP179" i="21" s="1"/>
  <c r="DQ80" i="21"/>
  <c r="DQ91" i="21" s="1"/>
  <c r="DQ92" i="21" s="1"/>
  <c r="DQ138" i="21" s="1"/>
  <c r="DQ157" i="21" s="1"/>
  <c r="DR149" i="21"/>
  <c r="DR162" i="21"/>
  <c r="DP144" i="21"/>
  <c r="DP152" i="21" s="1"/>
  <c r="DQ139" i="21"/>
  <c r="DQ142" i="21"/>
  <c r="DQ47" i="21"/>
  <c r="HQ63" i="21"/>
  <c r="HP64" i="21"/>
  <c r="HP176" i="21" s="1"/>
  <c r="DQ48" i="21"/>
  <c r="DP55" i="21"/>
  <c r="DP58" i="21" s="1"/>
  <c r="DP66" i="21" s="1"/>
  <c r="DQ113" i="21"/>
  <c r="DR77" i="21"/>
  <c r="DR74" i="21"/>
  <c r="DR87" i="21" s="1"/>
  <c r="DR88" i="21" s="1"/>
  <c r="DR75" i="21"/>
  <c r="DR103" i="21"/>
  <c r="DR117" i="21" s="1"/>
  <c r="DR118" i="21" s="1"/>
  <c r="DR106" i="21"/>
  <c r="DR104" i="21"/>
  <c r="DR102" i="21"/>
  <c r="DR110" i="21" s="1"/>
  <c r="DS11" i="21"/>
  <c r="DR15" i="21"/>
  <c r="DR7" i="21"/>
  <c r="DP11" i="10"/>
  <c r="DO7" i="10"/>
  <c r="JG14" i="26" l="1"/>
  <c r="JH10" i="26"/>
  <c r="JG6" i="26"/>
  <c r="DQ144" i="21"/>
  <c r="DQ152" i="21" s="1"/>
  <c r="DQ83" i="21"/>
  <c r="DQ170" i="21" s="1"/>
  <c r="DR109" i="21"/>
  <c r="DR121" i="21" s="1"/>
  <c r="DR122" i="21" s="1"/>
  <c r="DR141" i="21" s="1"/>
  <c r="DQ171" i="21"/>
  <c r="DQ158" i="21"/>
  <c r="DQ165" i="21" s="1"/>
  <c r="DQ49" i="21"/>
  <c r="DQ50" i="21" s="1"/>
  <c r="DQ172" i="21" s="1"/>
  <c r="HR63" i="21"/>
  <c r="HQ64" i="21"/>
  <c r="HQ176" i="21" s="1"/>
  <c r="DQ96" i="21"/>
  <c r="DQ97" i="21" s="1"/>
  <c r="DR95" i="21" s="1"/>
  <c r="DR82" i="21"/>
  <c r="DR76" i="21"/>
  <c r="DR81" i="21" s="1"/>
  <c r="DR137" i="21" s="1"/>
  <c r="DQ126" i="21"/>
  <c r="DQ127" i="21" s="1"/>
  <c r="DR125" i="21" s="1"/>
  <c r="DR112" i="21"/>
  <c r="DR105" i="21"/>
  <c r="DR111" i="21" s="1"/>
  <c r="DR140" i="21" s="1"/>
  <c r="DS14" i="21"/>
  <c r="DS6" i="21" s="1"/>
  <c r="DS13" i="21"/>
  <c r="DS5" i="21" s="1"/>
  <c r="DS12" i="21"/>
  <c r="DS132" i="21" s="1"/>
  <c r="DP13" i="10"/>
  <c r="DP5" i="10" s="1"/>
  <c r="DP14" i="10"/>
  <c r="DP6" i="10" s="1"/>
  <c r="DP12" i="10"/>
  <c r="DP15" i="10" s="1"/>
  <c r="JH13" i="26" l="1"/>
  <c r="JH5" i="26" s="1"/>
  <c r="JH12" i="26"/>
  <c r="JH4" i="26" s="1"/>
  <c r="JH11" i="26"/>
  <c r="DQ59" i="21"/>
  <c r="DQ61" i="21" s="1"/>
  <c r="DQ173" i="21"/>
  <c r="DQ179" i="21" s="1"/>
  <c r="DR80" i="21"/>
  <c r="DR91" i="21" s="1"/>
  <c r="DR92" i="21" s="1"/>
  <c r="DR138" i="21" s="1"/>
  <c r="DR157" i="21" s="1"/>
  <c r="DR158" i="21" s="1"/>
  <c r="DR165" i="21" s="1"/>
  <c r="DR48" i="21"/>
  <c r="DQ55" i="21"/>
  <c r="DQ58" i="21" s="1"/>
  <c r="DQ66" i="21" s="1"/>
  <c r="DS149" i="21"/>
  <c r="DS162" i="21"/>
  <c r="DR142" i="21"/>
  <c r="DR139" i="21"/>
  <c r="DS75" i="21"/>
  <c r="DR96" i="21" s="1"/>
  <c r="DR97" i="21" s="1"/>
  <c r="DS95" i="21" s="1"/>
  <c r="DR47" i="21"/>
  <c r="HS63" i="21"/>
  <c r="HR64" i="21"/>
  <c r="HR176" i="21" s="1"/>
  <c r="DR113" i="21"/>
  <c r="DR83" i="21"/>
  <c r="DR170" i="21" s="1"/>
  <c r="DS77" i="21"/>
  <c r="DS74" i="21"/>
  <c r="DS87" i="21" s="1"/>
  <c r="DS88" i="21" s="1"/>
  <c r="DS106" i="21"/>
  <c r="DS103" i="21"/>
  <c r="DS117" i="21" s="1"/>
  <c r="DS118" i="21" s="1"/>
  <c r="DS104" i="21"/>
  <c r="DS102" i="21"/>
  <c r="DS110" i="21" s="1"/>
  <c r="DS15" i="21"/>
  <c r="DS7" i="21"/>
  <c r="DT11" i="21"/>
  <c r="DQ11" i="10"/>
  <c r="DP7" i="10"/>
  <c r="JH14" i="26" l="1"/>
  <c r="JI10" i="26"/>
  <c r="JH6" i="26"/>
  <c r="DS109" i="21"/>
  <c r="DS121" i="21" s="1"/>
  <c r="DS122" i="21" s="1"/>
  <c r="DS141" i="21" s="1"/>
  <c r="DR171" i="21"/>
  <c r="DR49" i="21"/>
  <c r="DR50" i="21" s="1"/>
  <c r="DR172" i="21" s="1"/>
  <c r="DR144" i="21"/>
  <c r="DR152" i="21" s="1"/>
  <c r="DS82" i="21"/>
  <c r="HT63" i="21"/>
  <c r="HS64" i="21"/>
  <c r="HS176" i="21" s="1"/>
  <c r="DS80" i="21"/>
  <c r="DS91" i="21" s="1"/>
  <c r="DS92" i="21" s="1"/>
  <c r="DR59" i="21"/>
  <c r="DR61" i="21" s="1"/>
  <c r="DS76" i="21"/>
  <c r="DR126" i="21"/>
  <c r="DR127" i="21" s="1"/>
  <c r="DS125" i="21" s="1"/>
  <c r="DS112" i="21"/>
  <c r="DS105" i="21"/>
  <c r="DS111" i="21" s="1"/>
  <c r="DS140" i="21" s="1"/>
  <c r="DT12" i="21"/>
  <c r="DT132" i="21" s="1"/>
  <c r="DT14" i="21"/>
  <c r="DT6" i="21" s="1"/>
  <c r="DT13" i="21"/>
  <c r="DT5" i="21" s="1"/>
  <c r="DQ14" i="10"/>
  <c r="DQ6" i="10" s="1"/>
  <c r="DQ12" i="10"/>
  <c r="DQ15" i="10" s="1"/>
  <c r="DQ13" i="10"/>
  <c r="DQ5" i="10" s="1"/>
  <c r="JI12" i="26" l="1"/>
  <c r="JI4" i="26" s="1"/>
  <c r="JI11" i="26"/>
  <c r="JI13" i="26"/>
  <c r="JI5" i="26" s="1"/>
  <c r="DR173" i="21"/>
  <c r="DR179" i="21" s="1"/>
  <c r="DS48" i="21"/>
  <c r="DR55" i="21"/>
  <c r="DR58" i="21" s="1"/>
  <c r="DR66" i="21" s="1"/>
  <c r="DS138" i="21"/>
  <c r="DT149" i="21"/>
  <c r="DT162" i="21"/>
  <c r="DS157" i="21"/>
  <c r="DS139" i="21"/>
  <c r="DS142" i="21"/>
  <c r="HU63" i="21"/>
  <c r="HT64" i="21"/>
  <c r="HT176" i="21" s="1"/>
  <c r="DS113" i="21"/>
  <c r="DS81" i="21"/>
  <c r="DT104" i="21"/>
  <c r="DT112" i="21" s="1"/>
  <c r="DT77" i="21"/>
  <c r="DT74" i="21"/>
  <c r="DT87" i="21" s="1"/>
  <c r="DT88" i="21" s="1"/>
  <c r="DT102" i="21"/>
  <c r="DT110" i="21" s="1"/>
  <c r="DT75" i="21"/>
  <c r="DT106" i="21"/>
  <c r="DT103" i="21"/>
  <c r="DT117" i="21" s="1"/>
  <c r="DT118" i="21" s="1"/>
  <c r="DT15" i="21"/>
  <c r="DU11" i="21"/>
  <c r="DT7" i="21"/>
  <c r="DR11" i="10"/>
  <c r="DQ7" i="10"/>
  <c r="JI14" i="26" l="1"/>
  <c r="JJ10" i="26"/>
  <c r="JI6" i="26"/>
  <c r="DT109" i="21"/>
  <c r="DS171" i="21"/>
  <c r="DS158" i="21"/>
  <c r="DS165" i="21" s="1"/>
  <c r="DS47" i="21"/>
  <c r="DS49" i="21" s="1"/>
  <c r="DS50" i="21" s="1"/>
  <c r="DS172" i="21" s="1"/>
  <c r="DS137" i="21"/>
  <c r="DT139" i="21"/>
  <c r="DT142" i="21"/>
  <c r="HV63" i="21"/>
  <c r="HU64" i="21"/>
  <c r="HU176" i="21" s="1"/>
  <c r="DS83" i="21"/>
  <c r="DS170" i="21" s="1"/>
  <c r="DT80" i="21"/>
  <c r="DT91" i="21" s="1"/>
  <c r="DT92" i="21" s="1"/>
  <c r="DS59" i="21"/>
  <c r="DS61" i="21" s="1"/>
  <c r="DS126" i="21"/>
  <c r="DS127" i="21" s="1"/>
  <c r="DT125" i="21" s="1"/>
  <c r="DS96" i="21"/>
  <c r="DS97" i="21" s="1"/>
  <c r="DT95" i="21" s="1"/>
  <c r="DT82" i="21"/>
  <c r="DT76" i="21"/>
  <c r="DT81" i="21" s="1"/>
  <c r="DT137" i="21" s="1"/>
  <c r="DT105" i="21"/>
  <c r="DT111" i="21" s="1"/>
  <c r="DT121" i="21"/>
  <c r="DT122" i="21" s="1"/>
  <c r="DT141" i="21" s="1"/>
  <c r="DU14" i="21"/>
  <c r="DU6" i="21" s="1"/>
  <c r="DU12" i="21"/>
  <c r="DU132" i="21" s="1"/>
  <c r="DU13" i="21"/>
  <c r="DU5" i="21" s="1"/>
  <c r="DR14" i="10"/>
  <c r="DR6" i="10" s="1"/>
  <c r="DR12" i="10"/>
  <c r="DR15" i="10" s="1"/>
  <c r="DR13" i="10"/>
  <c r="DR5" i="10" s="1"/>
  <c r="JJ13" i="26" l="1"/>
  <c r="JJ5" i="26" s="1"/>
  <c r="JJ12" i="26"/>
  <c r="JJ4" i="26" s="1"/>
  <c r="JJ11" i="26"/>
  <c r="DS173" i="21"/>
  <c r="DS179" i="21" s="1"/>
  <c r="DT138" i="21"/>
  <c r="DT157" i="21" s="1"/>
  <c r="DT158" i="21"/>
  <c r="DT165" i="21" s="1"/>
  <c r="DU149" i="21"/>
  <c r="DU162" i="21"/>
  <c r="DS144" i="21"/>
  <c r="DS152" i="21" s="1"/>
  <c r="DT113" i="21"/>
  <c r="DT140" i="21"/>
  <c r="DT144" i="21" s="1"/>
  <c r="DT152" i="21" s="1"/>
  <c r="DT47" i="21"/>
  <c r="HW63" i="21"/>
  <c r="HV64" i="21"/>
  <c r="HV176" i="21" s="1"/>
  <c r="DS55" i="21"/>
  <c r="DS58" i="21" s="1"/>
  <c r="DS66" i="21" s="1"/>
  <c r="DT48" i="21"/>
  <c r="DT83" i="21"/>
  <c r="DT170" i="21" s="1"/>
  <c r="DU102" i="21"/>
  <c r="DU110" i="21" s="1"/>
  <c r="DU77" i="21"/>
  <c r="DU74" i="21"/>
  <c r="DU87" i="21" s="1"/>
  <c r="DU88" i="21" s="1"/>
  <c r="DU75" i="21"/>
  <c r="DU104" i="21"/>
  <c r="DU112" i="21" s="1"/>
  <c r="DU106" i="21"/>
  <c r="DU103" i="21"/>
  <c r="DU117" i="21" s="1"/>
  <c r="DU118" i="21" s="1"/>
  <c r="DU15" i="21"/>
  <c r="DV11" i="21"/>
  <c r="DU7" i="21"/>
  <c r="DS11" i="10"/>
  <c r="DR7" i="10"/>
  <c r="JJ14" i="26" l="1"/>
  <c r="JK10" i="26"/>
  <c r="JJ6" i="26"/>
  <c r="DU109" i="21"/>
  <c r="DT171" i="21"/>
  <c r="DT49" i="21"/>
  <c r="DU142" i="21"/>
  <c r="DU139" i="21"/>
  <c r="DT50" i="21"/>
  <c r="DT172" i="21" s="1"/>
  <c r="HX63" i="21"/>
  <c r="HW64" i="21"/>
  <c r="HW176" i="21" s="1"/>
  <c r="DU80" i="21"/>
  <c r="DU91" i="21" s="1"/>
  <c r="DU92" i="21" s="1"/>
  <c r="DT59" i="21"/>
  <c r="DT61" i="21" s="1"/>
  <c r="DT126" i="21"/>
  <c r="DT127" i="21" s="1"/>
  <c r="DU125" i="21" s="1"/>
  <c r="DT96" i="21"/>
  <c r="DT97" i="21" s="1"/>
  <c r="DU95" i="21" s="1"/>
  <c r="DU82" i="21"/>
  <c r="DU76" i="21"/>
  <c r="DU81" i="21" s="1"/>
  <c r="DU137" i="21" s="1"/>
  <c r="DU121" i="21"/>
  <c r="DU122" i="21" s="1"/>
  <c r="DU141" i="21" s="1"/>
  <c r="DU105" i="21"/>
  <c r="DU111" i="21" s="1"/>
  <c r="DV12" i="21"/>
  <c r="DV132" i="21" s="1"/>
  <c r="DV13" i="21"/>
  <c r="DV5" i="21" s="1"/>
  <c r="DV14" i="21"/>
  <c r="DV6" i="21" s="1"/>
  <c r="DS14" i="10"/>
  <c r="DS6" i="10" s="1"/>
  <c r="DS12" i="10"/>
  <c r="DS15" i="10" s="1"/>
  <c r="DS13" i="10"/>
  <c r="DS5" i="10" s="1"/>
  <c r="JK13" i="26" l="1"/>
  <c r="JK5" i="26" s="1"/>
  <c r="JK12" i="26"/>
  <c r="JK4" i="26" s="1"/>
  <c r="JK11" i="26"/>
  <c r="DT173" i="21"/>
  <c r="DT179" i="21" s="1"/>
  <c r="DU48" i="21"/>
  <c r="DT55" i="21"/>
  <c r="DT58" i="21" s="1"/>
  <c r="DU138" i="21"/>
  <c r="DU157" i="21"/>
  <c r="DV149" i="21"/>
  <c r="DV162" i="21"/>
  <c r="DU113" i="21"/>
  <c r="DU140" i="21"/>
  <c r="DU47" i="21"/>
  <c r="DT66" i="21"/>
  <c r="HY63" i="21"/>
  <c r="HX64" i="21"/>
  <c r="HX176" i="21" s="1"/>
  <c r="DU49" i="21"/>
  <c r="DU50" i="21" s="1"/>
  <c r="DU172" i="21" s="1"/>
  <c r="DU83" i="21"/>
  <c r="DU170" i="21" s="1"/>
  <c r="DV104" i="21"/>
  <c r="DU126" i="21" s="1"/>
  <c r="DU127" i="21" s="1"/>
  <c r="DV77" i="21"/>
  <c r="DV74" i="21"/>
  <c r="DV87" i="21" s="1"/>
  <c r="DV88" i="21" s="1"/>
  <c r="DV75" i="21"/>
  <c r="DV102" i="21"/>
  <c r="DV110" i="21" s="1"/>
  <c r="DV106" i="21"/>
  <c r="DV103" i="21"/>
  <c r="DV117" i="21" s="1"/>
  <c r="DV118" i="21" s="1"/>
  <c r="DW11" i="21"/>
  <c r="DV15" i="21"/>
  <c r="DV7" i="21"/>
  <c r="DT11" i="10"/>
  <c r="DS7" i="10"/>
  <c r="JK14" i="26" l="1"/>
  <c r="JL10" i="26"/>
  <c r="JK6" i="26"/>
  <c r="DU144" i="21"/>
  <c r="DU152" i="21" s="1"/>
  <c r="DV109" i="21"/>
  <c r="DU171" i="21"/>
  <c r="DU173" i="21" s="1"/>
  <c r="DU179" i="21" s="1"/>
  <c r="DU158" i="21"/>
  <c r="DU165" i="21" s="1"/>
  <c r="HZ63" i="21"/>
  <c r="HY64" i="21"/>
  <c r="HY176" i="21" s="1"/>
  <c r="DV125" i="21"/>
  <c r="DU55" i="21"/>
  <c r="DU58" i="21" s="1"/>
  <c r="DV48" i="21"/>
  <c r="DV112" i="21"/>
  <c r="DV80" i="21"/>
  <c r="DV91" i="21" s="1"/>
  <c r="DV92" i="21" s="1"/>
  <c r="DU59" i="21"/>
  <c r="DU61" i="21" s="1"/>
  <c r="DU96" i="21"/>
  <c r="DU97" i="21" s="1"/>
  <c r="DV95" i="21" s="1"/>
  <c r="DV82" i="21"/>
  <c r="DV76" i="21"/>
  <c r="DV81" i="21" s="1"/>
  <c r="DV137" i="21" s="1"/>
  <c r="DV121" i="21"/>
  <c r="DV122" i="21" s="1"/>
  <c r="DV141" i="21" s="1"/>
  <c r="DV105" i="21"/>
  <c r="DV111" i="21" s="1"/>
  <c r="DW14" i="21"/>
  <c r="DW6" i="21" s="1"/>
  <c r="DW12" i="21"/>
  <c r="DW132" i="21" s="1"/>
  <c r="DW13" i="21"/>
  <c r="DW5" i="21" s="1"/>
  <c r="DT14" i="10"/>
  <c r="DT6" i="10" s="1"/>
  <c r="DT12" i="10"/>
  <c r="DT15" i="10" s="1"/>
  <c r="DT13" i="10"/>
  <c r="DT5" i="10" s="1"/>
  <c r="JL13" i="26" l="1"/>
  <c r="JL5" i="26" s="1"/>
  <c r="JL12" i="26"/>
  <c r="JL4" i="26" s="1"/>
  <c r="JL11" i="26"/>
  <c r="DV138" i="21"/>
  <c r="DV157" i="21"/>
  <c r="DV158" i="21"/>
  <c r="DV165" i="21" s="1"/>
  <c r="DW149" i="21"/>
  <c r="DW162" i="21"/>
  <c r="DV113" i="21"/>
  <c r="DV140" i="21"/>
  <c r="DV142" i="21"/>
  <c r="DV139" i="21"/>
  <c r="DU66" i="21"/>
  <c r="DV47" i="21"/>
  <c r="DV49" i="21" s="1"/>
  <c r="DV50" i="21" s="1"/>
  <c r="DV172" i="21" s="1"/>
  <c r="IA63" i="21"/>
  <c r="HZ64" i="21"/>
  <c r="HZ176" i="21" s="1"/>
  <c r="DV83" i="21"/>
  <c r="DV170" i="21" s="1"/>
  <c r="DW104" i="21"/>
  <c r="DW112" i="21" s="1"/>
  <c r="DW77" i="21"/>
  <c r="DW74" i="21"/>
  <c r="DW87" i="21" s="1"/>
  <c r="DW88" i="21" s="1"/>
  <c r="DW75" i="21"/>
  <c r="DW106" i="21"/>
  <c r="DW103" i="21"/>
  <c r="DW117" i="21" s="1"/>
  <c r="DW118" i="21" s="1"/>
  <c r="DW102" i="21"/>
  <c r="DW110" i="21" s="1"/>
  <c r="DW15" i="21"/>
  <c r="DX11" i="21"/>
  <c r="DW7" i="21"/>
  <c r="DU11" i="10"/>
  <c r="DT7" i="10"/>
  <c r="JL14" i="26" l="1"/>
  <c r="JM10" i="26"/>
  <c r="JL6" i="26"/>
  <c r="DW109" i="21"/>
  <c r="DV171" i="21"/>
  <c r="DV173" i="21" s="1"/>
  <c r="DV179" i="21" s="1"/>
  <c r="DV144" i="21"/>
  <c r="DV152" i="21" s="1"/>
  <c r="DW142" i="21"/>
  <c r="DW139" i="21"/>
  <c r="IB63" i="21"/>
  <c r="IA64" i="21"/>
  <c r="IA176" i="21" s="1"/>
  <c r="DV55" i="21"/>
  <c r="DV58" i="21" s="1"/>
  <c r="DW48" i="21"/>
  <c r="DV126" i="21"/>
  <c r="DV127" i="21" s="1"/>
  <c r="DW125" i="21" s="1"/>
  <c r="DW80" i="21"/>
  <c r="DW91" i="21" s="1"/>
  <c r="DW92" i="21" s="1"/>
  <c r="DV59" i="21"/>
  <c r="DV61" i="21" s="1"/>
  <c r="DV96" i="21"/>
  <c r="DV97" i="21" s="1"/>
  <c r="DW95" i="21" s="1"/>
  <c r="DW82" i="21"/>
  <c r="DW76" i="21"/>
  <c r="DW81" i="21" s="1"/>
  <c r="DW137" i="21" s="1"/>
  <c r="DW121" i="21"/>
  <c r="DW122" i="21" s="1"/>
  <c r="DW141" i="21" s="1"/>
  <c r="DW105" i="21"/>
  <c r="DW111" i="21" s="1"/>
  <c r="DX13" i="21"/>
  <c r="DX5" i="21" s="1"/>
  <c r="DX14" i="21"/>
  <c r="DX6" i="21" s="1"/>
  <c r="DX12" i="21"/>
  <c r="DX132" i="21" s="1"/>
  <c r="DU14" i="10"/>
  <c r="DU6" i="10" s="1"/>
  <c r="DU13" i="10"/>
  <c r="DU5" i="10" s="1"/>
  <c r="DU12" i="10"/>
  <c r="DU15" i="10" s="1"/>
  <c r="JM13" i="26" l="1"/>
  <c r="JM5" i="26" s="1"/>
  <c r="JM12" i="26"/>
  <c r="JM4" i="26" s="1"/>
  <c r="JM11" i="26"/>
  <c r="DW138" i="21"/>
  <c r="DX149" i="21"/>
  <c r="DX162" i="21"/>
  <c r="DW157" i="21"/>
  <c r="DW113" i="21"/>
  <c r="DW140" i="21"/>
  <c r="DW144" i="21" s="1"/>
  <c r="DW152" i="21" s="1"/>
  <c r="DX75" i="21"/>
  <c r="DX82" i="21" s="1"/>
  <c r="DV66" i="21"/>
  <c r="DW47" i="21"/>
  <c r="IC63" i="21"/>
  <c r="IB64" i="21"/>
  <c r="IB176" i="21" s="1"/>
  <c r="DW49" i="21"/>
  <c r="DW50" i="21" s="1"/>
  <c r="DW172" i="21" s="1"/>
  <c r="DW83" i="21"/>
  <c r="DW170" i="21" s="1"/>
  <c r="DX77" i="21"/>
  <c r="DX74" i="21"/>
  <c r="DX87" i="21" s="1"/>
  <c r="DX88" i="21" s="1"/>
  <c r="DX106" i="21"/>
  <c r="DX103" i="21"/>
  <c r="DX117" i="21" s="1"/>
  <c r="DX118" i="21" s="1"/>
  <c r="DX104" i="21"/>
  <c r="DX102" i="21"/>
  <c r="DX110" i="21" s="1"/>
  <c r="DX15" i="21"/>
  <c r="DY11" i="21"/>
  <c r="DX7" i="21"/>
  <c r="DV11" i="10"/>
  <c r="DU7" i="10"/>
  <c r="JM14" i="26" l="1"/>
  <c r="JN10" i="26"/>
  <c r="JM6" i="26"/>
  <c r="DX109" i="21"/>
  <c r="DX121" i="21" s="1"/>
  <c r="DX122" i="21" s="1"/>
  <c r="DX141" i="21" s="1"/>
  <c r="DW171" i="21"/>
  <c r="DW173" i="21" s="1"/>
  <c r="DW179" i="21" s="1"/>
  <c r="DW158" i="21"/>
  <c r="DW165" i="21" s="1"/>
  <c r="DW96" i="21"/>
  <c r="DW97" i="21" s="1"/>
  <c r="DX95" i="21" s="1"/>
  <c r="ID63" i="21"/>
  <c r="IC64" i="21"/>
  <c r="IC176" i="21" s="1"/>
  <c r="DW55" i="21"/>
  <c r="DW58" i="21" s="1"/>
  <c r="DX48" i="21"/>
  <c r="DX80" i="21"/>
  <c r="DX91" i="21" s="1"/>
  <c r="DX92" i="21" s="1"/>
  <c r="DW59" i="21"/>
  <c r="DW61" i="21" s="1"/>
  <c r="DX76" i="21"/>
  <c r="DX105" i="21"/>
  <c r="DX111" i="21" s="1"/>
  <c r="DX140" i="21" s="1"/>
  <c r="DX112" i="21"/>
  <c r="DW126" i="21"/>
  <c r="DW127" i="21" s="1"/>
  <c r="DX125" i="21" s="1"/>
  <c r="DY13" i="21"/>
  <c r="DY5" i="21" s="1"/>
  <c r="DY14" i="21"/>
  <c r="DY6" i="21" s="1"/>
  <c r="DY12" i="21"/>
  <c r="DY132" i="21" s="1"/>
  <c r="DV14" i="10"/>
  <c r="DV6" i="10" s="1"/>
  <c r="DV12" i="10"/>
  <c r="DV15" i="10" s="1"/>
  <c r="DV13" i="10"/>
  <c r="DV5" i="10" s="1"/>
  <c r="JN12" i="26" l="1"/>
  <c r="JN4" i="26" s="1"/>
  <c r="JN11" i="26"/>
  <c r="JN13" i="26"/>
  <c r="JN5" i="26" s="1"/>
  <c r="DX138" i="21"/>
  <c r="DX157" i="21"/>
  <c r="DX158" i="21"/>
  <c r="DX165" i="21" s="1"/>
  <c r="DY149" i="21"/>
  <c r="DY162" i="21"/>
  <c r="DX142" i="21"/>
  <c r="DX139" i="21"/>
  <c r="DW66" i="21"/>
  <c r="IE63" i="21"/>
  <c r="ID64" i="21"/>
  <c r="ID176" i="21" s="1"/>
  <c r="DX113" i="21"/>
  <c r="DX81" i="21"/>
  <c r="DY104" i="21"/>
  <c r="DY112" i="21" s="1"/>
  <c r="DY77" i="21"/>
  <c r="DY74" i="21"/>
  <c r="DY87" i="21" s="1"/>
  <c r="DY88" i="21" s="1"/>
  <c r="DY102" i="21"/>
  <c r="DY110" i="21" s="1"/>
  <c r="DY75" i="21"/>
  <c r="DY106" i="21"/>
  <c r="DY103" i="21"/>
  <c r="DY117" i="21" s="1"/>
  <c r="DY118" i="21" s="1"/>
  <c r="DY15" i="21"/>
  <c r="DZ11" i="21"/>
  <c r="DY7" i="21"/>
  <c r="DW11" i="10"/>
  <c r="DV7" i="10"/>
  <c r="JN14" i="26" l="1"/>
  <c r="JO10" i="26"/>
  <c r="JN6" i="26"/>
  <c r="DY109" i="21"/>
  <c r="DX171" i="21"/>
  <c r="DY142" i="21"/>
  <c r="DY139" i="21"/>
  <c r="DX47" i="21"/>
  <c r="DX49" i="21" s="1"/>
  <c r="DX50" i="21" s="1"/>
  <c r="DX172" i="21" s="1"/>
  <c r="DX137" i="21"/>
  <c r="IF63" i="21"/>
  <c r="IE64" i="21"/>
  <c r="IE176" i="21" s="1"/>
  <c r="DX126" i="21"/>
  <c r="DX127" i="21" s="1"/>
  <c r="DY125" i="21" s="1"/>
  <c r="DX83" i="21"/>
  <c r="DX170" i="21" s="1"/>
  <c r="DY80" i="21"/>
  <c r="DY91" i="21" s="1"/>
  <c r="DY92" i="21" s="1"/>
  <c r="DX59" i="21"/>
  <c r="DX61" i="21" s="1"/>
  <c r="DY82" i="21"/>
  <c r="DX96" i="21"/>
  <c r="DX97" i="21" s="1"/>
  <c r="DY95" i="21" s="1"/>
  <c r="DY76" i="21"/>
  <c r="DY81" i="21" s="1"/>
  <c r="DY137" i="21" s="1"/>
  <c r="DY121" i="21"/>
  <c r="DY122" i="21" s="1"/>
  <c r="DY141" i="21" s="1"/>
  <c r="DY105" i="21"/>
  <c r="DY111" i="21" s="1"/>
  <c r="DZ13" i="21"/>
  <c r="DZ5" i="21" s="1"/>
  <c r="DZ14" i="21"/>
  <c r="DZ6" i="21" s="1"/>
  <c r="DZ12" i="21"/>
  <c r="DZ132" i="21" s="1"/>
  <c r="DW12" i="10"/>
  <c r="DW15" i="10" s="1"/>
  <c r="DW14" i="10"/>
  <c r="DW6" i="10" s="1"/>
  <c r="DW13" i="10"/>
  <c r="DW5" i="10" s="1"/>
  <c r="JO12" i="26" l="1"/>
  <c r="JO4" i="26" s="1"/>
  <c r="JO13" i="26"/>
  <c r="JO5" i="26" s="1"/>
  <c r="JO11" i="26"/>
  <c r="DX173" i="21"/>
  <c r="DX179" i="21" s="1"/>
  <c r="DY138" i="21"/>
  <c r="DY157" i="21"/>
  <c r="DZ149" i="21"/>
  <c r="DZ162" i="21"/>
  <c r="DX144" i="21"/>
  <c r="DX152" i="21" s="1"/>
  <c r="DY113" i="21"/>
  <c r="DY140" i="21"/>
  <c r="DY144" i="21" s="1"/>
  <c r="DY152" i="21" s="1"/>
  <c r="IG63" i="21"/>
  <c r="IF64" i="21"/>
  <c r="IF176" i="21" s="1"/>
  <c r="DY47" i="21"/>
  <c r="DY48" i="21"/>
  <c r="DX55" i="21"/>
  <c r="DX58" i="21" s="1"/>
  <c r="DX66" i="21" s="1"/>
  <c r="DY49" i="21"/>
  <c r="DY83" i="21"/>
  <c r="DY170" i="21" s="1"/>
  <c r="DZ102" i="21"/>
  <c r="DZ110" i="21" s="1"/>
  <c r="DZ77" i="21"/>
  <c r="DZ74" i="21"/>
  <c r="DZ87" i="21" s="1"/>
  <c r="DZ88" i="21" s="1"/>
  <c r="DZ75" i="21"/>
  <c r="DZ104" i="21"/>
  <c r="DZ106" i="21"/>
  <c r="DZ103" i="21"/>
  <c r="DZ117" i="21" s="1"/>
  <c r="DZ118" i="21" s="1"/>
  <c r="DZ15" i="21"/>
  <c r="EA11" i="21"/>
  <c r="DZ7" i="21"/>
  <c r="DX11" i="10"/>
  <c r="DW7" i="10"/>
  <c r="JO14" i="26" l="1"/>
  <c r="JP10" i="26"/>
  <c r="JO6" i="26"/>
  <c r="DZ109" i="21"/>
  <c r="DY171" i="21"/>
  <c r="DY158" i="21"/>
  <c r="DY165" i="21" s="1"/>
  <c r="IH63" i="21"/>
  <c r="IG64" i="21"/>
  <c r="IG176" i="21" s="1"/>
  <c r="DY50" i="21"/>
  <c r="DY172" i="21" s="1"/>
  <c r="DZ80" i="21"/>
  <c r="DZ91" i="21" s="1"/>
  <c r="DZ92" i="21" s="1"/>
  <c r="DY59" i="21"/>
  <c r="DY61" i="21" s="1"/>
  <c r="DY96" i="21"/>
  <c r="DY97" i="21" s="1"/>
  <c r="DZ95" i="21" s="1"/>
  <c r="DZ82" i="21"/>
  <c r="DZ76" i="21"/>
  <c r="DZ81" i="21" s="1"/>
  <c r="DZ137" i="21" s="1"/>
  <c r="DZ105" i="21"/>
  <c r="DZ111" i="21" s="1"/>
  <c r="DZ140" i="21" s="1"/>
  <c r="DZ121" i="21"/>
  <c r="DZ122" i="21" s="1"/>
  <c r="DZ141" i="21" s="1"/>
  <c r="DZ112" i="21"/>
  <c r="DY126" i="21"/>
  <c r="DY127" i="21" s="1"/>
  <c r="DZ125" i="21" s="1"/>
  <c r="EA12" i="21"/>
  <c r="EA132" i="21" s="1"/>
  <c r="EA13" i="21"/>
  <c r="EA5" i="21" s="1"/>
  <c r="EA14" i="21"/>
  <c r="EA6" i="21" s="1"/>
  <c r="DX12" i="10"/>
  <c r="DX15" i="10" s="1"/>
  <c r="DX14" i="10"/>
  <c r="DX6" i="10" s="1"/>
  <c r="DX13" i="10"/>
  <c r="DX5" i="10" s="1"/>
  <c r="JP13" i="26" l="1"/>
  <c r="JP5" i="26" s="1"/>
  <c r="JP12" i="26"/>
  <c r="JP4" i="26" s="1"/>
  <c r="JP11" i="26"/>
  <c r="DY173" i="21"/>
  <c r="DY179" i="21" s="1"/>
  <c r="DZ138" i="21"/>
  <c r="DZ157" i="21"/>
  <c r="EA149" i="21"/>
  <c r="EA162" i="21"/>
  <c r="DZ158" i="21"/>
  <c r="DZ165" i="21" s="1"/>
  <c r="DZ142" i="21"/>
  <c r="DZ139" i="21"/>
  <c r="EA75" i="21"/>
  <c r="EA82" i="21" s="1"/>
  <c r="II63" i="21"/>
  <c r="IH64" i="21"/>
  <c r="IH176" i="21" s="1"/>
  <c r="DZ47" i="21"/>
  <c r="DZ49" i="21" s="1"/>
  <c r="DY55" i="21"/>
  <c r="DY58" i="21" s="1"/>
  <c r="DY66" i="21" s="1"/>
  <c r="DZ48" i="21"/>
  <c r="DZ113" i="21"/>
  <c r="DZ83" i="21"/>
  <c r="DZ170" i="21" s="1"/>
  <c r="EA102" i="21"/>
  <c r="EA110" i="21" s="1"/>
  <c r="EA77" i="21"/>
  <c r="EA74" i="21"/>
  <c r="EA87" i="21" s="1"/>
  <c r="EA88" i="21" s="1"/>
  <c r="EA104" i="21"/>
  <c r="DZ126" i="21" s="1"/>
  <c r="DZ127" i="21" s="1"/>
  <c r="EA106" i="21"/>
  <c r="EA103" i="21"/>
  <c r="EA117" i="21" s="1"/>
  <c r="EA118" i="21" s="1"/>
  <c r="EA15" i="21"/>
  <c r="EB11" i="21"/>
  <c r="EA7" i="21"/>
  <c r="DX7" i="10"/>
  <c r="DY11" i="10"/>
  <c r="JP14" i="26" l="1"/>
  <c r="JQ10" i="26"/>
  <c r="JP6" i="26"/>
  <c r="EA109" i="21"/>
  <c r="DZ171" i="21"/>
  <c r="DZ144" i="21"/>
  <c r="DZ152" i="21" s="1"/>
  <c r="DZ96" i="21"/>
  <c r="DZ97" i="21" s="1"/>
  <c r="EA95" i="21" s="1"/>
  <c r="IJ63" i="21"/>
  <c r="II64" i="21"/>
  <c r="II176" i="21" s="1"/>
  <c r="DZ50" i="21"/>
  <c r="DZ172" i="21" s="1"/>
  <c r="EA125" i="21"/>
  <c r="EA80" i="21"/>
  <c r="EA91" i="21" s="1"/>
  <c r="EA92" i="21" s="1"/>
  <c r="DZ59" i="21"/>
  <c r="DZ61" i="21" s="1"/>
  <c r="EA112" i="21"/>
  <c r="EA76" i="21"/>
  <c r="EA105" i="21"/>
  <c r="EA111" i="21" s="1"/>
  <c r="EA140" i="21" s="1"/>
  <c r="EA121" i="21"/>
  <c r="EA122" i="21" s="1"/>
  <c r="EA141" i="21" s="1"/>
  <c r="EB13" i="21"/>
  <c r="EB5" i="21" s="1"/>
  <c r="EB14" i="21"/>
  <c r="EB6" i="21" s="1"/>
  <c r="EB12" i="21"/>
  <c r="EB132" i="21" s="1"/>
  <c r="DY12" i="10"/>
  <c r="DY15" i="10" s="1"/>
  <c r="DY13" i="10"/>
  <c r="DY5" i="10" s="1"/>
  <c r="DY14" i="10"/>
  <c r="DY6" i="10" s="1"/>
  <c r="JQ12" i="26" l="1"/>
  <c r="JQ4" i="26" s="1"/>
  <c r="JQ13" i="26"/>
  <c r="JQ5" i="26" s="1"/>
  <c r="JQ11" i="26"/>
  <c r="DZ173" i="21"/>
  <c r="DZ179" i="21" s="1"/>
  <c r="EA138" i="21"/>
  <c r="EB149" i="21"/>
  <c r="EB162" i="21"/>
  <c r="EA157" i="21"/>
  <c r="EA139" i="21"/>
  <c r="EA142" i="21"/>
  <c r="EB75" i="21"/>
  <c r="EA96" i="21" s="1"/>
  <c r="EA97" i="21" s="1"/>
  <c r="EB95" i="21" s="1"/>
  <c r="IK63" i="21"/>
  <c r="IJ64" i="21"/>
  <c r="IJ176" i="21" s="1"/>
  <c r="DZ55" i="21"/>
  <c r="DZ58" i="21" s="1"/>
  <c r="DZ66" i="21" s="1"/>
  <c r="EA48" i="21"/>
  <c r="EA113" i="21"/>
  <c r="EA81" i="21"/>
  <c r="EB104" i="21"/>
  <c r="EA126" i="21" s="1"/>
  <c r="EA127" i="21" s="1"/>
  <c r="EB77" i="21"/>
  <c r="EB74" i="21"/>
  <c r="EB87" i="21" s="1"/>
  <c r="EB88" i="21" s="1"/>
  <c r="EB106" i="21"/>
  <c r="EB103" i="21"/>
  <c r="EB117" i="21" s="1"/>
  <c r="EB118" i="21" s="1"/>
  <c r="EB102" i="21"/>
  <c r="EB110" i="21" s="1"/>
  <c r="EB15" i="21"/>
  <c r="EC11" i="21"/>
  <c r="EB7" i="21"/>
  <c r="DY7" i="10"/>
  <c r="DZ11" i="10"/>
  <c r="JQ14" i="26" l="1"/>
  <c r="JR10" i="26"/>
  <c r="JQ6" i="26"/>
  <c r="EB82" i="21"/>
  <c r="EB109" i="21"/>
  <c r="EA171" i="21"/>
  <c r="EA158" i="21"/>
  <c r="EA165" i="21" s="1"/>
  <c r="EA47" i="21"/>
  <c r="EA49" i="21" s="1"/>
  <c r="EA50" i="21" s="1"/>
  <c r="EA172" i="21" s="1"/>
  <c r="EA137" i="21"/>
  <c r="IL63" i="21"/>
  <c r="IK64" i="21"/>
  <c r="IK176" i="21" s="1"/>
  <c r="EA83" i="21"/>
  <c r="EA170" i="21" s="1"/>
  <c r="EB125" i="21"/>
  <c r="EB80" i="21"/>
  <c r="EB91" i="21" s="1"/>
  <c r="EB92" i="21" s="1"/>
  <c r="EA59" i="21"/>
  <c r="EA61" i="21" s="1"/>
  <c r="EB112" i="21"/>
  <c r="EB76" i="21"/>
  <c r="EB121" i="21"/>
  <c r="EB122" i="21" s="1"/>
  <c r="EB141" i="21" s="1"/>
  <c r="EB105" i="21"/>
  <c r="EB111" i="21" s="1"/>
  <c r="EB140" i="21" s="1"/>
  <c r="EC13" i="21"/>
  <c r="EC5" i="21" s="1"/>
  <c r="EC14" i="21"/>
  <c r="EC6" i="21" s="1"/>
  <c r="EC12" i="21"/>
  <c r="EC132" i="21" s="1"/>
  <c r="DZ12" i="10"/>
  <c r="DZ15" i="10" s="1"/>
  <c r="DZ13" i="10"/>
  <c r="DZ5" i="10" s="1"/>
  <c r="DZ14" i="10"/>
  <c r="DZ6" i="10" s="1"/>
  <c r="JR13" i="26" l="1"/>
  <c r="JR5" i="26" s="1"/>
  <c r="JR12" i="26"/>
  <c r="JR4" i="26" s="1"/>
  <c r="JR11" i="26"/>
  <c r="EA173" i="21"/>
  <c r="EA179" i="21" s="1"/>
  <c r="EB138" i="21"/>
  <c r="EB157" i="21"/>
  <c r="EC149" i="21"/>
  <c r="EC162" i="21"/>
  <c r="EB158" i="21"/>
  <c r="EB165" i="21" s="1"/>
  <c r="EA144" i="21"/>
  <c r="EA152" i="21" s="1"/>
  <c r="EB139" i="21"/>
  <c r="EB142" i="21"/>
  <c r="EC75" i="21"/>
  <c r="EB96" i="21" s="1"/>
  <c r="EB97" i="21" s="1"/>
  <c r="EC95" i="21" s="1"/>
  <c r="IM63" i="21"/>
  <c r="IL64" i="21"/>
  <c r="IL176" i="21" s="1"/>
  <c r="EA55" i="21"/>
  <c r="EA58" i="21" s="1"/>
  <c r="EA66" i="21" s="1"/>
  <c r="EB48" i="21"/>
  <c r="EB113" i="21"/>
  <c r="EB81" i="21"/>
  <c r="EC77" i="21"/>
  <c r="EC74" i="21"/>
  <c r="EC87" i="21" s="1"/>
  <c r="EC88" i="21" s="1"/>
  <c r="EC106" i="21"/>
  <c r="EC103" i="21"/>
  <c r="EC117" i="21" s="1"/>
  <c r="EC118" i="21" s="1"/>
  <c r="EC104" i="21"/>
  <c r="EC102" i="21"/>
  <c r="EC110" i="21" s="1"/>
  <c r="EC15" i="21"/>
  <c r="EC7" i="21"/>
  <c r="ED11" i="21"/>
  <c r="DZ7" i="10"/>
  <c r="EA11" i="10"/>
  <c r="JR14" i="26" l="1"/>
  <c r="JS10" i="26"/>
  <c r="JR6" i="26"/>
  <c r="EC109" i="21"/>
  <c r="EB171" i="21"/>
  <c r="EC82" i="21"/>
  <c r="EB47" i="21"/>
  <c r="EB49" i="21" s="1"/>
  <c r="EB50" i="21" s="1"/>
  <c r="EB172" i="21" s="1"/>
  <c r="EB137" i="21"/>
  <c r="IN63" i="21"/>
  <c r="IM64" i="21"/>
  <c r="IM176" i="21" s="1"/>
  <c r="EB83" i="21"/>
  <c r="EB59" i="21" s="1"/>
  <c r="EB61" i="21" s="1"/>
  <c r="EC76" i="21"/>
  <c r="EC112" i="21"/>
  <c r="EB126" i="21"/>
  <c r="EB127" i="21" s="1"/>
  <c r="EC125" i="21" s="1"/>
  <c r="EC121" i="21"/>
  <c r="EC122" i="21" s="1"/>
  <c r="EC141" i="21" s="1"/>
  <c r="EC105" i="21"/>
  <c r="EC111" i="21" s="1"/>
  <c r="EC140" i="21" s="1"/>
  <c r="ED13" i="21"/>
  <c r="ED5" i="21" s="1"/>
  <c r="ED14" i="21"/>
  <c r="ED6" i="21" s="1"/>
  <c r="ED12" i="21"/>
  <c r="ED132" i="21" s="1"/>
  <c r="EA12" i="10"/>
  <c r="EA15" i="10" s="1"/>
  <c r="EA13" i="10"/>
  <c r="EA5" i="10" s="1"/>
  <c r="EA14" i="10"/>
  <c r="EA6" i="10" s="1"/>
  <c r="JS13" i="26" l="1"/>
  <c r="JS5" i="26" s="1"/>
  <c r="JS12" i="26"/>
  <c r="JS4" i="26" s="1"/>
  <c r="JS11" i="26"/>
  <c r="EC80" i="21"/>
  <c r="EC91" i="21" s="1"/>
  <c r="EC92" i="21" s="1"/>
  <c r="EB170" i="21"/>
  <c r="EB173" i="21" s="1"/>
  <c r="EB179" i="21" s="1"/>
  <c r="ED149" i="21"/>
  <c r="ED162" i="21"/>
  <c r="EB144" i="21"/>
  <c r="EB152" i="21" s="1"/>
  <c r="EC139" i="21"/>
  <c r="EC142" i="21"/>
  <c r="ED75" i="21"/>
  <c r="ED82" i="21" s="1"/>
  <c r="IO63" i="21"/>
  <c r="IN64" i="21"/>
  <c r="IN176" i="21" s="1"/>
  <c r="EB55" i="21"/>
  <c r="EB58" i="21" s="1"/>
  <c r="EB66" i="21" s="1"/>
  <c r="EC48" i="21"/>
  <c r="EC113" i="21"/>
  <c r="EC81" i="21"/>
  <c r="ED77" i="21"/>
  <c r="ED74" i="21"/>
  <c r="ED87" i="21" s="1"/>
  <c r="ED88" i="21" s="1"/>
  <c r="ED106" i="21"/>
  <c r="ED103" i="21"/>
  <c r="ED117" i="21" s="1"/>
  <c r="ED118" i="21" s="1"/>
  <c r="ED102" i="21"/>
  <c r="ED110" i="21" s="1"/>
  <c r="ED104" i="21"/>
  <c r="ED15" i="21"/>
  <c r="ED7" i="21"/>
  <c r="EE11" i="21"/>
  <c r="EA7" i="10"/>
  <c r="EB11" i="10"/>
  <c r="JS14" i="26" l="1"/>
  <c r="JT10" i="26"/>
  <c r="JS6" i="26"/>
  <c r="EC138" i="21"/>
  <c r="EC157" i="21" s="1"/>
  <c r="ED109" i="21"/>
  <c r="ED121" i="21" s="1"/>
  <c r="ED122" i="21" s="1"/>
  <c r="ED141" i="21" s="1"/>
  <c r="EC171" i="21"/>
  <c r="EC158" i="21"/>
  <c r="EC165" i="21" s="1"/>
  <c r="EC96" i="21"/>
  <c r="EC97" i="21" s="1"/>
  <c r="ED95" i="21" s="1"/>
  <c r="EC47" i="21"/>
  <c r="EC49" i="21" s="1"/>
  <c r="EC50" i="21" s="1"/>
  <c r="EC172" i="21" s="1"/>
  <c r="EC137" i="21"/>
  <c r="IP63" i="21"/>
  <c r="IO64" i="21"/>
  <c r="IO176" i="21" s="1"/>
  <c r="EC83" i="21"/>
  <c r="EC170" i="21" s="1"/>
  <c r="ED80" i="21"/>
  <c r="EC59" i="21"/>
  <c r="EC61" i="21" s="1"/>
  <c r="ED91" i="21"/>
  <c r="ED92" i="21" s="1"/>
  <c r="ED76" i="21"/>
  <c r="ED112" i="21"/>
  <c r="EC126" i="21"/>
  <c r="EC127" i="21" s="1"/>
  <c r="ED125" i="21" s="1"/>
  <c r="ED105" i="21"/>
  <c r="ED111" i="21" s="1"/>
  <c r="ED140" i="21" s="1"/>
  <c r="EE13" i="21"/>
  <c r="EE5" i="21" s="1"/>
  <c r="EE14" i="21"/>
  <c r="EE6" i="21" s="1"/>
  <c r="EE12" i="21"/>
  <c r="EE132" i="21" s="1"/>
  <c r="EB12" i="10"/>
  <c r="EB15" i="10" s="1"/>
  <c r="EB13" i="10"/>
  <c r="EB5" i="10" s="1"/>
  <c r="EB14" i="10"/>
  <c r="EB6" i="10" s="1"/>
  <c r="JT13" i="26" l="1"/>
  <c r="JT5" i="26" s="1"/>
  <c r="JT12" i="26"/>
  <c r="JT4" i="26" s="1"/>
  <c r="JT11" i="26"/>
  <c r="EC173" i="21"/>
  <c r="EC179" i="21" s="1"/>
  <c r="ED138" i="21"/>
  <c r="ED157" i="21"/>
  <c r="ED158" i="21"/>
  <c r="ED165" i="21" s="1"/>
  <c r="EE149" i="21"/>
  <c r="EE162" i="21"/>
  <c r="EC144" i="21"/>
  <c r="EC152" i="21" s="1"/>
  <c r="ED139" i="21"/>
  <c r="ED142" i="21"/>
  <c r="IQ63" i="21"/>
  <c r="IP64" i="21"/>
  <c r="IP176" i="21" s="1"/>
  <c r="EC55" i="21"/>
  <c r="EC58" i="21" s="1"/>
  <c r="EC66" i="21" s="1"/>
  <c r="ED48" i="21"/>
  <c r="ED113" i="21"/>
  <c r="ED81" i="21"/>
  <c r="EE77" i="21"/>
  <c r="EE74" i="21"/>
  <c r="EE87" i="21" s="1"/>
  <c r="EE88" i="21" s="1"/>
  <c r="EE75" i="21"/>
  <c r="EE106" i="21"/>
  <c r="EE103" i="21"/>
  <c r="EE117" i="21" s="1"/>
  <c r="EE118" i="21" s="1"/>
  <c r="EE104" i="21"/>
  <c r="EE102" i="21"/>
  <c r="EE110" i="21" s="1"/>
  <c r="EF11" i="21"/>
  <c r="EE15" i="21"/>
  <c r="EE7" i="21"/>
  <c r="EC11" i="10"/>
  <c r="EB7" i="10"/>
  <c r="JT14" i="26" l="1"/>
  <c r="JU10" i="26"/>
  <c r="JT6" i="26"/>
  <c r="EE109" i="21"/>
  <c r="ED171" i="21"/>
  <c r="ED47" i="21"/>
  <c r="ED137" i="21"/>
  <c r="IR63" i="21"/>
  <c r="IQ64" i="21"/>
  <c r="IQ176" i="21" s="1"/>
  <c r="ED83" i="21"/>
  <c r="ED59" i="21" s="1"/>
  <c r="ED61" i="21" s="1"/>
  <c r="ED49" i="21"/>
  <c r="ED50" i="21" s="1"/>
  <c r="ED172" i="21" s="1"/>
  <c r="ED96" i="21"/>
  <c r="ED97" i="21" s="1"/>
  <c r="EE95" i="21" s="1"/>
  <c r="EE82" i="21"/>
  <c r="EE76" i="21"/>
  <c r="EE81" i="21" s="1"/>
  <c r="EE137" i="21" s="1"/>
  <c r="ED126" i="21"/>
  <c r="ED127" i="21" s="1"/>
  <c r="EE125" i="21" s="1"/>
  <c r="EE112" i="21"/>
  <c r="EE121" i="21"/>
  <c r="EE122" i="21" s="1"/>
  <c r="EE141" i="21" s="1"/>
  <c r="EE105" i="21"/>
  <c r="EE111" i="21" s="1"/>
  <c r="EE140" i="21" s="1"/>
  <c r="EF14" i="21"/>
  <c r="EF6" i="21" s="1"/>
  <c r="EF12" i="21"/>
  <c r="EF132" i="21" s="1"/>
  <c r="EF13" i="21"/>
  <c r="EF5" i="21" s="1"/>
  <c r="EC13" i="10"/>
  <c r="EC5" i="10" s="1"/>
  <c r="EC14" i="10"/>
  <c r="EC6" i="10" s="1"/>
  <c r="EC12" i="10"/>
  <c r="EC15" i="10" s="1"/>
  <c r="JU13" i="26" l="1"/>
  <c r="JU5" i="26" s="1"/>
  <c r="JU12" i="26"/>
  <c r="JU4" i="26" s="1"/>
  <c r="JU11" i="26"/>
  <c r="EE80" i="21"/>
  <c r="EE91" i="21" s="1"/>
  <c r="EE92" i="21" s="1"/>
  <c r="ED170" i="21"/>
  <c r="ED173" i="21" s="1"/>
  <c r="ED179" i="21" s="1"/>
  <c r="EF149" i="21"/>
  <c r="EF162" i="21"/>
  <c r="ED144" i="21"/>
  <c r="ED152" i="21" s="1"/>
  <c r="EE139" i="21"/>
  <c r="EE142" i="21"/>
  <c r="EF75" i="21"/>
  <c r="EE96" i="21" s="1"/>
  <c r="EE97" i="21" s="1"/>
  <c r="EF95" i="21" s="1"/>
  <c r="EE47" i="21"/>
  <c r="IS63" i="21"/>
  <c r="IR64" i="21"/>
  <c r="IR176" i="21" s="1"/>
  <c r="ED55" i="21"/>
  <c r="ED58" i="21" s="1"/>
  <c r="ED66" i="21" s="1"/>
  <c r="EE48" i="21"/>
  <c r="EE49" i="21"/>
  <c r="EE113" i="21"/>
  <c r="EE83" i="21"/>
  <c r="EE170" i="21" s="1"/>
  <c r="EF102" i="21"/>
  <c r="EF110" i="21" s="1"/>
  <c r="EF77" i="21"/>
  <c r="EF74" i="21"/>
  <c r="EF87" i="21" s="1"/>
  <c r="EF88" i="21" s="1"/>
  <c r="EF103" i="21"/>
  <c r="EF117" i="21" s="1"/>
  <c r="EF118" i="21" s="1"/>
  <c r="EF106" i="21"/>
  <c r="EF104" i="21"/>
  <c r="EF15" i="21"/>
  <c r="EF7" i="21"/>
  <c r="EG11" i="21"/>
  <c r="ED11" i="10"/>
  <c r="EC7" i="10"/>
  <c r="JU14" i="26" l="1"/>
  <c r="JV10" i="26"/>
  <c r="JU6" i="26"/>
  <c r="EE138" i="21"/>
  <c r="EE157" i="21" s="1"/>
  <c r="EE158" i="21" s="1"/>
  <c r="EE165" i="21" s="1"/>
  <c r="EF109" i="21"/>
  <c r="EF121" i="21" s="1"/>
  <c r="EF122" i="21" s="1"/>
  <c r="EF141" i="21" s="1"/>
  <c r="EE171" i="21"/>
  <c r="EF82" i="21"/>
  <c r="IT63" i="21"/>
  <c r="IS64" i="21"/>
  <c r="IS176" i="21" s="1"/>
  <c r="EE50" i="21"/>
  <c r="EE172" i="21" s="1"/>
  <c r="EE173" i="21" s="1"/>
  <c r="EE179" i="21" s="1"/>
  <c r="EF80" i="21"/>
  <c r="EF91" i="21" s="1"/>
  <c r="EF92" i="21" s="1"/>
  <c r="EE59" i="21"/>
  <c r="EE61" i="21" s="1"/>
  <c r="EF76" i="21"/>
  <c r="EF112" i="21"/>
  <c r="EE126" i="21"/>
  <c r="EE127" i="21" s="1"/>
  <c r="EF125" i="21" s="1"/>
  <c r="EF105" i="21"/>
  <c r="EF111" i="21" s="1"/>
  <c r="EF140" i="21" s="1"/>
  <c r="EG13" i="21"/>
  <c r="EG5" i="21" s="1"/>
  <c r="EG14" i="21"/>
  <c r="EG6" i="21" s="1"/>
  <c r="EG12" i="21"/>
  <c r="EG132" i="21" s="1"/>
  <c r="ED13" i="10"/>
  <c r="ED5" i="10" s="1"/>
  <c r="ED12" i="10"/>
  <c r="ED15" i="10" s="1"/>
  <c r="ED14" i="10"/>
  <c r="ED6" i="10" s="1"/>
  <c r="JV12" i="26" l="1"/>
  <c r="JV4" i="26" s="1"/>
  <c r="JV11" i="26"/>
  <c r="JV13" i="26"/>
  <c r="JV5" i="26" s="1"/>
  <c r="EF138" i="21"/>
  <c r="EE144" i="21"/>
  <c r="EE152" i="21" s="1"/>
  <c r="EF157" i="21"/>
  <c r="EF158" i="21"/>
  <c r="EF165" i="21" s="1"/>
  <c r="EG149" i="21"/>
  <c r="EG162" i="21"/>
  <c r="EF139" i="21"/>
  <c r="EF142" i="21"/>
  <c r="IU63" i="21"/>
  <c r="IT64" i="21"/>
  <c r="IT176" i="21" s="1"/>
  <c r="EE55" i="21"/>
  <c r="EE58" i="21" s="1"/>
  <c r="EE66" i="21" s="1"/>
  <c r="EF48" i="21"/>
  <c r="EF113" i="21"/>
  <c r="EF81" i="21"/>
  <c r="EG77" i="21"/>
  <c r="EG74" i="21"/>
  <c r="EG87" i="21" s="1"/>
  <c r="EG88" i="21" s="1"/>
  <c r="EG75" i="21"/>
  <c r="EG106" i="21"/>
  <c r="EG103" i="21"/>
  <c r="EG117" i="21" s="1"/>
  <c r="EG118" i="21" s="1"/>
  <c r="EG104" i="21"/>
  <c r="EG102" i="21"/>
  <c r="EG110" i="21" s="1"/>
  <c r="EH11" i="21"/>
  <c r="EG7" i="21"/>
  <c r="EG15" i="21"/>
  <c r="EE11" i="10"/>
  <c r="ED7" i="10"/>
  <c r="JV14" i="26" l="1"/>
  <c r="JW10" i="26"/>
  <c r="JV6" i="26"/>
  <c r="EG109" i="21"/>
  <c r="EF171" i="21"/>
  <c r="EF47" i="21"/>
  <c r="EF137" i="21"/>
  <c r="IV63" i="21"/>
  <c r="IU64" i="21"/>
  <c r="IU176" i="21" s="1"/>
  <c r="EF83" i="21"/>
  <c r="EF170" i="21" s="1"/>
  <c r="EF49" i="21"/>
  <c r="EF50" i="21" s="1"/>
  <c r="EF172" i="21" s="1"/>
  <c r="EF96" i="21"/>
  <c r="EF97" i="21" s="1"/>
  <c r="EG95" i="21" s="1"/>
  <c r="EG82" i="21"/>
  <c r="EG76" i="21"/>
  <c r="EG81" i="21" s="1"/>
  <c r="EG137" i="21" s="1"/>
  <c r="EF126" i="21"/>
  <c r="EF127" i="21" s="1"/>
  <c r="EG125" i="21" s="1"/>
  <c r="EG112" i="21"/>
  <c r="EG105" i="21"/>
  <c r="EG111" i="21" s="1"/>
  <c r="EG140" i="21" s="1"/>
  <c r="EG121" i="21"/>
  <c r="EG122" i="21" s="1"/>
  <c r="EG141" i="21" s="1"/>
  <c r="EH14" i="21"/>
  <c r="EH6" i="21" s="1"/>
  <c r="EH13" i="21"/>
  <c r="EH5" i="21" s="1"/>
  <c r="EH12" i="21"/>
  <c r="EH132" i="21" s="1"/>
  <c r="EE13" i="10"/>
  <c r="EE5" i="10" s="1"/>
  <c r="EE14" i="10"/>
  <c r="EE6" i="10" s="1"/>
  <c r="EE12" i="10"/>
  <c r="EE15" i="10" s="1"/>
  <c r="JW12" i="26" l="1"/>
  <c r="JW4" i="26" s="1"/>
  <c r="JW13" i="26"/>
  <c r="JW5" i="26" s="1"/>
  <c r="JW11" i="26"/>
  <c r="EF173" i="21"/>
  <c r="EF179" i="21" s="1"/>
  <c r="EF59" i="21"/>
  <c r="EF61" i="21" s="1"/>
  <c r="EG80" i="21"/>
  <c r="EG91" i="21" s="1"/>
  <c r="EG92" i="21" s="1"/>
  <c r="EG138" i="21" s="1"/>
  <c r="EG157" i="21" s="1"/>
  <c r="EH149" i="21"/>
  <c r="EH162" i="21"/>
  <c r="EF144" i="21"/>
  <c r="EF152" i="21" s="1"/>
  <c r="EG139" i="21"/>
  <c r="EG142" i="21"/>
  <c r="EG47" i="21"/>
  <c r="IW63" i="21"/>
  <c r="IV64" i="21"/>
  <c r="IV176" i="21" s="1"/>
  <c r="EF55" i="21"/>
  <c r="EF58" i="21" s="1"/>
  <c r="EF66" i="21" s="1"/>
  <c r="EG48" i="21"/>
  <c r="EG113" i="21"/>
  <c r="EH77" i="21"/>
  <c r="EH74" i="21"/>
  <c r="EH87" i="21" s="1"/>
  <c r="EH88" i="21" s="1"/>
  <c r="EH75" i="21"/>
  <c r="EH103" i="21"/>
  <c r="EH117" i="21" s="1"/>
  <c r="EH118" i="21" s="1"/>
  <c r="EH106" i="21"/>
  <c r="EH104" i="21"/>
  <c r="EH102" i="21"/>
  <c r="EH110" i="21" s="1"/>
  <c r="EI11" i="21"/>
  <c r="EH15" i="21"/>
  <c r="EH7" i="21"/>
  <c r="EF11" i="10"/>
  <c r="EE7" i="10"/>
  <c r="JW14" i="26" l="1"/>
  <c r="JX10" i="26"/>
  <c r="JW6" i="26"/>
  <c r="EG144" i="21"/>
  <c r="EG152" i="21" s="1"/>
  <c r="EG83" i="21"/>
  <c r="EG170" i="21" s="1"/>
  <c r="EH109" i="21"/>
  <c r="EG171" i="21"/>
  <c r="EG158" i="21"/>
  <c r="EG165" i="21" s="1"/>
  <c r="EG49" i="21"/>
  <c r="EG50" i="21"/>
  <c r="EG172" i="21" s="1"/>
  <c r="IX63" i="21"/>
  <c r="IW64" i="21"/>
  <c r="IW176" i="21" s="1"/>
  <c r="EH80" i="21"/>
  <c r="EH91" i="21" s="1"/>
  <c r="EH92" i="21" s="1"/>
  <c r="EG59" i="21"/>
  <c r="EG61" i="21" s="1"/>
  <c r="EG96" i="21"/>
  <c r="EG97" i="21" s="1"/>
  <c r="EH95" i="21" s="1"/>
  <c r="EH82" i="21"/>
  <c r="EH76" i="21"/>
  <c r="EH81" i="21" s="1"/>
  <c r="EH137" i="21" s="1"/>
  <c r="EH112" i="21"/>
  <c r="EG126" i="21"/>
  <c r="EG127" i="21" s="1"/>
  <c r="EH125" i="21" s="1"/>
  <c r="EH105" i="21"/>
  <c r="EH111" i="21" s="1"/>
  <c r="EH140" i="21" s="1"/>
  <c r="EH121" i="21"/>
  <c r="EH122" i="21" s="1"/>
  <c r="EH141" i="21" s="1"/>
  <c r="EI14" i="21"/>
  <c r="EI6" i="21" s="1"/>
  <c r="EI13" i="21"/>
  <c r="EI5" i="21" s="1"/>
  <c r="EI12" i="21"/>
  <c r="EI132" i="21" s="1"/>
  <c r="EF13" i="10"/>
  <c r="EF5" i="10" s="1"/>
  <c r="EF14" i="10"/>
  <c r="EF6" i="10" s="1"/>
  <c r="EF12" i="10"/>
  <c r="EF15" i="10" s="1"/>
  <c r="JX13" i="26" l="1"/>
  <c r="JX5" i="26" s="1"/>
  <c r="JX12" i="26"/>
  <c r="JX4" i="26" s="1"/>
  <c r="JX11" i="26"/>
  <c r="EH48" i="21"/>
  <c r="EG173" i="21"/>
  <c r="EG179" i="21" s="1"/>
  <c r="EG55" i="21"/>
  <c r="EG58" i="21" s="1"/>
  <c r="EG66" i="21" s="1"/>
  <c r="EH138" i="21"/>
  <c r="EH157" i="21" s="1"/>
  <c r="EH158" i="21" s="1"/>
  <c r="EH165" i="21" s="1"/>
  <c r="EI149" i="21"/>
  <c r="EI162" i="21"/>
  <c r="EH142" i="21"/>
  <c r="EH139" i="21"/>
  <c r="EH47" i="21"/>
  <c r="IY63" i="21"/>
  <c r="IX64" i="21"/>
  <c r="IX176" i="21" s="1"/>
  <c r="EH113" i="21"/>
  <c r="EH83" i="21"/>
  <c r="EH170" i="21" s="1"/>
  <c r="EI77" i="21"/>
  <c r="EI74" i="21"/>
  <c r="EI87" i="21" s="1"/>
  <c r="EI88" i="21" s="1"/>
  <c r="EI75" i="21"/>
  <c r="EI106" i="21"/>
  <c r="EI103" i="21"/>
  <c r="EI117" i="21" s="1"/>
  <c r="EI118" i="21" s="1"/>
  <c r="EI102" i="21"/>
  <c r="EI110" i="21" s="1"/>
  <c r="EI104" i="21"/>
  <c r="EI15" i="21"/>
  <c r="EI7" i="21"/>
  <c r="EJ11" i="21"/>
  <c r="EF7" i="10"/>
  <c r="EG11" i="10"/>
  <c r="JX14" i="26" l="1"/>
  <c r="JY10" i="26"/>
  <c r="JX6" i="26"/>
  <c r="EI109" i="21"/>
  <c r="EI121" i="21" s="1"/>
  <c r="EI122" i="21" s="1"/>
  <c r="EI141" i="21" s="1"/>
  <c r="EH171" i="21"/>
  <c r="EH49" i="21"/>
  <c r="EH50" i="21" s="1"/>
  <c r="EH172" i="21" s="1"/>
  <c r="EH144" i="21"/>
  <c r="EH152" i="21" s="1"/>
  <c r="IZ63" i="21"/>
  <c r="IY64" i="21"/>
  <c r="IY176" i="21" s="1"/>
  <c r="EH55" i="21"/>
  <c r="EH58" i="21" s="1"/>
  <c r="EI80" i="21"/>
  <c r="EI91" i="21" s="1"/>
  <c r="EI92" i="21" s="1"/>
  <c r="EH59" i="21"/>
  <c r="EH61" i="21" s="1"/>
  <c r="EH96" i="21"/>
  <c r="EH97" i="21" s="1"/>
  <c r="EI95" i="21" s="1"/>
  <c r="EI82" i="21"/>
  <c r="EI76" i="21"/>
  <c r="EI81" i="21" s="1"/>
  <c r="EI137" i="21" s="1"/>
  <c r="EH126" i="21"/>
  <c r="EH127" i="21" s="1"/>
  <c r="EI125" i="21" s="1"/>
  <c r="EI112" i="21"/>
  <c r="EI105" i="21"/>
  <c r="EI111" i="21" s="1"/>
  <c r="EI140" i="21" s="1"/>
  <c r="EJ12" i="21"/>
  <c r="EJ132" i="21" s="1"/>
  <c r="EJ14" i="21"/>
  <c r="EJ6" i="21" s="1"/>
  <c r="EJ13" i="21"/>
  <c r="EJ5" i="21" s="1"/>
  <c r="EG13" i="10"/>
  <c r="EG5" i="10" s="1"/>
  <c r="EG14" i="10"/>
  <c r="EG6" i="10" s="1"/>
  <c r="EG12" i="10"/>
  <c r="EG15" i="10" s="1"/>
  <c r="JY12" i="26" l="1"/>
  <c r="JY4" i="26" s="1"/>
  <c r="JY13" i="26"/>
  <c r="JY5" i="26" s="1"/>
  <c r="JY11" i="26"/>
  <c r="EH173" i="21"/>
  <c r="EH179" i="21" s="1"/>
  <c r="EI48" i="21"/>
  <c r="EI138" i="21"/>
  <c r="EI157" i="21" s="1"/>
  <c r="EJ149" i="21"/>
  <c r="EJ162" i="21"/>
  <c r="EI139" i="21"/>
  <c r="EI142" i="21"/>
  <c r="EI144" i="21" s="1"/>
  <c r="EI152" i="21" s="1"/>
  <c r="EH66" i="21"/>
  <c r="EI47" i="21"/>
  <c r="EI49" i="21" s="1"/>
  <c r="EI50" i="21" s="1"/>
  <c r="EI172" i="21" s="1"/>
  <c r="JA63" i="21"/>
  <c r="IZ64" i="21"/>
  <c r="IZ176" i="21" s="1"/>
  <c r="EI113" i="21"/>
  <c r="EI83" i="21"/>
  <c r="EI170" i="21" s="1"/>
  <c r="EJ77" i="21"/>
  <c r="EJ74" i="21"/>
  <c r="EJ87" i="21" s="1"/>
  <c r="EJ88" i="21" s="1"/>
  <c r="EJ75" i="21"/>
  <c r="EJ103" i="21"/>
  <c r="EJ117" i="21" s="1"/>
  <c r="EJ118" i="21" s="1"/>
  <c r="EJ106" i="21"/>
  <c r="EJ104" i="21"/>
  <c r="EJ102" i="21"/>
  <c r="EJ110" i="21" s="1"/>
  <c r="EJ15" i="21"/>
  <c r="EK11" i="21"/>
  <c r="EJ7" i="21"/>
  <c r="EG7" i="10"/>
  <c r="EH11" i="10"/>
  <c r="JY14" i="26" l="1"/>
  <c r="JZ10" i="26"/>
  <c r="JY6" i="26"/>
  <c r="EJ109" i="21"/>
  <c r="EJ121" i="21" s="1"/>
  <c r="EJ122" i="21" s="1"/>
  <c r="EJ141" i="21" s="1"/>
  <c r="EI171" i="21"/>
  <c r="EI173" i="21" s="1"/>
  <c r="EI179" i="21" s="1"/>
  <c r="EI158" i="21"/>
  <c r="EI165" i="21" s="1"/>
  <c r="JB63" i="21"/>
  <c r="JA64" i="21"/>
  <c r="JA176" i="21" s="1"/>
  <c r="EI55" i="21"/>
  <c r="EI58" i="21" s="1"/>
  <c r="EJ48" i="21"/>
  <c r="EJ80" i="21"/>
  <c r="EJ91" i="21" s="1"/>
  <c r="EJ92" i="21" s="1"/>
  <c r="EI59" i="21"/>
  <c r="EI61" i="21" s="1"/>
  <c r="EI96" i="21"/>
  <c r="EI97" i="21" s="1"/>
  <c r="EJ95" i="21" s="1"/>
  <c r="EJ82" i="21"/>
  <c r="EJ76" i="21"/>
  <c r="EJ81" i="21" s="1"/>
  <c r="EJ137" i="21" s="1"/>
  <c r="EI126" i="21"/>
  <c r="EI127" i="21" s="1"/>
  <c r="EJ125" i="21" s="1"/>
  <c r="EJ112" i="21"/>
  <c r="EJ105" i="21"/>
  <c r="EJ111" i="21" s="1"/>
  <c r="EJ140" i="21" s="1"/>
  <c r="EK14" i="21"/>
  <c r="EK6" i="21" s="1"/>
  <c r="EK12" i="21"/>
  <c r="EK132" i="21" s="1"/>
  <c r="EK13" i="21"/>
  <c r="EK5" i="21" s="1"/>
  <c r="EH14" i="10"/>
  <c r="EH6" i="10" s="1"/>
  <c r="EH12" i="10"/>
  <c r="EH15" i="10" s="1"/>
  <c r="EH13" i="10"/>
  <c r="EH5" i="10" s="1"/>
  <c r="JZ13" i="26" l="1"/>
  <c r="JZ5" i="26" s="1"/>
  <c r="JZ12" i="26"/>
  <c r="JZ4" i="26" s="1"/>
  <c r="JZ11" i="26"/>
  <c r="EJ138" i="21"/>
  <c r="EJ157" i="21"/>
  <c r="EK149" i="21"/>
  <c r="EK162" i="21"/>
  <c r="EJ158" i="21"/>
  <c r="EJ165" i="21" s="1"/>
  <c r="EJ139" i="21"/>
  <c r="EJ142" i="21"/>
  <c r="EJ144" i="21" s="1"/>
  <c r="EJ152" i="21" s="1"/>
  <c r="EI66" i="21"/>
  <c r="EJ47" i="21"/>
  <c r="JC63" i="21"/>
  <c r="JB64" i="21"/>
  <c r="JB176" i="21" s="1"/>
  <c r="EJ113" i="21"/>
  <c r="EJ83" i="21"/>
  <c r="EJ170" i="21" s="1"/>
  <c r="EK77" i="21"/>
  <c r="EK74" i="21"/>
  <c r="EK87" i="21" s="1"/>
  <c r="EK88" i="21" s="1"/>
  <c r="EK75" i="21"/>
  <c r="EK106" i="21"/>
  <c r="EK103" i="21"/>
  <c r="EK117" i="21" s="1"/>
  <c r="EK118" i="21" s="1"/>
  <c r="EK104" i="21"/>
  <c r="EK102" i="21"/>
  <c r="EK110" i="21" s="1"/>
  <c r="EK15" i="21"/>
  <c r="EL11" i="21"/>
  <c r="EK7" i="21"/>
  <c r="EI11" i="10"/>
  <c r="EH7" i="10"/>
  <c r="JZ14" i="26" l="1"/>
  <c r="KA10" i="26"/>
  <c r="JZ6" i="26"/>
  <c r="EK109" i="21"/>
  <c r="EJ171" i="21"/>
  <c r="EJ49" i="21"/>
  <c r="EJ50" i="21" s="1"/>
  <c r="EJ172" i="21" s="1"/>
  <c r="JD63" i="21"/>
  <c r="JC64" i="21"/>
  <c r="JC176" i="21" s="1"/>
  <c r="EJ55" i="21"/>
  <c r="EJ58" i="21" s="1"/>
  <c r="EK48" i="21"/>
  <c r="EK80" i="21"/>
  <c r="EK91" i="21" s="1"/>
  <c r="EK92" i="21" s="1"/>
  <c r="EJ59" i="21"/>
  <c r="EJ61" i="21" s="1"/>
  <c r="EK82" i="21"/>
  <c r="EJ96" i="21"/>
  <c r="EJ97" i="21" s="1"/>
  <c r="EK95" i="21" s="1"/>
  <c r="EK76" i="21"/>
  <c r="EK81" i="21" s="1"/>
  <c r="EK137" i="21" s="1"/>
  <c r="EJ126" i="21"/>
  <c r="EJ127" i="21" s="1"/>
  <c r="EK125" i="21" s="1"/>
  <c r="EK112" i="21"/>
  <c r="EK105" i="21"/>
  <c r="EK111" i="21" s="1"/>
  <c r="EK140" i="21" s="1"/>
  <c r="EK121" i="21"/>
  <c r="EK122" i="21" s="1"/>
  <c r="EK141" i="21" s="1"/>
  <c r="EL12" i="21"/>
  <c r="EL132" i="21" s="1"/>
  <c r="EL14" i="21"/>
  <c r="EL6" i="21" s="1"/>
  <c r="EL13" i="21"/>
  <c r="EL5" i="21" s="1"/>
  <c r="EI14" i="10"/>
  <c r="EI6" i="10" s="1"/>
  <c r="EI13" i="10"/>
  <c r="EI5" i="10" s="1"/>
  <c r="EI12" i="10"/>
  <c r="EI15" i="10" s="1"/>
  <c r="KA13" i="26" l="1"/>
  <c r="KA5" i="26" s="1"/>
  <c r="KA12" i="26"/>
  <c r="KA4" i="26" s="1"/>
  <c r="KA11" i="26"/>
  <c r="EJ173" i="21"/>
  <c r="EJ179" i="21" s="1"/>
  <c r="EK138" i="21"/>
  <c r="EL149" i="21"/>
  <c r="EL162" i="21"/>
  <c r="EK157" i="21"/>
  <c r="EK142" i="21"/>
  <c r="EK139" i="21"/>
  <c r="EJ66" i="21"/>
  <c r="EK47" i="21"/>
  <c r="JE63" i="21"/>
  <c r="JD64" i="21"/>
  <c r="JD176" i="21" s="1"/>
  <c r="EK113" i="21"/>
  <c r="EK83" i="21"/>
  <c r="EK170" i="21" s="1"/>
  <c r="EL77" i="21"/>
  <c r="EL74" i="21"/>
  <c r="EL87" i="21" s="1"/>
  <c r="EL88" i="21" s="1"/>
  <c r="EL75" i="21"/>
  <c r="EL106" i="21"/>
  <c r="EL103" i="21"/>
  <c r="EL117" i="21" s="1"/>
  <c r="EL118" i="21" s="1"/>
  <c r="EL102" i="21"/>
  <c r="EL110" i="21" s="1"/>
  <c r="EL104" i="21"/>
  <c r="EM11" i="21"/>
  <c r="EL15" i="21"/>
  <c r="EL7" i="21"/>
  <c r="EJ11" i="10"/>
  <c r="EI7" i="10"/>
  <c r="KA14" i="26" l="1"/>
  <c r="KA6" i="26"/>
  <c r="EL109" i="21"/>
  <c r="EL121" i="21" s="1"/>
  <c r="EL122" i="21" s="1"/>
  <c r="EL141" i="21" s="1"/>
  <c r="EK171" i="21"/>
  <c r="EK158" i="21"/>
  <c r="EK165" i="21" s="1"/>
  <c r="EK49" i="21"/>
  <c r="EK50" i="21" s="1"/>
  <c r="EK172" i="21" s="1"/>
  <c r="EK144" i="21"/>
  <c r="EK152" i="21" s="1"/>
  <c r="JF63" i="21"/>
  <c r="JE64" i="21"/>
  <c r="JE176" i="21" s="1"/>
  <c r="EL80" i="21"/>
  <c r="EL91" i="21" s="1"/>
  <c r="EL92" i="21" s="1"/>
  <c r="EK59" i="21"/>
  <c r="EK61" i="21" s="1"/>
  <c r="EK96" i="21"/>
  <c r="EK97" i="21" s="1"/>
  <c r="EL95" i="21" s="1"/>
  <c r="EL82" i="21"/>
  <c r="EL76" i="21"/>
  <c r="EL81" i="21" s="1"/>
  <c r="EL137" i="21" s="1"/>
  <c r="EK126" i="21"/>
  <c r="EK127" i="21" s="1"/>
  <c r="EL125" i="21" s="1"/>
  <c r="EL112" i="21"/>
  <c r="EL105" i="21"/>
  <c r="EL111" i="21" s="1"/>
  <c r="EL140" i="21" s="1"/>
  <c r="EM14" i="21"/>
  <c r="EM6" i="21" s="1"/>
  <c r="EM12" i="21"/>
  <c r="EM132" i="21" s="1"/>
  <c r="EM13" i="21"/>
  <c r="EM5" i="21" s="1"/>
  <c r="EJ14" i="10"/>
  <c r="EJ6" i="10" s="1"/>
  <c r="EJ12" i="10"/>
  <c r="EJ15" i="10" s="1"/>
  <c r="EJ13" i="10"/>
  <c r="EJ5" i="10" s="1"/>
  <c r="EK173" i="21" l="1"/>
  <c r="EK179" i="21" s="1"/>
  <c r="EL48" i="21"/>
  <c r="EK55" i="21"/>
  <c r="EK58" i="21" s="1"/>
  <c r="EL138" i="21"/>
  <c r="EL157" i="21"/>
  <c r="EL158" i="21"/>
  <c r="EL165" i="21" s="1"/>
  <c r="EM149" i="21"/>
  <c r="EM162" i="21"/>
  <c r="EL142" i="21"/>
  <c r="EL139" i="21"/>
  <c r="EM75" i="21"/>
  <c r="EL96" i="21" s="1"/>
  <c r="EL97" i="21" s="1"/>
  <c r="EM95" i="21" s="1"/>
  <c r="EK66" i="21"/>
  <c r="EL47" i="21"/>
  <c r="JG63" i="21"/>
  <c r="JF64" i="21"/>
  <c r="JF176" i="21" s="1"/>
  <c r="EL113" i="21"/>
  <c r="EL83" i="21"/>
  <c r="EL170" i="21" s="1"/>
  <c r="EM77" i="21"/>
  <c r="EM74" i="21"/>
  <c r="EM87" i="21" s="1"/>
  <c r="EM88" i="21" s="1"/>
  <c r="EM106" i="21"/>
  <c r="EM103" i="21"/>
  <c r="EM117" i="21" s="1"/>
  <c r="EM118" i="21" s="1"/>
  <c r="EM104" i="21"/>
  <c r="EM102" i="21"/>
  <c r="EM110" i="21" s="1"/>
  <c r="EM15" i="21"/>
  <c r="EN11" i="21"/>
  <c r="EM7" i="21"/>
  <c r="EK11" i="10"/>
  <c r="EJ7" i="10"/>
  <c r="EM109" i="21" l="1"/>
  <c r="EL171" i="21"/>
  <c r="EM82" i="21"/>
  <c r="EL49" i="21"/>
  <c r="EL50" i="21" s="1"/>
  <c r="EL172" i="21" s="1"/>
  <c r="EL144" i="21"/>
  <c r="EL152" i="21" s="1"/>
  <c r="JH63" i="21"/>
  <c r="JG64" i="21"/>
  <c r="JG176" i="21" s="1"/>
  <c r="EM80" i="21"/>
  <c r="EM91" i="21" s="1"/>
  <c r="EM92" i="21" s="1"/>
  <c r="EL59" i="21"/>
  <c r="EL61" i="21" s="1"/>
  <c r="EM76" i="21"/>
  <c r="EL126" i="21"/>
  <c r="EL127" i="21" s="1"/>
  <c r="EM125" i="21" s="1"/>
  <c r="EM112" i="21"/>
  <c r="EM105" i="21"/>
  <c r="EM111" i="21" s="1"/>
  <c r="EM140" i="21" s="1"/>
  <c r="EM121" i="21"/>
  <c r="EM122" i="21" s="1"/>
  <c r="EM141" i="21" s="1"/>
  <c r="EN14" i="21"/>
  <c r="EN6" i="21" s="1"/>
  <c r="EN12" i="21"/>
  <c r="EN132" i="21" s="1"/>
  <c r="EN13" i="21"/>
  <c r="EN5" i="21" s="1"/>
  <c r="EK14" i="10"/>
  <c r="EK6" i="10" s="1"/>
  <c r="EK13" i="10"/>
  <c r="EK5" i="10" s="1"/>
  <c r="EK12" i="10"/>
  <c r="EK15" i="10" s="1"/>
  <c r="EL173" i="21" l="1"/>
  <c r="EL179" i="21" s="1"/>
  <c r="EM48" i="21"/>
  <c r="EL55" i="21"/>
  <c r="EL58" i="21" s="1"/>
  <c r="EL66" i="21" s="1"/>
  <c r="EM138" i="21"/>
  <c r="EM157" i="21" s="1"/>
  <c r="EN149" i="21"/>
  <c r="EN162" i="21"/>
  <c r="EM142" i="21"/>
  <c r="EM139" i="21"/>
  <c r="JI63" i="21"/>
  <c r="JH64" i="21"/>
  <c r="JH176" i="21" s="1"/>
  <c r="EM113" i="21"/>
  <c r="EM81" i="21"/>
  <c r="EN102" i="21"/>
  <c r="EN110" i="21" s="1"/>
  <c r="EN77" i="21"/>
  <c r="EN74" i="21"/>
  <c r="EN87" i="21" s="1"/>
  <c r="EN88" i="21" s="1"/>
  <c r="EN104" i="21"/>
  <c r="EN112" i="21" s="1"/>
  <c r="EN75" i="21"/>
  <c r="EN106" i="21"/>
  <c r="EN103" i="21"/>
  <c r="EN117" i="21" s="1"/>
  <c r="EN118" i="21" s="1"/>
  <c r="EN15" i="21"/>
  <c r="EO11" i="21"/>
  <c r="EN7" i="21"/>
  <c r="EL11" i="10"/>
  <c r="EK7" i="10"/>
  <c r="EN109" i="21" l="1"/>
  <c r="EM171" i="21"/>
  <c r="EM158" i="21"/>
  <c r="EM165" i="21" s="1"/>
  <c r="EN142" i="21"/>
  <c r="EN139" i="21"/>
  <c r="EM47" i="21"/>
  <c r="EM49" i="21" s="1"/>
  <c r="EM50" i="21" s="1"/>
  <c r="EM172" i="21" s="1"/>
  <c r="EM137" i="21"/>
  <c r="JJ63" i="21"/>
  <c r="JI64" i="21"/>
  <c r="JI176" i="21" s="1"/>
  <c r="EM83" i="21"/>
  <c r="EN80" i="21"/>
  <c r="EN91" i="21" s="1"/>
  <c r="EN92" i="21" s="1"/>
  <c r="EM126" i="21"/>
  <c r="EM127" i="21" s="1"/>
  <c r="EN125" i="21" s="1"/>
  <c r="EM96" i="21"/>
  <c r="EM97" i="21" s="1"/>
  <c r="EN95" i="21" s="1"/>
  <c r="EN82" i="21"/>
  <c r="EN76" i="21"/>
  <c r="EN81" i="21" s="1"/>
  <c r="EN137" i="21" s="1"/>
  <c r="EN121" i="21"/>
  <c r="EN122" i="21" s="1"/>
  <c r="EN141" i="21" s="1"/>
  <c r="EN105" i="21"/>
  <c r="EN111" i="21" s="1"/>
  <c r="EO13" i="21"/>
  <c r="EO5" i="21" s="1"/>
  <c r="EO14" i="21"/>
  <c r="EO6" i="21" s="1"/>
  <c r="EO12" i="21"/>
  <c r="EO132" i="21" s="1"/>
  <c r="EL14" i="10"/>
  <c r="EL6" i="10" s="1"/>
  <c r="EL13" i="10"/>
  <c r="EL5" i="10" s="1"/>
  <c r="EL12" i="10"/>
  <c r="EL15" i="10" s="1"/>
  <c r="EN138" i="21" l="1"/>
  <c r="EM59" i="21"/>
  <c r="EM61" i="21" s="1"/>
  <c r="EM170" i="21"/>
  <c r="EM173" i="21" s="1"/>
  <c r="EM179" i="21" s="1"/>
  <c r="EN157" i="21"/>
  <c r="EN158" i="21"/>
  <c r="EN165" i="21" s="1"/>
  <c r="EO149" i="21"/>
  <c r="EO162" i="21"/>
  <c r="EM144" i="21"/>
  <c r="EM152" i="21" s="1"/>
  <c r="EN113" i="21"/>
  <c r="EN140" i="21"/>
  <c r="EN144" i="21" s="1"/>
  <c r="EN152" i="21" s="1"/>
  <c r="EN47" i="21"/>
  <c r="EN49" i="21" s="1"/>
  <c r="JK63" i="21"/>
  <c r="JJ64" i="21"/>
  <c r="JJ176" i="21" s="1"/>
  <c r="EM55" i="21"/>
  <c r="EM58" i="21" s="1"/>
  <c r="EM66" i="21" s="1"/>
  <c r="EN48" i="21"/>
  <c r="EN83" i="21"/>
  <c r="EN170" i="21" s="1"/>
  <c r="EO77" i="21"/>
  <c r="EO74" i="21"/>
  <c r="EO87" i="21" s="1"/>
  <c r="EO88" i="21" s="1"/>
  <c r="EO75" i="21"/>
  <c r="EO106" i="21"/>
  <c r="EO103" i="21"/>
  <c r="EO117" i="21" s="1"/>
  <c r="EO118" i="21" s="1"/>
  <c r="EO104" i="21"/>
  <c r="EO102" i="21"/>
  <c r="EO110" i="21" s="1"/>
  <c r="EO15" i="21"/>
  <c r="EP11" i="21"/>
  <c r="EO7" i="21"/>
  <c r="EL7" i="10"/>
  <c r="EM11" i="10"/>
  <c r="EO109" i="21" l="1"/>
  <c r="EN171" i="21"/>
  <c r="JL63" i="21"/>
  <c r="JK64" i="21"/>
  <c r="JK176" i="21" s="1"/>
  <c r="EN50" i="21"/>
  <c r="EN172" i="21" s="1"/>
  <c r="EO80" i="21"/>
  <c r="EO91" i="21" s="1"/>
  <c r="EO92" i="21" s="1"/>
  <c r="EN59" i="21"/>
  <c r="EN61" i="21" s="1"/>
  <c r="EN96" i="21"/>
  <c r="EN97" i="21" s="1"/>
  <c r="EO95" i="21" s="1"/>
  <c r="EO82" i="21"/>
  <c r="EO76" i="21"/>
  <c r="EO81" i="21" s="1"/>
  <c r="EO137" i="21" s="1"/>
  <c r="EN126" i="21"/>
  <c r="EN127" i="21" s="1"/>
  <c r="EO125" i="21" s="1"/>
  <c r="EO112" i="21"/>
  <c r="EO121" i="21"/>
  <c r="EO122" i="21" s="1"/>
  <c r="EO141" i="21" s="1"/>
  <c r="EO105" i="21"/>
  <c r="EO111" i="21" s="1"/>
  <c r="EO140" i="21" s="1"/>
  <c r="EP13" i="21"/>
  <c r="EP5" i="21" s="1"/>
  <c r="EP14" i="21"/>
  <c r="EP6" i="21" s="1"/>
  <c r="EP12" i="21"/>
  <c r="EP132" i="21" s="1"/>
  <c r="EM12" i="10"/>
  <c r="EM15" i="10" s="1"/>
  <c r="EM14" i="10"/>
  <c r="EM6" i="10" s="1"/>
  <c r="EM13" i="10"/>
  <c r="EM5" i="10" s="1"/>
  <c r="EN173" i="21" l="1"/>
  <c r="EN179" i="21" s="1"/>
  <c r="EO138" i="21"/>
  <c r="EP149" i="21"/>
  <c r="EP162" i="21"/>
  <c r="EO157" i="21"/>
  <c r="EO142" i="21"/>
  <c r="EO139" i="21"/>
  <c r="EP75" i="21"/>
  <c r="EO96" i="21" s="1"/>
  <c r="EO97" i="21" s="1"/>
  <c r="EP95" i="21" s="1"/>
  <c r="EO47" i="21"/>
  <c r="JM63" i="21"/>
  <c r="JL64" i="21"/>
  <c r="JL176" i="21" s="1"/>
  <c r="EN55" i="21"/>
  <c r="EN58" i="21" s="1"/>
  <c r="EN66" i="21" s="1"/>
  <c r="EO48" i="21"/>
  <c r="EO113" i="21"/>
  <c r="EO83" i="21"/>
  <c r="EO170" i="21" s="1"/>
  <c r="EP104" i="21"/>
  <c r="EP112" i="21" s="1"/>
  <c r="EP77" i="21"/>
  <c r="EP74" i="21"/>
  <c r="EP87" i="21" s="1"/>
  <c r="EP88" i="21" s="1"/>
  <c r="EP106" i="21"/>
  <c r="EP103" i="21"/>
  <c r="EP117" i="21" s="1"/>
  <c r="EP118" i="21" s="1"/>
  <c r="EP102" i="21"/>
  <c r="EP110" i="21" s="1"/>
  <c r="EP15" i="21"/>
  <c r="EQ11" i="21"/>
  <c r="EP7" i="21"/>
  <c r="EM7" i="10"/>
  <c r="EN11" i="10"/>
  <c r="EP109" i="21" l="1"/>
  <c r="EO171" i="21"/>
  <c r="EO158" i="21"/>
  <c r="EO165" i="21" s="1"/>
  <c r="EO49" i="21"/>
  <c r="EO50" i="21" s="1"/>
  <c r="EO55" i="21" s="1"/>
  <c r="EO58" i="21" s="1"/>
  <c r="EO144" i="21"/>
  <c r="EO152" i="21" s="1"/>
  <c r="EP82" i="21"/>
  <c r="EP142" i="21"/>
  <c r="EP139" i="21"/>
  <c r="JN63" i="21"/>
  <c r="JM64" i="21"/>
  <c r="JM176" i="21" s="1"/>
  <c r="EP80" i="21"/>
  <c r="EP91" i="21" s="1"/>
  <c r="EP92" i="21" s="1"/>
  <c r="EO59" i="21"/>
  <c r="EO61" i="21" s="1"/>
  <c r="EO126" i="21"/>
  <c r="EO127" i="21" s="1"/>
  <c r="EP125" i="21" s="1"/>
  <c r="EP76" i="21"/>
  <c r="EP121" i="21"/>
  <c r="EP122" i="21" s="1"/>
  <c r="EP141" i="21" s="1"/>
  <c r="EP105" i="21"/>
  <c r="EP111" i="21" s="1"/>
  <c r="EQ12" i="21"/>
  <c r="EQ132" i="21" s="1"/>
  <c r="EQ13" i="21"/>
  <c r="EQ5" i="21" s="1"/>
  <c r="EQ14" i="21"/>
  <c r="EQ6" i="21" s="1"/>
  <c r="EN12" i="10"/>
  <c r="EN15" i="10" s="1"/>
  <c r="EN14" i="10"/>
  <c r="EN6" i="10" s="1"/>
  <c r="EN13" i="10"/>
  <c r="EN5" i="10" s="1"/>
  <c r="EP138" i="21" l="1"/>
  <c r="EP48" i="21"/>
  <c r="EO172" i="21"/>
  <c r="EO173" i="21" s="1"/>
  <c r="EO179" i="21" s="1"/>
  <c r="EQ149" i="21"/>
  <c r="EQ162" i="21"/>
  <c r="EP157" i="21"/>
  <c r="EP113" i="21"/>
  <c r="EP140" i="21"/>
  <c r="EO66" i="21"/>
  <c r="JO63" i="21"/>
  <c r="JN64" i="21"/>
  <c r="JN176" i="21" s="1"/>
  <c r="EP81" i="21"/>
  <c r="EQ77" i="21"/>
  <c r="EQ74" i="21"/>
  <c r="EQ87" i="21" s="1"/>
  <c r="EQ88" i="21" s="1"/>
  <c r="EQ75" i="21"/>
  <c r="EQ106" i="21"/>
  <c r="EQ103" i="21"/>
  <c r="EQ117" i="21" s="1"/>
  <c r="EQ118" i="21" s="1"/>
  <c r="EQ104" i="21"/>
  <c r="EQ102" i="21"/>
  <c r="EQ110" i="21" s="1"/>
  <c r="EQ15" i="21"/>
  <c r="ER11" i="21"/>
  <c r="EQ7" i="21"/>
  <c r="EN7" i="10"/>
  <c r="EO11" i="10"/>
  <c r="EQ109" i="21" l="1"/>
  <c r="EP171" i="21"/>
  <c r="EP158" i="21"/>
  <c r="EP165" i="21" s="1"/>
  <c r="EP47" i="21"/>
  <c r="EP49" i="21" s="1"/>
  <c r="EP50" i="21" s="1"/>
  <c r="EP172" i="21" s="1"/>
  <c r="EP137" i="21"/>
  <c r="JP63" i="21"/>
  <c r="JO64" i="21"/>
  <c r="JO176" i="21" s="1"/>
  <c r="EP83" i="21"/>
  <c r="EP170" i="21" s="1"/>
  <c r="EP96" i="21"/>
  <c r="EP97" i="21" s="1"/>
  <c r="EQ95" i="21" s="1"/>
  <c r="EQ82" i="21"/>
  <c r="EQ76" i="21"/>
  <c r="EQ81" i="21" s="1"/>
  <c r="EQ137" i="21" s="1"/>
  <c r="EP126" i="21"/>
  <c r="EP127" i="21" s="1"/>
  <c r="EQ125" i="21" s="1"/>
  <c r="EQ112" i="21"/>
  <c r="EQ121" i="21"/>
  <c r="EQ122" i="21" s="1"/>
  <c r="EQ141" i="21" s="1"/>
  <c r="EQ105" i="21"/>
  <c r="EQ111" i="21" s="1"/>
  <c r="EQ140" i="21" s="1"/>
  <c r="ER13" i="21"/>
  <c r="ER5" i="21" s="1"/>
  <c r="ER14" i="21"/>
  <c r="ER6" i="21" s="1"/>
  <c r="ER12" i="21"/>
  <c r="ER132" i="21" s="1"/>
  <c r="EO12" i="10"/>
  <c r="EO15" i="10" s="1"/>
  <c r="EO13" i="10"/>
  <c r="EO5" i="10" s="1"/>
  <c r="EO14" i="10"/>
  <c r="EO6" i="10" s="1"/>
  <c r="EP173" i="21" l="1"/>
  <c r="EP179" i="21" s="1"/>
  <c r="EP59" i="21"/>
  <c r="EP61" i="21" s="1"/>
  <c r="EQ80" i="21"/>
  <c r="EQ91" i="21" s="1"/>
  <c r="EQ92" i="21" s="1"/>
  <c r="EQ138" i="21" s="1"/>
  <c r="EQ157" i="21" s="1"/>
  <c r="EQ158" i="21" s="1"/>
  <c r="EQ165" i="21" s="1"/>
  <c r="ER149" i="21"/>
  <c r="ER162" i="21"/>
  <c r="EP144" i="21"/>
  <c r="EP152" i="21" s="1"/>
  <c r="EQ142" i="21"/>
  <c r="EQ139" i="21"/>
  <c r="EQ47" i="21"/>
  <c r="JQ63" i="21"/>
  <c r="JP64" i="21"/>
  <c r="JP176" i="21" s="1"/>
  <c r="EP55" i="21"/>
  <c r="EP58" i="21" s="1"/>
  <c r="EP66" i="21" s="1"/>
  <c r="EQ48" i="21"/>
  <c r="EQ113" i="21"/>
  <c r="EQ83" i="21"/>
  <c r="EQ170" i="21" s="1"/>
  <c r="ER77" i="21"/>
  <c r="ER74" i="21"/>
  <c r="ER87" i="21" s="1"/>
  <c r="ER88" i="21" s="1"/>
  <c r="ER75" i="21"/>
  <c r="ER103" i="21"/>
  <c r="ER117" i="21" s="1"/>
  <c r="ER118" i="21" s="1"/>
  <c r="ER106" i="21"/>
  <c r="ER102" i="21"/>
  <c r="ER110" i="21" s="1"/>
  <c r="ER104" i="21"/>
  <c r="ER15" i="21"/>
  <c r="ES11" i="21"/>
  <c r="ER7" i="21"/>
  <c r="EO7" i="10"/>
  <c r="EP11" i="10"/>
  <c r="ER109" i="21" l="1"/>
  <c r="EQ171" i="21"/>
  <c r="EQ49" i="21"/>
  <c r="EQ144" i="21"/>
  <c r="EQ152" i="21" s="1"/>
  <c r="EQ50" i="21"/>
  <c r="EQ172" i="21" s="1"/>
  <c r="JR63" i="21"/>
  <c r="JQ64" i="21"/>
  <c r="JQ176" i="21" s="1"/>
  <c r="ER80" i="21"/>
  <c r="ER91" i="21" s="1"/>
  <c r="ER92" i="21" s="1"/>
  <c r="EQ59" i="21"/>
  <c r="EQ61" i="21" s="1"/>
  <c r="EQ96" i="21"/>
  <c r="EQ97" i="21" s="1"/>
  <c r="ER95" i="21" s="1"/>
  <c r="ER82" i="21"/>
  <c r="ER76" i="21"/>
  <c r="ER81" i="21" s="1"/>
  <c r="ER137" i="21" s="1"/>
  <c r="ER112" i="21"/>
  <c r="EQ126" i="21"/>
  <c r="EQ127" i="21" s="1"/>
  <c r="ER125" i="21" s="1"/>
  <c r="ER105" i="21"/>
  <c r="ER111" i="21" s="1"/>
  <c r="ER140" i="21" s="1"/>
  <c r="ER121" i="21"/>
  <c r="ER122" i="21" s="1"/>
  <c r="ER141" i="21" s="1"/>
  <c r="ES13" i="21"/>
  <c r="ES5" i="21" s="1"/>
  <c r="ES14" i="21"/>
  <c r="ES6" i="21" s="1"/>
  <c r="ES12" i="21"/>
  <c r="ES132" i="21" s="1"/>
  <c r="EP12" i="10"/>
  <c r="EP15" i="10" s="1"/>
  <c r="EP13" i="10"/>
  <c r="EP5" i="10" s="1"/>
  <c r="EP14" i="10"/>
  <c r="EP6" i="10" s="1"/>
  <c r="EQ173" i="21" l="1"/>
  <c r="EQ179" i="21" s="1"/>
  <c r="ER48" i="21"/>
  <c r="EQ55" i="21"/>
  <c r="EQ58" i="21" s="1"/>
  <c r="EQ66" i="21" s="1"/>
  <c r="ER138" i="21"/>
  <c r="ES149" i="21"/>
  <c r="ES162" i="21"/>
  <c r="ER157" i="21"/>
  <c r="ER142" i="21"/>
  <c r="ER139" i="21"/>
  <c r="ER47" i="21"/>
  <c r="JS63" i="21"/>
  <c r="JR64" i="21"/>
  <c r="JR176" i="21" s="1"/>
  <c r="ER49" i="21"/>
  <c r="ER50" i="21" s="1"/>
  <c r="ER172" i="21" s="1"/>
  <c r="ER113" i="21"/>
  <c r="ER83" i="21"/>
  <c r="ER170" i="21" s="1"/>
  <c r="ES104" i="21"/>
  <c r="ER126" i="21" s="1"/>
  <c r="ER127" i="21" s="1"/>
  <c r="ES77" i="21"/>
  <c r="ES74" i="21"/>
  <c r="ES87" i="21" s="1"/>
  <c r="ES88" i="21" s="1"/>
  <c r="ES75" i="21"/>
  <c r="ES102" i="21"/>
  <c r="ES110" i="21" s="1"/>
  <c r="ES106" i="21"/>
  <c r="ES103" i="21"/>
  <c r="ES117" i="21" s="1"/>
  <c r="ES118" i="21" s="1"/>
  <c r="ES15" i="21"/>
  <c r="ET11" i="21"/>
  <c r="ES7" i="21"/>
  <c r="EP7" i="10"/>
  <c r="EQ11" i="10"/>
  <c r="ES109" i="21" l="1"/>
  <c r="ES121" i="21" s="1"/>
  <c r="ES122" i="21" s="1"/>
  <c r="ES141" i="21" s="1"/>
  <c r="ER171" i="21"/>
  <c r="ER173" i="21" s="1"/>
  <c r="ER179" i="21" s="1"/>
  <c r="ER158" i="21"/>
  <c r="ER165" i="21" s="1"/>
  <c r="ER144" i="21"/>
  <c r="ER152" i="21" s="1"/>
  <c r="JT63" i="21"/>
  <c r="JS64" i="21"/>
  <c r="JS176" i="21" s="1"/>
  <c r="ES125" i="21"/>
  <c r="ER55" i="21"/>
  <c r="ER58" i="21" s="1"/>
  <c r="ES48" i="21"/>
  <c r="ES112" i="21"/>
  <c r="ES80" i="21"/>
  <c r="ES91" i="21" s="1"/>
  <c r="ES92" i="21" s="1"/>
  <c r="ER59" i="21"/>
  <c r="ER61" i="21" s="1"/>
  <c r="ES82" i="21"/>
  <c r="ER96" i="21"/>
  <c r="ER97" i="21" s="1"/>
  <c r="ES95" i="21" s="1"/>
  <c r="ES76" i="21"/>
  <c r="ES81" i="21" s="1"/>
  <c r="ES137" i="21" s="1"/>
  <c r="ES105" i="21"/>
  <c r="ES111" i="21" s="1"/>
  <c r="ET13" i="21"/>
  <c r="ET5" i="21" s="1"/>
  <c r="ET14" i="21"/>
  <c r="ET6" i="21" s="1"/>
  <c r="ET12" i="21"/>
  <c r="ET132" i="21" s="1"/>
  <c r="EQ14" i="10"/>
  <c r="EQ6" i="10" s="1"/>
  <c r="EQ12" i="10"/>
  <c r="EQ15" i="10" s="1"/>
  <c r="EQ13" i="10"/>
  <c r="EQ5" i="10" s="1"/>
  <c r="ES138" i="21" l="1"/>
  <c r="ES157" i="21" s="1"/>
  <c r="ES158" i="21" s="1"/>
  <c r="ES165" i="21" s="1"/>
  <c r="ET149" i="21"/>
  <c r="ET162" i="21"/>
  <c r="ES113" i="21"/>
  <c r="ES140" i="21"/>
  <c r="ES142" i="21"/>
  <c r="ES139" i="21"/>
  <c r="ER66" i="21"/>
  <c r="ES47" i="21"/>
  <c r="ES49" i="21" s="1"/>
  <c r="ES50" i="21" s="1"/>
  <c r="ES172" i="21" s="1"/>
  <c r="JU63" i="21"/>
  <c r="JT64" i="21"/>
  <c r="JT176" i="21" s="1"/>
  <c r="ES83" i="21"/>
  <c r="ES170" i="21" s="1"/>
  <c r="ET104" i="21"/>
  <c r="ES126" i="21" s="1"/>
  <c r="ES127" i="21" s="1"/>
  <c r="ET77" i="21"/>
  <c r="ET74" i="21"/>
  <c r="ET87" i="21" s="1"/>
  <c r="ET88" i="21" s="1"/>
  <c r="ET75" i="21"/>
  <c r="ET102" i="21"/>
  <c r="ET110" i="21" s="1"/>
  <c r="ET106" i="21"/>
  <c r="ET103" i="21"/>
  <c r="ET117" i="21" s="1"/>
  <c r="ET118" i="21" s="1"/>
  <c r="ET15" i="21"/>
  <c r="EU11" i="21"/>
  <c r="ET7" i="21"/>
  <c r="EQ7" i="10"/>
  <c r="ER11" i="10"/>
  <c r="ET109" i="21" l="1"/>
  <c r="ET121" i="21" s="1"/>
  <c r="ET122" i="21" s="1"/>
  <c r="ET141" i="21" s="1"/>
  <c r="ES171" i="21"/>
  <c r="ES173" i="21" s="1"/>
  <c r="ES179" i="21" s="1"/>
  <c r="ES144" i="21"/>
  <c r="ES152" i="21" s="1"/>
  <c r="JV63" i="21"/>
  <c r="JU64" i="21"/>
  <c r="JU176" i="21" s="1"/>
  <c r="ET125" i="21"/>
  <c r="ES55" i="21"/>
  <c r="ES58" i="21" s="1"/>
  <c r="ET48" i="21"/>
  <c r="ET112" i="21"/>
  <c r="ET80" i="21"/>
  <c r="ET91" i="21" s="1"/>
  <c r="ET92" i="21" s="1"/>
  <c r="ES59" i="21"/>
  <c r="ES61" i="21" s="1"/>
  <c r="ES96" i="21"/>
  <c r="ES97" i="21" s="1"/>
  <c r="ET95" i="21" s="1"/>
  <c r="ET82" i="21"/>
  <c r="ET76" i="21"/>
  <c r="ET81" i="21" s="1"/>
  <c r="ET137" i="21" s="1"/>
  <c r="ET105" i="21"/>
  <c r="ET111" i="21" s="1"/>
  <c r="ET140" i="21" s="1"/>
  <c r="EU13" i="21"/>
  <c r="EU5" i="21" s="1"/>
  <c r="EU14" i="21"/>
  <c r="EU6" i="21" s="1"/>
  <c r="EU12" i="21"/>
  <c r="EU132" i="21" s="1"/>
  <c r="ER14" i="10"/>
  <c r="ER6" i="10" s="1"/>
  <c r="ER12" i="10"/>
  <c r="ER15" i="10" s="1"/>
  <c r="ER13" i="10"/>
  <c r="ER5" i="10" s="1"/>
  <c r="ET138" i="21" l="1"/>
  <c r="ET157" i="21" s="1"/>
  <c r="EU149" i="21"/>
  <c r="EU162" i="21"/>
  <c r="ET139" i="21"/>
  <c r="ET142" i="21"/>
  <c r="ET144" i="21" s="1"/>
  <c r="ET152" i="21" s="1"/>
  <c r="ES66" i="21"/>
  <c r="ET47" i="21"/>
  <c r="ET49" i="21" s="1"/>
  <c r="ET50" i="21" s="1"/>
  <c r="ET172" i="21" s="1"/>
  <c r="JW63" i="21"/>
  <c r="JV64" i="21"/>
  <c r="JV176" i="21" s="1"/>
  <c r="ET113" i="21"/>
  <c r="ET83" i="21"/>
  <c r="ET170" i="21" s="1"/>
  <c r="EU77" i="21"/>
  <c r="EU74" i="21"/>
  <c r="EU87" i="21" s="1"/>
  <c r="EU88" i="21" s="1"/>
  <c r="EU75" i="21"/>
  <c r="EU106" i="21"/>
  <c r="EU103" i="21"/>
  <c r="EU117" i="21" s="1"/>
  <c r="EU118" i="21" s="1"/>
  <c r="EU104" i="21"/>
  <c r="EU102" i="21"/>
  <c r="EU110" i="21" s="1"/>
  <c r="EV11" i="21"/>
  <c r="EU15" i="21"/>
  <c r="EU7" i="21"/>
  <c r="ES11" i="10"/>
  <c r="ER7" i="10"/>
  <c r="EU109" i="21" l="1"/>
  <c r="ET171" i="21"/>
  <c r="ET173" i="21" s="1"/>
  <c r="ET179" i="21" s="1"/>
  <c r="ET158" i="21"/>
  <c r="ET165" i="21" s="1"/>
  <c r="JX63" i="21"/>
  <c r="JW64" i="21"/>
  <c r="JW176" i="21" s="1"/>
  <c r="ET55" i="21"/>
  <c r="ET58" i="21" s="1"/>
  <c r="EU48" i="21"/>
  <c r="EU80" i="21"/>
  <c r="EU91" i="21" s="1"/>
  <c r="EU92" i="21" s="1"/>
  <c r="ET59" i="21"/>
  <c r="ET61" i="21" s="1"/>
  <c r="ET96" i="21"/>
  <c r="ET97" i="21" s="1"/>
  <c r="EU95" i="21" s="1"/>
  <c r="EU82" i="21"/>
  <c r="EU76" i="21"/>
  <c r="EU81" i="21" s="1"/>
  <c r="EU137" i="21" s="1"/>
  <c r="EU112" i="21"/>
  <c r="ET126" i="21"/>
  <c r="ET127" i="21" s="1"/>
  <c r="EU125" i="21" s="1"/>
  <c r="EU105" i="21"/>
  <c r="EU111" i="21" s="1"/>
  <c r="EU140" i="21" s="1"/>
  <c r="EU121" i="21"/>
  <c r="EU122" i="21" s="1"/>
  <c r="EU141" i="21" s="1"/>
  <c r="EV14" i="21"/>
  <c r="EV6" i="21" s="1"/>
  <c r="EV12" i="21"/>
  <c r="EV132" i="21" s="1"/>
  <c r="EV13" i="21"/>
  <c r="EV5" i="21" s="1"/>
  <c r="ES13" i="10"/>
  <c r="ES5" i="10" s="1"/>
  <c r="ES14" i="10"/>
  <c r="ES6" i="10" s="1"/>
  <c r="ES12" i="10"/>
  <c r="ES15" i="10" s="1"/>
  <c r="EU138" i="21" l="1"/>
  <c r="EU157" i="21" s="1"/>
  <c r="EU158" i="21" s="1"/>
  <c r="EU165" i="21" s="1"/>
  <c r="EV149" i="21"/>
  <c r="EV162" i="21"/>
  <c r="EU142" i="21"/>
  <c r="EU139" i="21"/>
  <c r="ET66" i="21"/>
  <c r="EU47" i="21"/>
  <c r="JY63" i="21"/>
  <c r="JX64" i="21"/>
  <c r="JX176" i="21" s="1"/>
  <c r="EU113" i="21"/>
  <c r="EU83" i="21"/>
  <c r="EU170" i="21" s="1"/>
  <c r="EV77" i="21"/>
  <c r="EV74" i="21"/>
  <c r="EV87" i="21" s="1"/>
  <c r="EV88" i="21" s="1"/>
  <c r="EV75" i="21"/>
  <c r="EV103" i="21"/>
  <c r="EV117" i="21" s="1"/>
  <c r="EV118" i="21" s="1"/>
  <c r="EV106" i="21"/>
  <c r="EV104" i="21"/>
  <c r="EV102" i="21"/>
  <c r="EV110" i="21" s="1"/>
  <c r="EV7" i="21"/>
  <c r="EV15" i="21"/>
  <c r="EW11" i="21"/>
  <c r="ET11" i="10"/>
  <c r="ES7" i="10"/>
  <c r="EV109" i="21" l="1"/>
  <c r="EV121" i="21" s="1"/>
  <c r="EV122" i="21" s="1"/>
  <c r="EV141" i="21" s="1"/>
  <c r="EU171" i="21"/>
  <c r="EU49" i="21"/>
  <c r="EU50" i="21" s="1"/>
  <c r="EU172" i="21" s="1"/>
  <c r="EU144" i="21"/>
  <c r="EU152" i="21" s="1"/>
  <c r="JZ63" i="21"/>
  <c r="JY64" i="21"/>
  <c r="JY176" i="21" s="1"/>
  <c r="EU55" i="21"/>
  <c r="EU58" i="21" s="1"/>
  <c r="EV80" i="21"/>
  <c r="EV91" i="21" s="1"/>
  <c r="EV92" i="21" s="1"/>
  <c r="EU59" i="21"/>
  <c r="EU61" i="21" s="1"/>
  <c r="EU96" i="21"/>
  <c r="EU97" i="21" s="1"/>
  <c r="EV95" i="21" s="1"/>
  <c r="EV82" i="21"/>
  <c r="EV76" i="21"/>
  <c r="EV81" i="21" s="1"/>
  <c r="EV137" i="21" s="1"/>
  <c r="EU126" i="21"/>
  <c r="EU127" i="21" s="1"/>
  <c r="EV125" i="21" s="1"/>
  <c r="EV112" i="21"/>
  <c r="EV105" i="21"/>
  <c r="EV111" i="21" s="1"/>
  <c r="EV140" i="21" s="1"/>
  <c r="EW13" i="21"/>
  <c r="EW5" i="21" s="1"/>
  <c r="EW14" i="21"/>
  <c r="EW6" i="21" s="1"/>
  <c r="EW12" i="21"/>
  <c r="EW132" i="21" s="1"/>
  <c r="ET13" i="10"/>
  <c r="ET5" i="10" s="1"/>
  <c r="ET14" i="10"/>
  <c r="ET6" i="10" s="1"/>
  <c r="ET12" i="10"/>
  <c r="ET15" i="10" s="1"/>
  <c r="EU173" i="21" l="1"/>
  <c r="EU179" i="21" s="1"/>
  <c r="EV48" i="21"/>
  <c r="EV138" i="21"/>
  <c r="EV157" i="21"/>
  <c r="EW149" i="21"/>
  <c r="EW162" i="21"/>
  <c r="EV139" i="21"/>
  <c r="EV142" i="21"/>
  <c r="EU66" i="21"/>
  <c r="EV47" i="21"/>
  <c r="KA63" i="21"/>
  <c r="JZ64" i="21"/>
  <c r="JZ176" i="21" s="1"/>
  <c r="EV113" i="21"/>
  <c r="EV83" i="21"/>
  <c r="EV170" i="21" s="1"/>
  <c r="EW104" i="21"/>
  <c r="EW112" i="21" s="1"/>
  <c r="EW77" i="21"/>
  <c r="EW74" i="21"/>
  <c r="EW87" i="21" s="1"/>
  <c r="EW88" i="21" s="1"/>
  <c r="EW75" i="21"/>
  <c r="EW103" i="21"/>
  <c r="EW117" i="21" s="1"/>
  <c r="EW118" i="21" s="1"/>
  <c r="EW106" i="21"/>
  <c r="EW102" i="21"/>
  <c r="EW110" i="21" s="1"/>
  <c r="EX11" i="21"/>
  <c r="EW7" i="21"/>
  <c r="EW15" i="21"/>
  <c r="EU11" i="10"/>
  <c r="ET7" i="10"/>
  <c r="EW109" i="21" l="1"/>
  <c r="EV171" i="21"/>
  <c r="EV144" i="21"/>
  <c r="EV152" i="21" s="1"/>
  <c r="EV158" i="21"/>
  <c r="EV165" i="21" s="1"/>
  <c r="EV49" i="21"/>
  <c r="EV50" i="21" s="1"/>
  <c r="EV172" i="21" s="1"/>
  <c r="EW139" i="21"/>
  <c r="EW142" i="21"/>
  <c r="EV126" i="21"/>
  <c r="EV127" i="21" s="1"/>
  <c r="EW125" i="21" s="1"/>
  <c r="KB63" i="21"/>
  <c r="KA64" i="21"/>
  <c r="KA176" i="21" s="1"/>
  <c r="EW80" i="21"/>
  <c r="EW91" i="21" s="1"/>
  <c r="EW92" i="21" s="1"/>
  <c r="EV59" i="21"/>
  <c r="EV61" i="21" s="1"/>
  <c r="EV96" i="21"/>
  <c r="EV97" i="21" s="1"/>
  <c r="EW95" i="21" s="1"/>
  <c r="EW82" i="21"/>
  <c r="EW76" i="21"/>
  <c r="EW81" i="21" s="1"/>
  <c r="EW137" i="21" s="1"/>
  <c r="EW105" i="21"/>
  <c r="EW111" i="21" s="1"/>
  <c r="EW121" i="21"/>
  <c r="EW122" i="21" s="1"/>
  <c r="EW141" i="21" s="1"/>
  <c r="EX14" i="21"/>
  <c r="EX6" i="21" s="1"/>
  <c r="EX12" i="21"/>
  <c r="EX132" i="21" s="1"/>
  <c r="EX13" i="21"/>
  <c r="EX5" i="21" s="1"/>
  <c r="EU13" i="10"/>
  <c r="EU5" i="10" s="1"/>
  <c r="EU14" i="10"/>
  <c r="EU6" i="10" s="1"/>
  <c r="EU12" i="10"/>
  <c r="EU15" i="10" s="1"/>
  <c r="EV173" i="21" l="1"/>
  <c r="EV179" i="21" s="1"/>
  <c r="EV55" i="21"/>
  <c r="EV58" i="21" s="1"/>
  <c r="EW48" i="21"/>
  <c r="EW138" i="21"/>
  <c r="EW157" i="21"/>
  <c r="EW158" i="21" s="1"/>
  <c r="EW165" i="21" s="1"/>
  <c r="EX149" i="21"/>
  <c r="EX162" i="21"/>
  <c r="EW113" i="21"/>
  <c r="EW140" i="21"/>
  <c r="EX75" i="21"/>
  <c r="EW96" i="21" s="1"/>
  <c r="EW97" i="21" s="1"/>
  <c r="EX95" i="21" s="1"/>
  <c r="EW47" i="21"/>
  <c r="EW49" i="21" s="1"/>
  <c r="EW50" i="21" s="1"/>
  <c r="EW172" i="21" s="1"/>
  <c r="EV66" i="21"/>
  <c r="KC63" i="21"/>
  <c r="KB64" i="21"/>
  <c r="KB176" i="21" s="1"/>
  <c r="EW83" i="21"/>
  <c r="EW170" i="21" s="1"/>
  <c r="EX77" i="21"/>
  <c r="EX74" i="21"/>
  <c r="EX87" i="21" s="1"/>
  <c r="EX88" i="21" s="1"/>
  <c r="EX103" i="21"/>
  <c r="EX117" i="21" s="1"/>
  <c r="EX118" i="21" s="1"/>
  <c r="EX106" i="21"/>
  <c r="EX104" i="21"/>
  <c r="EX102" i="21"/>
  <c r="EX110" i="21" s="1"/>
  <c r="EY11" i="21"/>
  <c r="EX7" i="21"/>
  <c r="EX15" i="21"/>
  <c r="EV11" i="10"/>
  <c r="EU7" i="10"/>
  <c r="EW144" i="21" l="1"/>
  <c r="EW152" i="21" s="1"/>
  <c r="EX109" i="21"/>
  <c r="EW171" i="21"/>
  <c r="EW173" i="21" s="1"/>
  <c r="EW179" i="21" s="1"/>
  <c r="EX82" i="21"/>
  <c r="KD63" i="21"/>
  <c r="KC64" i="21"/>
  <c r="KC176" i="21" s="1"/>
  <c r="EW55" i="21"/>
  <c r="EW58" i="21" s="1"/>
  <c r="EX48" i="21"/>
  <c r="EX80" i="21"/>
  <c r="EX91" i="21" s="1"/>
  <c r="EX92" i="21" s="1"/>
  <c r="EW59" i="21"/>
  <c r="EW61" i="21" s="1"/>
  <c r="EX76" i="21"/>
  <c r="EX112" i="21"/>
  <c r="EW126" i="21"/>
  <c r="EW127" i="21" s="1"/>
  <c r="EX125" i="21" s="1"/>
  <c r="EX105" i="21"/>
  <c r="EX111" i="21" s="1"/>
  <c r="EX140" i="21" s="1"/>
  <c r="EX121" i="21"/>
  <c r="EX122" i="21" s="1"/>
  <c r="EX141" i="21" s="1"/>
  <c r="EY14" i="21"/>
  <c r="EY6" i="21" s="1"/>
  <c r="EY12" i="21"/>
  <c r="EY132" i="21" s="1"/>
  <c r="EY13" i="21"/>
  <c r="EY5" i="21" s="1"/>
  <c r="EV13" i="10"/>
  <c r="EV5" i="10" s="1"/>
  <c r="EV14" i="10"/>
  <c r="EV6" i="10" s="1"/>
  <c r="EV12" i="10"/>
  <c r="EV15" i="10" s="1"/>
  <c r="EX138" i="21" l="1"/>
  <c r="EY149" i="21"/>
  <c r="EY162" i="21"/>
  <c r="EX157" i="21"/>
  <c r="EX142" i="21"/>
  <c r="EX139" i="21"/>
  <c r="EW66" i="21"/>
  <c r="KE63" i="21"/>
  <c r="KD64" i="21"/>
  <c r="KD176" i="21" s="1"/>
  <c r="EX113" i="21"/>
  <c r="EX81" i="21"/>
  <c r="EY77" i="21"/>
  <c r="EY74" i="21"/>
  <c r="EY87" i="21" s="1"/>
  <c r="EY88" i="21" s="1"/>
  <c r="EY75" i="21"/>
  <c r="EY106" i="21"/>
  <c r="EY103" i="21"/>
  <c r="EY117" i="21" s="1"/>
  <c r="EY118" i="21" s="1"/>
  <c r="EY104" i="21"/>
  <c r="EY102" i="21"/>
  <c r="EY110" i="21" s="1"/>
  <c r="EY7" i="21"/>
  <c r="EY15" i="21"/>
  <c r="EZ11" i="21"/>
  <c r="EW11" i="10"/>
  <c r="EV7" i="10"/>
  <c r="EY109" i="21" l="1"/>
  <c r="EX171" i="21"/>
  <c r="EX158" i="21"/>
  <c r="EX165" i="21" s="1"/>
  <c r="EX47" i="21"/>
  <c r="EX49" i="21" s="1"/>
  <c r="EX50" i="21" s="1"/>
  <c r="EX172" i="21" s="1"/>
  <c r="EX137" i="21"/>
  <c r="KF63" i="21"/>
  <c r="KE64" i="21"/>
  <c r="KE176" i="21" s="1"/>
  <c r="EX83" i="21"/>
  <c r="EX59" i="21" s="1"/>
  <c r="EX61" i="21" s="1"/>
  <c r="EX96" i="21"/>
  <c r="EX97" i="21" s="1"/>
  <c r="EY95" i="21" s="1"/>
  <c r="EY82" i="21"/>
  <c r="EY76" i="21"/>
  <c r="EY81" i="21" s="1"/>
  <c r="EY137" i="21" s="1"/>
  <c r="EX126" i="21"/>
  <c r="EX127" i="21" s="1"/>
  <c r="EY125" i="21" s="1"/>
  <c r="EY112" i="21"/>
  <c r="EY121" i="21"/>
  <c r="EY122" i="21" s="1"/>
  <c r="EY141" i="21" s="1"/>
  <c r="EY105" i="21"/>
  <c r="EY111" i="21" s="1"/>
  <c r="EY140" i="21" s="1"/>
  <c r="EZ12" i="21"/>
  <c r="EZ132" i="21" s="1"/>
  <c r="EZ13" i="21"/>
  <c r="EZ5" i="21" s="1"/>
  <c r="EZ14" i="21"/>
  <c r="EZ6" i="21" s="1"/>
  <c r="EW12" i="10"/>
  <c r="EW15" i="10" s="1"/>
  <c r="EW14" i="10"/>
  <c r="EW6" i="10" s="1"/>
  <c r="EW13" i="10"/>
  <c r="EW5" i="10" s="1"/>
  <c r="EY80" i="21" l="1"/>
  <c r="EY91" i="21" s="1"/>
  <c r="EY92" i="21" s="1"/>
  <c r="EX170" i="21"/>
  <c r="EX173" i="21" s="1"/>
  <c r="EX179" i="21" s="1"/>
  <c r="EZ149" i="21"/>
  <c r="EZ162" i="21"/>
  <c r="EX144" i="21"/>
  <c r="EX152" i="21" s="1"/>
  <c r="EY139" i="21"/>
  <c r="EY142" i="21"/>
  <c r="EY47" i="21"/>
  <c r="KG63" i="21"/>
  <c r="KF64" i="21"/>
  <c r="KF176" i="21" s="1"/>
  <c r="EX55" i="21"/>
  <c r="EX58" i="21" s="1"/>
  <c r="EX66" i="21" s="1"/>
  <c r="EY48" i="21"/>
  <c r="EY113" i="21"/>
  <c r="EY83" i="21"/>
  <c r="EY170" i="21" s="1"/>
  <c r="EZ77" i="21"/>
  <c r="EZ74" i="21"/>
  <c r="EZ87" i="21" s="1"/>
  <c r="EZ88" i="21" s="1"/>
  <c r="EZ75" i="21"/>
  <c r="EZ106" i="21"/>
  <c r="EZ103" i="21"/>
  <c r="EZ117" i="21" s="1"/>
  <c r="EZ118" i="21" s="1"/>
  <c r="EZ104" i="21"/>
  <c r="EZ102" i="21"/>
  <c r="EZ110" i="21" s="1"/>
  <c r="EZ15" i="21"/>
  <c r="FA11" i="21"/>
  <c r="EZ7" i="21"/>
  <c r="EX11" i="10"/>
  <c r="EW7" i="10"/>
  <c r="EY138" i="21" l="1"/>
  <c r="EY157" i="21" s="1"/>
  <c r="EY158" i="21" s="1"/>
  <c r="EY165" i="21" s="1"/>
  <c r="EZ109" i="21"/>
  <c r="EY171" i="21"/>
  <c r="EY49" i="21"/>
  <c r="EY50" i="21"/>
  <c r="EY172" i="21" s="1"/>
  <c r="KH63" i="21"/>
  <c r="KG64" i="21"/>
  <c r="KG176" i="21" s="1"/>
  <c r="EZ48" i="21"/>
  <c r="EZ80" i="21"/>
  <c r="EZ91" i="21" s="1"/>
  <c r="EZ92" i="21" s="1"/>
  <c r="EY59" i="21"/>
  <c r="EY61" i="21" s="1"/>
  <c r="EY96" i="21"/>
  <c r="EY97" i="21" s="1"/>
  <c r="EZ95" i="21" s="1"/>
  <c r="EZ82" i="21"/>
  <c r="EZ76" i="21"/>
  <c r="EZ81" i="21" s="1"/>
  <c r="EZ137" i="21" s="1"/>
  <c r="EY126" i="21"/>
  <c r="EY127" i="21" s="1"/>
  <c r="EZ125" i="21" s="1"/>
  <c r="EZ112" i="21"/>
  <c r="EZ121" i="21"/>
  <c r="EZ122" i="21" s="1"/>
  <c r="EZ141" i="21" s="1"/>
  <c r="EZ105" i="21"/>
  <c r="EZ111" i="21" s="1"/>
  <c r="EZ140" i="21" s="1"/>
  <c r="FA14" i="21"/>
  <c r="FA6" i="21" s="1"/>
  <c r="FA13" i="21"/>
  <c r="FA5" i="21" s="1"/>
  <c r="FA12" i="21"/>
  <c r="FA132" i="21" s="1"/>
  <c r="EX12" i="10"/>
  <c r="EX15" i="10" s="1"/>
  <c r="EX14" i="10"/>
  <c r="EX6" i="10" s="1"/>
  <c r="EX13" i="10"/>
  <c r="EX5" i="10" s="1"/>
  <c r="EY173" i="21" l="1"/>
  <c r="EY179" i="21" s="1"/>
  <c r="EY55" i="21"/>
  <c r="EY58" i="21" s="1"/>
  <c r="EZ138" i="21"/>
  <c r="EY144" i="21"/>
  <c r="EY152" i="21" s="1"/>
  <c r="FA149" i="21"/>
  <c r="FA162" i="21"/>
  <c r="EZ157" i="21"/>
  <c r="EZ139" i="21"/>
  <c r="EZ142" i="21"/>
  <c r="EY66" i="21"/>
  <c r="KI63" i="21"/>
  <c r="KI64" i="21" s="1"/>
  <c r="KI176" i="21" s="1"/>
  <c r="KH64" i="21"/>
  <c r="KH176" i="21" s="1"/>
  <c r="EZ47" i="21"/>
  <c r="EZ113" i="21"/>
  <c r="EZ83" i="21"/>
  <c r="EZ170" i="21" s="1"/>
  <c r="FA77" i="21"/>
  <c r="FA74" i="21"/>
  <c r="FA87" i="21" s="1"/>
  <c r="FA88" i="21" s="1"/>
  <c r="FA75" i="21"/>
  <c r="FA106" i="21"/>
  <c r="FA103" i="21"/>
  <c r="FA117" i="21" s="1"/>
  <c r="FA118" i="21" s="1"/>
  <c r="FA104" i="21"/>
  <c r="FA102" i="21"/>
  <c r="FA110" i="21" s="1"/>
  <c r="FA15" i="21"/>
  <c r="FB11" i="21"/>
  <c r="FA7" i="21"/>
  <c r="EY11" i="10"/>
  <c r="EX7" i="10"/>
  <c r="EZ144" i="21" l="1"/>
  <c r="EZ152" i="21" s="1"/>
  <c r="FA109" i="21"/>
  <c r="EZ171" i="21"/>
  <c r="EZ158" i="21"/>
  <c r="EZ165" i="21" s="1"/>
  <c r="EZ49" i="21"/>
  <c r="EZ50" i="21" s="1"/>
  <c r="FA48" i="21"/>
  <c r="FA80" i="21"/>
  <c r="FA91" i="21" s="1"/>
  <c r="FA92" i="21" s="1"/>
  <c r="EZ59" i="21"/>
  <c r="EZ61" i="21" s="1"/>
  <c r="EZ96" i="21"/>
  <c r="EZ97" i="21" s="1"/>
  <c r="FA95" i="21" s="1"/>
  <c r="FA82" i="21"/>
  <c r="FA76" i="21"/>
  <c r="FA81" i="21" s="1"/>
  <c r="FA137" i="21" s="1"/>
  <c r="FA112" i="21"/>
  <c r="EZ126" i="21"/>
  <c r="EZ127" i="21" s="1"/>
  <c r="FA125" i="21" s="1"/>
  <c r="FA121" i="21"/>
  <c r="FA122" i="21" s="1"/>
  <c r="FA141" i="21" s="1"/>
  <c r="FA105" i="21"/>
  <c r="FA111" i="21" s="1"/>
  <c r="FA140" i="21" s="1"/>
  <c r="FB12" i="21"/>
  <c r="FB132" i="21" s="1"/>
  <c r="FB13" i="21"/>
  <c r="FB5" i="21" s="1"/>
  <c r="FB14" i="21"/>
  <c r="FB6" i="21" s="1"/>
  <c r="EY14" i="10"/>
  <c r="EY6" i="10" s="1"/>
  <c r="EY13" i="10"/>
  <c r="EY5" i="10" s="1"/>
  <c r="EY12" i="10"/>
  <c r="EY15" i="10" s="1"/>
  <c r="FA138" i="21" l="1"/>
  <c r="EZ55" i="21"/>
  <c r="EZ58" i="21" s="1"/>
  <c r="EZ66" i="21" s="1"/>
  <c r="EZ172" i="21"/>
  <c r="EZ173" i="21" s="1"/>
  <c r="EZ179" i="21" s="1"/>
  <c r="FA157" i="21"/>
  <c r="FA158" i="21" s="1"/>
  <c r="FA165" i="21" s="1"/>
  <c r="FB149" i="21"/>
  <c r="FB162" i="21"/>
  <c r="FA142" i="21"/>
  <c r="FA139" i="21"/>
  <c r="FA47" i="21"/>
  <c r="FA113" i="21"/>
  <c r="FA83" i="21"/>
  <c r="FA170" i="21" s="1"/>
  <c r="FB77" i="21"/>
  <c r="FB74" i="21"/>
  <c r="FB87" i="21" s="1"/>
  <c r="FB88" i="21" s="1"/>
  <c r="FB75" i="21"/>
  <c r="FB106" i="21"/>
  <c r="FB103" i="21"/>
  <c r="FB117" i="21" s="1"/>
  <c r="FB118" i="21" s="1"/>
  <c r="FB104" i="21"/>
  <c r="FB102" i="21"/>
  <c r="FB110" i="21" s="1"/>
  <c r="FC11" i="21"/>
  <c r="FB15" i="21"/>
  <c r="FB7" i="21"/>
  <c r="EZ11" i="10"/>
  <c r="EY7" i="10"/>
  <c r="FB109" i="21" l="1"/>
  <c r="FA171" i="21"/>
  <c r="FA49" i="21"/>
  <c r="FA50" i="21" s="1"/>
  <c r="FA172" i="21" s="1"/>
  <c r="FA144" i="21"/>
  <c r="FA152" i="21" s="1"/>
  <c r="FA55" i="21"/>
  <c r="FA58" i="21" s="1"/>
  <c r="FB48" i="21"/>
  <c r="FB80" i="21"/>
  <c r="FB91" i="21" s="1"/>
  <c r="FB92" i="21" s="1"/>
  <c r="FA59" i="21"/>
  <c r="FA61" i="21" s="1"/>
  <c r="FB82" i="21"/>
  <c r="FA96" i="21"/>
  <c r="FA97" i="21" s="1"/>
  <c r="FB95" i="21" s="1"/>
  <c r="FB76" i="21"/>
  <c r="FB81" i="21" s="1"/>
  <c r="FB137" i="21" s="1"/>
  <c r="FA126" i="21"/>
  <c r="FA127" i="21" s="1"/>
  <c r="FB125" i="21" s="1"/>
  <c r="FB112" i="21"/>
  <c r="FB121" i="21"/>
  <c r="FB122" i="21" s="1"/>
  <c r="FB141" i="21" s="1"/>
  <c r="FB105" i="21"/>
  <c r="FB111" i="21" s="1"/>
  <c r="FB140" i="21" s="1"/>
  <c r="FC14" i="21"/>
  <c r="FC6" i="21" s="1"/>
  <c r="FC12" i="21"/>
  <c r="FC132" i="21" s="1"/>
  <c r="FC13" i="21"/>
  <c r="FC5" i="21" s="1"/>
  <c r="EZ14" i="10"/>
  <c r="EZ6" i="10" s="1"/>
  <c r="EZ12" i="10"/>
  <c r="EZ15" i="10" s="1"/>
  <c r="EZ13" i="10"/>
  <c r="EZ5" i="10" s="1"/>
  <c r="FA173" i="21" l="1"/>
  <c r="FA179" i="21" s="1"/>
  <c r="FB138" i="21"/>
  <c r="FC149" i="21"/>
  <c r="FC162" i="21"/>
  <c r="FB157" i="21"/>
  <c r="FB142" i="21"/>
  <c r="FB139" i="21"/>
  <c r="FB47" i="21"/>
  <c r="FB49" i="21" s="1"/>
  <c r="FB50" i="21" s="1"/>
  <c r="FB172" i="21" s="1"/>
  <c r="FA66" i="21"/>
  <c r="FB113" i="21"/>
  <c r="FB83" i="21"/>
  <c r="FB170" i="21" s="1"/>
  <c r="FC102" i="21"/>
  <c r="FC110" i="21" s="1"/>
  <c r="FC77" i="21"/>
  <c r="FC74" i="21"/>
  <c r="FC87" i="21" s="1"/>
  <c r="FC88" i="21" s="1"/>
  <c r="FC75" i="21"/>
  <c r="FC106" i="21"/>
  <c r="FC103" i="21"/>
  <c r="FC117" i="21" s="1"/>
  <c r="FC118" i="21" s="1"/>
  <c r="FC104" i="21"/>
  <c r="FC15" i="21"/>
  <c r="FD11" i="21"/>
  <c r="FC7" i="21"/>
  <c r="FA11" i="10"/>
  <c r="EZ7" i="10"/>
  <c r="FC109" i="21" l="1"/>
  <c r="FB171" i="21"/>
  <c r="FB173" i="21" s="1"/>
  <c r="FB179" i="21" s="1"/>
  <c r="FB158" i="21"/>
  <c r="FB165" i="21" s="1"/>
  <c r="FB144" i="21"/>
  <c r="FB152" i="21" s="1"/>
  <c r="FB55" i="21"/>
  <c r="FB58" i="21" s="1"/>
  <c r="FC48" i="21"/>
  <c r="FC80" i="21"/>
  <c r="FC91" i="21" s="1"/>
  <c r="FC92" i="21" s="1"/>
  <c r="FB59" i="21"/>
  <c r="FB61" i="21" s="1"/>
  <c r="FC76" i="21"/>
  <c r="FC81" i="21" s="1"/>
  <c r="FC137" i="21" s="1"/>
  <c r="FB96" i="21"/>
  <c r="FB97" i="21" s="1"/>
  <c r="FC95" i="21" s="1"/>
  <c r="FC82" i="21"/>
  <c r="FB126" i="21"/>
  <c r="FB127" i="21" s="1"/>
  <c r="FC125" i="21" s="1"/>
  <c r="FC112" i="21"/>
  <c r="FC121" i="21"/>
  <c r="FC122" i="21" s="1"/>
  <c r="FC141" i="21" s="1"/>
  <c r="FC105" i="21"/>
  <c r="FC111" i="21" s="1"/>
  <c r="FC140" i="21" s="1"/>
  <c r="FD14" i="21"/>
  <c r="FD6" i="21" s="1"/>
  <c r="FD13" i="21"/>
  <c r="FD5" i="21" s="1"/>
  <c r="FD12" i="21"/>
  <c r="FD132" i="21" s="1"/>
  <c r="FA14" i="10"/>
  <c r="FA6" i="10" s="1"/>
  <c r="FA13" i="10"/>
  <c r="FA5" i="10" s="1"/>
  <c r="FA12" i="10"/>
  <c r="FA15" i="10" s="1"/>
  <c r="FC138" i="21" l="1"/>
  <c r="FC157" i="21" s="1"/>
  <c r="FC158" i="21" s="1"/>
  <c r="FC165" i="21" s="1"/>
  <c r="FD149" i="21"/>
  <c r="FD162" i="21"/>
  <c r="FC142" i="21"/>
  <c r="FC139" i="21"/>
  <c r="FD75" i="21"/>
  <c r="FD82" i="21" s="1"/>
  <c r="FC47" i="21"/>
  <c r="FB66" i="21"/>
  <c r="FC49" i="21"/>
  <c r="FC50" i="21" s="1"/>
  <c r="FC172" i="21" s="1"/>
  <c r="FC113" i="21"/>
  <c r="FC83" i="21"/>
  <c r="FC170" i="21" s="1"/>
  <c r="FD104" i="21"/>
  <c r="FD112" i="21" s="1"/>
  <c r="FD77" i="21"/>
  <c r="FD74" i="21"/>
  <c r="FD87" i="21" s="1"/>
  <c r="FD88" i="21" s="1"/>
  <c r="FD106" i="21"/>
  <c r="FD103" i="21"/>
  <c r="FD117" i="21" s="1"/>
  <c r="FD118" i="21" s="1"/>
  <c r="FD102" i="21"/>
  <c r="FD110" i="21" s="1"/>
  <c r="FD15" i="21"/>
  <c r="FE11" i="21"/>
  <c r="FD7" i="21"/>
  <c r="FB11" i="10"/>
  <c r="FA7" i="10"/>
  <c r="FD109" i="21" l="1"/>
  <c r="FC171" i="21"/>
  <c r="FC173" i="21" s="1"/>
  <c r="FC179" i="21" s="1"/>
  <c r="FC96" i="21"/>
  <c r="FC97" i="21" s="1"/>
  <c r="FD95" i="21" s="1"/>
  <c r="FC144" i="21"/>
  <c r="FC152" i="21" s="1"/>
  <c r="FD142" i="21"/>
  <c r="FD139" i="21"/>
  <c r="FC55" i="21"/>
  <c r="FC58" i="21" s="1"/>
  <c r="FD48" i="21"/>
  <c r="FD80" i="21"/>
  <c r="FC59" i="21"/>
  <c r="FC61" i="21" s="1"/>
  <c r="FC126" i="21"/>
  <c r="FC127" i="21" s="1"/>
  <c r="FD125" i="21" s="1"/>
  <c r="FD91" i="21"/>
  <c r="FD92" i="21" s="1"/>
  <c r="FD76" i="21"/>
  <c r="FD121" i="21"/>
  <c r="FD122" i="21" s="1"/>
  <c r="FD141" i="21" s="1"/>
  <c r="FD105" i="21"/>
  <c r="FD111" i="21" s="1"/>
  <c r="FE13" i="21"/>
  <c r="FE5" i="21" s="1"/>
  <c r="FE14" i="21"/>
  <c r="FE6" i="21" s="1"/>
  <c r="FE12" i="21"/>
  <c r="FE132" i="21" s="1"/>
  <c r="FB14" i="10"/>
  <c r="FB6" i="10" s="1"/>
  <c r="FB13" i="10"/>
  <c r="FB5" i="10" s="1"/>
  <c r="FB12" i="10"/>
  <c r="FB15" i="10" s="1"/>
  <c r="FD138" i="21" l="1"/>
  <c r="FD157" i="21" s="1"/>
  <c r="FE149" i="21"/>
  <c r="FE162" i="21"/>
  <c r="FD113" i="21"/>
  <c r="FD140" i="21"/>
  <c r="FC66" i="21"/>
  <c r="FD81" i="21"/>
  <c r="FE77" i="21"/>
  <c r="FE74" i="21"/>
  <c r="FE87" i="21" s="1"/>
  <c r="FE88" i="21" s="1"/>
  <c r="FE75" i="21"/>
  <c r="FE106" i="21"/>
  <c r="FE103" i="21"/>
  <c r="FE117" i="21" s="1"/>
  <c r="FE118" i="21" s="1"/>
  <c r="FE104" i="21"/>
  <c r="FE102" i="21"/>
  <c r="FE110" i="21" s="1"/>
  <c r="FE15" i="21"/>
  <c r="FF11" i="21"/>
  <c r="FE7" i="21"/>
  <c r="FC11" i="10"/>
  <c r="FB7" i="10"/>
  <c r="FE109" i="21" l="1"/>
  <c r="FD171" i="21"/>
  <c r="FD158" i="21"/>
  <c r="FD165" i="21" s="1"/>
  <c r="FD47" i="21"/>
  <c r="FD137" i="21"/>
  <c r="FD83" i="21"/>
  <c r="FD170" i="21" s="1"/>
  <c r="FD49" i="21"/>
  <c r="FD50" i="21" s="1"/>
  <c r="FD172" i="21" s="1"/>
  <c r="FE80" i="21"/>
  <c r="FE91" i="21" s="1"/>
  <c r="FE92" i="21" s="1"/>
  <c r="FE82" i="21"/>
  <c r="FD96" i="21"/>
  <c r="FD97" i="21" s="1"/>
  <c r="FE95" i="21" s="1"/>
  <c r="FE76" i="21"/>
  <c r="FE81" i="21" s="1"/>
  <c r="FE137" i="21" s="1"/>
  <c r="FD126" i="21"/>
  <c r="FD127" i="21" s="1"/>
  <c r="FE125" i="21" s="1"/>
  <c r="FE112" i="21"/>
  <c r="FE121" i="21"/>
  <c r="FE122" i="21" s="1"/>
  <c r="FE141" i="21" s="1"/>
  <c r="FE105" i="21"/>
  <c r="FE111" i="21" s="1"/>
  <c r="FE140" i="21" s="1"/>
  <c r="FF13" i="21"/>
  <c r="FF5" i="21" s="1"/>
  <c r="FF14" i="21"/>
  <c r="FF6" i="21" s="1"/>
  <c r="FF12" i="21"/>
  <c r="FF132" i="21" s="1"/>
  <c r="FC12" i="10"/>
  <c r="FC15" i="10" s="1"/>
  <c r="FC14" i="10"/>
  <c r="FC6" i="10" s="1"/>
  <c r="FC13" i="10"/>
  <c r="FC5" i="10" s="1"/>
  <c r="FD173" i="21" l="1"/>
  <c r="FD179" i="21" s="1"/>
  <c r="FD59" i="21"/>
  <c r="FD61" i="21" s="1"/>
  <c r="FE138" i="21"/>
  <c r="FE157" i="21" s="1"/>
  <c r="FE158" i="21" s="1"/>
  <c r="FE165" i="21" s="1"/>
  <c r="FF149" i="21"/>
  <c r="FF162" i="21"/>
  <c r="FD144" i="21"/>
  <c r="FD152" i="21" s="1"/>
  <c r="FE142" i="21"/>
  <c r="FE139" i="21"/>
  <c r="FE47" i="21"/>
  <c r="FE49" i="21" s="1"/>
  <c r="FD55" i="21"/>
  <c r="FD58" i="21" s="1"/>
  <c r="FD66" i="21" s="1"/>
  <c r="FE48" i="21"/>
  <c r="FE113" i="21"/>
  <c r="FE83" i="21"/>
  <c r="FE170" i="21" s="1"/>
  <c r="FF104" i="21"/>
  <c r="FF112" i="21" s="1"/>
  <c r="FF77" i="21"/>
  <c r="FF74" i="21"/>
  <c r="FF87" i="21" s="1"/>
  <c r="FF88" i="21" s="1"/>
  <c r="FF75" i="21"/>
  <c r="FF106" i="21"/>
  <c r="FF103" i="21"/>
  <c r="FF117" i="21" s="1"/>
  <c r="FF118" i="21" s="1"/>
  <c r="FF102" i="21"/>
  <c r="FF110" i="21" s="1"/>
  <c r="FF15" i="21"/>
  <c r="FG11" i="21"/>
  <c r="FF7" i="21"/>
  <c r="FD11" i="10"/>
  <c r="FC7" i="10"/>
  <c r="FF109" i="21" l="1"/>
  <c r="FE171" i="21"/>
  <c r="FE144" i="21"/>
  <c r="FE152" i="21" s="1"/>
  <c r="FF139" i="21"/>
  <c r="FF142" i="21"/>
  <c r="FE50" i="21"/>
  <c r="FE172" i="21" s="1"/>
  <c r="FE126" i="21"/>
  <c r="FE127" i="21" s="1"/>
  <c r="FF125" i="21" s="1"/>
  <c r="FF80" i="21"/>
  <c r="FF91" i="21" s="1"/>
  <c r="FF92" i="21" s="1"/>
  <c r="FE59" i="21"/>
  <c r="FE61" i="21" s="1"/>
  <c r="FE96" i="21"/>
  <c r="FE97" i="21" s="1"/>
  <c r="FF95" i="21" s="1"/>
  <c r="FF82" i="21"/>
  <c r="FF76" i="21"/>
  <c r="FF81" i="21" s="1"/>
  <c r="FF137" i="21" s="1"/>
  <c r="FF105" i="21"/>
  <c r="FF111" i="21" s="1"/>
  <c r="FF121" i="21"/>
  <c r="FF122" i="21" s="1"/>
  <c r="FF141" i="21" s="1"/>
  <c r="FG12" i="21"/>
  <c r="FG132" i="21" s="1"/>
  <c r="FG13" i="21"/>
  <c r="FG5" i="21" s="1"/>
  <c r="FG14" i="21"/>
  <c r="FG6" i="21" s="1"/>
  <c r="FD12" i="10"/>
  <c r="FD15" i="10" s="1"/>
  <c r="FD14" i="10"/>
  <c r="FD6" i="10" s="1"/>
  <c r="FD13" i="10"/>
  <c r="FD5" i="10" s="1"/>
  <c r="FE173" i="21" l="1"/>
  <c r="FE179" i="21" s="1"/>
  <c r="FF138" i="21"/>
  <c r="FG149" i="21"/>
  <c r="FG162" i="21"/>
  <c r="FF157" i="21"/>
  <c r="FF113" i="21"/>
  <c r="FF140" i="21"/>
  <c r="FF144" i="21" s="1"/>
  <c r="FF152" i="21" s="1"/>
  <c r="FF47" i="21"/>
  <c r="FF49" i="21" s="1"/>
  <c r="FE55" i="21"/>
  <c r="FE58" i="21" s="1"/>
  <c r="FE66" i="21" s="1"/>
  <c r="FF48" i="21"/>
  <c r="FF83" i="21"/>
  <c r="FF170" i="21" s="1"/>
  <c r="FG104" i="21"/>
  <c r="FF126" i="21" s="1"/>
  <c r="FF127" i="21" s="1"/>
  <c r="FG77" i="21"/>
  <c r="FG74" i="21"/>
  <c r="FG87" i="21" s="1"/>
  <c r="FG88" i="21" s="1"/>
  <c r="FG75" i="21"/>
  <c r="FG102" i="21"/>
  <c r="FG110" i="21" s="1"/>
  <c r="FG106" i="21"/>
  <c r="FG103" i="21"/>
  <c r="FG117" i="21" s="1"/>
  <c r="FG118" i="21" s="1"/>
  <c r="FG15" i="21"/>
  <c r="FH11" i="21"/>
  <c r="FG7" i="21"/>
  <c r="FE11" i="10"/>
  <c r="FD7" i="10"/>
  <c r="FG109" i="21" l="1"/>
  <c r="FF171" i="21"/>
  <c r="FF158" i="21"/>
  <c r="FF165" i="21" s="1"/>
  <c r="FG125" i="21"/>
  <c r="FG112" i="21"/>
  <c r="FF50" i="21"/>
  <c r="FF172" i="21" s="1"/>
  <c r="FG80" i="21"/>
  <c r="FG91" i="21" s="1"/>
  <c r="FG92" i="21" s="1"/>
  <c r="FF59" i="21"/>
  <c r="FF61" i="21" s="1"/>
  <c r="FF96" i="21"/>
  <c r="FF97" i="21" s="1"/>
  <c r="FG95" i="21" s="1"/>
  <c r="FG82" i="21"/>
  <c r="FG76" i="21"/>
  <c r="FG81" i="21" s="1"/>
  <c r="FG137" i="21" s="1"/>
  <c r="FG121" i="21"/>
  <c r="FG122" i="21" s="1"/>
  <c r="FG141" i="21" s="1"/>
  <c r="FG105" i="21"/>
  <c r="FG111" i="21" s="1"/>
  <c r="FH13" i="21"/>
  <c r="FH5" i="21" s="1"/>
  <c r="FH14" i="21"/>
  <c r="FH6" i="21" s="1"/>
  <c r="FH12" i="21"/>
  <c r="FH132" i="21" s="1"/>
  <c r="FE12" i="10"/>
  <c r="FE15" i="10" s="1"/>
  <c r="FE13" i="10"/>
  <c r="FE5" i="10" s="1"/>
  <c r="FE14" i="10"/>
  <c r="FE6" i="10" s="1"/>
  <c r="FF173" i="21" l="1"/>
  <c r="FF179" i="21" s="1"/>
  <c r="FG138" i="21"/>
  <c r="FG157" i="21"/>
  <c r="FH149" i="21"/>
  <c r="FH162" i="21"/>
  <c r="FG113" i="21"/>
  <c r="FG140" i="21"/>
  <c r="FG139" i="21"/>
  <c r="FG142" i="21"/>
  <c r="FG144" i="21" s="1"/>
  <c r="FG152" i="21" s="1"/>
  <c r="FG47" i="21"/>
  <c r="FF55" i="21"/>
  <c r="FF58" i="21" s="1"/>
  <c r="FF66" i="21" s="1"/>
  <c r="FG48" i="21"/>
  <c r="FG49" i="21"/>
  <c r="FG83" i="21"/>
  <c r="FG170" i="21" s="1"/>
  <c r="FH77" i="21"/>
  <c r="FH74" i="21"/>
  <c r="FH87" i="21" s="1"/>
  <c r="FH88" i="21" s="1"/>
  <c r="FH75" i="21"/>
  <c r="FH103" i="21"/>
  <c r="FH117" i="21" s="1"/>
  <c r="FH118" i="21" s="1"/>
  <c r="FH106" i="21"/>
  <c r="FH104" i="21"/>
  <c r="FH102" i="21"/>
  <c r="FH110" i="21" s="1"/>
  <c r="FH15" i="21"/>
  <c r="FH7" i="21"/>
  <c r="FI11" i="21"/>
  <c r="FE7" i="10"/>
  <c r="FF11" i="10"/>
  <c r="FH109" i="21" l="1"/>
  <c r="FG171" i="21"/>
  <c r="FG158" i="21"/>
  <c r="FG165" i="21" s="1"/>
  <c r="FG50" i="21"/>
  <c r="FG172" i="21" s="1"/>
  <c r="FH80" i="21"/>
  <c r="FH91" i="21" s="1"/>
  <c r="FH92" i="21" s="1"/>
  <c r="FG59" i="21"/>
  <c r="FG61" i="21" s="1"/>
  <c r="FG96" i="21"/>
  <c r="FG97" i="21" s="1"/>
  <c r="FH95" i="21" s="1"/>
  <c r="FH82" i="21"/>
  <c r="FH76" i="21"/>
  <c r="FH81" i="21" s="1"/>
  <c r="FH137" i="21" s="1"/>
  <c r="FG126" i="21"/>
  <c r="FG127" i="21" s="1"/>
  <c r="FH125" i="21" s="1"/>
  <c r="FH112" i="21"/>
  <c r="FH121" i="21"/>
  <c r="FH122" i="21" s="1"/>
  <c r="FH141" i="21" s="1"/>
  <c r="FH105" i="21"/>
  <c r="FH111" i="21" s="1"/>
  <c r="FH140" i="21" s="1"/>
  <c r="FI13" i="21"/>
  <c r="FI5" i="21" s="1"/>
  <c r="FI14" i="21"/>
  <c r="FI6" i="21" s="1"/>
  <c r="FI12" i="21"/>
  <c r="FI132" i="21" s="1"/>
  <c r="FF12" i="10"/>
  <c r="FF15" i="10" s="1"/>
  <c r="FF13" i="10"/>
  <c r="FF5" i="10" s="1"/>
  <c r="FF14" i="10"/>
  <c r="FF6" i="10" s="1"/>
  <c r="FG173" i="21" l="1"/>
  <c r="FG179" i="21" s="1"/>
  <c r="FH138" i="21"/>
  <c r="FH157" i="21"/>
  <c r="FI149" i="21"/>
  <c r="FI162" i="21"/>
  <c r="FH158" i="21"/>
  <c r="FH165" i="21" s="1"/>
  <c r="FH139" i="21"/>
  <c r="FH142" i="21"/>
  <c r="FH144" i="21" s="1"/>
  <c r="FH152" i="21" s="1"/>
  <c r="FH47" i="21"/>
  <c r="FH49" i="21" s="1"/>
  <c r="FG55" i="21"/>
  <c r="FG58" i="21" s="1"/>
  <c r="FG66" i="21" s="1"/>
  <c r="FH48" i="21"/>
  <c r="FH113" i="21"/>
  <c r="FH83" i="21"/>
  <c r="FH170" i="21" s="1"/>
  <c r="FI77" i="21"/>
  <c r="FI74" i="21"/>
  <c r="FI87" i="21" s="1"/>
  <c r="FI88" i="21" s="1"/>
  <c r="FI75" i="21"/>
  <c r="FI106" i="21"/>
  <c r="FI103" i="21"/>
  <c r="FI117" i="21" s="1"/>
  <c r="FI118" i="21" s="1"/>
  <c r="FI102" i="21"/>
  <c r="FI110" i="21" s="1"/>
  <c r="FI104" i="21"/>
  <c r="FI15" i="21"/>
  <c r="FJ11" i="21"/>
  <c r="FI7" i="21"/>
  <c r="FF7" i="10"/>
  <c r="FG11" i="10"/>
  <c r="FH50" i="21" l="1"/>
  <c r="FH172" i="21" s="1"/>
  <c r="FI109" i="21"/>
  <c r="FH171" i="21"/>
  <c r="FI80" i="21"/>
  <c r="FI91" i="21" s="1"/>
  <c r="FI92" i="21" s="1"/>
  <c r="FH59" i="21"/>
  <c r="FH61" i="21" s="1"/>
  <c r="FH96" i="21"/>
  <c r="FH97" i="21" s="1"/>
  <c r="FI95" i="21" s="1"/>
  <c r="FI82" i="21"/>
  <c r="FI76" i="21"/>
  <c r="FI81" i="21" s="1"/>
  <c r="FI137" i="21" s="1"/>
  <c r="FH126" i="21"/>
  <c r="FH127" i="21" s="1"/>
  <c r="FI125" i="21" s="1"/>
  <c r="FI112" i="21"/>
  <c r="FI121" i="21"/>
  <c r="FI122" i="21" s="1"/>
  <c r="FI141" i="21" s="1"/>
  <c r="FI105" i="21"/>
  <c r="FI111" i="21" s="1"/>
  <c r="FI140" i="21" s="1"/>
  <c r="FJ14" i="21"/>
  <c r="FJ6" i="21" s="1"/>
  <c r="FJ13" i="21"/>
  <c r="FJ5" i="21" s="1"/>
  <c r="FJ12" i="21"/>
  <c r="FJ132" i="21" s="1"/>
  <c r="FG13" i="10"/>
  <c r="FG5" i="10" s="1"/>
  <c r="FG12" i="10"/>
  <c r="FG15" i="10" s="1"/>
  <c r="FG14" i="10"/>
  <c r="FG6" i="10" s="1"/>
  <c r="FI48" i="21" l="1"/>
  <c r="FH55" i="21"/>
  <c r="FH58" i="21" s="1"/>
  <c r="FH173" i="21"/>
  <c r="FH179" i="21" s="1"/>
  <c r="FI138" i="21"/>
  <c r="FJ149" i="21"/>
  <c r="FJ162" i="21"/>
  <c r="FI157" i="21"/>
  <c r="FI139" i="21"/>
  <c r="FI142" i="21"/>
  <c r="FI144" i="21" s="1"/>
  <c r="FI152" i="21" s="1"/>
  <c r="FI47" i="21"/>
  <c r="FI49" i="21" s="1"/>
  <c r="FH66" i="21"/>
  <c r="FI113" i="21"/>
  <c r="FI83" i="21"/>
  <c r="FI170" i="21" s="1"/>
  <c r="FJ77" i="21"/>
  <c r="FJ74" i="21"/>
  <c r="FJ87" i="21" s="1"/>
  <c r="FJ88" i="21" s="1"/>
  <c r="FJ104" i="21"/>
  <c r="FJ112" i="21" s="1"/>
  <c r="FJ102" i="21"/>
  <c r="FJ110" i="21" s="1"/>
  <c r="FJ75" i="21"/>
  <c r="FJ106" i="21"/>
  <c r="FJ103" i="21"/>
  <c r="FJ117" i="21" s="1"/>
  <c r="FJ118" i="21" s="1"/>
  <c r="FJ15" i="21"/>
  <c r="FK11" i="21"/>
  <c r="FJ7" i="21"/>
  <c r="FG7" i="10"/>
  <c r="FH11" i="10"/>
  <c r="FI50" i="21" l="1"/>
  <c r="FI172" i="21" s="1"/>
  <c r="FJ109" i="21"/>
  <c r="FJ121" i="21" s="1"/>
  <c r="FJ122" i="21" s="1"/>
  <c r="FJ141" i="21" s="1"/>
  <c r="FI171" i="21"/>
  <c r="FI158" i="21"/>
  <c r="FI165" i="21" s="1"/>
  <c r="FJ139" i="21"/>
  <c r="FJ142" i="21"/>
  <c r="FI55" i="21"/>
  <c r="FI58" i="21" s="1"/>
  <c r="FJ48" i="21"/>
  <c r="FJ80" i="21"/>
  <c r="FI59" i="21"/>
  <c r="FI61" i="21" s="1"/>
  <c r="FI126" i="21"/>
  <c r="FI127" i="21" s="1"/>
  <c r="FJ125" i="21" s="1"/>
  <c r="FJ82" i="21"/>
  <c r="FI96" i="21"/>
  <c r="FI97" i="21" s="1"/>
  <c r="FJ95" i="21" s="1"/>
  <c r="FJ91" i="21"/>
  <c r="FJ92" i="21" s="1"/>
  <c r="FJ76" i="21"/>
  <c r="FJ81" i="21" s="1"/>
  <c r="FJ137" i="21" s="1"/>
  <c r="FJ105" i="21"/>
  <c r="FJ111" i="21" s="1"/>
  <c r="FK13" i="21"/>
  <c r="FK5" i="21" s="1"/>
  <c r="FK14" i="21"/>
  <c r="FK6" i="21" s="1"/>
  <c r="FK12" i="21"/>
  <c r="FK132" i="21" s="1"/>
  <c r="FH13" i="10"/>
  <c r="FH5" i="10" s="1"/>
  <c r="FH14" i="10"/>
  <c r="FH6" i="10" s="1"/>
  <c r="FH12" i="10"/>
  <c r="FH15" i="10" s="1"/>
  <c r="FI173" i="21" l="1"/>
  <c r="FI179" i="21" s="1"/>
  <c r="FJ138" i="21"/>
  <c r="FJ157" i="21" s="1"/>
  <c r="FJ158" i="21" s="1"/>
  <c r="FJ165" i="21" s="1"/>
  <c r="FK149" i="21"/>
  <c r="FK162" i="21"/>
  <c r="FJ113" i="21"/>
  <c r="FJ140" i="21"/>
  <c r="FJ144" i="21" s="1"/>
  <c r="FJ152" i="21" s="1"/>
  <c r="FJ47" i="21"/>
  <c r="FJ49" i="21" s="1"/>
  <c r="FJ50" i="21" s="1"/>
  <c r="FJ172" i="21" s="1"/>
  <c r="FI66" i="21"/>
  <c r="FJ83" i="21"/>
  <c r="FJ170" i="21" s="1"/>
  <c r="FK102" i="21"/>
  <c r="FK110" i="21" s="1"/>
  <c r="FK77" i="21"/>
  <c r="FK74" i="21"/>
  <c r="FK87" i="21" s="1"/>
  <c r="FK88" i="21" s="1"/>
  <c r="FK75" i="21"/>
  <c r="FK104" i="21"/>
  <c r="FK106" i="21"/>
  <c r="FK103" i="21"/>
  <c r="FK117" i="21" s="1"/>
  <c r="FK118" i="21" s="1"/>
  <c r="FL11" i="21"/>
  <c r="FK15" i="21"/>
  <c r="FK7" i="21"/>
  <c r="FI11" i="10"/>
  <c r="FH7" i="10"/>
  <c r="FK109" i="21" l="1"/>
  <c r="FJ171" i="21"/>
  <c r="FJ173" i="21" s="1"/>
  <c r="FJ179" i="21" s="1"/>
  <c r="FJ55" i="21"/>
  <c r="FJ58" i="21" s="1"/>
  <c r="FK48" i="21"/>
  <c r="FK80" i="21"/>
  <c r="FK91" i="21" s="1"/>
  <c r="FK92" i="21" s="1"/>
  <c r="FJ59" i="21"/>
  <c r="FJ61" i="21" s="1"/>
  <c r="FJ96" i="21"/>
  <c r="FJ97" i="21" s="1"/>
  <c r="FK95" i="21" s="1"/>
  <c r="FK82" i="21"/>
  <c r="FK76" i="21"/>
  <c r="FK81" i="21" s="1"/>
  <c r="FK137" i="21" s="1"/>
  <c r="FK121" i="21"/>
  <c r="FK122" i="21" s="1"/>
  <c r="FK141" i="21" s="1"/>
  <c r="FK105" i="21"/>
  <c r="FK111" i="21" s="1"/>
  <c r="FK140" i="21" s="1"/>
  <c r="FK112" i="21"/>
  <c r="FJ126" i="21"/>
  <c r="FJ127" i="21" s="1"/>
  <c r="FK125" i="21" s="1"/>
  <c r="FL14" i="21"/>
  <c r="FL6" i="21" s="1"/>
  <c r="FL13" i="21"/>
  <c r="FL5" i="21" s="1"/>
  <c r="FL12" i="21"/>
  <c r="FL132" i="21" s="1"/>
  <c r="FI13" i="10"/>
  <c r="FI5" i="10" s="1"/>
  <c r="FI14" i="10"/>
  <c r="FI6" i="10" s="1"/>
  <c r="FI12" i="10"/>
  <c r="FI15" i="10" s="1"/>
  <c r="FK138" i="21" l="1"/>
  <c r="FK157" i="21" s="1"/>
  <c r="FL149" i="21"/>
  <c r="FL162" i="21"/>
  <c r="FK139" i="21"/>
  <c r="FK142" i="21"/>
  <c r="FK47" i="21"/>
  <c r="FJ66" i="21"/>
  <c r="FK113" i="21"/>
  <c r="FK83" i="21"/>
  <c r="FK170" i="21" s="1"/>
  <c r="FL104" i="21"/>
  <c r="FK126" i="21" s="1"/>
  <c r="FK127" i="21" s="1"/>
  <c r="FL77" i="21"/>
  <c r="FL74" i="21"/>
  <c r="FL87" i="21" s="1"/>
  <c r="FL88" i="21" s="1"/>
  <c r="FL75" i="21"/>
  <c r="FL106" i="21"/>
  <c r="FL103" i="21"/>
  <c r="FL117" i="21" s="1"/>
  <c r="FL118" i="21" s="1"/>
  <c r="FL102" i="21"/>
  <c r="FL110" i="21" s="1"/>
  <c r="FL7" i="21"/>
  <c r="FM11" i="21"/>
  <c r="FL15" i="21"/>
  <c r="FI7" i="10"/>
  <c r="FJ11" i="10"/>
  <c r="FK144" i="21" l="1"/>
  <c r="FK152" i="21" s="1"/>
  <c r="FL109" i="21"/>
  <c r="FK171" i="21"/>
  <c r="FK158" i="21"/>
  <c r="FK165" i="21" s="1"/>
  <c r="FK49" i="21"/>
  <c r="FK50" i="21" s="1"/>
  <c r="FK172" i="21" s="1"/>
  <c r="FL125" i="21"/>
  <c r="FL112" i="21"/>
  <c r="FK55" i="21"/>
  <c r="FK58" i="21" s="1"/>
  <c r="FL80" i="21"/>
  <c r="FL91" i="21" s="1"/>
  <c r="FL92" i="21" s="1"/>
  <c r="FK59" i="21"/>
  <c r="FK61" i="21" s="1"/>
  <c r="FK96" i="21"/>
  <c r="FK97" i="21" s="1"/>
  <c r="FL95" i="21" s="1"/>
  <c r="FL82" i="21"/>
  <c r="FL76" i="21"/>
  <c r="FL81" i="21" s="1"/>
  <c r="FL137" i="21" s="1"/>
  <c r="FL121" i="21"/>
  <c r="FL122" i="21" s="1"/>
  <c r="FL141" i="21" s="1"/>
  <c r="FL105" i="21"/>
  <c r="FL111" i="21" s="1"/>
  <c r="FM13" i="21"/>
  <c r="FM5" i="21" s="1"/>
  <c r="FM14" i="21"/>
  <c r="FM6" i="21" s="1"/>
  <c r="FM12" i="21"/>
  <c r="FM132" i="21" s="1"/>
  <c r="FJ13" i="10"/>
  <c r="FJ5" i="10" s="1"/>
  <c r="FJ14" i="10"/>
  <c r="FJ6" i="10" s="1"/>
  <c r="FJ12" i="10"/>
  <c r="FJ15" i="10" s="1"/>
  <c r="FK173" i="21" l="1"/>
  <c r="FK179" i="21" s="1"/>
  <c r="FL48" i="21"/>
  <c r="FL138" i="21"/>
  <c r="FL157" i="21"/>
  <c r="FL158" i="21" s="1"/>
  <c r="FL165" i="21" s="1"/>
  <c r="FM149" i="21"/>
  <c r="FM162" i="21"/>
  <c r="FL113" i="21"/>
  <c r="FL140" i="21"/>
  <c r="FL139" i="21"/>
  <c r="FL142" i="21"/>
  <c r="FK66" i="21"/>
  <c r="FL47" i="21"/>
  <c r="FL49" i="21" s="1"/>
  <c r="FL50" i="21" s="1"/>
  <c r="FL172" i="21" s="1"/>
  <c r="FL83" i="21"/>
  <c r="FL170" i="21" s="1"/>
  <c r="FM102" i="21"/>
  <c r="FM110" i="21" s="1"/>
  <c r="FM77" i="21"/>
  <c r="FM74" i="21"/>
  <c r="FM87" i="21" s="1"/>
  <c r="FM88" i="21" s="1"/>
  <c r="FM75" i="21"/>
  <c r="FM103" i="21"/>
  <c r="FM117" i="21" s="1"/>
  <c r="FM118" i="21" s="1"/>
  <c r="FM106" i="21"/>
  <c r="FM104" i="21"/>
  <c r="FN11" i="21"/>
  <c r="FM7" i="21"/>
  <c r="FM15" i="21"/>
  <c r="FK11" i="10"/>
  <c r="FJ7" i="10"/>
  <c r="FL144" i="21" l="1"/>
  <c r="FL152" i="21" s="1"/>
  <c r="FM109" i="21"/>
  <c r="FL171" i="21"/>
  <c r="FL173" i="21" s="1"/>
  <c r="FL179" i="21" s="1"/>
  <c r="FM48" i="21"/>
  <c r="FL55" i="21"/>
  <c r="FL58" i="21" s="1"/>
  <c r="FM80" i="21"/>
  <c r="FM91" i="21" s="1"/>
  <c r="FM92" i="21" s="1"/>
  <c r="FL59" i="21"/>
  <c r="FL61" i="21" s="1"/>
  <c r="FL96" i="21"/>
  <c r="FL97" i="21" s="1"/>
  <c r="FM95" i="21" s="1"/>
  <c r="FM82" i="21"/>
  <c r="FM76" i="21"/>
  <c r="FM81" i="21" s="1"/>
  <c r="FM137" i="21" s="1"/>
  <c r="FL126" i="21"/>
  <c r="FL127" i="21" s="1"/>
  <c r="FM125" i="21" s="1"/>
  <c r="FM112" i="21"/>
  <c r="FM121" i="21"/>
  <c r="FM122" i="21" s="1"/>
  <c r="FM141" i="21" s="1"/>
  <c r="FM105" i="21"/>
  <c r="FM111" i="21" s="1"/>
  <c r="FM140" i="21" s="1"/>
  <c r="FN14" i="21"/>
  <c r="FN6" i="21" s="1"/>
  <c r="FN13" i="21"/>
  <c r="FN5" i="21" s="1"/>
  <c r="FN12" i="21"/>
  <c r="FN132" i="21" s="1"/>
  <c r="FK13" i="10"/>
  <c r="FK5" i="10" s="1"/>
  <c r="FK14" i="10"/>
  <c r="FK6" i="10" s="1"/>
  <c r="FK12" i="10"/>
  <c r="FK15" i="10" s="1"/>
  <c r="FM138" i="21" l="1"/>
  <c r="FN149" i="21"/>
  <c r="FN162" i="21"/>
  <c r="FM157" i="21"/>
  <c r="FM139" i="21"/>
  <c r="FM142" i="21"/>
  <c r="FM144" i="21" s="1"/>
  <c r="FM152" i="21" s="1"/>
  <c r="FM47" i="21"/>
  <c r="FM49" i="21" s="1"/>
  <c r="FM50" i="21" s="1"/>
  <c r="FM172" i="21" s="1"/>
  <c r="FL66" i="21"/>
  <c r="FM113" i="21"/>
  <c r="FM83" i="21"/>
  <c r="FM170" i="21" s="1"/>
  <c r="FN77" i="21"/>
  <c r="FN74" i="21"/>
  <c r="FN87" i="21" s="1"/>
  <c r="FN88" i="21" s="1"/>
  <c r="FN75" i="21"/>
  <c r="FN106" i="21"/>
  <c r="FN103" i="21"/>
  <c r="FN117" i="21" s="1"/>
  <c r="FN118" i="21" s="1"/>
  <c r="FN104" i="21"/>
  <c r="FN102" i="21"/>
  <c r="FN110" i="21" s="1"/>
  <c r="FO11" i="21"/>
  <c r="FN15" i="21"/>
  <c r="FN7" i="21"/>
  <c r="FL11" i="10"/>
  <c r="FK7" i="10"/>
  <c r="FN109" i="21" l="1"/>
  <c r="FM171" i="21"/>
  <c r="FM173" i="21" s="1"/>
  <c r="FM179" i="21" s="1"/>
  <c r="FM158" i="21"/>
  <c r="FM165" i="21" s="1"/>
  <c r="FM55" i="21"/>
  <c r="FM58" i="21" s="1"/>
  <c r="FN48" i="21"/>
  <c r="FN80" i="21"/>
  <c r="FN91" i="21" s="1"/>
  <c r="FN92" i="21" s="1"/>
  <c r="FM59" i="21"/>
  <c r="FM61" i="21" s="1"/>
  <c r="FM96" i="21"/>
  <c r="FM97" i="21" s="1"/>
  <c r="FN95" i="21" s="1"/>
  <c r="FN82" i="21"/>
  <c r="FN76" i="21"/>
  <c r="FN81" i="21" s="1"/>
  <c r="FN137" i="21" s="1"/>
  <c r="FM126" i="21"/>
  <c r="FM127" i="21" s="1"/>
  <c r="FN125" i="21" s="1"/>
  <c r="FN112" i="21"/>
  <c r="FN121" i="21"/>
  <c r="FN122" i="21" s="1"/>
  <c r="FN141" i="21" s="1"/>
  <c r="FN105" i="21"/>
  <c r="FN111" i="21" s="1"/>
  <c r="FN140" i="21" s="1"/>
  <c r="FO14" i="21"/>
  <c r="FO6" i="21" s="1"/>
  <c r="FO12" i="21"/>
  <c r="FO132" i="21" s="1"/>
  <c r="FO13" i="21"/>
  <c r="FO5" i="21" s="1"/>
  <c r="FL13" i="10"/>
  <c r="FL5" i="10" s="1"/>
  <c r="FL14" i="10"/>
  <c r="FL6" i="10" s="1"/>
  <c r="FL12" i="10"/>
  <c r="FL15" i="10" s="1"/>
  <c r="FN138" i="21" l="1"/>
  <c r="FN157" i="21"/>
  <c r="FN158" i="21"/>
  <c r="FN165" i="21" s="1"/>
  <c r="FO149" i="21"/>
  <c r="FO162" i="21"/>
  <c r="FN142" i="21"/>
  <c r="FN139" i="21"/>
  <c r="FN47" i="21"/>
  <c r="FM66" i="21"/>
  <c r="FN113" i="21"/>
  <c r="FN83" i="21"/>
  <c r="FN170" i="21" s="1"/>
  <c r="FO77" i="21"/>
  <c r="FO74" i="21"/>
  <c r="FO87" i="21" s="1"/>
  <c r="FO88" i="21" s="1"/>
  <c r="FO75" i="21"/>
  <c r="FO106" i="21"/>
  <c r="FO103" i="21"/>
  <c r="FO117" i="21" s="1"/>
  <c r="FO118" i="21" s="1"/>
  <c r="FO102" i="21"/>
  <c r="FO110" i="21" s="1"/>
  <c r="FO104" i="21"/>
  <c r="FO7" i="21"/>
  <c r="FO15" i="21"/>
  <c r="FP11" i="21"/>
  <c r="FM11" i="10"/>
  <c r="FL7" i="10"/>
  <c r="FO109" i="21" l="1"/>
  <c r="FN171" i="21"/>
  <c r="FN49" i="21"/>
  <c r="FN50" i="21" s="1"/>
  <c r="FN172" i="21" s="1"/>
  <c r="FN144" i="21"/>
  <c r="FN152" i="21" s="1"/>
  <c r="FN55" i="21"/>
  <c r="FN58" i="21" s="1"/>
  <c r="FO48" i="21"/>
  <c r="FO80" i="21"/>
  <c r="FO91" i="21" s="1"/>
  <c r="FO92" i="21" s="1"/>
  <c r="FN59" i="21"/>
  <c r="FN61" i="21" s="1"/>
  <c r="FO82" i="21"/>
  <c r="FN96" i="21"/>
  <c r="FN97" i="21" s="1"/>
  <c r="FO95" i="21" s="1"/>
  <c r="FO76" i="21"/>
  <c r="FO81" i="21" s="1"/>
  <c r="FO137" i="21" s="1"/>
  <c r="FN126" i="21"/>
  <c r="FN127" i="21" s="1"/>
  <c r="FO125" i="21" s="1"/>
  <c r="FO112" i="21"/>
  <c r="FO121" i="21"/>
  <c r="FO122" i="21" s="1"/>
  <c r="FO141" i="21" s="1"/>
  <c r="FO105" i="21"/>
  <c r="FO111" i="21" s="1"/>
  <c r="FO140" i="21" s="1"/>
  <c r="FP12" i="21"/>
  <c r="FP132" i="21" s="1"/>
  <c r="FP14" i="21"/>
  <c r="FP6" i="21" s="1"/>
  <c r="FP13" i="21"/>
  <c r="FP5" i="21" s="1"/>
  <c r="FM13" i="10"/>
  <c r="FM5" i="10" s="1"/>
  <c r="FM12" i="10"/>
  <c r="FM15" i="10" s="1"/>
  <c r="FM14" i="10"/>
  <c r="FM6" i="10" s="1"/>
  <c r="FN173" i="21" l="1"/>
  <c r="FN179" i="21" s="1"/>
  <c r="FO138" i="21"/>
  <c r="FO157" i="21" s="1"/>
  <c r="FP149" i="21"/>
  <c r="FP162" i="21"/>
  <c r="FO139" i="21"/>
  <c r="FO142" i="21"/>
  <c r="FO144" i="21" s="1"/>
  <c r="FO152" i="21" s="1"/>
  <c r="FO47" i="21"/>
  <c r="FN66" i="21"/>
  <c r="FO113" i="21"/>
  <c r="FO83" i="21"/>
  <c r="FO170" i="21" s="1"/>
  <c r="FP102" i="21"/>
  <c r="FP110" i="21" s="1"/>
  <c r="FP77" i="21"/>
  <c r="FP74" i="21"/>
  <c r="FP87" i="21" s="1"/>
  <c r="FP88" i="21" s="1"/>
  <c r="FP75" i="21"/>
  <c r="FP104" i="21"/>
  <c r="FP103" i="21"/>
  <c r="FP117" i="21" s="1"/>
  <c r="FP118" i="21" s="1"/>
  <c r="FP106" i="21"/>
  <c r="FP15" i="21"/>
  <c r="FP7" i="21"/>
  <c r="FQ11" i="21"/>
  <c r="FN11" i="10"/>
  <c r="FM7" i="10"/>
  <c r="FP109" i="21" l="1"/>
  <c r="FO171" i="21"/>
  <c r="FO158" i="21"/>
  <c r="FO165" i="21" s="1"/>
  <c r="FO49" i="21"/>
  <c r="FO50" i="21" s="1"/>
  <c r="FP48" i="21"/>
  <c r="FP80" i="21"/>
  <c r="FP91" i="21" s="1"/>
  <c r="FP92" i="21" s="1"/>
  <c r="FO59" i="21"/>
  <c r="FO61" i="21" s="1"/>
  <c r="FO96" i="21"/>
  <c r="FO97" i="21" s="1"/>
  <c r="FP95" i="21" s="1"/>
  <c r="FP82" i="21"/>
  <c r="FP76" i="21"/>
  <c r="FP81" i="21" s="1"/>
  <c r="FP137" i="21" s="1"/>
  <c r="FP121" i="21"/>
  <c r="FP122" i="21" s="1"/>
  <c r="FP141" i="21" s="1"/>
  <c r="FP105" i="21"/>
  <c r="FP111" i="21" s="1"/>
  <c r="FP140" i="21" s="1"/>
  <c r="FO126" i="21"/>
  <c r="FO127" i="21" s="1"/>
  <c r="FP125" i="21" s="1"/>
  <c r="FP112" i="21"/>
  <c r="FQ14" i="21"/>
  <c r="FQ6" i="21" s="1"/>
  <c r="FQ13" i="21"/>
  <c r="FQ5" i="21" s="1"/>
  <c r="FQ12" i="21"/>
  <c r="FQ132" i="21" s="1"/>
  <c r="FN13" i="10"/>
  <c r="FN5" i="10" s="1"/>
  <c r="FN12" i="10"/>
  <c r="FN15" i="10" s="1"/>
  <c r="FN14" i="10"/>
  <c r="FN6" i="10" s="1"/>
  <c r="FP138" i="21" l="1"/>
  <c r="FO55" i="21"/>
  <c r="FO58" i="21" s="1"/>
  <c r="FO172" i="21"/>
  <c r="FO173" i="21" s="1"/>
  <c r="FO179" i="21" s="1"/>
  <c r="FP157" i="21"/>
  <c r="FQ149" i="21"/>
  <c r="FQ162" i="21"/>
  <c r="FP139" i="21"/>
  <c r="FP142" i="21"/>
  <c r="FP47" i="21"/>
  <c r="FO66" i="21"/>
  <c r="FP49" i="21"/>
  <c r="FP50" i="21" s="1"/>
  <c r="FP172" i="21" s="1"/>
  <c r="FP113" i="21"/>
  <c r="FP83" i="21"/>
  <c r="FP170" i="21" s="1"/>
  <c r="FQ77" i="21"/>
  <c r="FQ74" i="21"/>
  <c r="FQ87" i="21" s="1"/>
  <c r="FQ88" i="21" s="1"/>
  <c r="FQ75" i="21"/>
  <c r="FQ106" i="21"/>
  <c r="FQ103" i="21"/>
  <c r="FQ117" i="21" s="1"/>
  <c r="FQ118" i="21" s="1"/>
  <c r="FQ104" i="21"/>
  <c r="FQ102" i="21"/>
  <c r="FQ110" i="21" s="1"/>
  <c r="FQ15" i="21"/>
  <c r="FQ7" i="21"/>
  <c r="FR11" i="21"/>
  <c r="FO11" i="10"/>
  <c r="FN7" i="10"/>
  <c r="FP144" i="21" l="1"/>
  <c r="FP152" i="21" s="1"/>
  <c r="FQ109" i="21"/>
  <c r="FP171" i="21"/>
  <c r="FP173" i="21" s="1"/>
  <c r="FP179" i="21" s="1"/>
  <c r="FP158" i="21"/>
  <c r="FP165" i="21" s="1"/>
  <c r="FP55" i="21"/>
  <c r="FP58" i="21" s="1"/>
  <c r="FQ48" i="21"/>
  <c r="FQ80" i="21"/>
  <c r="FQ91" i="21" s="1"/>
  <c r="FQ92" i="21" s="1"/>
  <c r="FP59" i="21"/>
  <c r="FP61" i="21" s="1"/>
  <c r="FP96" i="21"/>
  <c r="FP97" i="21" s="1"/>
  <c r="FQ95" i="21" s="1"/>
  <c r="FQ82" i="21"/>
  <c r="FQ76" i="21"/>
  <c r="FQ81" i="21" s="1"/>
  <c r="FQ137" i="21" s="1"/>
  <c r="FP126" i="21"/>
  <c r="FP127" i="21" s="1"/>
  <c r="FQ125" i="21" s="1"/>
  <c r="FQ112" i="21"/>
  <c r="FQ121" i="21"/>
  <c r="FQ122" i="21" s="1"/>
  <c r="FQ141" i="21" s="1"/>
  <c r="FQ105" i="21"/>
  <c r="FQ111" i="21" s="1"/>
  <c r="FQ140" i="21" s="1"/>
  <c r="FR12" i="21"/>
  <c r="FR132" i="21" s="1"/>
  <c r="FR14" i="21"/>
  <c r="FR6" i="21" s="1"/>
  <c r="FR13" i="21"/>
  <c r="FR5" i="21" s="1"/>
  <c r="FO14" i="10"/>
  <c r="FO6" i="10" s="1"/>
  <c r="FO12" i="10"/>
  <c r="FO15" i="10" s="1"/>
  <c r="FO13" i="10"/>
  <c r="FO5" i="10" s="1"/>
  <c r="FQ138" i="21" l="1"/>
  <c r="FQ157" i="21" s="1"/>
  <c r="FQ158" i="21" s="1"/>
  <c r="FQ165" i="21" s="1"/>
  <c r="FR149" i="21"/>
  <c r="FR162" i="21"/>
  <c r="FQ142" i="21"/>
  <c r="FQ139" i="21"/>
  <c r="FQ47" i="21"/>
  <c r="FQ49" i="21" s="1"/>
  <c r="FQ50" i="21" s="1"/>
  <c r="FQ172" i="21" s="1"/>
  <c r="FP66" i="21"/>
  <c r="FQ113" i="21"/>
  <c r="FQ83" i="21"/>
  <c r="FQ170" i="21" s="1"/>
  <c r="FR77" i="21"/>
  <c r="FR74" i="21"/>
  <c r="FR87" i="21" s="1"/>
  <c r="FR88" i="21" s="1"/>
  <c r="FR75" i="21"/>
  <c r="FR106" i="21"/>
  <c r="FR103" i="21"/>
  <c r="FR117" i="21" s="1"/>
  <c r="FR118" i="21" s="1"/>
  <c r="FR104" i="21"/>
  <c r="FR102" i="21"/>
  <c r="FR110" i="21" s="1"/>
  <c r="FS11" i="21"/>
  <c r="FR15" i="21"/>
  <c r="FR7" i="21"/>
  <c r="FP11" i="10"/>
  <c r="FO7" i="10"/>
  <c r="FR109" i="21" l="1"/>
  <c r="FQ171" i="21"/>
  <c r="FQ173" i="21" s="1"/>
  <c r="FQ179" i="21" s="1"/>
  <c r="FQ144" i="21"/>
  <c r="FQ152" i="21" s="1"/>
  <c r="FQ55" i="21"/>
  <c r="FQ58" i="21" s="1"/>
  <c r="FR48" i="21"/>
  <c r="FR80" i="21"/>
  <c r="FR91" i="21" s="1"/>
  <c r="FR92" i="21" s="1"/>
  <c r="FQ59" i="21"/>
  <c r="FQ61" i="21" s="1"/>
  <c r="FR82" i="21"/>
  <c r="FQ96" i="21"/>
  <c r="FQ97" i="21" s="1"/>
  <c r="FR95" i="21" s="1"/>
  <c r="FR76" i="21"/>
  <c r="FR81" i="21" s="1"/>
  <c r="FR137" i="21" s="1"/>
  <c r="FQ126" i="21"/>
  <c r="FQ127" i="21" s="1"/>
  <c r="FR125" i="21" s="1"/>
  <c r="FR112" i="21"/>
  <c r="FR121" i="21"/>
  <c r="FR122" i="21" s="1"/>
  <c r="FR141" i="21" s="1"/>
  <c r="FR105" i="21"/>
  <c r="FR111" i="21" s="1"/>
  <c r="FR140" i="21" s="1"/>
  <c r="FS14" i="21"/>
  <c r="FS6" i="21" s="1"/>
  <c r="FS12" i="21"/>
  <c r="FS132" i="21" s="1"/>
  <c r="FS13" i="21"/>
  <c r="FS5" i="21" s="1"/>
  <c r="FP14" i="10"/>
  <c r="FP6" i="10" s="1"/>
  <c r="FP12" i="10"/>
  <c r="FP15" i="10" s="1"/>
  <c r="FP13" i="10"/>
  <c r="FP5" i="10" s="1"/>
  <c r="FR138" i="21" l="1"/>
  <c r="FS149" i="21"/>
  <c r="FS162" i="21"/>
  <c r="FR157" i="21"/>
  <c r="FR142" i="21"/>
  <c r="FR139" i="21"/>
  <c r="FR47" i="21"/>
  <c r="FR49" i="21" s="1"/>
  <c r="FR50" i="21" s="1"/>
  <c r="FR172" i="21" s="1"/>
  <c r="FQ66" i="21"/>
  <c r="FR113" i="21"/>
  <c r="FR83" i="21"/>
  <c r="FR170" i="21" s="1"/>
  <c r="FS102" i="21"/>
  <c r="FS110" i="21" s="1"/>
  <c r="FS77" i="21"/>
  <c r="FS74" i="21"/>
  <c r="FS87" i="21" s="1"/>
  <c r="FS88" i="21" s="1"/>
  <c r="FS75" i="21"/>
  <c r="FS104" i="21"/>
  <c r="FS112" i="21" s="1"/>
  <c r="FS106" i="21"/>
  <c r="FS103" i="21"/>
  <c r="FS117" i="21" s="1"/>
  <c r="FS118" i="21" s="1"/>
  <c r="FS15" i="21"/>
  <c r="FS7" i="21"/>
  <c r="FT11" i="21"/>
  <c r="FQ11" i="10"/>
  <c r="FP7" i="10"/>
  <c r="FS109" i="21" l="1"/>
  <c r="FR171" i="21"/>
  <c r="FR173" i="21" s="1"/>
  <c r="FR179" i="21" s="1"/>
  <c r="FR158" i="21"/>
  <c r="FR165" i="21" s="1"/>
  <c r="FR144" i="21"/>
  <c r="FR152" i="21" s="1"/>
  <c r="FS142" i="21"/>
  <c r="FS139" i="21"/>
  <c r="FR55" i="21"/>
  <c r="FR58" i="21" s="1"/>
  <c r="FS48" i="21"/>
  <c r="FS80" i="21"/>
  <c r="FS91" i="21" s="1"/>
  <c r="FS92" i="21" s="1"/>
  <c r="FR59" i="21"/>
  <c r="FR61" i="21" s="1"/>
  <c r="FR126" i="21"/>
  <c r="FR127" i="21" s="1"/>
  <c r="FS125" i="21" s="1"/>
  <c r="FR96" i="21"/>
  <c r="FR97" i="21" s="1"/>
  <c r="FS95" i="21" s="1"/>
  <c r="FS82" i="21"/>
  <c r="FS76" i="21"/>
  <c r="FS81" i="21" s="1"/>
  <c r="FS137" i="21" s="1"/>
  <c r="FS121" i="21"/>
  <c r="FS122" i="21" s="1"/>
  <c r="FS141" i="21" s="1"/>
  <c r="FS105" i="21"/>
  <c r="FS111" i="21" s="1"/>
  <c r="FT14" i="21"/>
  <c r="FT6" i="21" s="1"/>
  <c r="FT12" i="21"/>
  <c r="FT132" i="21" s="1"/>
  <c r="FT13" i="21"/>
  <c r="FT5" i="21" s="1"/>
  <c r="FQ14" i="10"/>
  <c r="FQ6" i="10" s="1"/>
  <c r="FQ12" i="10"/>
  <c r="FQ15" i="10" s="1"/>
  <c r="FQ13" i="10"/>
  <c r="FQ5" i="10" s="1"/>
  <c r="FS138" i="21" l="1"/>
  <c r="FS157" i="21"/>
  <c r="FS158" i="21"/>
  <c r="FS165" i="21" s="1"/>
  <c r="FT149" i="21"/>
  <c r="FT162" i="21"/>
  <c r="FS113" i="21"/>
  <c r="FS140" i="21"/>
  <c r="FS144" i="21" s="1"/>
  <c r="FS152" i="21" s="1"/>
  <c r="FS47" i="21"/>
  <c r="FS49" i="21" s="1"/>
  <c r="FS50" i="21" s="1"/>
  <c r="FS172" i="21" s="1"/>
  <c r="FR66" i="21"/>
  <c r="FS83" i="21"/>
  <c r="FS170" i="21" s="1"/>
  <c r="FT102" i="21"/>
  <c r="FT110" i="21" s="1"/>
  <c r="FT77" i="21"/>
  <c r="FT74" i="21"/>
  <c r="FT87" i="21" s="1"/>
  <c r="FT88" i="21" s="1"/>
  <c r="FT75" i="21"/>
  <c r="FT104" i="21"/>
  <c r="FT112" i="21" s="1"/>
  <c r="FT106" i="21"/>
  <c r="FT103" i="21"/>
  <c r="FT117" i="21" s="1"/>
  <c r="FT118" i="21" s="1"/>
  <c r="FT15" i="21"/>
  <c r="FT7" i="21"/>
  <c r="FU11" i="21"/>
  <c r="FR11" i="10"/>
  <c r="FQ7" i="10"/>
  <c r="FT109" i="21" l="1"/>
  <c r="FS171" i="21"/>
  <c r="FS173" i="21" s="1"/>
  <c r="FS179" i="21" s="1"/>
  <c r="FT142" i="21"/>
  <c r="FT139" i="21"/>
  <c r="FS55" i="21"/>
  <c r="FS58" i="21" s="1"/>
  <c r="FT48" i="21"/>
  <c r="FT80" i="21"/>
  <c r="FT91" i="21" s="1"/>
  <c r="FT92" i="21" s="1"/>
  <c r="FS59" i="21"/>
  <c r="FS61" i="21" s="1"/>
  <c r="FS96" i="21"/>
  <c r="FS97" i="21" s="1"/>
  <c r="FT95" i="21" s="1"/>
  <c r="FT82" i="21"/>
  <c r="FT76" i="21"/>
  <c r="FT81" i="21" s="1"/>
  <c r="FT137" i="21" s="1"/>
  <c r="FS126" i="21"/>
  <c r="FS127" i="21" s="1"/>
  <c r="FT125" i="21" s="1"/>
  <c r="FT105" i="21"/>
  <c r="FT111" i="21" s="1"/>
  <c r="FT121" i="21"/>
  <c r="FT122" i="21" s="1"/>
  <c r="FT141" i="21" s="1"/>
  <c r="FU13" i="21"/>
  <c r="FU5" i="21" s="1"/>
  <c r="FU14" i="21"/>
  <c r="FU6" i="21" s="1"/>
  <c r="FU12" i="21"/>
  <c r="FU132" i="21" s="1"/>
  <c r="FR14" i="10"/>
  <c r="FR6" i="10" s="1"/>
  <c r="FR12" i="10"/>
  <c r="FR15" i="10" s="1"/>
  <c r="FR13" i="10"/>
  <c r="FR5" i="10" s="1"/>
  <c r="FT138" i="21" l="1"/>
  <c r="FU149" i="21"/>
  <c r="FU162" i="21"/>
  <c r="FT157" i="21"/>
  <c r="FT113" i="21"/>
  <c r="FT140" i="21"/>
  <c r="FT144" i="21" s="1"/>
  <c r="FT152" i="21" s="1"/>
  <c r="FT47" i="21"/>
  <c r="FT49" i="21" s="1"/>
  <c r="FT50" i="21" s="1"/>
  <c r="FT172" i="21" s="1"/>
  <c r="FS66" i="21"/>
  <c r="FT83" i="21"/>
  <c r="FT170" i="21" s="1"/>
  <c r="FU77" i="21"/>
  <c r="FU74" i="21"/>
  <c r="FU87" i="21" s="1"/>
  <c r="FU88" i="21" s="1"/>
  <c r="FU75" i="21"/>
  <c r="FU106" i="21"/>
  <c r="FU103" i="21"/>
  <c r="FU117" i="21" s="1"/>
  <c r="FU118" i="21" s="1"/>
  <c r="FU104" i="21"/>
  <c r="FU102" i="21"/>
  <c r="FU110" i="21" s="1"/>
  <c r="FU15" i="21"/>
  <c r="FU7" i="21"/>
  <c r="FV11" i="21"/>
  <c r="FS11" i="10"/>
  <c r="FR7" i="10"/>
  <c r="FU109" i="21" l="1"/>
  <c r="FT171" i="21"/>
  <c r="FT173" i="21" s="1"/>
  <c r="FT179" i="21" s="1"/>
  <c r="FT158" i="21"/>
  <c r="FT165" i="21" s="1"/>
  <c r="FU48" i="21"/>
  <c r="FT55" i="21"/>
  <c r="FT58" i="21" s="1"/>
  <c r="FU80" i="21"/>
  <c r="FU91" i="21" s="1"/>
  <c r="FU92" i="21" s="1"/>
  <c r="FT59" i="21"/>
  <c r="FT61" i="21" s="1"/>
  <c r="FT96" i="21"/>
  <c r="FT97" i="21" s="1"/>
  <c r="FU95" i="21" s="1"/>
  <c r="FU82" i="21"/>
  <c r="FU76" i="21"/>
  <c r="FU81" i="21" s="1"/>
  <c r="FU137" i="21" s="1"/>
  <c r="FT126" i="21"/>
  <c r="FT127" i="21" s="1"/>
  <c r="FU125" i="21" s="1"/>
  <c r="FU112" i="21"/>
  <c r="FU121" i="21"/>
  <c r="FU122" i="21" s="1"/>
  <c r="FU141" i="21" s="1"/>
  <c r="FU105" i="21"/>
  <c r="FU111" i="21" s="1"/>
  <c r="FU140" i="21" s="1"/>
  <c r="FV13" i="21"/>
  <c r="FV5" i="21" s="1"/>
  <c r="FV12" i="21"/>
  <c r="FV132" i="21" s="1"/>
  <c r="FV14" i="21"/>
  <c r="FV6" i="21" s="1"/>
  <c r="FS12" i="10"/>
  <c r="FS15" i="10" s="1"/>
  <c r="FS14" i="10"/>
  <c r="FS6" i="10" s="1"/>
  <c r="FS13" i="10"/>
  <c r="FS5" i="10" s="1"/>
  <c r="FU138" i="21" l="1"/>
  <c r="FU157" i="21"/>
  <c r="FU158" i="21"/>
  <c r="FU165" i="21" s="1"/>
  <c r="FV149" i="21"/>
  <c r="FV162" i="21"/>
  <c r="FU142" i="21"/>
  <c r="FU139" i="21"/>
  <c r="FU47" i="21"/>
  <c r="FT66" i="21"/>
  <c r="FU113" i="21"/>
  <c r="FU83" i="21"/>
  <c r="FU170" i="21" s="1"/>
  <c r="FV104" i="21"/>
  <c r="FV112" i="21" s="1"/>
  <c r="FV77" i="21"/>
  <c r="FV74" i="21"/>
  <c r="FV87" i="21" s="1"/>
  <c r="FV88" i="21" s="1"/>
  <c r="FV75" i="21"/>
  <c r="FV106" i="21"/>
  <c r="FV103" i="21"/>
  <c r="FV117" i="21" s="1"/>
  <c r="FV118" i="21" s="1"/>
  <c r="FV102" i="21"/>
  <c r="FV110" i="21" s="1"/>
  <c r="FV15" i="21"/>
  <c r="FV7" i="21"/>
  <c r="FW11" i="21"/>
  <c r="FT11" i="10"/>
  <c r="FS7" i="10"/>
  <c r="FV109" i="21" l="1"/>
  <c r="FU171" i="21"/>
  <c r="FU49" i="21"/>
  <c r="FU50" i="21" s="1"/>
  <c r="FU172" i="21" s="1"/>
  <c r="FU144" i="21"/>
  <c r="FU152" i="21" s="1"/>
  <c r="FV142" i="21"/>
  <c r="FV139" i="21"/>
  <c r="FU126" i="21"/>
  <c r="FU127" i="21" s="1"/>
  <c r="FV125" i="21" s="1"/>
  <c r="FV80" i="21"/>
  <c r="FV91" i="21" s="1"/>
  <c r="FV92" i="21" s="1"/>
  <c r="FU59" i="21"/>
  <c r="FU61" i="21" s="1"/>
  <c r="FU96" i="21"/>
  <c r="FU97" i="21" s="1"/>
  <c r="FV95" i="21" s="1"/>
  <c r="FV82" i="21"/>
  <c r="FV76" i="21"/>
  <c r="FV81" i="21" s="1"/>
  <c r="FV137" i="21" s="1"/>
  <c r="FV121" i="21"/>
  <c r="FV122" i="21" s="1"/>
  <c r="FV141" i="21" s="1"/>
  <c r="FV105" i="21"/>
  <c r="FV111" i="21" s="1"/>
  <c r="FW12" i="21"/>
  <c r="FW132" i="21" s="1"/>
  <c r="FW13" i="21"/>
  <c r="FW5" i="21" s="1"/>
  <c r="FW14" i="21"/>
  <c r="FW6" i="21" s="1"/>
  <c r="FT12" i="10"/>
  <c r="FT15" i="10" s="1"/>
  <c r="FT14" i="10"/>
  <c r="FT6" i="10" s="1"/>
  <c r="FT13" i="10"/>
  <c r="FT5" i="10" s="1"/>
  <c r="FU173" i="21" l="1"/>
  <c r="FU179" i="21" s="1"/>
  <c r="FU55" i="21"/>
  <c r="FU58" i="21" s="1"/>
  <c r="FV48" i="21"/>
  <c r="FV138" i="21"/>
  <c r="FW149" i="21"/>
  <c r="FW162" i="21"/>
  <c r="FV157" i="21"/>
  <c r="FV113" i="21"/>
  <c r="FV140" i="21"/>
  <c r="FV47" i="21"/>
  <c r="FU66" i="21"/>
  <c r="FV49" i="21"/>
  <c r="FV50" i="21" s="1"/>
  <c r="FV172" i="21" s="1"/>
  <c r="FV83" i="21"/>
  <c r="FV170" i="21" s="1"/>
  <c r="FW77" i="21"/>
  <c r="FW74" i="21"/>
  <c r="FW87" i="21" s="1"/>
  <c r="FW88" i="21" s="1"/>
  <c r="FW75" i="21"/>
  <c r="FW106" i="21"/>
  <c r="FW103" i="21"/>
  <c r="FW117" i="21" s="1"/>
  <c r="FW118" i="21" s="1"/>
  <c r="FW104" i="21"/>
  <c r="FW102" i="21"/>
  <c r="FW110" i="21" s="1"/>
  <c r="FW15" i="21"/>
  <c r="FW7" i="21"/>
  <c r="FX11" i="21"/>
  <c r="FT7" i="10"/>
  <c r="FU11" i="10"/>
  <c r="FV144" i="21" l="1"/>
  <c r="FV152" i="21" s="1"/>
  <c r="FW109" i="21"/>
  <c r="FV171" i="21"/>
  <c r="FV173" i="21" s="1"/>
  <c r="FV179" i="21" s="1"/>
  <c r="FV158" i="21"/>
  <c r="FV165" i="21" s="1"/>
  <c r="FW48" i="21"/>
  <c r="FV55" i="21"/>
  <c r="FV58" i="21" s="1"/>
  <c r="FW80" i="21"/>
  <c r="FW91" i="21" s="1"/>
  <c r="FW92" i="21" s="1"/>
  <c r="FV59" i="21"/>
  <c r="FV61" i="21" s="1"/>
  <c r="FV96" i="21"/>
  <c r="FV97" i="21" s="1"/>
  <c r="FW95" i="21" s="1"/>
  <c r="FW82" i="21"/>
  <c r="FW76" i="21"/>
  <c r="FW81" i="21" s="1"/>
  <c r="FW137" i="21" s="1"/>
  <c r="FV126" i="21"/>
  <c r="FV127" i="21" s="1"/>
  <c r="FW125" i="21" s="1"/>
  <c r="FW112" i="21"/>
  <c r="FW121" i="21"/>
  <c r="FW122" i="21" s="1"/>
  <c r="FW141" i="21" s="1"/>
  <c r="FW105" i="21"/>
  <c r="FW111" i="21" s="1"/>
  <c r="FW140" i="21" s="1"/>
  <c r="FX13" i="21"/>
  <c r="FX5" i="21" s="1"/>
  <c r="FX12" i="21"/>
  <c r="FX132" i="21" s="1"/>
  <c r="FX14" i="21"/>
  <c r="FX6" i="21" s="1"/>
  <c r="FU12" i="10"/>
  <c r="FU15" i="10" s="1"/>
  <c r="FU13" i="10"/>
  <c r="FU5" i="10" s="1"/>
  <c r="FU14" i="10"/>
  <c r="FU6" i="10" s="1"/>
  <c r="FW138" i="21" l="1"/>
  <c r="FW157" i="21" s="1"/>
  <c r="FX149" i="21"/>
  <c r="FX162" i="21"/>
  <c r="FW142" i="21"/>
  <c r="FW139" i="21"/>
  <c r="FW47" i="21"/>
  <c r="FW49" i="21" s="1"/>
  <c r="FW50" i="21" s="1"/>
  <c r="FW172" i="21" s="1"/>
  <c r="FV66" i="21"/>
  <c r="FW113" i="21"/>
  <c r="FW83" i="21"/>
  <c r="FW170" i="21" s="1"/>
  <c r="FX77" i="21"/>
  <c r="FX74" i="21"/>
  <c r="FX87" i="21" s="1"/>
  <c r="FX88" i="21" s="1"/>
  <c r="FX75" i="21"/>
  <c r="FX103" i="21"/>
  <c r="FX117" i="21" s="1"/>
  <c r="FX118" i="21" s="1"/>
  <c r="FX106" i="21"/>
  <c r="FX104" i="21"/>
  <c r="FX102" i="21"/>
  <c r="FX110" i="21" s="1"/>
  <c r="FX15" i="21"/>
  <c r="FX7" i="21"/>
  <c r="FY11" i="21"/>
  <c r="FU7" i="10"/>
  <c r="FV11" i="10"/>
  <c r="FX109" i="21" l="1"/>
  <c r="FW171" i="21"/>
  <c r="FW173" i="21" s="1"/>
  <c r="FW179" i="21" s="1"/>
  <c r="FW158" i="21"/>
  <c r="FW165" i="21" s="1"/>
  <c r="FW144" i="21"/>
  <c r="FW152" i="21" s="1"/>
  <c r="FX48" i="21"/>
  <c r="FW55" i="21"/>
  <c r="FW58" i="21" s="1"/>
  <c r="FX80" i="21"/>
  <c r="FX91" i="21" s="1"/>
  <c r="FX92" i="21" s="1"/>
  <c r="FW59" i="21"/>
  <c r="FW61" i="21" s="1"/>
  <c r="FW96" i="21"/>
  <c r="FW97" i="21" s="1"/>
  <c r="FX95" i="21" s="1"/>
  <c r="FX82" i="21"/>
  <c r="FX76" i="21"/>
  <c r="FX81" i="21" s="1"/>
  <c r="FX137" i="21" s="1"/>
  <c r="FW126" i="21"/>
  <c r="FW127" i="21" s="1"/>
  <c r="FX125" i="21" s="1"/>
  <c r="FX112" i="21"/>
  <c r="FX121" i="21"/>
  <c r="FX122" i="21" s="1"/>
  <c r="FX141" i="21" s="1"/>
  <c r="FX105" i="21"/>
  <c r="FX111" i="21" s="1"/>
  <c r="FX140" i="21" s="1"/>
  <c r="FY13" i="21"/>
  <c r="FY5" i="21" s="1"/>
  <c r="FY12" i="21"/>
  <c r="FY132" i="21" s="1"/>
  <c r="FY14" i="21"/>
  <c r="FY6" i="21" s="1"/>
  <c r="FV12" i="10"/>
  <c r="FV15" i="10" s="1"/>
  <c r="FV13" i="10"/>
  <c r="FV5" i="10" s="1"/>
  <c r="FV14" i="10"/>
  <c r="FV6" i="10" s="1"/>
  <c r="FX138" i="21" l="1"/>
  <c r="FX157" i="21"/>
  <c r="FY149" i="21"/>
  <c r="FY162" i="21"/>
  <c r="FX158" i="21"/>
  <c r="FX165" i="21" s="1"/>
  <c r="FX139" i="21"/>
  <c r="FX142" i="21"/>
  <c r="FX144" i="21" s="1"/>
  <c r="FX152" i="21" s="1"/>
  <c r="FX47" i="21"/>
  <c r="FW66" i="21"/>
  <c r="FX113" i="21"/>
  <c r="FX83" i="21"/>
  <c r="FX170" i="21" s="1"/>
  <c r="FY102" i="21"/>
  <c r="FY110" i="21" s="1"/>
  <c r="FY77" i="21"/>
  <c r="FY74" i="21"/>
  <c r="FY87" i="21" s="1"/>
  <c r="FY88" i="21" s="1"/>
  <c r="FY75" i="21"/>
  <c r="FY106" i="21"/>
  <c r="FY103" i="21"/>
  <c r="FY117" i="21" s="1"/>
  <c r="FY118" i="21" s="1"/>
  <c r="FY104" i="21"/>
  <c r="FY15" i="21"/>
  <c r="FZ11" i="21"/>
  <c r="FY7" i="21"/>
  <c r="FV7" i="10"/>
  <c r="FW11" i="10"/>
  <c r="FY109" i="21" l="1"/>
  <c r="FX171" i="21"/>
  <c r="FX49" i="21"/>
  <c r="FX50" i="21" s="1"/>
  <c r="FX172" i="21" s="1"/>
  <c r="FX55" i="21"/>
  <c r="FX58" i="21" s="1"/>
  <c r="FY80" i="21"/>
  <c r="FX59" i="21"/>
  <c r="FX61" i="21" s="1"/>
  <c r="FY91" i="21"/>
  <c r="FY92" i="21" s="1"/>
  <c r="FY76" i="21"/>
  <c r="FY81" i="21" s="1"/>
  <c r="FY137" i="21" s="1"/>
  <c r="FX96" i="21"/>
  <c r="FX97" i="21" s="1"/>
  <c r="FY95" i="21" s="1"/>
  <c r="FY82" i="21"/>
  <c r="FY112" i="21"/>
  <c r="FX126" i="21"/>
  <c r="FX127" i="21" s="1"/>
  <c r="FY125" i="21" s="1"/>
  <c r="FY121" i="21"/>
  <c r="FY122" i="21" s="1"/>
  <c r="FY141" i="21" s="1"/>
  <c r="FY105" i="21"/>
  <c r="FY111" i="21" s="1"/>
  <c r="FY140" i="21" s="1"/>
  <c r="FZ12" i="21"/>
  <c r="FZ132" i="21" s="1"/>
  <c r="FZ14" i="21"/>
  <c r="FZ6" i="21" s="1"/>
  <c r="FZ13" i="21"/>
  <c r="FZ5" i="21" s="1"/>
  <c r="FW12" i="10"/>
  <c r="FW15" i="10" s="1"/>
  <c r="FW14" i="10"/>
  <c r="FW6" i="10" s="1"/>
  <c r="FW13" i="10"/>
  <c r="FW5" i="10" s="1"/>
  <c r="FX173" i="21" l="1"/>
  <c r="FX179" i="21" s="1"/>
  <c r="FY48" i="21"/>
  <c r="FY138" i="21"/>
  <c r="FZ149" i="21"/>
  <c r="FZ162" i="21"/>
  <c r="FY157" i="21"/>
  <c r="FY139" i="21"/>
  <c r="FY142" i="21"/>
  <c r="FY144" i="21" s="1"/>
  <c r="FY152" i="21" s="1"/>
  <c r="FY47" i="21"/>
  <c r="FY49" i="21" s="1"/>
  <c r="FY50" i="21" s="1"/>
  <c r="FY172" i="21" s="1"/>
  <c r="FX66" i="21"/>
  <c r="FY113" i="21"/>
  <c r="FY83" i="21"/>
  <c r="FY170" i="21" s="1"/>
  <c r="FZ77" i="21"/>
  <c r="FZ74" i="21"/>
  <c r="FZ87" i="21" s="1"/>
  <c r="FZ88" i="21" s="1"/>
  <c r="FZ75" i="21"/>
  <c r="FZ106" i="21"/>
  <c r="FZ103" i="21"/>
  <c r="FZ117" i="21" s="1"/>
  <c r="FZ118" i="21" s="1"/>
  <c r="FZ104" i="21"/>
  <c r="FZ102" i="21"/>
  <c r="FZ110" i="21" s="1"/>
  <c r="GA11" i="21"/>
  <c r="FZ15" i="21"/>
  <c r="FZ7" i="21"/>
  <c r="FW7" i="10"/>
  <c r="FX11" i="10"/>
  <c r="FZ109" i="21" l="1"/>
  <c r="FY171" i="21"/>
  <c r="FY173" i="21" s="1"/>
  <c r="FY179" i="21" s="1"/>
  <c r="FY158" i="21"/>
  <c r="FY165" i="21" s="1"/>
  <c r="FZ48" i="21"/>
  <c r="FY55" i="21"/>
  <c r="FY58" i="21" s="1"/>
  <c r="FZ80" i="21"/>
  <c r="FZ91" i="21" s="1"/>
  <c r="FZ92" i="21" s="1"/>
  <c r="FY59" i="21"/>
  <c r="FY61" i="21" s="1"/>
  <c r="FY96" i="21"/>
  <c r="FY97" i="21" s="1"/>
  <c r="FZ95" i="21" s="1"/>
  <c r="FZ82" i="21"/>
  <c r="FZ76" i="21"/>
  <c r="FZ81" i="21" s="1"/>
  <c r="FZ137" i="21" s="1"/>
  <c r="FY126" i="21"/>
  <c r="FY127" i="21" s="1"/>
  <c r="FZ125" i="21" s="1"/>
  <c r="FZ112" i="21"/>
  <c r="FZ105" i="21"/>
  <c r="FZ111" i="21" s="1"/>
  <c r="FZ140" i="21" s="1"/>
  <c r="FZ121" i="21"/>
  <c r="FZ122" i="21" s="1"/>
  <c r="FZ141" i="21" s="1"/>
  <c r="GA13" i="21"/>
  <c r="GA5" i="21" s="1"/>
  <c r="GA14" i="21"/>
  <c r="GA6" i="21" s="1"/>
  <c r="GA12" i="21"/>
  <c r="GA132" i="21" s="1"/>
  <c r="FX12" i="10"/>
  <c r="FX15" i="10" s="1"/>
  <c r="FX14" i="10"/>
  <c r="FX6" i="10" s="1"/>
  <c r="FX13" i="10"/>
  <c r="FX5" i="10" s="1"/>
  <c r="FZ138" i="21" l="1"/>
  <c r="FZ157" i="21"/>
  <c r="GA149" i="21"/>
  <c r="GA162" i="21"/>
  <c r="FZ158" i="21"/>
  <c r="FZ165" i="21" s="1"/>
  <c r="FZ139" i="21"/>
  <c r="FZ142" i="21"/>
  <c r="FZ144" i="21" s="1"/>
  <c r="FZ152" i="21" s="1"/>
  <c r="FZ47" i="21"/>
  <c r="FY66" i="21"/>
  <c r="FZ113" i="21"/>
  <c r="FZ83" i="21"/>
  <c r="FZ170" i="21" s="1"/>
  <c r="GA102" i="21"/>
  <c r="GA110" i="21" s="1"/>
  <c r="GA77" i="21"/>
  <c r="GA74" i="21"/>
  <c r="GA87" i="21" s="1"/>
  <c r="GA88" i="21" s="1"/>
  <c r="GA75" i="21"/>
  <c r="GA104" i="21"/>
  <c r="GA112" i="21" s="1"/>
  <c r="GA106" i="21"/>
  <c r="GA103" i="21"/>
  <c r="GA117" i="21" s="1"/>
  <c r="GA118" i="21" s="1"/>
  <c r="GB11" i="21"/>
  <c r="GA15" i="21"/>
  <c r="GA7" i="21"/>
  <c r="FY11" i="10"/>
  <c r="FX7" i="10"/>
  <c r="GA109" i="21" l="1"/>
  <c r="GA121" i="21" s="1"/>
  <c r="GA122" i="21" s="1"/>
  <c r="GA141" i="21" s="1"/>
  <c r="FZ171" i="21"/>
  <c r="FZ49" i="21"/>
  <c r="FZ50" i="21" s="1"/>
  <c r="FZ172" i="21" s="1"/>
  <c r="GA139" i="21"/>
  <c r="GA142" i="21"/>
  <c r="GA48" i="21"/>
  <c r="FZ55" i="21"/>
  <c r="FZ58" i="21" s="1"/>
  <c r="GA80" i="21"/>
  <c r="GA91" i="21" s="1"/>
  <c r="GA92" i="21" s="1"/>
  <c r="FZ59" i="21"/>
  <c r="FZ61" i="21" s="1"/>
  <c r="FZ96" i="21"/>
  <c r="FZ97" i="21" s="1"/>
  <c r="GA95" i="21" s="1"/>
  <c r="GA82" i="21"/>
  <c r="GA76" i="21"/>
  <c r="GA81" i="21" s="1"/>
  <c r="GA137" i="21" s="1"/>
  <c r="FZ126" i="21"/>
  <c r="FZ127" i="21" s="1"/>
  <c r="GA125" i="21" s="1"/>
  <c r="GA105" i="21"/>
  <c r="GA111" i="21" s="1"/>
  <c r="GB14" i="21"/>
  <c r="GB6" i="21" s="1"/>
  <c r="GB12" i="21"/>
  <c r="GB132" i="21" s="1"/>
  <c r="GB13" i="21"/>
  <c r="GB5" i="21" s="1"/>
  <c r="FY13" i="10"/>
  <c r="FY5" i="10" s="1"/>
  <c r="FY14" i="10"/>
  <c r="FY6" i="10" s="1"/>
  <c r="FY12" i="10"/>
  <c r="FY15" i="10" s="1"/>
  <c r="FZ173" i="21" l="1"/>
  <c r="FZ179" i="21" s="1"/>
  <c r="GA138" i="21"/>
  <c r="GB149" i="21"/>
  <c r="GB162" i="21"/>
  <c r="GA157" i="21"/>
  <c r="GA113" i="21"/>
  <c r="GA140" i="21"/>
  <c r="GA144" i="21" s="1"/>
  <c r="GA152" i="21" s="1"/>
  <c r="GB75" i="21"/>
  <c r="GB82" i="21" s="1"/>
  <c r="GA47" i="21"/>
  <c r="FZ66" i="21"/>
  <c r="GA83" i="21"/>
  <c r="GA170" i="21" s="1"/>
  <c r="GB77" i="21"/>
  <c r="GB74" i="21"/>
  <c r="GB87" i="21" s="1"/>
  <c r="GB88" i="21" s="1"/>
  <c r="GB103" i="21"/>
  <c r="GB117" i="21" s="1"/>
  <c r="GB118" i="21" s="1"/>
  <c r="GB106" i="21"/>
  <c r="GB104" i="21"/>
  <c r="GB102" i="21"/>
  <c r="GB110" i="21" s="1"/>
  <c r="GC11" i="21"/>
  <c r="GB7" i="21"/>
  <c r="GB15" i="21"/>
  <c r="FZ11" i="10"/>
  <c r="FY7" i="10"/>
  <c r="GA96" i="21" l="1"/>
  <c r="GA97" i="21" s="1"/>
  <c r="GB95" i="21" s="1"/>
  <c r="GB109" i="21"/>
  <c r="GA171" i="21"/>
  <c r="GA158" i="21"/>
  <c r="GA165" i="21" s="1"/>
  <c r="GA49" i="21"/>
  <c r="GA50" i="21" s="1"/>
  <c r="GB80" i="21"/>
  <c r="GB91" i="21" s="1"/>
  <c r="GB92" i="21" s="1"/>
  <c r="GA59" i="21"/>
  <c r="GA61" i="21" s="1"/>
  <c r="GB76" i="21"/>
  <c r="GA126" i="21"/>
  <c r="GA127" i="21" s="1"/>
  <c r="GB125" i="21" s="1"/>
  <c r="GB112" i="21"/>
  <c r="GB121" i="21"/>
  <c r="GB122" i="21" s="1"/>
  <c r="GB141" i="21" s="1"/>
  <c r="GB105" i="21"/>
  <c r="GB111" i="21" s="1"/>
  <c r="GB140" i="21" s="1"/>
  <c r="GC13" i="21"/>
  <c r="GC5" i="21" s="1"/>
  <c r="GC14" i="21"/>
  <c r="GC6" i="21" s="1"/>
  <c r="GC12" i="21"/>
  <c r="GC132" i="21" s="1"/>
  <c r="FZ13" i="10"/>
  <c r="FZ5" i="10" s="1"/>
  <c r="FZ14" i="10"/>
  <c r="FZ6" i="10" s="1"/>
  <c r="FZ12" i="10"/>
  <c r="FZ15" i="10" s="1"/>
  <c r="GB138" i="21" l="1"/>
  <c r="GA55" i="21"/>
  <c r="GA58" i="21" s="1"/>
  <c r="GA172" i="21"/>
  <c r="GA173" i="21" s="1"/>
  <c r="GA179" i="21" s="1"/>
  <c r="GB48" i="21"/>
  <c r="GC149" i="21"/>
  <c r="GC162" i="21"/>
  <c r="GB157" i="21"/>
  <c r="GB139" i="21"/>
  <c r="GB142" i="21"/>
  <c r="GA66" i="21"/>
  <c r="GB113" i="21"/>
  <c r="GB81" i="21"/>
  <c r="GC77" i="21"/>
  <c r="GC74" i="21"/>
  <c r="GC87" i="21" s="1"/>
  <c r="GC88" i="21" s="1"/>
  <c r="GC75" i="21"/>
  <c r="GC106" i="21"/>
  <c r="GC103" i="21"/>
  <c r="GC117" i="21" s="1"/>
  <c r="GC118" i="21" s="1"/>
  <c r="GC102" i="21"/>
  <c r="GC110" i="21" s="1"/>
  <c r="GC104" i="21"/>
  <c r="GD11" i="21"/>
  <c r="GC7" i="21"/>
  <c r="GC15" i="21"/>
  <c r="FZ7" i="10"/>
  <c r="GA11" i="10"/>
  <c r="GC109" i="21" l="1"/>
  <c r="GB171" i="21"/>
  <c r="GB158" i="21"/>
  <c r="GB165" i="21" s="1"/>
  <c r="GB47" i="21"/>
  <c r="GB137" i="21"/>
  <c r="GB83" i="21"/>
  <c r="GB170" i="21" s="1"/>
  <c r="GB49" i="21"/>
  <c r="GB50" i="21" s="1"/>
  <c r="GB172" i="21" s="1"/>
  <c r="GC80" i="21"/>
  <c r="GC91" i="21" s="1"/>
  <c r="GC92" i="21" s="1"/>
  <c r="GB96" i="21"/>
  <c r="GB97" i="21" s="1"/>
  <c r="GC95" i="21" s="1"/>
  <c r="GC82" i="21"/>
  <c r="GC76" i="21"/>
  <c r="GC81" i="21" s="1"/>
  <c r="GC137" i="21" s="1"/>
  <c r="GB126" i="21"/>
  <c r="GB127" i="21" s="1"/>
  <c r="GC125" i="21" s="1"/>
  <c r="GC112" i="21"/>
  <c r="GC121" i="21"/>
  <c r="GC122" i="21" s="1"/>
  <c r="GC141" i="21" s="1"/>
  <c r="GC105" i="21"/>
  <c r="GC111" i="21" s="1"/>
  <c r="GC140" i="21" s="1"/>
  <c r="GD14" i="21"/>
  <c r="GD6" i="21" s="1"/>
  <c r="GD13" i="21"/>
  <c r="GD5" i="21" s="1"/>
  <c r="GD12" i="21"/>
  <c r="GD132" i="21" s="1"/>
  <c r="GA13" i="10"/>
  <c r="GA5" i="10" s="1"/>
  <c r="GA14" i="10"/>
  <c r="GA6" i="10" s="1"/>
  <c r="GA12" i="10"/>
  <c r="GA15" i="10" s="1"/>
  <c r="GB173" i="21" l="1"/>
  <c r="GB179" i="21" s="1"/>
  <c r="GB59" i="21"/>
  <c r="GB61" i="21" s="1"/>
  <c r="GC138" i="21"/>
  <c r="GC157" i="21"/>
  <c r="GC158" i="21" s="1"/>
  <c r="GC165" i="21" s="1"/>
  <c r="GD149" i="21"/>
  <c r="GD162" i="21"/>
  <c r="GB144" i="21"/>
  <c r="GB152" i="21" s="1"/>
  <c r="GC139" i="21"/>
  <c r="GC142" i="21"/>
  <c r="GC47" i="21"/>
  <c r="GC48" i="21"/>
  <c r="GB55" i="21"/>
  <c r="GB58" i="21" s="1"/>
  <c r="GB66" i="21" s="1"/>
  <c r="GC113" i="21"/>
  <c r="GC83" i="21"/>
  <c r="GC170" i="21" s="1"/>
  <c r="GD102" i="21"/>
  <c r="GD110" i="21" s="1"/>
  <c r="GD77" i="21"/>
  <c r="GD74" i="21"/>
  <c r="GD87" i="21" s="1"/>
  <c r="GD88" i="21" s="1"/>
  <c r="GD75" i="21"/>
  <c r="GD106" i="21"/>
  <c r="GD103" i="21"/>
  <c r="GD117" i="21" s="1"/>
  <c r="GD118" i="21" s="1"/>
  <c r="GD104" i="21"/>
  <c r="GE11" i="21"/>
  <c r="GD15" i="21"/>
  <c r="GD7" i="21"/>
  <c r="GB11" i="10"/>
  <c r="GA7" i="10"/>
  <c r="GC144" i="21" l="1"/>
  <c r="GC152" i="21" s="1"/>
  <c r="GD109" i="21"/>
  <c r="GC171" i="21"/>
  <c r="GC49" i="21"/>
  <c r="GC50" i="21"/>
  <c r="GD80" i="21"/>
  <c r="GD91" i="21" s="1"/>
  <c r="GD92" i="21" s="1"/>
  <c r="GC59" i="21"/>
  <c r="GC61" i="21" s="1"/>
  <c r="GD76" i="21"/>
  <c r="GD81" i="21" s="1"/>
  <c r="GD137" i="21" s="1"/>
  <c r="GC96" i="21"/>
  <c r="GC97" i="21" s="1"/>
  <c r="GD95" i="21" s="1"/>
  <c r="GD82" i="21"/>
  <c r="GC126" i="21"/>
  <c r="GC127" i="21" s="1"/>
  <c r="GD125" i="21" s="1"/>
  <c r="GD112" i="21"/>
  <c r="GD121" i="21"/>
  <c r="GD122" i="21" s="1"/>
  <c r="GD141" i="21" s="1"/>
  <c r="GD105" i="21"/>
  <c r="GD111" i="21" s="1"/>
  <c r="GD140" i="21" s="1"/>
  <c r="GE14" i="21"/>
  <c r="GE6" i="21" s="1"/>
  <c r="GE13" i="21"/>
  <c r="GE5" i="21" s="1"/>
  <c r="GE12" i="21"/>
  <c r="GE132" i="21" s="1"/>
  <c r="GB13" i="10"/>
  <c r="GB5" i="10" s="1"/>
  <c r="GB14" i="10"/>
  <c r="GB6" i="10" s="1"/>
  <c r="GB12" i="10"/>
  <c r="GB15" i="10" s="1"/>
  <c r="GD138" i="21" l="1"/>
  <c r="GD48" i="21"/>
  <c r="GC172" i="21"/>
  <c r="GC173" i="21" s="1"/>
  <c r="GC179" i="21" s="1"/>
  <c r="GE149" i="21"/>
  <c r="GE162" i="21"/>
  <c r="GD157" i="21"/>
  <c r="GD142" i="21"/>
  <c r="GD139" i="21"/>
  <c r="GE75" i="21"/>
  <c r="GD96" i="21" s="1"/>
  <c r="GD97" i="21" s="1"/>
  <c r="GE95" i="21" s="1"/>
  <c r="GC55" i="21"/>
  <c r="GC58" i="21" s="1"/>
  <c r="GD47" i="21"/>
  <c r="GC66" i="21"/>
  <c r="GD83" i="21"/>
  <c r="GD170" i="21" s="1"/>
  <c r="GD49" i="21"/>
  <c r="GD50" i="21" s="1"/>
  <c r="GD172" i="21" s="1"/>
  <c r="GE80" i="21"/>
  <c r="GD113" i="21"/>
  <c r="GE104" i="21"/>
  <c r="GE112" i="21" s="1"/>
  <c r="GE77" i="21"/>
  <c r="GE74" i="21"/>
  <c r="GE87" i="21" s="1"/>
  <c r="GE88" i="21" s="1"/>
  <c r="GE106" i="21"/>
  <c r="GE103" i="21"/>
  <c r="GE117" i="21" s="1"/>
  <c r="GE118" i="21" s="1"/>
  <c r="GE102" i="21"/>
  <c r="GE110" i="21" s="1"/>
  <c r="GE15" i="21"/>
  <c r="GE7" i="21"/>
  <c r="GF11" i="21"/>
  <c r="GB7" i="10"/>
  <c r="GC11" i="10"/>
  <c r="GE109" i="21" l="1"/>
  <c r="GD171" i="21"/>
  <c r="GD173" i="21" s="1"/>
  <c r="GD179" i="21" s="1"/>
  <c r="GD158" i="21"/>
  <c r="GD165" i="21" s="1"/>
  <c r="GD144" i="21"/>
  <c r="GD152" i="21" s="1"/>
  <c r="GE82" i="21"/>
  <c r="GE139" i="21"/>
  <c r="GE142" i="21"/>
  <c r="GE48" i="21"/>
  <c r="GD55" i="21"/>
  <c r="GD58" i="21" s="1"/>
  <c r="GD59" i="21"/>
  <c r="GD61" i="21" s="1"/>
  <c r="GD126" i="21"/>
  <c r="GD127" i="21" s="1"/>
  <c r="GE125" i="21" s="1"/>
  <c r="GE76" i="21"/>
  <c r="GE91" i="21"/>
  <c r="GE92" i="21" s="1"/>
  <c r="GE105" i="21"/>
  <c r="GE111" i="21" s="1"/>
  <c r="GE121" i="21"/>
  <c r="GE122" i="21" s="1"/>
  <c r="GE141" i="21" s="1"/>
  <c r="GF12" i="21"/>
  <c r="GF132" i="21" s="1"/>
  <c r="GF13" i="21"/>
  <c r="GF5" i="21" s="1"/>
  <c r="GF14" i="21"/>
  <c r="GF6" i="21" s="1"/>
  <c r="GC14" i="10"/>
  <c r="GC6" i="10" s="1"/>
  <c r="GC13" i="10"/>
  <c r="GC5" i="10" s="1"/>
  <c r="GC12" i="10"/>
  <c r="GC15" i="10" s="1"/>
  <c r="GE138" i="21" l="1"/>
  <c r="GE157" i="21"/>
  <c r="GE158" i="21"/>
  <c r="GE165" i="21" s="1"/>
  <c r="GF149" i="21"/>
  <c r="GF162" i="21"/>
  <c r="GE113" i="21"/>
  <c r="GE140" i="21"/>
  <c r="GD66" i="21"/>
  <c r="GE81" i="21"/>
  <c r="GF77" i="21"/>
  <c r="GF74" i="21"/>
  <c r="GF87" i="21" s="1"/>
  <c r="GF88" i="21" s="1"/>
  <c r="GF75" i="21"/>
  <c r="GF106" i="21"/>
  <c r="GF103" i="21"/>
  <c r="GF117" i="21" s="1"/>
  <c r="GF118" i="21" s="1"/>
  <c r="GF104" i="21"/>
  <c r="GF102" i="21"/>
  <c r="GF110" i="21" s="1"/>
  <c r="GF15" i="21"/>
  <c r="GF7" i="21"/>
  <c r="GG11" i="21"/>
  <c r="GC7" i="10"/>
  <c r="GD11" i="10"/>
  <c r="GF109" i="21" l="1"/>
  <c r="GE171" i="21"/>
  <c r="GE47" i="21"/>
  <c r="GE137" i="21"/>
  <c r="GE83" i="21"/>
  <c r="GE170" i="21" s="1"/>
  <c r="GE49" i="21"/>
  <c r="GE50" i="21" s="1"/>
  <c r="GE172" i="21" s="1"/>
  <c r="GF80" i="21"/>
  <c r="GF91" i="21" s="1"/>
  <c r="GF92" i="21" s="1"/>
  <c r="GE59" i="21"/>
  <c r="GE61" i="21" s="1"/>
  <c r="GE96" i="21"/>
  <c r="GE97" i="21" s="1"/>
  <c r="GF95" i="21" s="1"/>
  <c r="GF82" i="21"/>
  <c r="GF76" i="21"/>
  <c r="GF81" i="21" s="1"/>
  <c r="GF137" i="21" s="1"/>
  <c r="GF121" i="21"/>
  <c r="GF122" i="21" s="1"/>
  <c r="GF141" i="21" s="1"/>
  <c r="GF105" i="21"/>
  <c r="GF111" i="21" s="1"/>
  <c r="GF140" i="21" s="1"/>
  <c r="GE126" i="21"/>
  <c r="GE127" i="21" s="1"/>
  <c r="GF125" i="21" s="1"/>
  <c r="GF112" i="21"/>
  <c r="GG14" i="21"/>
  <c r="GG6" i="21" s="1"/>
  <c r="GG12" i="21"/>
  <c r="GG132" i="21" s="1"/>
  <c r="GG13" i="21"/>
  <c r="GG5" i="21" s="1"/>
  <c r="GD14" i="10"/>
  <c r="GD6" i="10" s="1"/>
  <c r="GD13" i="10"/>
  <c r="GD5" i="10" s="1"/>
  <c r="GD12" i="10"/>
  <c r="GD15" i="10" s="1"/>
  <c r="GE173" i="21" l="1"/>
  <c r="GE179" i="21" s="1"/>
  <c r="GF138" i="21"/>
  <c r="GG149" i="21"/>
  <c r="GG162" i="21"/>
  <c r="GF157" i="21"/>
  <c r="GE144" i="21"/>
  <c r="GE152" i="21" s="1"/>
  <c r="GF139" i="21"/>
  <c r="GF142" i="21"/>
  <c r="GF47" i="21"/>
  <c r="GF48" i="21"/>
  <c r="GE55" i="21"/>
  <c r="GE58" i="21" s="1"/>
  <c r="GE66" i="21" s="1"/>
  <c r="GF113" i="21"/>
  <c r="GF83" i="21"/>
  <c r="GF170" i="21" s="1"/>
  <c r="GG77" i="21"/>
  <c r="GG74" i="21"/>
  <c r="GG87" i="21" s="1"/>
  <c r="GG88" i="21" s="1"/>
  <c r="GG75" i="21"/>
  <c r="GG106" i="21"/>
  <c r="GG103" i="21"/>
  <c r="GG117" i="21" s="1"/>
  <c r="GG118" i="21" s="1"/>
  <c r="GG104" i="21"/>
  <c r="GG102" i="21"/>
  <c r="GG110" i="21" s="1"/>
  <c r="GG15" i="21"/>
  <c r="GG7" i="21"/>
  <c r="GH11" i="21"/>
  <c r="GE11" i="10"/>
  <c r="GD7" i="10"/>
  <c r="GG109" i="21" l="1"/>
  <c r="GF171" i="21"/>
  <c r="GF158" i="21"/>
  <c r="GF165" i="21" s="1"/>
  <c r="GF49" i="21"/>
  <c r="GF144" i="21"/>
  <c r="GF152" i="21" s="1"/>
  <c r="GF50" i="21"/>
  <c r="GF55" i="21"/>
  <c r="GF58" i="21" s="1"/>
  <c r="GG80" i="21"/>
  <c r="GG91" i="21" s="1"/>
  <c r="GG92" i="21" s="1"/>
  <c r="GF59" i="21"/>
  <c r="GF61" i="21" s="1"/>
  <c r="GF96" i="21"/>
  <c r="GF97" i="21" s="1"/>
  <c r="GG95" i="21" s="1"/>
  <c r="GG82" i="21"/>
  <c r="GG76" i="21"/>
  <c r="GG81" i="21" s="1"/>
  <c r="GG137" i="21" s="1"/>
  <c r="GF126" i="21"/>
  <c r="GF127" i="21" s="1"/>
  <c r="GG125" i="21" s="1"/>
  <c r="GG112" i="21"/>
  <c r="GG105" i="21"/>
  <c r="GG111" i="21" s="1"/>
  <c r="GG140" i="21" s="1"/>
  <c r="GG121" i="21"/>
  <c r="GG122" i="21" s="1"/>
  <c r="GG141" i="21" s="1"/>
  <c r="GH12" i="21"/>
  <c r="GH132" i="21" s="1"/>
  <c r="GH14" i="21"/>
  <c r="GH6" i="21" s="1"/>
  <c r="GH13" i="21"/>
  <c r="GH5" i="21" s="1"/>
  <c r="GE14" i="10"/>
  <c r="GE6" i="10" s="1"/>
  <c r="GE13" i="10"/>
  <c r="GE5" i="10" s="1"/>
  <c r="GE12" i="10"/>
  <c r="GE15" i="10" s="1"/>
  <c r="GG138" i="21" l="1"/>
  <c r="GG48" i="21"/>
  <c r="GF172" i="21"/>
  <c r="GF173" i="21" s="1"/>
  <c r="GF179" i="21" s="1"/>
  <c r="GG157" i="21"/>
  <c r="GH149" i="21"/>
  <c r="GH162" i="21"/>
  <c r="GG158" i="21"/>
  <c r="GG165" i="21" s="1"/>
  <c r="GG142" i="21"/>
  <c r="GG139" i="21"/>
  <c r="GH102" i="21"/>
  <c r="GH110" i="21" s="1"/>
  <c r="GG47" i="21"/>
  <c r="GF66" i="21"/>
  <c r="GG113" i="21"/>
  <c r="GG83" i="21"/>
  <c r="GG170" i="21" s="1"/>
  <c r="GH104" i="21"/>
  <c r="GH112" i="21" s="1"/>
  <c r="GH75" i="21"/>
  <c r="GH77" i="21"/>
  <c r="GH74" i="21"/>
  <c r="GH87" i="21" s="1"/>
  <c r="GH88" i="21" s="1"/>
  <c r="GH106" i="21"/>
  <c r="GH103" i="21"/>
  <c r="GH117" i="21" s="1"/>
  <c r="GH118" i="21" s="1"/>
  <c r="GI11" i="21"/>
  <c r="GH15" i="21"/>
  <c r="GH7" i="21"/>
  <c r="GF11" i="10"/>
  <c r="GE7" i="10"/>
  <c r="GH109" i="21" l="1"/>
  <c r="GG171" i="21"/>
  <c r="GG173" i="21" s="1"/>
  <c r="GG179" i="21" s="1"/>
  <c r="GG49" i="21"/>
  <c r="GG50" i="21" s="1"/>
  <c r="GG172" i="21" s="1"/>
  <c r="GG144" i="21"/>
  <c r="GG152" i="21" s="1"/>
  <c r="GH142" i="21"/>
  <c r="GH139" i="21"/>
  <c r="GG126" i="21"/>
  <c r="GG127" i="21" s="1"/>
  <c r="GH125" i="21" s="1"/>
  <c r="GH48" i="21"/>
  <c r="GH80" i="21"/>
  <c r="GG59" i="21"/>
  <c r="GG61" i="21" s="1"/>
  <c r="GH91" i="21"/>
  <c r="GH92" i="21" s="1"/>
  <c r="GH76" i="21"/>
  <c r="GH81" i="21" s="1"/>
  <c r="GH137" i="21" s="1"/>
  <c r="GG96" i="21"/>
  <c r="GG97" i="21" s="1"/>
  <c r="GH95" i="21" s="1"/>
  <c r="GH82" i="21"/>
  <c r="GH105" i="21"/>
  <c r="GH111" i="21" s="1"/>
  <c r="GH121" i="21"/>
  <c r="GH122" i="21" s="1"/>
  <c r="GH141" i="21" s="1"/>
  <c r="GI14" i="21"/>
  <c r="GI6" i="21" s="1"/>
  <c r="GI12" i="21"/>
  <c r="GI132" i="21" s="1"/>
  <c r="GI13" i="21"/>
  <c r="GI5" i="21" s="1"/>
  <c r="GF14" i="10"/>
  <c r="GF6" i="10" s="1"/>
  <c r="GF12" i="10"/>
  <c r="GF15" i="10" s="1"/>
  <c r="GF13" i="10"/>
  <c r="GF5" i="10" s="1"/>
  <c r="GG55" i="21" l="1"/>
  <c r="GG58" i="21" s="1"/>
  <c r="GH138" i="21"/>
  <c r="GI149" i="21"/>
  <c r="GI162" i="21"/>
  <c r="GH157" i="21"/>
  <c r="GH113" i="21"/>
  <c r="GH140" i="21"/>
  <c r="GH144" i="21" s="1"/>
  <c r="GH152" i="21" s="1"/>
  <c r="GI75" i="21"/>
  <c r="GI82" i="21" s="1"/>
  <c r="GH47" i="21"/>
  <c r="GH49" i="21" s="1"/>
  <c r="GH50" i="21" s="1"/>
  <c r="GH172" i="21" s="1"/>
  <c r="GG66" i="21"/>
  <c r="GH83" i="21"/>
  <c r="GI104" i="21"/>
  <c r="GI112" i="21" s="1"/>
  <c r="GI77" i="21"/>
  <c r="GI74" i="21"/>
  <c r="GI87" i="21" s="1"/>
  <c r="GI88" i="21" s="1"/>
  <c r="GI106" i="21"/>
  <c r="GI103" i="21"/>
  <c r="GI117" i="21" s="1"/>
  <c r="GI118" i="21" s="1"/>
  <c r="GI102" i="21"/>
  <c r="GI110" i="21" s="1"/>
  <c r="GI15" i="21"/>
  <c r="GI7" i="21"/>
  <c r="GJ11" i="21"/>
  <c r="GG11" i="10"/>
  <c r="GF7" i="10"/>
  <c r="GH59" i="21" l="1"/>
  <c r="GH61" i="21" s="1"/>
  <c r="GH96" i="21"/>
  <c r="GH97" i="21" s="1"/>
  <c r="GI95" i="21" s="1"/>
  <c r="GI80" i="21"/>
  <c r="GH170" i="21"/>
  <c r="GI109" i="21"/>
  <c r="GH171" i="21"/>
  <c r="GH158" i="21"/>
  <c r="GH165" i="21" s="1"/>
  <c r="GI142" i="21"/>
  <c r="GI139" i="21"/>
  <c r="GI48" i="21"/>
  <c r="GH55" i="21"/>
  <c r="GH58" i="21" s="1"/>
  <c r="GH66" i="21" s="1"/>
  <c r="GH126" i="21"/>
  <c r="GH127" i="21" s="1"/>
  <c r="GI125" i="21" s="1"/>
  <c r="GI91" i="21"/>
  <c r="GI92" i="21" s="1"/>
  <c r="GI76" i="21"/>
  <c r="GI121" i="21"/>
  <c r="GI122" i="21" s="1"/>
  <c r="GI141" i="21" s="1"/>
  <c r="GI105" i="21"/>
  <c r="GI111" i="21" s="1"/>
  <c r="GJ14" i="21"/>
  <c r="GJ6" i="21" s="1"/>
  <c r="GJ13" i="21"/>
  <c r="GJ5" i="21" s="1"/>
  <c r="GJ12" i="21"/>
  <c r="GJ132" i="21" s="1"/>
  <c r="GG14" i="10"/>
  <c r="GG6" i="10" s="1"/>
  <c r="GG13" i="10"/>
  <c r="GG5" i="10" s="1"/>
  <c r="GG12" i="10"/>
  <c r="GG15" i="10" s="1"/>
  <c r="GH173" i="21" l="1"/>
  <c r="GH179" i="21" s="1"/>
  <c r="GI138" i="21"/>
  <c r="GI157" i="21"/>
  <c r="GJ149" i="21"/>
  <c r="GJ162" i="21"/>
  <c r="GI113" i="21"/>
  <c r="GI140" i="21"/>
  <c r="GI81" i="21"/>
  <c r="GJ104" i="21"/>
  <c r="GI126" i="21" s="1"/>
  <c r="GI127" i="21" s="1"/>
  <c r="GJ77" i="21"/>
  <c r="GJ74" i="21"/>
  <c r="GJ87" i="21" s="1"/>
  <c r="GJ88" i="21" s="1"/>
  <c r="GJ75" i="21"/>
  <c r="GJ102" i="21"/>
  <c r="GJ110" i="21" s="1"/>
  <c r="GJ106" i="21"/>
  <c r="GJ103" i="21"/>
  <c r="GJ117" i="21" s="1"/>
  <c r="GJ118" i="21" s="1"/>
  <c r="GJ15" i="21"/>
  <c r="GK11" i="21"/>
  <c r="GJ7" i="21"/>
  <c r="GH11" i="10"/>
  <c r="GG7" i="10"/>
  <c r="GJ109" i="21" l="1"/>
  <c r="GI171" i="21"/>
  <c r="GI158" i="21"/>
  <c r="GI165" i="21" s="1"/>
  <c r="GI47" i="21"/>
  <c r="GI137" i="21"/>
  <c r="GI83" i="21"/>
  <c r="GI170" i="21" s="1"/>
  <c r="GI49" i="21"/>
  <c r="GI50" i="21" s="1"/>
  <c r="GI172" i="21" s="1"/>
  <c r="GJ80" i="21"/>
  <c r="GJ91" i="21" s="1"/>
  <c r="GJ92" i="21" s="1"/>
  <c r="GJ125" i="21"/>
  <c r="GJ112" i="21"/>
  <c r="GI96" i="21"/>
  <c r="GI97" i="21" s="1"/>
  <c r="GJ95" i="21" s="1"/>
  <c r="GJ82" i="21"/>
  <c r="GJ76" i="21"/>
  <c r="GJ81" i="21" s="1"/>
  <c r="GJ137" i="21" s="1"/>
  <c r="GJ121" i="21"/>
  <c r="GJ122" i="21" s="1"/>
  <c r="GJ141" i="21" s="1"/>
  <c r="GJ105" i="21"/>
  <c r="GJ111" i="21" s="1"/>
  <c r="GJ140" i="21" s="1"/>
  <c r="GK13" i="21"/>
  <c r="GK5" i="21" s="1"/>
  <c r="GK12" i="21"/>
  <c r="GK132" i="21" s="1"/>
  <c r="GK14" i="21"/>
  <c r="GK6" i="21" s="1"/>
  <c r="GH14" i="10"/>
  <c r="GH6" i="10" s="1"/>
  <c r="GH13" i="10"/>
  <c r="GH5" i="10" s="1"/>
  <c r="GH12" i="10"/>
  <c r="GH15" i="10" s="1"/>
  <c r="GI173" i="21" l="1"/>
  <c r="GI179" i="21" s="1"/>
  <c r="GI59" i="21"/>
  <c r="GI61" i="21" s="1"/>
  <c r="GJ138" i="21"/>
  <c r="GJ157" i="21"/>
  <c r="GJ158" i="21"/>
  <c r="GJ165" i="21" s="1"/>
  <c r="GK149" i="21"/>
  <c r="GK162" i="21"/>
  <c r="GI144" i="21"/>
  <c r="GI152" i="21" s="1"/>
  <c r="GJ142" i="21"/>
  <c r="GJ139" i="21"/>
  <c r="GJ47" i="21"/>
  <c r="GI55" i="21"/>
  <c r="GI58" i="21" s="1"/>
  <c r="GI66" i="21" s="1"/>
  <c r="GJ48" i="21"/>
  <c r="GJ49" i="21"/>
  <c r="GJ113" i="21"/>
  <c r="GJ83" i="21"/>
  <c r="GJ170" i="21" s="1"/>
  <c r="GK102" i="21"/>
  <c r="GK110" i="21" s="1"/>
  <c r="GK77" i="21"/>
  <c r="GK74" i="21"/>
  <c r="GK87" i="21" s="1"/>
  <c r="GK88" i="21" s="1"/>
  <c r="GK75" i="21"/>
  <c r="GK106" i="21"/>
  <c r="GK103" i="21"/>
  <c r="GK117" i="21" s="1"/>
  <c r="GK118" i="21" s="1"/>
  <c r="GK104" i="21"/>
  <c r="GK15" i="21"/>
  <c r="GL11" i="21"/>
  <c r="GK7" i="21"/>
  <c r="GH7" i="10"/>
  <c r="GI11" i="10"/>
  <c r="GK109" i="21" l="1"/>
  <c r="GJ171" i="21"/>
  <c r="GJ144" i="21"/>
  <c r="GJ152" i="21" s="1"/>
  <c r="GJ50" i="21"/>
  <c r="GJ172" i="21" s="1"/>
  <c r="GK80" i="21"/>
  <c r="GK91" i="21" s="1"/>
  <c r="GK92" i="21" s="1"/>
  <c r="GJ59" i="21"/>
  <c r="GJ61" i="21" s="1"/>
  <c r="GJ96" i="21"/>
  <c r="GJ97" i="21" s="1"/>
  <c r="GK95" i="21" s="1"/>
  <c r="GK82" i="21"/>
  <c r="GK76" i="21"/>
  <c r="GK81" i="21" s="1"/>
  <c r="GK137" i="21" s="1"/>
  <c r="GJ126" i="21"/>
  <c r="GJ127" i="21" s="1"/>
  <c r="GK125" i="21" s="1"/>
  <c r="GK112" i="21"/>
  <c r="GK121" i="21"/>
  <c r="GK122" i="21" s="1"/>
  <c r="GK141" i="21" s="1"/>
  <c r="GK105" i="21"/>
  <c r="GK111" i="21" s="1"/>
  <c r="GK140" i="21" s="1"/>
  <c r="GL13" i="21"/>
  <c r="GL5" i="21" s="1"/>
  <c r="GL12" i="21"/>
  <c r="GL132" i="21" s="1"/>
  <c r="GL14" i="21"/>
  <c r="GL6" i="21" s="1"/>
  <c r="GI12" i="10"/>
  <c r="GI15" i="10" s="1"/>
  <c r="GI14" i="10"/>
  <c r="GI6" i="10" s="1"/>
  <c r="GI13" i="10"/>
  <c r="GI5" i="10" s="1"/>
  <c r="GJ173" i="21" l="1"/>
  <c r="GJ179" i="21" s="1"/>
  <c r="GK138" i="21"/>
  <c r="GL149" i="21"/>
  <c r="GL162" i="21"/>
  <c r="GK157" i="21"/>
  <c r="GK142" i="21"/>
  <c r="GK139" i="21"/>
  <c r="GL104" i="21"/>
  <c r="GL112" i="21" s="1"/>
  <c r="GK47" i="21"/>
  <c r="GK48" i="21"/>
  <c r="GJ55" i="21"/>
  <c r="GJ58" i="21" s="1"/>
  <c r="GJ66" i="21" s="1"/>
  <c r="GK113" i="21"/>
  <c r="GK83" i="21"/>
  <c r="GK170" i="21" s="1"/>
  <c r="GL75" i="21"/>
  <c r="GL102" i="21"/>
  <c r="GL110" i="21" s="1"/>
  <c r="GL77" i="21"/>
  <c r="GL74" i="21"/>
  <c r="GL87" i="21" s="1"/>
  <c r="GL88" i="21" s="1"/>
  <c r="GL106" i="21"/>
  <c r="GL103" i="21"/>
  <c r="GL117" i="21" s="1"/>
  <c r="GL118" i="21" s="1"/>
  <c r="GL15" i="21"/>
  <c r="GM11" i="21"/>
  <c r="GL7" i="21"/>
  <c r="GI7" i="10"/>
  <c r="GJ11" i="10"/>
  <c r="GL109" i="21" l="1"/>
  <c r="GK171" i="21"/>
  <c r="GK158" i="21"/>
  <c r="GK165" i="21" s="1"/>
  <c r="GK49" i="21"/>
  <c r="GK50" i="21" s="1"/>
  <c r="GK55" i="21" s="1"/>
  <c r="GK58" i="21" s="1"/>
  <c r="GK144" i="21"/>
  <c r="GK152" i="21" s="1"/>
  <c r="GK126" i="21"/>
  <c r="GK127" i="21" s="1"/>
  <c r="GL125" i="21" s="1"/>
  <c r="GL139" i="21"/>
  <c r="GL142" i="21"/>
  <c r="GL80" i="21"/>
  <c r="GL91" i="21" s="1"/>
  <c r="GL92" i="21" s="1"/>
  <c r="GK59" i="21"/>
  <c r="GK61" i="21" s="1"/>
  <c r="GL76" i="21"/>
  <c r="GL81" i="21" s="1"/>
  <c r="GL137" i="21" s="1"/>
  <c r="GL82" i="21"/>
  <c r="GK96" i="21"/>
  <c r="GK97" i="21" s="1"/>
  <c r="GL95" i="21" s="1"/>
  <c r="GL121" i="21"/>
  <c r="GL122" i="21" s="1"/>
  <c r="GL141" i="21" s="1"/>
  <c r="GL105" i="21"/>
  <c r="GL111" i="21" s="1"/>
  <c r="GM12" i="21"/>
  <c r="GM132" i="21" s="1"/>
  <c r="GM13" i="21"/>
  <c r="GM5" i="21" s="1"/>
  <c r="GM14" i="21"/>
  <c r="GM6" i="21" s="1"/>
  <c r="GJ12" i="10"/>
  <c r="GJ15" i="10" s="1"/>
  <c r="GJ13" i="10"/>
  <c r="GJ5" i="10" s="1"/>
  <c r="GJ14" i="10"/>
  <c r="GJ6" i="10" s="1"/>
  <c r="GL138" i="21" l="1"/>
  <c r="GL48" i="21"/>
  <c r="GK172" i="21"/>
  <c r="GK173" i="21" s="1"/>
  <c r="GK179" i="21" s="1"/>
  <c r="GL157" i="21"/>
  <c r="GL158" i="21"/>
  <c r="GL165" i="21" s="1"/>
  <c r="GM149" i="21"/>
  <c r="GM162" i="21"/>
  <c r="GL113" i="21"/>
  <c r="GL59" i="21" s="1"/>
  <c r="GL61" i="21" s="1"/>
  <c r="GL140" i="21"/>
  <c r="GL144" i="21" s="1"/>
  <c r="GL152" i="21" s="1"/>
  <c r="GL47" i="21"/>
  <c r="GK66" i="21"/>
  <c r="GL83" i="21"/>
  <c r="GL170" i="21" s="1"/>
  <c r="GL49" i="21"/>
  <c r="GL50" i="21" s="1"/>
  <c r="GL172" i="21" s="1"/>
  <c r="GM80" i="21"/>
  <c r="GM102" i="21"/>
  <c r="GM110" i="21" s="1"/>
  <c r="GM77" i="21"/>
  <c r="GM74" i="21"/>
  <c r="GM87" i="21" s="1"/>
  <c r="GM88" i="21" s="1"/>
  <c r="GM75" i="21"/>
  <c r="GM104" i="21"/>
  <c r="GL126" i="21" s="1"/>
  <c r="GL127" i="21" s="1"/>
  <c r="GM106" i="21"/>
  <c r="GM103" i="21"/>
  <c r="GM117" i="21" s="1"/>
  <c r="GM118" i="21" s="1"/>
  <c r="GM15" i="21"/>
  <c r="GN11" i="21"/>
  <c r="GM7" i="21"/>
  <c r="GJ7" i="10"/>
  <c r="GK11" i="10"/>
  <c r="GM109" i="21" l="1"/>
  <c r="GL171" i="21"/>
  <c r="GL173" i="21" s="1"/>
  <c r="GL179" i="21" s="1"/>
  <c r="GM48" i="21"/>
  <c r="GL55" i="21"/>
  <c r="GL58" i="21" s="1"/>
  <c r="GL66" i="21" s="1"/>
  <c r="GM125" i="21"/>
  <c r="GL96" i="21"/>
  <c r="GL97" i="21" s="1"/>
  <c r="GM95" i="21" s="1"/>
  <c r="GM82" i="21"/>
  <c r="GM76" i="21"/>
  <c r="GM81" i="21" s="1"/>
  <c r="GM137" i="21" s="1"/>
  <c r="GM91" i="21"/>
  <c r="GM92" i="21" s="1"/>
  <c r="GM112" i="21"/>
  <c r="GM121" i="21"/>
  <c r="GM122" i="21" s="1"/>
  <c r="GM141" i="21" s="1"/>
  <c r="GM105" i="21"/>
  <c r="GM111" i="21" s="1"/>
  <c r="GM140" i="21" s="1"/>
  <c r="GN13" i="21"/>
  <c r="GN5" i="21" s="1"/>
  <c r="GN12" i="21"/>
  <c r="GN132" i="21" s="1"/>
  <c r="GN14" i="21"/>
  <c r="GN6" i="21" s="1"/>
  <c r="GK12" i="10"/>
  <c r="GK15" i="10" s="1"/>
  <c r="GK13" i="10"/>
  <c r="GK5" i="10" s="1"/>
  <c r="GK14" i="10"/>
  <c r="GK6" i="10" s="1"/>
  <c r="GM138" i="21" l="1"/>
  <c r="GN149" i="21"/>
  <c r="GN162" i="21"/>
  <c r="GM157" i="21"/>
  <c r="GM142" i="21"/>
  <c r="GM139" i="21"/>
  <c r="GN75" i="21"/>
  <c r="GN82" i="21" s="1"/>
  <c r="GM47" i="21"/>
  <c r="GM49" i="21" s="1"/>
  <c r="GM50" i="21" s="1"/>
  <c r="GM172" i="21" s="1"/>
  <c r="GM113" i="21"/>
  <c r="GM83" i="21"/>
  <c r="GM170" i="21" s="1"/>
  <c r="GN102" i="21"/>
  <c r="GN110" i="21" s="1"/>
  <c r="GN77" i="21"/>
  <c r="GN74" i="21"/>
  <c r="GN87" i="21" s="1"/>
  <c r="GN88" i="21" s="1"/>
  <c r="GN106" i="21"/>
  <c r="GN103" i="21"/>
  <c r="GN117" i="21" s="1"/>
  <c r="GN118" i="21" s="1"/>
  <c r="GN104" i="21"/>
  <c r="GN15" i="21"/>
  <c r="GO11" i="21"/>
  <c r="GN7" i="21"/>
  <c r="GK7" i="10"/>
  <c r="GL11" i="10"/>
  <c r="GM96" i="21" l="1"/>
  <c r="GM97" i="21" s="1"/>
  <c r="GN95" i="21" s="1"/>
  <c r="GN109" i="21"/>
  <c r="GM171" i="21"/>
  <c r="GM173" i="21" s="1"/>
  <c r="GM179" i="21" s="1"/>
  <c r="GM158" i="21"/>
  <c r="GM165" i="21" s="1"/>
  <c r="GM144" i="21"/>
  <c r="GM152" i="21" s="1"/>
  <c r="GN48" i="21"/>
  <c r="GM55" i="21"/>
  <c r="GM58" i="21" s="1"/>
  <c r="GN80" i="21"/>
  <c r="GN91" i="21" s="1"/>
  <c r="GN92" i="21" s="1"/>
  <c r="GM59" i="21"/>
  <c r="GM61" i="21" s="1"/>
  <c r="GN76" i="21"/>
  <c r="GM126" i="21"/>
  <c r="GM127" i="21" s="1"/>
  <c r="GN125" i="21" s="1"/>
  <c r="GN112" i="21"/>
  <c r="GN121" i="21"/>
  <c r="GN122" i="21" s="1"/>
  <c r="GN141" i="21" s="1"/>
  <c r="GN105" i="21"/>
  <c r="GN111" i="21" s="1"/>
  <c r="GN140" i="21" s="1"/>
  <c r="GO13" i="21"/>
  <c r="GO5" i="21" s="1"/>
  <c r="GO14" i="21"/>
  <c r="GO6" i="21" s="1"/>
  <c r="GO12" i="21"/>
  <c r="GO132" i="21" s="1"/>
  <c r="GL12" i="10"/>
  <c r="GL15" i="10" s="1"/>
  <c r="GL13" i="10"/>
  <c r="GL5" i="10" s="1"/>
  <c r="GL14" i="10"/>
  <c r="GL6" i="10" s="1"/>
  <c r="GN138" i="21" l="1"/>
  <c r="GN157" i="21"/>
  <c r="GO149" i="21"/>
  <c r="GO162" i="21"/>
  <c r="GN142" i="21"/>
  <c r="GN139" i="21"/>
  <c r="GM66" i="21"/>
  <c r="GN113" i="21"/>
  <c r="GN81" i="21"/>
  <c r="GO77" i="21"/>
  <c r="GO74" i="21"/>
  <c r="GO87" i="21" s="1"/>
  <c r="GO88" i="21" s="1"/>
  <c r="GO104" i="21"/>
  <c r="GN126" i="21" s="1"/>
  <c r="GN127" i="21" s="1"/>
  <c r="GO75" i="21"/>
  <c r="GO102" i="21"/>
  <c r="GO110" i="21" s="1"/>
  <c r="GO106" i="21"/>
  <c r="GO103" i="21"/>
  <c r="GO117" i="21" s="1"/>
  <c r="GO118" i="21" s="1"/>
  <c r="GO15" i="21"/>
  <c r="GP11" i="21"/>
  <c r="GO7" i="21"/>
  <c r="GL7" i="10"/>
  <c r="GM11" i="10"/>
  <c r="GO109" i="21" l="1"/>
  <c r="GN171" i="21"/>
  <c r="GN158" i="21"/>
  <c r="GN165" i="21" s="1"/>
  <c r="GN47" i="21"/>
  <c r="GN137" i="21"/>
  <c r="GN83" i="21"/>
  <c r="GN170" i="21" s="1"/>
  <c r="GN49" i="21"/>
  <c r="GN50" i="21" s="1"/>
  <c r="GN172" i="21" s="1"/>
  <c r="GO80" i="21"/>
  <c r="GO91" i="21" s="1"/>
  <c r="GO92" i="21" s="1"/>
  <c r="GO125" i="21"/>
  <c r="GO112" i="21"/>
  <c r="GO82" i="21"/>
  <c r="GN96" i="21"/>
  <c r="GN97" i="21" s="1"/>
  <c r="GO95" i="21" s="1"/>
  <c r="GO76" i="21"/>
  <c r="GO81" i="21" s="1"/>
  <c r="GO137" i="21" s="1"/>
  <c r="GO121" i="21"/>
  <c r="GO122" i="21" s="1"/>
  <c r="GO141" i="21" s="1"/>
  <c r="GO105" i="21"/>
  <c r="GO111" i="21" s="1"/>
  <c r="GO140" i="21" s="1"/>
  <c r="GP12" i="21"/>
  <c r="GP132" i="21" s="1"/>
  <c r="GP14" i="21"/>
  <c r="GP6" i="21" s="1"/>
  <c r="GP13" i="21"/>
  <c r="GP5" i="21" s="1"/>
  <c r="GM12" i="10"/>
  <c r="GM15" i="10" s="1"/>
  <c r="GM13" i="10"/>
  <c r="GM5" i="10" s="1"/>
  <c r="GM14" i="10"/>
  <c r="GM6" i="10" s="1"/>
  <c r="GN173" i="21" l="1"/>
  <c r="GN179" i="21" s="1"/>
  <c r="GN59" i="21"/>
  <c r="GN61" i="21" s="1"/>
  <c r="GO138" i="21"/>
  <c r="GO157" i="21"/>
  <c r="GP149" i="21"/>
  <c r="GP162" i="21"/>
  <c r="GO158" i="21"/>
  <c r="GO165" i="21" s="1"/>
  <c r="GN144" i="21"/>
  <c r="GN152" i="21" s="1"/>
  <c r="GO142" i="21"/>
  <c r="GO139" i="21"/>
  <c r="GO47" i="21"/>
  <c r="GO48" i="21"/>
  <c r="GN55" i="21"/>
  <c r="GN58" i="21" s="1"/>
  <c r="GN66" i="21" s="1"/>
  <c r="GO49" i="21"/>
  <c r="GO113" i="21"/>
  <c r="GO83" i="21"/>
  <c r="GO170" i="21" s="1"/>
  <c r="GP104" i="21"/>
  <c r="GP112" i="21" s="1"/>
  <c r="GP77" i="21"/>
  <c r="GP74" i="21"/>
  <c r="GP87" i="21" s="1"/>
  <c r="GP88" i="21" s="1"/>
  <c r="GP75" i="21"/>
  <c r="GP106" i="21"/>
  <c r="GP103" i="21"/>
  <c r="GP117" i="21" s="1"/>
  <c r="GP118" i="21" s="1"/>
  <c r="GP102" i="21"/>
  <c r="GP110" i="21" s="1"/>
  <c r="GP15" i="21"/>
  <c r="GQ11" i="21"/>
  <c r="GP7" i="21"/>
  <c r="GM7" i="10"/>
  <c r="GN11" i="10"/>
  <c r="GP109" i="21" l="1"/>
  <c r="GO171" i="21"/>
  <c r="GO144" i="21"/>
  <c r="GO152" i="21" s="1"/>
  <c r="GP139" i="21"/>
  <c r="GP142" i="21"/>
  <c r="GO50" i="21"/>
  <c r="GO172" i="21" s="1"/>
  <c r="GO126" i="21"/>
  <c r="GO127" i="21" s="1"/>
  <c r="GP125" i="21" s="1"/>
  <c r="GP80" i="21"/>
  <c r="GP91" i="21" s="1"/>
  <c r="GP92" i="21" s="1"/>
  <c r="GO59" i="21"/>
  <c r="GO61" i="21" s="1"/>
  <c r="GO96" i="21"/>
  <c r="GO97" i="21" s="1"/>
  <c r="GP95" i="21" s="1"/>
  <c r="GP82" i="21"/>
  <c r="GP76" i="21"/>
  <c r="GP81" i="21" s="1"/>
  <c r="GP137" i="21" s="1"/>
  <c r="GP105" i="21"/>
  <c r="GP111" i="21" s="1"/>
  <c r="GP121" i="21"/>
  <c r="GP122" i="21" s="1"/>
  <c r="GP141" i="21" s="1"/>
  <c r="GQ13" i="21"/>
  <c r="GQ5" i="21" s="1"/>
  <c r="GQ14" i="21"/>
  <c r="GQ6" i="21" s="1"/>
  <c r="GQ12" i="21"/>
  <c r="GQ132" i="21" s="1"/>
  <c r="GN12" i="10"/>
  <c r="GN15" i="10" s="1"/>
  <c r="GN14" i="10"/>
  <c r="GN6" i="10" s="1"/>
  <c r="GN13" i="10"/>
  <c r="GN5" i="10" s="1"/>
  <c r="GO173" i="21" l="1"/>
  <c r="GO179" i="21" s="1"/>
  <c r="GP138" i="21"/>
  <c r="GQ149" i="21"/>
  <c r="GQ162" i="21"/>
  <c r="GP157" i="21"/>
  <c r="GP113" i="21"/>
  <c r="GP140" i="21"/>
  <c r="GP144" i="21" s="1"/>
  <c r="GP152" i="21" s="1"/>
  <c r="GP47" i="21"/>
  <c r="GP49" i="21" s="1"/>
  <c r="GP48" i="21"/>
  <c r="GO55" i="21"/>
  <c r="GO58" i="21" s="1"/>
  <c r="GO66" i="21" s="1"/>
  <c r="GP83" i="21"/>
  <c r="GP170" i="21" s="1"/>
  <c r="GQ77" i="21"/>
  <c r="GQ74" i="21"/>
  <c r="GQ87" i="21" s="1"/>
  <c r="GQ88" i="21" s="1"/>
  <c r="GQ75" i="21"/>
  <c r="GQ106" i="21"/>
  <c r="GQ103" i="21"/>
  <c r="GQ117" i="21" s="1"/>
  <c r="GQ118" i="21" s="1"/>
  <c r="GQ104" i="21"/>
  <c r="GQ102" i="21"/>
  <c r="GQ110" i="21" s="1"/>
  <c r="GR11" i="21"/>
  <c r="GQ15" i="21"/>
  <c r="GQ7" i="21"/>
  <c r="GO11" i="10"/>
  <c r="GN7" i="10"/>
  <c r="GQ109" i="21" l="1"/>
  <c r="GP171" i="21"/>
  <c r="GP158" i="21"/>
  <c r="GP165" i="21" s="1"/>
  <c r="GP50" i="21"/>
  <c r="GP172" i="21" s="1"/>
  <c r="GQ80" i="21"/>
  <c r="GQ91" i="21" s="1"/>
  <c r="GQ92" i="21" s="1"/>
  <c r="GP59" i="21"/>
  <c r="GP61" i="21" s="1"/>
  <c r="GP96" i="21"/>
  <c r="GP97" i="21" s="1"/>
  <c r="GQ95" i="21" s="1"/>
  <c r="GQ82" i="21"/>
  <c r="GQ76" i="21"/>
  <c r="GQ81" i="21" s="1"/>
  <c r="GQ137" i="21" s="1"/>
  <c r="GQ112" i="21"/>
  <c r="GP126" i="21"/>
  <c r="GP127" i="21" s="1"/>
  <c r="GQ125" i="21" s="1"/>
  <c r="GQ121" i="21"/>
  <c r="GQ122" i="21" s="1"/>
  <c r="GQ141" i="21" s="1"/>
  <c r="GQ105" i="21"/>
  <c r="GQ111" i="21" s="1"/>
  <c r="GQ140" i="21" s="1"/>
  <c r="GR14" i="21"/>
  <c r="GR6" i="21" s="1"/>
  <c r="GR12" i="21"/>
  <c r="GR132" i="21" s="1"/>
  <c r="GR13" i="21"/>
  <c r="GR5" i="21" s="1"/>
  <c r="GO13" i="10"/>
  <c r="GO5" i="10" s="1"/>
  <c r="GO14" i="10"/>
  <c r="GO6" i="10" s="1"/>
  <c r="GO12" i="10"/>
  <c r="GO15" i="10" s="1"/>
  <c r="GP173" i="21" l="1"/>
  <c r="GP179" i="21" s="1"/>
  <c r="GQ138" i="21"/>
  <c r="GQ157" i="21" s="1"/>
  <c r="GQ158" i="21" s="1"/>
  <c r="GQ165" i="21" s="1"/>
  <c r="GR149" i="21"/>
  <c r="GR162" i="21"/>
  <c r="GQ142" i="21"/>
  <c r="GQ139" i="21"/>
  <c r="GQ47" i="21"/>
  <c r="GQ49" i="21" s="1"/>
  <c r="GQ48" i="21"/>
  <c r="GP55" i="21"/>
  <c r="GP58" i="21" s="1"/>
  <c r="GP66" i="21" s="1"/>
  <c r="GQ113" i="21"/>
  <c r="GQ83" i="21"/>
  <c r="GQ170" i="21" s="1"/>
  <c r="GR77" i="21"/>
  <c r="GR74" i="21"/>
  <c r="GR87" i="21" s="1"/>
  <c r="GR88" i="21" s="1"/>
  <c r="GR75" i="21"/>
  <c r="GR103" i="21"/>
  <c r="GR117" i="21" s="1"/>
  <c r="GR118" i="21" s="1"/>
  <c r="GR106" i="21"/>
  <c r="GR104" i="21"/>
  <c r="GR102" i="21"/>
  <c r="GR110" i="21" s="1"/>
  <c r="GR7" i="21"/>
  <c r="GR15" i="21"/>
  <c r="GS11" i="21"/>
  <c r="GP11" i="10"/>
  <c r="GO7" i="10"/>
  <c r="GR109" i="21" l="1"/>
  <c r="GQ171" i="21"/>
  <c r="GQ144" i="21"/>
  <c r="GQ152" i="21" s="1"/>
  <c r="GQ50" i="21"/>
  <c r="GQ172" i="21" s="1"/>
  <c r="GR80" i="21"/>
  <c r="GR91" i="21" s="1"/>
  <c r="GR92" i="21" s="1"/>
  <c r="GQ59" i="21"/>
  <c r="GQ61" i="21" s="1"/>
  <c r="GQ96" i="21"/>
  <c r="GQ97" i="21" s="1"/>
  <c r="GR95" i="21" s="1"/>
  <c r="GR82" i="21"/>
  <c r="GR76" i="21"/>
  <c r="GR81" i="21" s="1"/>
  <c r="GR137" i="21" s="1"/>
  <c r="GR112" i="21"/>
  <c r="GQ126" i="21"/>
  <c r="GQ127" i="21" s="1"/>
  <c r="GR125" i="21" s="1"/>
  <c r="GR121" i="21"/>
  <c r="GR122" i="21" s="1"/>
  <c r="GR141" i="21" s="1"/>
  <c r="GR105" i="21"/>
  <c r="GR111" i="21" s="1"/>
  <c r="GR140" i="21" s="1"/>
  <c r="GS13" i="21"/>
  <c r="GS5" i="21" s="1"/>
  <c r="GS14" i="21"/>
  <c r="GS6" i="21" s="1"/>
  <c r="GS12" i="21"/>
  <c r="GS132" i="21" s="1"/>
  <c r="GP13" i="10"/>
  <c r="GP5" i="10" s="1"/>
  <c r="GP14" i="10"/>
  <c r="GP6" i="10" s="1"/>
  <c r="GP12" i="10"/>
  <c r="GP15" i="10" s="1"/>
  <c r="GQ173" i="21" l="1"/>
  <c r="GQ179" i="21" s="1"/>
  <c r="GR138" i="21"/>
  <c r="GS149" i="21"/>
  <c r="GS162" i="21"/>
  <c r="GR157" i="21"/>
  <c r="GR139" i="21"/>
  <c r="GR142" i="21"/>
  <c r="GR144" i="21" s="1"/>
  <c r="GR152" i="21" s="1"/>
  <c r="GR47" i="21"/>
  <c r="GR49" i="21" s="1"/>
  <c r="GQ55" i="21"/>
  <c r="GQ58" i="21" s="1"/>
  <c r="GQ66" i="21" s="1"/>
  <c r="GR48" i="21"/>
  <c r="GR113" i="21"/>
  <c r="GR83" i="21"/>
  <c r="GR170" i="21" s="1"/>
  <c r="GS102" i="21"/>
  <c r="GS110" i="21" s="1"/>
  <c r="GS77" i="21"/>
  <c r="GS74" i="21"/>
  <c r="GS87" i="21" s="1"/>
  <c r="GS88" i="21" s="1"/>
  <c r="GS75" i="21"/>
  <c r="GS104" i="21"/>
  <c r="GR126" i="21" s="1"/>
  <c r="GR127" i="21" s="1"/>
  <c r="GS106" i="21"/>
  <c r="GS103" i="21"/>
  <c r="GS117" i="21" s="1"/>
  <c r="GS118" i="21" s="1"/>
  <c r="GT11" i="21"/>
  <c r="GS7" i="21"/>
  <c r="GS15" i="21"/>
  <c r="GQ11" i="10"/>
  <c r="GP7" i="10"/>
  <c r="GR50" i="21" l="1"/>
  <c r="GR172" i="21" s="1"/>
  <c r="GS109" i="21"/>
  <c r="GR171" i="21"/>
  <c r="GR173" i="21" s="1"/>
  <c r="GR179" i="21" s="1"/>
  <c r="GR158" i="21"/>
  <c r="GR165" i="21" s="1"/>
  <c r="GS125" i="21"/>
  <c r="GS48" i="21"/>
  <c r="GR55" i="21"/>
  <c r="GR58" i="21" s="1"/>
  <c r="GS80" i="21"/>
  <c r="GS91" i="21" s="1"/>
  <c r="GS92" i="21" s="1"/>
  <c r="GR59" i="21"/>
  <c r="GR61" i="21" s="1"/>
  <c r="GS112" i="21"/>
  <c r="GR96" i="21"/>
  <c r="GR97" i="21" s="1"/>
  <c r="GS95" i="21" s="1"/>
  <c r="GS82" i="21"/>
  <c r="GS76" i="21"/>
  <c r="GS81" i="21" s="1"/>
  <c r="GS137" i="21" s="1"/>
  <c r="GS121" i="21"/>
  <c r="GS122" i="21" s="1"/>
  <c r="GS141" i="21" s="1"/>
  <c r="GS105" i="21"/>
  <c r="GS111" i="21" s="1"/>
  <c r="GS140" i="21" s="1"/>
  <c r="GT14" i="21"/>
  <c r="GT6" i="21" s="1"/>
  <c r="GT13" i="21"/>
  <c r="GT5" i="21" s="1"/>
  <c r="GT12" i="21"/>
  <c r="GT132" i="21" s="1"/>
  <c r="GQ13" i="10"/>
  <c r="GQ5" i="10" s="1"/>
  <c r="GQ14" i="10"/>
  <c r="GQ6" i="10" s="1"/>
  <c r="GQ12" i="10"/>
  <c r="GQ15" i="10" s="1"/>
  <c r="GS138" i="21" l="1"/>
  <c r="GS157" i="21"/>
  <c r="GT149" i="21"/>
  <c r="GT162" i="21"/>
  <c r="GS139" i="21"/>
  <c r="GS142" i="21"/>
  <c r="GS144" i="21" s="1"/>
  <c r="GS152" i="21" s="1"/>
  <c r="GT75" i="21"/>
  <c r="GT82" i="21" s="1"/>
  <c r="GR66" i="21"/>
  <c r="GS47" i="21"/>
  <c r="GS49" i="21"/>
  <c r="GS50" i="21"/>
  <c r="GS172" i="21" s="1"/>
  <c r="GS113" i="21"/>
  <c r="GS83" i="21"/>
  <c r="GS170" i="21" s="1"/>
  <c r="GT77" i="21"/>
  <c r="GT74" i="21"/>
  <c r="GT87" i="21" s="1"/>
  <c r="GT88" i="21" s="1"/>
  <c r="GT103" i="21"/>
  <c r="GT117" i="21" s="1"/>
  <c r="GT118" i="21" s="1"/>
  <c r="GT106" i="21"/>
  <c r="GT102" i="21"/>
  <c r="GT110" i="21" s="1"/>
  <c r="GT104" i="21"/>
  <c r="GU11" i="21"/>
  <c r="GT15" i="21"/>
  <c r="GT7" i="21"/>
  <c r="GR11" i="10"/>
  <c r="GQ7" i="10"/>
  <c r="GT109" i="21" l="1"/>
  <c r="GS171" i="21"/>
  <c r="GS173" i="21" s="1"/>
  <c r="GS179" i="21" s="1"/>
  <c r="GS158" i="21"/>
  <c r="GS165" i="21" s="1"/>
  <c r="GS96" i="21"/>
  <c r="GS97" i="21" s="1"/>
  <c r="GT95" i="21" s="1"/>
  <c r="GT48" i="21"/>
  <c r="GS55" i="21"/>
  <c r="GS58" i="21" s="1"/>
  <c r="GT80" i="21"/>
  <c r="GT91" i="21" s="1"/>
  <c r="GT92" i="21" s="1"/>
  <c r="GS59" i="21"/>
  <c r="GS61" i="21" s="1"/>
  <c r="GT76" i="21"/>
  <c r="GS126" i="21"/>
  <c r="GS127" i="21" s="1"/>
  <c r="GT125" i="21" s="1"/>
  <c r="GT112" i="21"/>
  <c r="GT105" i="21"/>
  <c r="GT111" i="21" s="1"/>
  <c r="GT140" i="21" s="1"/>
  <c r="GT121" i="21"/>
  <c r="GT122" i="21" s="1"/>
  <c r="GT141" i="21" s="1"/>
  <c r="GU14" i="21"/>
  <c r="GU6" i="21" s="1"/>
  <c r="GU12" i="21"/>
  <c r="GU132" i="21" s="1"/>
  <c r="GU13" i="21"/>
  <c r="GU5" i="21" s="1"/>
  <c r="GR13" i="10"/>
  <c r="GR5" i="10" s="1"/>
  <c r="GR14" i="10"/>
  <c r="GR6" i="10" s="1"/>
  <c r="GR12" i="10"/>
  <c r="GR15" i="10" s="1"/>
  <c r="GT138" i="21" l="1"/>
  <c r="GU149" i="21"/>
  <c r="GU162" i="21"/>
  <c r="GT157" i="21"/>
  <c r="GT142" i="21"/>
  <c r="GT139" i="21"/>
  <c r="GS66" i="21"/>
  <c r="GT113" i="21"/>
  <c r="GT81" i="21"/>
  <c r="GU102" i="21"/>
  <c r="GU110" i="21" s="1"/>
  <c r="GU77" i="21"/>
  <c r="GU74" i="21"/>
  <c r="GU87" i="21" s="1"/>
  <c r="GU88" i="21" s="1"/>
  <c r="GU75" i="21"/>
  <c r="GU104" i="21"/>
  <c r="GU112" i="21" s="1"/>
  <c r="GU106" i="21"/>
  <c r="GU103" i="21"/>
  <c r="GU117" i="21" s="1"/>
  <c r="GU118" i="21" s="1"/>
  <c r="GU15" i="21"/>
  <c r="GV11" i="21"/>
  <c r="GU7" i="21"/>
  <c r="GS11" i="10"/>
  <c r="GR7" i="10"/>
  <c r="GU109" i="21" l="1"/>
  <c r="GT171" i="21"/>
  <c r="GT158" i="21"/>
  <c r="GT165" i="21" s="1"/>
  <c r="GU139" i="21"/>
  <c r="GU142" i="21"/>
  <c r="GT47" i="21"/>
  <c r="GT49" i="21" s="1"/>
  <c r="GT50" i="21" s="1"/>
  <c r="GT172" i="21" s="1"/>
  <c r="GT137" i="21"/>
  <c r="GT83" i="21"/>
  <c r="GT126" i="21"/>
  <c r="GT127" i="21" s="1"/>
  <c r="GU125" i="21" s="1"/>
  <c r="GT96" i="21"/>
  <c r="GT97" i="21" s="1"/>
  <c r="GU95" i="21" s="1"/>
  <c r="GU82" i="21"/>
  <c r="GU76" i="21"/>
  <c r="GU81" i="21" s="1"/>
  <c r="GU137" i="21" s="1"/>
  <c r="GU121" i="21"/>
  <c r="GU122" i="21" s="1"/>
  <c r="GU141" i="21" s="1"/>
  <c r="GU105" i="21"/>
  <c r="GU111" i="21" s="1"/>
  <c r="GV12" i="21"/>
  <c r="GV132" i="21" s="1"/>
  <c r="GV14" i="21"/>
  <c r="GV6" i="21" s="1"/>
  <c r="GV13" i="21"/>
  <c r="GV5" i="21" s="1"/>
  <c r="GS12" i="10"/>
  <c r="GS15" i="10" s="1"/>
  <c r="GS14" i="10"/>
  <c r="GS6" i="10" s="1"/>
  <c r="GS13" i="10"/>
  <c r="GS5" i="10" s="1"/>
  <c r="GU80" i="21" l="1"/>
  <c r="GU91" i="21" s="1"/>
  <c r="GU92" i="21" s="1"/>
  <c r="GT170" i="21"/>
  <c r="GT173" i="21" s="1"/>
  <c r="GT179" i="21" s="1"/>
  <c r="GV149" i="21"/>
  <c r="GV162" i="21"/>
  <c r="GT144" i="21"/>
  <c r="GT152" i="21" s="1"/>
  <c r="GU113" i="21"/>
  <c r="GU140" i="21"/>
  <c r="GU47" i="21"/>
  <c r="GT59" i="21"/>
  <c r="GT61" i="21" s="1"/>
  <c r="GU48" i="21"/>
  <c r="GT55" i="21"/>
  <c r="GT58" i="21" s="1"/>
  <c r="GU83" i="21"/>
  <c r="GU170" i="21" s="1"/>
  <c r="GV104" i="21"/>
  <c r="GV112" i="21" s="1"/>
  <c r="GV77" i="21"/>
  <c r="GV74" i="21"/>
  <c r="GV87" i="21" s="1"/>
  <c r="GV88" i="21" s="1"/>
  <c r="GV75" i="21"/>
  <c r="GV102" i="21"/>
  <c r="GV110" i="21" s="1"/>
  <c r="GV103" i="21"/>
  <c r="GV117" i="21" s="1"/>
  <c r="GV118" i="21" s="1"/>
  <c r="GV106" i="21"/>
  <c r="GV15" i="21"/>
  <c r="GV7" i="21"/>
  <c r="GW11" i="21"/>
  <c r="GT11" i="10"/>
  <c r="GS7" i="10"/>
  <c r="GT66" i="21" l="1"/>
  <c r="GU138" i="21"/>
  <c r="GU157" i="21" s="1"/>
  <c r="GU158" i="21" s="1"/>
  <c r="GU165" i="21" s="1"/>
  <c r="GV109" i="21"/>
  <c r="GU171" i="21"/>
  <c r="GU49" i="21"/>
  <c r="GU50" i="21"/>
  <c r="GU172" i="21" s="1"/>
  <c r="GV139" i="21"/>
  <c r="GV142" i="21"/>
  <c r="GV80" i="21"/>
  <c r="GV91" i="21" s="1"/>
  <c r="GV92" i="21" s="1"/>
  <c r="GU59" i="21"/>
  <c r="GU61" i="21" s="1"/>
  <c r="GU126" i="21"/>
  <c r="GU127" i="21" s="1"/>
  <c r="GV125" i="21" s="1"/>
  <c r="GU96" i="21"/>
  <c r="GU97" i="21" s="1"/>
  <c r="GV95" i="21" s="1"/>
  <c r="GV82" i="21"/>
  <c r="GV76" i="21"/>
  <c r="GV81" i="21" s="1"/>
  <c r="GV137" i="21" s="1"/>
  <c r="GV105" i="21"/>
  <c r="GV111" i="21" s="1"/>
  <c r="GV121" i="21"/>
  <c r="GV122" i="21" s="1"/>
  <c r="GV141" i="21" s="1"/>
  <c r="GW14" i="21"/>
  <c r="GW6" i="21" s="1"/>
  <c r="GW13" i="21"/>
  <c r="GW5" i="21" s="1"/>
  <c r="GW12" i="21"/>
  <c r="GW132" i="21" s="1"/>
  <c r="GT14" i="10"/>
  <c r="GT6" i="10" s="1"/>
  <c r="GT13" i="10"/>
  <c r="GT5" i="10" s="1"/>
  <c r="GT12" i="10"/>
  <c r="GT15" i="10" s="1"/>
  <c r="GU173" i="21" l="1"/>
  <c r="GU179" i="21" s="1"/>
  <c r="GU55" i="21"/>
  <c r="GU58" i="21" s="1"/>
  <c r="GV48" i="21"/>
  <c r="GV138" i="21"/>
  <c r="GU144" i="21"/>
  <c r="GU152" i="21" s="1"/>
  <c r="GV157" i="21"/>
  <c r="GW149" i="21"/>
  <c r="GW162" i="21"/>
  <c r="GV113" i="21"/>
  <c r="GV140" i="21"/>
  <c r="GU66" i="21"/>
  <c r="GV47" i="21"/>
  <c r="GV49" i="21" s="1"/>
  <c r="GV50" i="21" s="1"/>
  <c r="GV172" i="21" s="1"/>
  <c r="GV83" i="21"/>
  <c r="GV170" i="21" s="1"/>
  <c r="GW102" i="21"/>
  <c r="GW110" i="21" s="1"/>
  <c r="GW77" i="21"/>
  <c r="GW74" i="21"/>
  <c r="GW87" i="21" s="1"/>
  <c r="GW88" i="21" s="1"/>
  <c r="GW75" i="21"/>
  <c r="GW104" i="21"/>
  <c r="GW106" i="21"/>
  <c r="GW103" i="21"/>
  <c r="GW117" i="21" s="1"/>
  <c r="GW118" i="21" s="1"/>
  <c r="GW15" i="21"/>
  <c r="GX11" i="21"/>
  <c r="GW7" i="21"/>
  <c r="GU11" i="10"/>
  <c r="GT7" i="10"/>
  <c r="GV144" i="21" l="1"/>
  <c r="GV152" i="21" s="1"/>
  <c r="GW109" i="21"/>
  <c r="GV171" i="21"/>
  <c r="GV173" i="21" s="1"/>
  <c r="GV179" i="21" s="1"/>
  <c r="GV158" i="21"/>
  <c r="GV165" i="21" s="1"/>
  <c r="GW48" i="21"/>
  <c r="GV55" i="21"/>
  <c r="GV58" i="21" s="1"/>
  <c r="GW80" i="21"/>
  <c r="GW91" i="21" s="1"/>
  <c r="GW92" i="21" s="1"/>
  <c r="GV59" i="21"/>
  <c r="GV61" i="21" s="1"/>
  <c r="GV96" i="21"/>
  <c r="GV97" i="21" s="1"/>
  <c r="GW95" i="21" s="1"/>
  <c r="GW82" i="21"/>
  <c r="GW76" i="21"/>
  <c r="GW81" i="21" s="1"/>
  <c r="GW137" i="21" s="1"/>
  <c r="GW105" i="21"/>
  <c r="GW111" i="21" s="1"/>
  <c r="GW140" i="21" s="1"/>
  <c r="GW121" i="21"/>
  <c r="GW122" i="21" s="1"/>
  <c r="GW141" i="21" s="1"/>
  <c r="GV126" i="21"/>
  <c r="GV127" i="21" s="1"/>
  <c r="GW125" i="21" s="1"/>
  <c r="GW112" i="21"/>
  <c r="GX12" i="21"/>
  <c r="GX132" i="21" s="1"/>
  <c r="GX14" i="21"/>
  <c r="GX6" i="21" s="1"/>
  <c r="GX13" i="21"/>
  <c r="GX5" i="21" s="1"/>
  <c r="GU14" i="10"/>
  <c r="GU6" i="10" s="1"/>
  <c r="GU13" i="10"/>
  <c r="GU5" i="10" s="1"/>
  <c r="GU12" i="10"/>
  <c r="GU15" i="10" s="1"/>
  <c r="GW138" i="21" l="1"/>
  <c r="GW157" i="21"/>
  <c r="GW158" i="21"/>
  <c r="GW165" i="21" s="1"/>
  <c r="GX149" i="21"/>
  <c r="GX162" i="21"/>
  <c r="GW142" i="21"/>
  <c r="GW139" i="21"/>
  <c r="GX75" i="21"/>
  <c r="GX82" i="21" s="1"/>
  <c r="GW47" i="21"/>
  <c r="GV66" i="21"/>
  <c r="GW49" i="21"/>
  <c r="GW50" i="21" s="1"/>
  <c r="GW172" i="21" s="1"/>
  <c r="GW113" i="21"/>
  <c r="GW83" i="21"/>
  <c r="GW170" i="21" s="1"/>
  <c r="GX77" i="21"/>
  <c r="GX74" i="21"/>
  <c r="GX87" i="21" s="1"/>
  <c r="GX88" i="21" s="1"/>
  <c r="GX106" i="21"/>
  <c r="GX103" i="21"/>
  <c r="GX117" i="21" s="1"/>
  <c r="GX118" i="21" s="1"/>
  <c r="GX104" i="21"/>
  <c r="GX102" i="21"/>
  <c r="GX110" i="21" s="1"/>
  <c r="GY11" i="21"/>
  <c r="GX15" i="21"/>
  <c r="GX7" i="21"/>
  <c r="GV11" i="10"/>
  <c r="GU7" i="10"/>
  <c r="GX109" i="21" l="1"/>
  <c r="GW171" i="21"/>
  <c r="GW173" i="21" s="1"/>
  <c r="GW179" i="21" s="1"/>
  <c r="GW96" i="21"/>
  <c r="GW97" i="21" s="1"/>
  <c r="GX95" i="21" s="1"/>
  <c r="GW144" i="21"/>
  <c r="GW152" i="21" s="1"/>
  <c r="GX48" i="21"/>
  <c r="GW55" i="21"/>
  <c r="GW58" i="21" s="1"/>
  <c r="GX80" i="21"/>
  <c r="GX91" i="21" s="1"/>
  <c r="GX92" i="21" s="1"/>
  <c r="GW59" i="21"/>
  <c r="GW61" i="21" s="1"/>
  <c r="GX76" i="21"/>
  <c r="GW126" i="21"/>
  <c r="GW127" i="21" s="1"/>
  <c r="GX125" i="21" s="1"/>
  <c r="GX112" i="21"/>
  <c r="GX121" i="21"/>
  <c r="GX122" i="21" s="1"/>
  <c r="GX141" i="21" s="1"/>
  <c r="GX105" i="21"/>
  <c r="GX111" i="21" s="1"/>
  <c r="GX140" i="21" s="1"/>
  <c r="GY14" i="21"/>
  <c r="GY6" i="21" s="1"/>
  <c r="GY12" i="21"/>
  <c r="GY132" i="21" s="1"/>
  <c r="GY13" i="21"/>
  <c r="GY5" i="21" s="1"/>
  <c r="GV14" i="10"/>
  <c r="GV6" i="10" s="1"/>
  <c r="GV12" i="10"/>
  <c r="GV15" i="10" s="1"/>
  <c r="GV13" i="10"/>
  <c r="GV5" i="10" s="1"/>
  <c r="GX138" i="21" l="1"/>
  <c r="GY149" i="21"/>
  <c r="GY162" i="21"/>
  <c r="GX157" i="21"/>
  <c r="GX142" i="21"/>
  <c r="GX139" i="21"/>
  <c r="GW66" i="21"/>
  <c r="GX113" i="21"/>
  <c r="GX81" i="21"/>
  <c r="GY77" i="21"/>
  <c r="GY74" i="21"/>
  <c r="GY87" i="21" s="1"/>
  <c r="GY88" i="21" s="1"/>
  <c r="GY75" i="21"/>
  <c r="GY106" i="21"/>
  <c r="GY103" i="21"/>
  <c r="GY117" i="21" s="1"/>
  <c r="GY118" i="21" s="1"/>
  <c r="GY104" i="21"/>
  <c r="GY102" i="21"/>
  <c r="GY110" i="21" s="1"/>
  <c r="GY15" i="21"/>
  <c r="GZ11" i="21"/>
  <c r="GY7" i="21"/>
  <c r="GW11" i="10"/>
  <c r="GV7" i="10"/>
  <c r="GY109" i="21" l="1"/>
  <c r="GX171" i="21"/>
  <c r="GX158" i="21"/>
  <c r="GX165" i="21" s="1"/>
  <c r="GX47" i="21"/>
  <c r="GX137" i="21"/>
  <c r="GX83" i="21"/>
  <c r="GX170" i="21" s="1"/>
  <c r="GX49" i="21"/>
  <c r="GX50" i="21" s="1"/>
  <c r="GX172" i="21" s="1"/>
  <c r="GY80" i="21"/>
  <c r="GY91" i="21" s="1"/>
  <c r="GY92" i="21" s="1"/>
  <c r="GX96" i="21"/>
  <c r="GX97" i="21" s="1"/>
  <c r="GY95" i="21" s="1"/>
  <c r="GY82" i="21"/>
  <c r="GY76" i="21"/>
  <c r="GY81" i="21" s="1"/>
  <c r="GY137" i="21" s="1"/>
  <c r="GX126" i="21"/>
  <c r="GX127" i="21" s="1"/>
  <c r="GY125" i="21" s="1"/>
  <c r="GY112" i="21"/>
  <c r="GY121" i="21"/>
  <c r="GY122" i="21" s="1"/>
  <c r="GY141" i="21" s="1"/>
  <c r="GY105" i="21"/>
  <c r="GY111" i="21" s="1"/>
  <c r="GY140" i="21" s="1"/>
  <c r="GZ14" i="21"/>
  <c r="GZ6" i="21" s="1"/>
  <c r="GZ13" i="21"/>
  <c r="GZ5" i="21" s="1"/>
  <c r="GZ12" i="21"/>
  <c r="GZ132" i="21" s="1"/>
  <c r="GW14" i="10"/>
  <c r="GW6" i="10" s="1"/>
  <c r="GW13" i="10"/>
  <c r="GW5" i="10" s="1"/>
  <c r="GW12" i="10"/>
  <c r="GW15" i="10" s="1"/>
  <c r="GX173" i="21" l="1"/>
  <c r="GX179" i="21" s="1"/>
  <c r="GX59" i="21"/>
  <c r="GX61" i="21" s="1"/>
  <c r="GY138" i="21"/>
  <c r="GY157" i="21" s="1"/>
  <c r="GY158" i="21" s="1"/>
  <c r="GY165" i="21" s="1"/>
  <c r="GZ149" i="21"/>
  <c r="GZ162" i="21"/>
  <c r="GX144" i="21"/>
  <c r="GX152" i="21" s="1"/>
  <c r="GY142" i="21"/>
  <c r="GY139" i="21"/>
  <c r="GY47" i="21"/>
  <c r="GY48" i="21"/>
  <c r="GX55" i="21"/>
  <c r="GX58" i="21" s="1"/>
  <c r="GX66" i="21" s="1"/>
  <c r="GY113" i="21"/>
  <c r="GY83" i="21"/>
  <c r="GY170" i="21" s="1"/>
  <c r="GZ77" i="21"/>
  <c r="GZ74" i="21"/>
  <c r="GZ87" i="21" s="1"/>
  <c r="GZ88" i="21" s="1"/>
  <c r="GZ75" i="21"/>
  <c r="GZ106" i="21"/>
  <c r="GZ103" i="21"/>
  <c r="GZ117" i="21" s="1"/>
  <c r="GZ118" i="21" s="1"/>
  <c r="GZ104" i="21"/>
  <c r="GZ102" i="21"/>
  <c r="GZ110" i="21" s="1"/>
  <c r="GZ15" i="21"/>
  <c r="GZ7" i="21"/>
  <c r="HA11" i="21"/>
  <c r="GX11" i="10"/>
  <c r="GW7" i="10"/>
  <c r="GZ109" i="21" l="1"/>
  <c r="GZ121" i="21" s="1"/>
  <c r="GZ122" i="21" s="1"/>
  <c r="GZ141" i="21" s="1"/>
  <c r="GY171" i="21"/>
  <c r="GY49" i="21"/>
  <c r="GY144" i="21"/>
  <c r="GY152" i="21" s="1"/>
  <c r="GY50" i="21"/>
  <c r="GY172" i="21" s="1"/>
  <c r="GY55" i="21"/>
  <c r="GY58" i="21" s="1"/>
  <c r="GZ48" i="21"/>
  <c r="GZ80" i="21"/>
  <c r="GZ91" i="21" s="1"/>
  <c r="GZ92" i="21" s="1"/>
  <c r="GY59" i="21"/>
  <c r="GY61" i="21" s="1"/>
  <c r="GY96" i="21"/>
  <c r="GY97" i="21" s="1"/>
  <c r="GZ95" i="21" s="1"/>
  <c r="GZ82" i="21"/>
  <c r="GZ76" i="21"/>
  <c r="GZ81" i="21" s="1"/>
  <c r="GZ137" i="21" s="1"/>
  <c r="GY126" i="21"/>
  <c r="GY127" i="21" s="1"/>
  <c r="GZ125" i="21" s="1"/>
  <c r="GZ112" i="21"/>
  <c r="GZ105" i="21"/>
  <c r="GZ111" i="21" s="1"/>
  <c r="GZ140" i="21" s="1"/>
  <c r="HA13" i="21"/>
  <c r="HA5" i="21" s="1"/>
  <c r="HA14" i="21"/>
  <c r="HA6" i="21" s="1"/>
  <c r="HA12" i="21"/>
  <c r="HA132" i="21" s="1"/>
  <c r="GX14" i="10"/>
  <c r="GX6" i="10" s="1"/>
  <c r="GX13" i="10"/>
  <c r="GX5" i="10" s="1"/>
  <c r="GX12" i="10"/>
  <c r="GX15" i="10" s="1"/>
  <c r="GY173" i="21" l="1"/>
  <c r="GY179" i="21" s="1"/>
  <c r="GZ138" i="21"/>
  <c r="GZ157" i="21"/>
  <c r="HA149" i="21"/>
  <c r="HA162" i="21"/>
  <c r="GZ142" i="21"/>
  <c r="GZ139" i="21"/>
  <c r="GY66" i="21"/>
  <c r="GZ47" i="21"/>
  <c r="GZ113" i="21"/>
  <c r="GZ83" i="21"/>
  <c r="GZ170" i="21" s="1"/>
  <c r="HA102" i="21"/>
  <c r="HA110" i="21" s="1"/>
  <c r="HA77" i="21"/>
  <c r="HA74" i="21"/>
  <c r="HA87" i="21" s="1"/>
  <c r="HA88" i="21" s="1"/>
  <c r="HA75" i="21"/>
  <c r="HA106" i="21"/>
  <c r="HA103" i="21"/>
  <c r="HA117" i="21" s="1"/>
  <c r="HA118" i="21" s="1"/>
  <c r="HA104" i="21"/>
  <c r="HA15" i="21"/>
  <c r="HA7" i="21"/>
  <c r="HB11" i="21"/>
  <c r="GY11" i="10"/>
  <c r="GX7" i="10"/>
  <c r="HA109" i="21" l="1"/>
  <c r="GZ171" i="21"/>
  <c r="GZ158" i="21"/>
  <c r="GZ165" i="21" s="1"/>
  <c r="GZ49" i="21"/>
  <c r="GZ50" i="21" s="1"/>
  <c r="GZ172" i="21" s="1"/>
  <c r="GZ144" i="21"/>
  <c r="GZ152" i="21" s="1"/>
  <c r="HA48" i="21"/>
  <c r="GZ55" i="21"/>
  <c r="GZ58" i="21" s="1"/>
  <c r="HA80" i="21"/>
  <c r="HA91" i="21" s="1"/>
  <c r="HA92" i="21" s="1"/>
  <c r="GZ59" i="21"/>
  <c r="GZ61" i="21" s="1"/>
  <c r="GZ96" i="21"/>
  <c r="GZ97" i="21" s="1"/>
  <c r="HA95" i="21" s="1"/>
  <c r="HA82" i="21"/>
  <c r="HA76" i="21"/>
  <c r="HA81" i="21" s="1"/>
  <c r="HA137" i="21" s="1"/>
  <c r="GZ126" i="21"/>
  <c r="GZ127" i="21" s="1"/>
  <c r="HA125" i="21" s="1"/>
  <c r="HA112" i="21"/>
  <c r="HA105" i="21"/>
  <c r="HA111" i="21" s="1"/>
  <c r="HA140" i="21" s="1"/>
  <c r="HA121" i="21"/>
  <c r="HA122" i="21" s="1"/>
  <c r="HA141" i="21" s="1"/>
  <c r="HB13" i="21"/>
  <c r="HB5" i="21" s="1"/>
  <c r="HB12" i="21"/>
  <c r="HB132" i="21" s="1"/>
  <c r="HB14" i="21"/>
  <c r="HB6" i="21" s="1"/>
  <c r="GY12" i="10"/>
  <c r="GY15" i="10" s="1"/>
  <c r="GY13" i="10"/>
  <c r="GY5" i="10" s="1"/>
  <c r="GY14" i="10"/>
  <c r="GY6" i="10" s="1"/>
  <c r="GZ173" i="21" l="1"/>
  <c r="GZ179" i="21" s="1"/>
  <c r="HA138" i="21"/>
  <c r="HA157" i="21"/>
  <c r="HA158" i="21"/>
  <c r="HA165" i="21" s="1"/>
  <c r="HB149" i="21"/>
  <c r="HB162" i="21"/>
  <c r="HA142" i="21"/>
  <c r="HA139" i="21"/>
  <c r="HA47" i="21"/>
  <c r="GZ66" i="21"/>
  <c r="HA113" i="21"/>
  <c r="HA83" i="21"/>
  <c r="HA170" i="21" s="1"/>
  <c r="HB77" i="21"/>
  <c r="HB74" i="21"/>
  <c r="HB87" i="21" s="1"/>
  <c r="HB88" i="21" s="1"/>
  <c r="HB75" i="21"/>
  <c r="HB106" i="21"/>
  <c r="HB103" i="21"/>
  <c r="HB117" i="21" s="1"/>
  <c r="HB118" i="21" s="1"/>
  <c r="HB104" i="21"/>
  <c r="HB102" i="21"/>
  <c r="HB110" i="21" s="1"/>
  <c r="HB15" i="21"/>
  <c r="HB7" i="21"/>
  <c r="HC11" i="21"/>
  <c r="GZ11" i="10"/>
  <c r="GY7" i="10"/>
  <c r="HB109" i="21" l="1"/>
  <c r="HA171" i="21"/>
  <c r="HA49" i="21"/>
  <c r="HA50" i="21" s="1"/>
  <c r="HA172" i="21" s="1"/>
  <c r="HA144" i="21"/>
  <c r="HA152" i="21" s="1"/>
  <c r="HB48" i="21"/>
  <c r="HA55" i="21"/>
  <c r="HA58" i="21" s="1"/>
  <c r="HB80" i="21"/>
  <c r="HB91" i="21" s="1"/>
  <c r="HB92" i="21" s="1"/>
  <c r="HA59" i="21"/>
  <c r="HA61" i="21" s="1"/>
  <c r="HA96" i="21"/>
  <c r="HA97" i="21" s="1"/>
  <c r="HB95" i="21" s="1"/>
  <c r="HB82" i="21"/>
  <c r="HB76" i="21"/>
  <c r="HB81" i="21" s="1"/>
  <c r="HB137" i="21" s="1"/>
  <c r="HB112" i="21"/>
  <c r="HA126" i="21"/>
  <c r="HA127" i="21" s="1"/>
  <c r="HB125" i="21" s="1"/>
  <c r="HB105" i="21"/>
  <c r="HB111" i="21" s="1"/>
  <c r="HB140" i="21" s="1"/>
  <c r="HB121" i="21"/>
  <c r="HB122" i="21" s="1"/>
  <c r="HB141" i="21" s="1"/>
  <c r="HC12" i="21"/>
  <c r="HC132" i="21" s="1"/>
  <c r="HC13" i="21"/>
  <c r="HC5" i="21" s="1"/>
  <c r="HC14" i="21"/>
  <c r="HC6" i="21" s="1"/>
  <c r="GZ12" i="10"/>
  <c r="GZ15" i="10" s="1"/>
  <c r="GZ13" i="10"/>
  <c r="GZ5" i="10" s="1"/>
  <c r="GZ14" i="10"/>
  <c r="GZ6" i="10" s="1"/>
  <c r="HA173" i="21" l="1"/>
  <c r="HA179" i="21" s="1"/>
  <c r="HB138" i="21"/>
  <c r="HB157" i="21"/>
  <c r="HC149" i="21"/>
  <c r="HC162" i="21"/>
  <c r="HB139" i="21"/>
  <c r="HB142" i="21"/>
  <c r="HB144" i="21" s="1"/>
  <c r="HB152" i="21" s="1"/>
  <c r="HC75" i="21"/>
  <c r="HB96" i="21" s="1"/>
  <c r="HB97" i="21" s="1"/>
  <c r="HC95" i="21" s="1"/>
  <c r="HB47" i="21"/>
  <c r="HA66" i="21"/>
  <c r="HB113" i="21"/>
  <c r="HB83" i="21"/>
  <c r="HB170" i="21" s="1"/>
  <c r="HC102" i="21"/>
  <c r="HC110" i="21" s="1"/>
  <c r="HC77" i="21"/>
  <c r="HC74" i="21"/>
  <c r="HC87" i="21" s="1"/>
  <c r="HC88" i="21" s="1"/>
  <c r="HC106" i="21"/>
  <c r="HC103" i="21"/>
  <c r="HC117" i="21" s="1"/>
  <c r="HC118" i="21" s="1"/>
  <c r="HC104" i="21"/>
  <c r="HC15" i="21"/>
  <c r="HC7" i="21"/>
  <c r="HD11" i="21"/>
  <c r="GZ7" i="10"/>
  <c r="HA11" i="10"/>
  <c r="HC82" i="21" l="1"/>
  <c r="HC109" i="21"/>
  <c r="HB171" i="21"/>
  <c r="HB158" i="21"/>
  <c r="HB165" i="21" s="1"/>
  <c r="HB49" i="21"/>
  <c r="HB50" i="21" s="1"/>
  <c r="HB172" i="21" s="1"/>
  <c r="HB55" i="21"/>
  <c r="HB58" i="21" s="1"/>
  <c r="HC80" i="21"/>
  <c r="HC91" i="21" s="1"/>
  <c r="HC92" i="21" s="1"/>
  <c r="HB59" i="21"/>
  <c r="HB61" i="21" s="1"/>
  <c r="HC76" i="21"/>
  <c r="HC121" i="21"/>
  <c r="HC122" i="21" s="1"/>
  <c r="HC141" i="21" s="1"/>
  <c r="HC105" i="21"/>
  <c r="HC111" i="21" s="1"/>
  <c r="HC140" i="21" s="1"/>
  <c r="HB126" i="21"/>
  <c r="HB127" i="21" s="1"/>
  <c r="HC125" i="21" s="1"/>
  <c r="HC112" i="21"/>
  <c r="HD13" i="21"/>
  <c r="HD5" i="21" s="1"/>
  <c r="HD14" i="21"/>
  <c r="HD6" i="21" s="1"/>
  <c r="HD12" i="21"/>
  <c r="HD132" i="21" s="1"/>
  <c r="HA12" i="10"/>
  <c r="HA15" i="10" s="1"/>
  <c r="HA13" i="10"/>
  <c r="HA5" i="10" s="1"/>
  <c r="HA14" i="10"/>
  <c r="HA6" i="10" s="1"/>
  <c r="HB173" i="21" l="1"/>
  <c r="HB179" i="21" s="1"/>
  <c r="HC138" i="21"/>
  <c r="HC48" i="21"/>
  <c r="HC157" i="21"/>
  <c r="HD149" i="21"/>
  <c r="HD162" i="21"/>
  <c r="HC158" i="21"/>
  <c r="HC165" i="21" s="1"/>
  <c r="HC139" i="21"/>
  <c r="HC142" i="21"/>
  <c r="HD75" i="21"/>
  <c r="HD82" i="21" s="1"/>
  <c r="HB66" i="21"/>
  <c r="HC113" i="21"/>
  <c r="HC81" i="21"/>
  <c r="HD77" i="21"/>
  <c r="HD74" i="21"/>
  <c r="HD87" i="21" s="1"/>
  <c r="HD88" i="21" s="1"/>
  <c r="HD103" i="21"/>
  <c r="HD117" i="21" s="1"/>
  <c r="HD118" i="21" s="1"/>
  <c r="HD106" i="21"/>
  <c r="HD102" i="21"/>
  <c r="HD110" i="21" s="1"/>
  <c r="HD104" i="21"/>
  <c r="HD15" i="21"/>
  <c r="HD7" i="21"/>
  <c r="HE11" i="21"/>
  <c r="HA7" i="10"/>
  <c r="HB11" i="10"/>
  <c r="HD109" i="21" l="1"/>
  <c r="HC171" i="21"/>
  <c r="HC96" i="21"/>
  <c r="HC97" i="21" s="1"/>
  <c r="HD95" i="21" s="1"/>
  <c r="HC47" i="21"/>
  <c r="HC137" i="21"/>
  <c r="HC83" i="21"/>
  <c r="HC170" i="21" s="1"/>
  <c r="HC49" i="21"/>
  <c r="HC50" i="21" s="1"/>
  <c r="HC172" i="21" s="1"/>
  <c r="HD80" i="21"/>
  <c r="HD91" i="21" s="1"/>
  <c r="HD92" i="21" s="1"/>
  <c r="HD76" i="21"/>
  <c r="HC126" i="21"/>
  <c r="HC127" i="21" s="1"/>
  <c r="HD125" i="21" s="1"/>
  <c r="HD112" i="21"/>
  <c r="HD121" i="21"/>
  <c r="HD122" i="21" s="1"/>
  <c r="HD141" i="21" s="1"/>
  <c r="HD105" i="21"/>
  <c r="HD111" i="21" s="1"/>
  <c r="HD140" i="21" s="1"/>
  <c r="HE13" i="21"/>
  <c r="HE5" i="21" s="1"/>
  <c r="HE14" i="21"/>
  <c r="HE6" i="21" s="1"/>
  <c r="HE12" i="21"/>
  <c r="HE132" i="21" s="1"/>
  <c r="HB12" i="10"/>
  <c r="HB15" i="10" s="1"/>
  <c r="HB13" i="10"/>
  <c r="HB5" i="10" s="1"/>
  <c r="HB14" i="10"/>
  <c r="HB6" i="10" s="1"/>
  <c r="HC173" i="21" l="1"/>
  <c r="HC179" i="21" s="1"/>
  <c r="HC59" i="21"/>
  <c r="HC61" i="21" s="1"/>
  <c r="HD138" i="21"/>
  <c r="HE149" i="21"/>
  <c r="HE162" i="21"/>
  <c r="HD157" i="21"/>
  <c r="HC144" i="21"/>
  <c r="HC152" i="21" s="1"/>
  <c r="HD139" i="21"/>
  <c r="HD142" i="21"/>
  <c r="HE75" i="21"/>
  <c r="HE82" i="21" s="1"/>
  <c r="HD48" i="21"/>
  <c r="HC55" i="21"/>
  <c r="HC58" i="21" s="1"/>
  <c r="HC66" i="21" s="1"/>
  <c r="HE104" i="21"/>
  <c r="HD126" i="21" s="1"/>
  <c r="HD127" i="21" s="1"/>
  <c r="HD113" i="21"/>
  <c r="HD81" i="21"/>
  <c r="HE102" i="21"/>
  <c r="HE110" i="21" s="1"/>
  <c r="HE77" i="21"/>
  <c r="HE74" i="21"/>
  <c r="HE87" i="21" s="1"/>
  <c r="HE88" i="21" s="1"/>
  <c r="HE106" i="21"/>
  <c r="HE103" i="21"/>
  <c r="HE117" i="21" s="1"/>
  <c r="HE118" i="21" s="1"/>
  <c r="HE15" i="21"/>
  <c r="HF11" i="21"/>
  <c r="HE7" i="21"/>
  <c r="HB7" i="10"/>
  <c r="HC11" i="10"/>
  <c r="HD96" i="21" l="1"/>
  <c r="HD97" i="21" s="1"/>
  <c r="HE95" i="21" s="1"/>
  <c r="HE109" i="21"/>
  <c r="HD171" i="21"/>
  <c r="HD158" i="21"/>
  <c r="HD165" i="21" s="1"/>
  <c r="HD47" i="21"/>
  <c r="HD49" i="21" s="1"/>
  <c r="HD50" i="21" s="1"/>
  <c r="HD172" i="21" s="1"/>
  <c r="HD137" i="21"/>
  <c r="HE112" i="21"/>
  <c r="HD83" i="21"/>
  <c r="HD170" i="21" s="1"/>
  <c r="HE125" i="21"/>
  <c r="HE76" i="21"/>
  <c r="HE105" i="21"/>
  <c r="HE111" i="21" s="1"/>
  <c r="HE121" i="21"/>
  <c r="HE122" i="21" s="1"/>
  <c r="HE141" i="21" s="1"/>
  <c r="HF14" i="21"/>
  <c r="HF6" i="21" s="1"/>
  <c r="HF13" i="21"/>
  <c r="HF5" i="21" s="1"/>
  <c r="HF12" i="21"/>
  <c r="HF132" i="21" s="1"/>
  <c r="HC14" i="10"/>
  <c r="HC6" i="10" s="1"/>
  <c r="HC13" i="10"/>
  <c r="HC5" i="10" s="1"/>
  <c r="HC12" i="10"/>
  <c r="HC15" i="10" s="1"/>
  <c r="HD173" i="21" l="1"/>
  <c r="HD179" i="21" s="1"/>
  <c r="HD59" i="21"/>
  <c r="HD61" i="21" s="1"/>
  <c r="HE80" i="21"/>
  <c r="HE91" i="21" s="1"/>
  <c r="HE92" i="21" s="1"/>
  <c r="HE138" i="21" s="1"/>
  <c r="HE157" i="21" s="1"/>
  <c r="HE158" i="21" s="1"/>
  <c r="HE165" i="21" s="1"/>
  <c r="HF149" i="21"/>
  <c r="HF162" i="21"/>
  <c r="HD144" i="21"/>
  <c r="HD152" i="21" s="1"/>
  <c r="HE113" i="21"/>
  <c r="HE140" i="21"/>
  <c r="HE139" i="21"/>
  <c r="HE142" i="21"/>
  <c r="HE48" i="21"/>
  <c r="HD55" i="21"/>
  <c r="HD58" i="21" s="1"/>
  <c r="HD66" i="21" s="1"/>
  <c r="HE81" i="21"/>
  <c r="HF102" i="21"/>
  <c r="HF110" i="21" s="1"/>
  <c r="HF77" i="21"/>
  <c r="HF74" i="21"/>
  <c r="HF87" i="21" s="1"/>
  <c r="HF88" i="21" s="1"/>
  <c r="HF75" i="21"/>
  <c r="HF106" i="21"/>
  <c r="HF103" i="21"/>
  <c r="HF117" i="21" s="1"/>
  <c r="HF118" i="21" s="1"/>
  <c r="HF104" i="21"/>
  <c r="HG11" i="21"/>
  <c r="HF15" i="21"/>
  <c r="HF7" i="21"/>
  <c r="HC7" i="10"/>
  <c r="HD11" i="10"/>
  <c r="HF109" i="21" l="1"/>
  <c r="HE171" i="21"/>
  <c r="HE47" i="21"/>
  <c r="HE137" i="21"/>
  <c r="HE83" i="21"/>
  <c r="HE170" i="21" s="1"/>
  <c r="HE49" i="21"/>
  <c r="HE50" i="21" s="1"/>
  <c r="HE172" i="21" s="1"/>
  <c r="HF80" i="21"/>
  <c r="HF91" i="21" s="1"/>
  <c r="HF92" i="21" s="1"/>
  <c r="HE59" i="21"/>
  <c r="HE61" i="21" s="1"/>
  <c r="HE96" i="21"/>
  <c r="HE97" i="21" s="1"/>
  <c r="HF95" i="21" s="1"/>
  <c r="HF82" i="21"/>
  <c r="HF76" i="21"/>
  <c r="HF81" i="21" s="1"/>
  <c r="HF137" i="21" s="1"/>
  <c r="HE126" i="21"/>
  <c r="HE127" i="21" s="1"/>
  <c r="HF125" i="21" s="1"/>
  <c r="HF112" i="21"/>
  <c r="HF105" i="21"/>
  <c r="HF111" i="21" s="1"/>
  <c r="HF140" i="21" s="1"/>
  <c r="HF121" i="21"/>
  <c r="HF122" i="21" s="1"/>
  <c r="HF141" i="21" s="1"/>
  <c r="HG13" i="21"/>
  <c r="HG5" i="21" s="1"/>
  <c r="HG14" i="21"/>
  <c r="HG6" i="21" s="1"/>
  <c r="HG12" i="21"/>
  <c r="HG132" i="21" s="1"/>
  <c r="HD14" i="10"/>
  <c r="HD6" i="10" s="1"/>
  <c r="HD12" i="10"/>
  <c r="HD15" i="10" s="1"/>
  <c r="HD13" i="10"/>
  <c r="HD5" i="10" s="1"/>
  <c r="HE173" i="21" l="1"/>
  <c r="HE179" i="21" s="1"/>
  <c r="HF138" i="21"/>
  <c r="HG149" i="21"/>
  <c r="HG162" i="21"/>
  <c r="HF157" i="21"/>
  <c r="HE144" i="21"/>
  <c r="HE152" i="21" s="1"/>
  <c r="HF139" i="21"/>
  <c r="HF142" i="21"/>
  <c r="HF144" i="21" s="1"/>
  <c r="HF152" i="21" s="1"/>
  <c r="HF47" i="21"/>
  <c r="HF48" i="21"/>
  <c r="HE55" i="21"/>
  <c r="HE58" i="21" s="1"/>
  <c r="HE66" i="21" s="1"/>
  <c r="HF49" i="21"/>
  <c r="HF113" i="21"/>
  <c r="HF83" i="21"/>
  <c r="HF170" i="21" s="1"/>
  <c r="HG77" i="21"/>
  <c r="HG74" i="21"/>
  <c r="HG87" i="21" s="1"/>
  <c r="HG88" i="21" s="1"/>
  <c r="HG102" i="21"/>
  <c r="HG110" i="21" s="1"/>
  <c r="HG104" i="21"/>
  <c r="HG112" i="21" s="1"/>
  <c r="HG75" i="21"/>
  <c r="HG106" i="21"/>
  <c r="HG103" i="21"/>
  <c r="HG117" i="21" s="1"/>
  <c r="HG118" i="21" s="1"/>
  <c r="HH11" i="21"/>
  <c r="HG15" i="21"/>
  <c r="HG7" i="21"/>
  <c r="HD7" i="10"/>
  <c r="HE11" i="10"/>
  <c r="HG109" i="21" l="1"/>
  <c r="HF171" i="21"/>
  <c r="HF158" i="21"/>
  <c r="HF165" i="21" s="1"/>
  <c r="HG142" i="21"/>
  <c r="HG139" i="21"/>
  <c r="HF50" i="21"/>
  <c r="HF172" i="21" s="1"/>
  <c r="HG80" i="21"/>
  <c r="HG91" i="21" s="1"/>
  <c r="HG92" i="21" s="1"/>
  <c r="HF59" i="21"/>
  <c r="HF61" i="21" s="1"/>
  <c r="HF126" i="21"/>
  <c r="HF127" i="21" s="1"/>
  <c r="HG125" i="21" s="1"/>
  <c r="HF96" i="21"/>
  <c r="HF97" i="21" s="1"/>
  <c r="HG95" i="21" s="1"/>
  <c r="HG82" i="21"/>
  <c r="HG76" i="21"/>
  <c r="HG81" i="21" s="1"/>
  <c r="HG137" i="21" s="1"/>
  <c r="HG121" i="21"/>
  <c r="HG122" i="21" s="1"/>
  <c r="HG141" i="21" s="1"/>
  <c r="HG105" i="21"/>
  <c r="HG111" i="21" s="1"/>
  <c r="HH14" i="21"/>
  <c r="HH6" i="21" s="1"/>
  <c r="HH13" i="21"/>
  <c r="HH5" i="21" s="1"/>
  <c r="HH12" i="21"/>
  <c r="HH132" i="21" s="1"/>
  <c r="HE13" i="10"/>
  <c r="HE5" i="10" s="1"/>
  <c r="HE14" i="10"/>
  <c r="HE6" i="10" s="1"/>
  <c r="HE12" i="10"/>
  <c r="HE15" i="10" s="1"/>
  <c r="HF173" i="21" l="1"/>
  <c r="HF179" i="21" s="1"/>
  <c r="HG138" i="21"/>
  <c r="HH149" i="21"/>
  <c r="HH162" i="21"/>
  <c r="HG157" i="21"/>
  <c r="HG113" i="21"/>
  <c r="HG140" i="21"/>
  <c r="HG144" i="21" s="1"/>
  <c r="HG152" i="21" s="1"/>
  <c r="HH75" i="21"/>
  <c r="HG96" i="21" s="1"/>
  <c r="HG97" i="21" s="1"/>
  <c r="HH95" i="21" s="1"/>
  <c r="HG47" i="21"/>
  <c r="HG48" i="21"/>
  <c r="HF55" i="21"/>
  <c r="HF58" i="21" s="1"/>
  <c r="HF66" i="21" s="1"/>
  <c r="HG83" i="21"/>
  <c r="HG170" i="21" s="1"/>
  <c r="HH104" i="21"/>
  <c r="HH112" i="21" s="1"/>
  <c r="HH77" i="21"/>
  <c r="HH74" i="21"/>
  <c r="HH87" i="21" s="1"/>
  <c r="HH88" i="21" s="1"/>
  <c r="HH106" i="21"/>
  <c r="HH103" i="21"/>
  <c r="HH117" i="21" s="1"/>
  <c r="HH118" i="21" s="1"/>
  <c r="HH102" i="21"/>
  <c r="HH110" i="21" s="1"/>
  <c r="HH7" i="21"/>
  <c r="HH15" i="21"/>
  <c r="HI11" i="21"/>
  <c r="HF11" i="10"/>
  <c r="HE7" i="10"/>
  <c r="HH82" i="21" l="1"/>
  <c r="HH109" i="21"/>
  <c r="HH121" i="21" s="1"/>
  <c r="HH122" i="21" s="1"/>
  <c r="HH141" i="21" s="1"/>
  <c r="HG171" i="21"/>
  <c r="HG158" i="21"/>
  <c r="HG165" i="21" s="1"/>
  <c r="HG49" i="21"/>
  <c r="HG50" i="21" s="1"/>
  <c r="HH139" i="21"/>
  <c r="HH142" i="21"/>
  <c r="HG126" i="21"/>
  <c r="HG127" i="21" s="1"/>
  <c r="HH125" i="21" s="1"/>
  <c r="HH80" i="21"/>
  <c r="HG59" i="21"/>
  <c r="HG61" i="21" s="1"/>
  <c r="HH91" i="21"/>
  <c r="HH92" i="21" s="1"/>
  <c r="HH76" i="21"/>
  <c r="HH105" i="21"/>
  <c r="HH111" i="21" s="1"/>
  <c r="HI13" i="21"/>
  <c r="HI5" i="21" s="1"/>
  <c r="HI14" i="21"/>
  <c r="HI6" i="21" s="1"/>
  <c r="HI12" i="21"/>
  <c r="HI132" i="21" s="1"/>
  <c r="HF13" i="10"/>
  <c r="HF5" i="10" s="1"/>
  <c r="HF14" i="10"/>
  <c r="HF6" i="10" s="1"/>
  <c r="HF12" i="10"/>
  <c r="HF15" i="10" s="1"/>
  <c r="HG172" i="21" l="1"/>
  <c r="HG55" i="21"/>
  <c r="HG58" i="21" s="1"/>
  <c r="HH48" i="21"/>
  <c r="HG173" i="21"/>
  <c r="HG179" i="21" s="1"/>
  <c r="HH138" i="21"/>
  <c r="HH157" i="21"/>
  <c r="HH158" i="21" s="1"/>
  <c r="HH165" i="21" s="1"/>
  <c r="HI149" i="21"/>
  <c r="HI162" i="21"/>
  <c r="HH113" i="21"/>
  <c r="HH140" i="21"/>
  <c r="HG66" i="21"/>
  <c r="HH81" i="21"/>
  <c r="HI102" i="21"/>
  <c r="HI110" i="21" s="1"/>
  <c r="HI77" i="21"/>
  <c r="HI74" i="21"/>
  <c r="HI87" i="21" s="1"/>
  <c r="HI88" i="21" s="1"/>
  <c r="HI75" i="21"/>
  <c r="HI106" i="21"/>
  <c r="HI103" i="21"/>
  <c r="HI117" i="21" s="1"/>
  <c r="HI118" i="21" s="1"/>
  <c r="HI104" i="21"/>
  <c r="HJ11" i="21"/>
  <c r="HI7" i="21"/>
  <c r="HI15" i="21"/>
  <c r="HG11" i="10"/>
  <c r="HF7" i="10"/>
  <c r="HI109" i="21" l="1"/>
  <c r="HH171" i="21"/>
  <c r="HH47" i="21"/>
  <c r="HH49" i="21" s="1"/>
  <c r="HH50" i="21" s="1"/>
  <c r="HH172" i="21" s="1"/>
  <c r="HH137" i="21"/>
  <c r="HH83" i="21"/>
  <c r="HH170" i="21" s="1"/>
  <c r="HH173" i="21" s="1"/>
  <c r="HH179" i="21" s="1"/>
  <c r="HI80" i="21"/>
  <c r="HI91" i="21" s="1"/>
  <c r="HI92" i="21" s="1"/>
  <c r="HH59" i="21"/>
  <c r="HH61" i="21" s="1"/>
  <c r="HH96" i="21"/>
  <c r="HH97" i="21" s="1"/>
  <c r="HI95" i="21" s="1"/>
  <c r="HI82" i="21"/>
  <c r="HI76" i="21"/>
  <c r="HI81" i="21" s="1"/>
  <c r="HI137" i="21" s="1"/>
  <c r="HH126" i="21"/>
  <c r="HH127" i="21" s="1"/>
  <c r="HI125" i="21" s="1"/>
  <c r="HI112" i="21"/>
  <c r="HI121" i="21"/>
  <c r="HI122" i="21" s="1"/>
  <c r="HI141" i="21" s="1"/>
  <c r="HI105" i="21"/>
  <c r="HI111" i="21" s="1"/>
  <c r="HI140" i="21" s="1"/>
  <c r="HJ14" i="21"/>
  <c r="HJ6" i="21" s="1"/>
  <c r="HJ13" i="21"/>
  <c r="HJ5" i="21" s="1"/>
  <c r="HJ12" i="21"/>
  <c r="HJ132" i="21" s="1"/>
  <c r="HG13" i="10"/>
  <c r="HG5" i="10" s="1"/>
  <c r="HG14" i="10"/>
  <c r="HG6" i="10" s="1"/>
  <c r="HG12" i="10"/>
  <c r="HG15" i="10" s="1"/>
  <c r="HI138" i="21" l="1"/>
  <c r="HJ149" i="21"/>
  <c r="HJ162" i="21"/>
  <c r="HI157" i="21"/>
  <c r="HH144" i="21"/>
  <c r="HH152" i="21" s="1"/>
  <c r="HI139" i="21"/>
  <c r="HI142" i="21"/>
  <c r="HI144" i="21" s="1"/>
  <c r="HI152" i="21" s="1"/>
  <c r="HI47" i="21"/>
  <c r="HI48" i="21"/>
  <c r="HH55" i="21"/>
  <c r="HH58" i="21" s="1"/>
  <c r="HH66" i="21" s="1"/>
  <c r="HI113" i="21"/>
  <c r="HI83" i="21"/>
  <c r="HI170" i="21" s="1"/>
  <c r="HJ77" i="21"/>
  <c r="HJ74" i="21"/>
  <c r="HJ87" i="21" s="1"/>
  <c r="HJ88" i="21" s="1"/>
  <c r="HJ75" i="21"/>
  <c r="HJ103" i="21"/>
  <c r="HJ117" i="21" s="1"/>
  <c r="HJ118" i="21" s="1"/>
  <c r="HJ106" i="21"/>
  <c r="HJ104" i="21"/>
  <c r="HJ102" i="21"/>
  <c r="HJ110" i="21" s="1"/>
  <c r="HK11" i="21"/>
  <c r="HJ15" i="21"/>
  <c r="HJ7" i="21"/>
  <c r="HH11" i="10"/>
  <c r="HG7" i="10"/>
  <c r="HJ109" i="21" l="1"/>
  <c r="HI171" i="21"/>
  <c r="HI158" i="21"/>
  <c r="HI165" i="21" s="1"/>
  <c r="HI49" i="21"/>
  <c r="HI50" i="21"/>
  <c r="HI55" i="21"/>
  <c r="HI58" i="21" s="1"/>
  <c r="HJ80" i="21"/>
  <c r="HJ91" i="21" s="1"/>
  <c r="HJ92" i="21" s="1"/>
  <c r="HI59" i="21"/>
  <c r="HI61" i="21" s="1"/>
  <c r="HI96" i="21"/>
  <c r="HI97" i="21" s="1"/>
  <c r="HJ95" i="21" s="1"/>
  <c r="HJ82" i="21"/>
  <c r="HJ76" i="21"/>
  <c r="HJ81" i="21" s="1"/>
  <c r="HJ137" i="21" s="1"/>
  <c r="HI126" i="21"/>
  <c r="HI127" i="21" s="1"/>
  <c r="HJ125" i="21" s="1"/>
  <c r="HJ112" i="21"/>
  <c r="HJ105" i="21"/>
  <c r="HJ111" i="21" s="1"/>
  <c r="HJ140" i="21" s="1"/>
  <c r="HJ121" i="21"/>
  <c r="HJ122" i="21" s="1"/>
  <c r="HJ141" i="21" s="1"/>
  <c r="HK14" i="21"/>
  <c r="HK6" i="21" s="1"/>
  <c r="HK12" i="21"/>
  <c r="HK132" i="21" s="1"/>
  <c r="HK13" i="21"/>
  <c r="HK5" i="21" s="1"/>
  <c r="HH13" i="10"/>
  <c r="HH5" i="10" s="1"/>
  <c r="HH14" i="10"/>
  <c r="HH6" i="10" s="1"/>
  <c r="HH12" i="10"/>
  <c r="HH15" i="10" s="1"/>
  <c r="HJ138" i="21" l="1"/>
  <c r="HJ48" i="21"/>
  <c r="HI172" i="21"/>
  <c r="HI173" i="21" s="1"/>
  <c r="HI179" i="21" s="1"/>
  <c r="HJ157" i="21"/>
  <c r="HK149" i="21"/>
  <c r="HK162" i="21"/>
  <c r="HJ158" i="21"/>
  <c r="HJ165" i="21" s="1"/>
  <c r="HJ142" i="21"/>
  <c r="HJ139" i="21"/>
  <c r="HK75" i="21"/>
  <c r="HK82" i="21" s="1"/>
  <c r="HJ47" i="21"/>
  <c r="HI66" i="21"/>
  <c r="HJ49" i="21"/>
  <c r="HJ50" i="21" s="1"/>
  <c r="HJ172" i="21" s="1"/>
  <c r="HJ113" i="21"/>
  <c r="HJ83" i="21"/>
  <c r="HJ170" i="21" s="1"/>
  <c r="HK104" i="21"/>
  <c r="HJ126" i="21" s="1"/>
  <c r="HJ127" i="21" s="1"/>
  <c r="HK77" i="21"/>
  <c r="HK74" i="21"/>
  <c r="HK87" i="21" s="1"/>
  <c r="HK88" i="21" s="1"/>
  <c r="HK106" i="21"/>
  <c r="HK103" i="21"/>
  <c r="HK117" i="21" s="1"/>
  <c r="HK118" i="21" s="1"/>
  <c r="HK102" i="21"/>
  <c r="HK110" i="21" s="1"/>
  <c r="HK15" i="21"/>
  <c r="HL11" i="21"/>
  <c r="HK7" i="21"/>
  <c r="HI11" i="10"/>
  <c r="HH7" i="10"/>
  <c r="HK109" i="21" l="1"/>
  <c r="HJ171" i="21"/>
  <c r="HJ173" i="21" s="1"/>
  <c r="HJ179" i="21" s="1"/>
  <c r="HJ96" i="21"/>
  <c r="HJ97" i="21" s="1"/>
  <c r="HK95" i="21" s="1"/>
  <c r="HJ144" i="21"/>
  <c r="HJ152" i="21" s="1"/>
  <c r="HK125" i="21"/>
  <c r="HK48" i="21"/>
  <c r="HJ55" i="21"/>
  <c r="HJ58" i="21" s="1"/>
  <c r="HK80" i="21"/>
  <c r="HK91" i="21" s="1"/>
  <c r="HK92" i="21" s="1"/>
  <c r="HJ59" i="21"/>
  <c r="HJ61" i="21" s="1"/>
  <c r="HK112" i="21"/>
  <c r="HK76" i="21"/>
  <c r="HK121" i="21"/>
  <c r="HK122" i="21" s="1"/>
  <c r="HK141" i="21" s="1"/>
  <c r="HK105" i="21"/>
  <c r="HK111" i="21" s="1"/>
  <c r="HK140" i="21" s="1"/>
  <c r="HL12" i="21"/>
  <c r="HL132" i="21" s="1"/>
  <c r="HL14" i="21"/>
  <c r="HL6" i="21" s="1"/>
  <c r="HL13" i="21"/>
  <c r="HL5" i="21" s="1"/>
  <c r="HI14" i="10"/>
  <c r="HI6" i="10" s="1"/>
  <c r="HI13" i="10"/>
  <c r="HI5" i="10" s="1"/>
  <c r="HI12" i="10"/>
  <c r="HI15" i="10" s="1"/>
  <c r="HK138" i="21" l="1"/>
  <c r="HK157" i="21"/>
  <c r="HL149" i="21"/>
  <c r="HL162" i="21"/>
  <c r="HK158" i="21"/>
  <c r="HK165" i="21" s="1"/>
  <c r="HK139" i="21"/>
  <c r="HK142" i="21"/>
  <c r="HJ66" i="21"/>
  <c r="HK113" i="21"/>
  <c r="HK81" i="21"/>
  <c r="HL77" i="21"/>
  <c r="HL74" i="21"/>
  <c r="HL87" i="21" s="1"/>
  <c r="HL88" i="21" s="1"/>
  <c r="HL75" i="21"/>
  <c r="HL106" i="21"/>
  <c r="HL103" i="21"/>
  <c r="HL117" i="21" s="1"/>
  <c r="HL118" i="21" s="1"/>
  <c r="HL104" i="21"/>
  <c r="HL102" i="21"/>
  <c r="HL110" i="21" s="1"/>
  <c r="HL15" i="21"/>
  <c r="HM11" i="21"/>
  <c r="HL7" i="21"/>
  <c r="HJ11" i="10"/>
  <c r="HI7" i="10"/>
  <c r="HL109" i="21" l="1"/>
  <c r="HK171" i="21"/>
  <c r="HK47" i="21"/>
  <c r="HK137" i="21"/>
  <c r="HK83" i="21"/>
  <c r="HK170" i="21" s="1"/>
  <c r="HK49" i="21"/>
  <c r="HK50" i="21" s="1"/>
  <c r="HK172" i="21" s="1"/>
  <c r="HL80" i="21"/>
  <c r="HL91" i="21" s="1"/>
  <c r="HL92" i="21" s="1"/>
  <c r="HK59" i="21"/>
  <c r="HK61" i="21" s="1"/>
  <c r="HL82" i="21"/>
  <c r="HK96" i="21"/>
  <c r="HK97" i="21" s="1"/>
  <c r="HL95" i="21" s="1"/>
  <c r="HL76" i="21"/>
  <c r="HL81" i="21" s="1"/>
  <c r="HL137" i="21" s="1"/>
  <c r="HK126" i="21"/>
  <c r="HK127" i="21" s="1"/>
  <c r="HL125" i="21" s="1"/>
  <c r="HL112" i="21"/>
  <c r="HL121" i="21"/>
  <c r="HL122" i="21" s="1"/>
  <c r="HL141" i="21" s="1"/>
  <c r="HL105" i="21"/>
  <c r="HL111" i="21" s="1"/>
  <c r="HL140" i="21" s="1"/>
  <c r="HM14" i="21"/>
  <c r="HM6" i="21" s="1"/>
  <c r="HM13" i="21"/>
  <c r="HM5" i="21" s="1"/>
  <c r="HM12" i="21"/>
  <c r="HM132" i="21" s="1"/>
  <c r="HJ14" i="10"/>
  <c r="HJ6" i="10" s="1"/>
  <c r="HJ13" i="10"/>
  <c r="HJ5" i="10" s="1"/>
  <c r="HJ12" i="10"/>
  <c r="HJ15" i="10" s="1"/>
  <c r="HK173" i="21" l="1"/>
  <c r="HK179" i="21" s="1"/>
  <c r="HL138" i="21"/>
  <c r="HL157" i="21"/>
  <c r="HM149" i="21"/>
  <c r="HM162" i="21"/>
  <c r="HK144" i="21"/>
  <c r="HK152" i="21" s="1"/>
  <c r="HL139" i="21"/>
  <c r="HL142" i="21"/>
  <c r="HL144" i="21" s="1"/>
  <c r="HL152" i="21" s="1"/>
  <c r="HL47" i="21"/>
  <c r="HL48" i="21"/>
  <c r="HK55" i="21"/>
  <c r="HK58" i="21" s="1"/>
  <c r="HK66" i="21" s="1"/>
  <c r="HL113" i="21"/>
  <c r="HL83" i="21"/>
  <c r="HL170" i="21" s="1"/>
  <c r="HM102" i="21"/>
  <c r="HM110" i="21" s="1"/>
  <c r="HM77" i="21"/>
  <c r="HM74" i="21"/>
  <c r="HM87" i="21" s="1"/>
  <c r="HM88" i="21" s="1"/>
  <c r="HM75" i="21"/>
  <c r="HM106" i="21"/>
  <c r="HM103" i="21"/>
  <c r="HM117" i="21" s="1"/>
  <c r="HM118" i="21" s="1"/>
  <c r="HM104" i="21"/>
  <c r="HM15" i="21"/>
  <c r="HM7" i="21"/>
  <c r="HN11" i="21"/>
  <c r="HK11" i="10"/>
  <c r="HJ7" i="10"/>
  <c r="HM109" i="21" l="1"/>
  <c r="HL171" i="21"/>
  <c r="HL158" i="21"/>
  <c r="HL165" i="21" s="1"/>
  <c r="HL49" i="21"/>
  <c r="HL50" i="21" s="1"/>
  <c r="HL172" i="21" s="1"/>
  <c r="HM80" i="21"/>
  <c r="HM91" i="21" s="1"/>
  <c r="HM92" i="21" s="1"/>
  <c r="HL59" i="21"/>
  <c r="HL61" i="21" s="1"/>
  <c r="HL96" i="21"/>
  <c r="HL97" i="21" s="1"/>
  <c r="HM95" i="21" s="1"/>
  <c r="HM82" i="21"/>
  <c r="HM76" i="21"/>
  <c r="HM81" i="21" s="1"/>
  <c r="HM137" i="21" s="1"/>
  <c r="HL126" i="21"/>
  <c r="HL127" i="21" s="1"/>
  <c r="HM125" i="21" s="1"/>
  <c r="HM112" i="21"/>
  <c r="HM105" i="21"/>
  <c r="HM111" i="21" s="1"/>
  <c r="HM140" i="21" s="1"/>
  <c r="HM121" i="21"/>
  <c r="HM122" i="21" s="1"/>
  <c r="HM141" i="21" s="1"/>
  <c r="HN12" i="21"/>
  <c r="HN132" i="21" s="1"/>
  <c r="HN14" i="21"/>
  <c r="HN6" i="21" s="1"/>
  <c r="HN13" i="21"/>
  <c r="HN5" i="21" s="1"/>
  <c r="HK14" i="10"/>
  <c r="HK6" i="10" s="1"/>
  <c r="HK13" i="10"/>
  <c r="HK5" i="10" s="1"/>
  <c r="HK12" i="10"/>
  <c r="HK15" i="10" s="1"/>
  <c r="HL173" i="21" l="1"/>
  <c r="HL179" i="21" s="1"/>
  <c r="HM138" i="21"/>
  <c r="HL55" i="21"/>
  <c r="HL58" i="21" s="1"/>
  <c r="HM48" i="21"/>
  <c r="HM157" i="21"/>
  <c r="HM158" i="21" s="1"/>
  <c r="HM165" i="21" s="1"/>
  <c r="HN149" i="21"/>
  <c r="HN162" i="21"/>
  <c r="HM142" i="21"/>
  <c r="HM139" i="21"/>
  <c r="HN75" i="21"/>
  <c r="HM96" i="21" s="1"/>
  <c r="HM97" i="21" s="1"/>
  <c r="HN95" i="21" s="1"/>
  <c r="HL66" i="21"/>
  <c r="HM47" i="21"/>
  <c r="HM113" i="21"/>
  <c r="HM83" i="21"/>
  <c r="HM170" i="21" s="1"/>
  <c r="HN77" i="21"/>
  <c r="HN74" i="21"/>
  <c r="HN87" i="21" s="1"/>
  <c r="HN88" i="21" s="1"/>
  <c r="HN104" i="21"/>
  <c r="HN112" i="21" s="1"/>
  <c r="HN102" i="21"/>
  <c r="HN110" i="21" s="1"/>
  <c r="HN106" i="21"/>
  <c r="HN103" i="21"/>
  <c r="HN117" i="21" s="1"/>
  <c r="HN118" i="21" s="1"/>
  <c r="HO11" i="21"/>
  <c r="HN15" i="21"/>
  <c r="HN7" i="21"/>
  <c r="HL11" i="10"/>
  <c r="HK7" i="10"/>
  <c r="HN109" i="21" l="1"/>
  <c r="HM171" i="21"/>
  <c r="HN82" i="21"/>
  <c r="HM49" i="21"/>
  <c r="HM50" i="21" s="1"/>
  <c r="HM172" i="21" s="1"/>
  <c r="HM144" i="21"/>
  <c r="HM152" i="21" s="1"/>
  <c r="HN142" i="21"/>
  <c r="HN139" i="21"/>
  <c r="HN80" i="21"/>
  <c r="HN91" i="21" s="1"/>
  <c r="HN92" i="21" s="1"/>
  <c r="HM59" i="21"/>
  <c r="HM61" i="21" s="1"/>
  <c r="HM126" i="21"/>
  <c r="HM127" i="21" s="1"/>
  <c r="HN125" i="21" s="1"/>
  <c r="HN76" i="21"/>
  <c r="HN105" i="21"/>
  <c r="HN111" i="21" s="1"/>
  <c r="HN121" i="21"/>
  <c r="HN122" i="21" s="1"/>
  <c r="HN141" i="21" s="1"/>
  <c r="HO14" i="21"/>
  <c r="HO6" i="21" s="1"/>
  <c r="HO12" i="21"/>
  <c r="HO132" i="21" s="1"/>
  <c r="HO13" i="21"/>
  <c r="HO5" i="21" s="1"/>
  <c r="HL14" i="10"/>
  <c r="HL6" i="10" s="1"/>
  <c r="HL12" i="10"/>
  <c r="HL15" i="10" s="1"/>
  <c r="HL13" i="10"/>
  <c r="HL5" i="10" s="1"/>
  <c r="HM173" i="21" l="1"/>
  <c r="HM179" i="21" s="1"/>
  <c r="HM55" i="21"/>
  <c r="HM58" i="21" s="1"/>
  <c r="HN48" i="21"/>
  <c r="HN138" i="21"/>
  <c r="HO149" i="21"/>
  <c r="HO162" i="21"/>
  <c r="HN157" i="21"/>
  <c r="HN113" i="21"/>
  <c r="HN140" i="21"/>
  <c r="HM66" i="21"/>
  <c r="HN81" i="21"/>
  <c r="HO77" i="21"/>
  <c r="HO74" i="21"/>
  <c r="HO87" i="21" s="1"/>
  <c r="HO88" i="21" s="1"/>
  <c r="HO75" i="21"/>
  <c r="HO106" i="21"/>
  <c r="HO103" i="21"/>
  <c r="HO117" i="21" s="1"/>
  <c r="HO118" i="21" s="1"/>
  <c r="HO104" i="21"/>
  <c r="HO102" i="21"/>
  <c r="HO110" i="21" s="1"/>
  <c r="HO15" i="21"/>
  <c r="HP11" i="21"/>
  <c r="HO7" i="21"/>
  <c r="HM11" i="10"/>
  <c r="HL7" i="10"/>
  <c r="HO109" i="21" l="1"/>
  <c r="HN171" i="21"/>
  <c r="HN158" i="21"/>
  <c r="HN165" i="21" s="1"/>
  <c r="HN47" i="21"/>
  <c r="HN137" i="21"/>
  <c r="HN83" i="21"/>
  <c r="HN170" i="21" s="1"/>
  <c r="HN49" i="21"/>
  <c r="HN50" i="21" s="1"/>
  <c r="HN172" i="21" s="1"/>
  <c r="HO80" i="21"/>
  <c r="HO91" i="21" s="1"/>
  <c r="HO92" i="21" s="1"/>
  <c r="HO82" i="21"/>
  <c r="HN96" i="21"/>
  <c r="HN97" i="21" s="1"/>
  <c r="HO95" i="21" s="1"/>
  <c r="HO76" i="21"/>
  <c r="HO81" i="21" s="1"/>
  <c r="HO137" i="21" s="1"/>
  <c r="HO112" i="21"/>
  <c r="HN126" i="21"/>
  <c r="HN127" i="21" s="1"/>
  <c r="HO125" i="21" s="1"/>
  <c r="HO121" i="21"/>
  <c r="HO122" i="21" s="1"/>
  <c r="HO141" i="21" s="1"/>
  <c r="HO105" i="21"/>
  <c r="HO111" i="21" s="1"/>
  <c r="HO140" i="21" s="1"/>
  <c r="HP12" i="21"/>
  <c r="HP132" i="21" s="1"/>
  <c r="HP14" i="21"/>
  <c r="HP6" i="21" s="1"/>
  <c r="HP13" i="21"/>
  <c r="HP5" i="21" s="1"/>
  <c r="HM14" i="10"/>
  <c r="HM6" i="10" s="1"/>
  <c r="HM12" i="10"/>
  <c r="HM15" i="10" s="1"/>
  <c r="HM13" i="10"/>
  <c r="HM5" i="10" s="1"/>
  <c r="HN173" i="21" l="1"/>
  <c r="HN179" i="21" s="1"/>
  <c r="HN59" i="21"/>
  <c r="HN61" i="21" s="1"/>
  <c r="HO138" i="21"/>
  <c r="HO157" i="21"/>
  <c r="HP149" i="21"/>
  <c r="HP162" i="21"/>
  <c r="HO158" i="21"/>
  <c r="HO165" i="21" s="1"/>
  <c r="HN144" i="21"/>
  <c r="HN152" i="21" s="1"/>
  <c r="HO142" i="21"/>
  <c r="HO139" i="21"/>
  <c r="HO47" i="21"/>
  <c r="HO48" i="21"/>
  <c r="HN55" i="21"/>
  <c r="HN58" i="21" s="1"/>
  <c r="HN66" i="21" s="1"/>
  <c r="HO113" i="21"/>
  <c r="HO83" i="21"/>
  <c r="HO170" i="21" s="1"/>
  <c r="HP77" i="21"/>
  <c r="HP74" i="21"/>
  <c r="HP87" i="21" s="1"/>
  <c r="HP88" i="21" s="1"/>
  <c r="HP75" i="21"/>
  <c r="HP106" i="21"/>
  <c r="HP103" i="21"/>
  <c r="HP117" i="21" s="1"/>
  <c r="HP118" i="21" s="1"/>
  <c r="HP104" i="21"/>
  <c r="HP102" i="21"/>
  <c r="HP110" i="21" s="1"/>
  <c r="HP15" i="21"/>
  <c r="HQ11" i="21"/>
  <c r="HP7" i="21"/>
  <c r="HN11" i="10"/>
  <c r="HM7" i="10"/>
  <c r="HP109" i="21" l="1"/>
  <c r="HP121" i="21" s="1"/>
  <c r="HP122" i="21" s="1"/>
  <c r="HP141" i="21" s="1"/>
  <c r="HO171" i="21"/>
  <c r="HO49" i="21"/>
  <c r="HO144" i="21"/>
  <c r="HO152" i="21" s="1"/>
  <c r="HO50" i="21"/>
  <c r="HO172" i="21" s="1"/>
  <c r="HO55" i="21"/>
  <c r="HO58" i="21" s="1"/>
  <c r="HP48" i="21"/>
  <c r="HP80" i="21"/>
  <c r="HP91" i="21" s="1"/>
  <c r="HP92" i="21" s="1"/>
  <c r="HO59" i="21"/>
  <c r="HO61" i="21" s="1"/>
  <c r="HO96" i="21"/>
  <c r="HO97" i="21" s="1"/>
  <c r="HP95" i="21" s="1"/>
  <c r="HP82" i="21"/>
  <c r="HP76" i="21"/>
  <c r="HP81" i="21" s="1"/>
  <c r="HP137" i="21" s="1"/>
  <c r="HP112" i="21"/>
  <c r="HO126" i="21"/>
  <c r="HO127" i="21" s="1"/>
  <c r="HP125" i="21" s="1"/>
  <c r="HP105" i="21"/>
  <c r="HP111" i="21" s="1"/>
  <c r="HP140" i="21" s="1"/>
  <c r="HQ13" i="21"/>
  <c r="HQ5" i="21" s="1"/>
  <c r="HQ12" i="21"/>
  <c r="HQ132" i="21" s="1"/>
  <c r="HQ14" i="21"/>
  <c r="HQ6" i="21" s="1"/>
  <c r="HN14" i="10"/>
  <c r="HN6" i="10" s="1"/>
  <c r="HN12" i="10"/>
  <c r="HN15" i="10" s="1"/>
  <c r="HN13" i="10"/>
  <c r="HN5" i="10" s="1"/>
  <c r="HO173" i="21" l="1"/>
  <c r="HO179" i="21" s="1"/>
  <c r="HP138" i="21"/>
  <c r="HQ149" i="21"/>
  <c r="HQ162" i="21"/>
  <c r="HP157" i="21"/>
  <c r="HP142" i="21"/>
  <c r="HP139" i="21"/>
  <c r="HO66" i="21"/>
  <c r="HP47" i="21"/>
  <c r="HP49" i="21" s="1"/>
  <c r="HP50" i="21" s="1"/>
  <c r="HP172" i="21" s="1"/>
  <c r="HP113" i="21"/>
  <c r="HP83" i="21"/>
  <c r="HP170" i="21" s="1"/>
  <c r="HQ104" i="21"/>
  <c r="HP126" i="21" s="1"/>
  <c r="HP127" i="21" s="1"/>
  <c r="HQ77" i="21"/>
  <c r="HQ74" i="21"/>
  <c r="HQ87" i="21" s="1"/>
  <c r="HQ88" i="21" s="1"/>
  <c r="HQ75" i="21"/>
  <c r="HQ106" i="21"/>
  <c r="HQ103" i="21"/>
  <c r="HQ117" i="21" s="1"/>
  <c r="HQ118" i="21" s="1"/>
  <c r="HQ102" i="21"/>
  <c r="HQ110" i="21" s="1"/>
  <c r="HQ15" i="21"/>
  <c r="HQ7" i="21"/>
  <c r="HR11" i="21"/>
  <c r="HO11" i="10"/>
  <c r="HN7" i="10"/>
  <c r="HQ109" i="21" l="1"/>
  <c r="HP171" i="21"/>
  <c r="HP173" i="21" s="1"/>
  <c r="HP179" i="21" s="1"/>
  <c r="HP158" i="21"/>
  <c r="HP165" i="21" s="1"/>
  <c r="HP144" i="21"/>
  <c r="HP152" i="21" s="1"/>
  <c r="HQ125" i="21"/>
  <c r="HQ48" i="21"/>
  <c r="HP55" i="21"/>
  <c r="HP58" i="21" s="1"/>
  <c r="HQ112" i="21"/>
  <c r="HQ80" i="21"/>
  <c r="HQ91" i="21" s="1"/>
  <c r="HQ92" i="21" s="1"/>
  <c r="HP59" i="21"/>
  <c r="HP61" i="21" s="1"/>
  <c r="HP96" i="21"/>
  <c r="HP97" i="21" s="1"/>
  <c r="HQ95" i="21" s="1"/>
  <c r="HQ82" i="21"/>
  <c r="HQ76" i="21"/>
  <c r="HQ81" i="21" s="1"/>
  <c r="HQ137" i="21" s="1"/>
  <c r="HQ105" i="21"/>
  <c r="HQ111" i="21" s="1"/>
  <c r="HQ121" i="21"/>
  <c r="HQ122" i="21" s="1"/>
  <c r="HQ141" i="21" s="1"/>
  <c r="HR13" i="21"/>
  <c r="HR5" i="21" s="1"/>
  <c r="HR14" i="21"/>
  <c r="HR6" i="21" s="1"/>
  <c r="HR12" i="21"/>
  <c r="HR132" i="21" s="1"/>
  <c r="HO12" i="10"/>
  <c r="HO15" i="10" s="1"/>
  <c r="HO14" i="10"/>
  <c r="HO6" i="10" s="1"/>
  <c r="HO13" i="10"/>
  <c r="HO5" i="10" s="1"/>
  <c r="HQ138" i="21" l="1"/>
  <c r="HQ157" i="21"/>
  <c r="HQ158" i="21"/>
  <c r="HQ165" i="21" s="1"/>
  <c r="HR149" i="21"/>
  <c r="HR162" i="21"/>
  <c r="HQ113" i="21"/>
  <c r="HQ140" i="21"/>
  <c r="HQ142" i="21"/>
  <c r="HQ139" i="21"/>
  <c r="HR75" i="21"/>
  <c r="HQ96" i="21" s="1"/>
  <c r="HQ97" i="21" s="1"/>
  <c r="HR95" i="21" s="1"/>
  <c r="HP66" i="21"/>
  <c r="HQ47" i="21"/>
  <c r="HQ49" i="21" s="1"/>
  <c r="HQ50" i="21" s="1"/>
  <c r="HQ172" i="21" s="1"/>
  <c r="HQ83" i="21"/>
  <c r="HQ170" i="21" s="1"/>
  <c r="HR77" i="21"/>
  <c r="HR74" i="21"/>
  <c r="HR87" i="21" s="1"/>
  <c r="HR88" i="21" s="1"/>
  <c r="HR106" i="21"/>
  <c r="HR103" i="21"/>
  <c r="HR117" i="21" s="1"/>
  <c r="HR118" i="21" s="1"/>
  <c r="HR104" i="21"/>
  <c r="HR102" i="21"/>
  <c r="HR110" i="21" s="1"/>
  <c r="HS11" i="21"/>
  <c r="HR7" i="21"/>
  <c r="HR15" i="21"/>
  <c r="HP11" i="10"/>
  <c r="HO7" i="10"/>
  <c r="HR109" i="21" l="1"/>
  <c r="HQ171" i="21"/>
  <c r="HQ173" i="21" s="1"/>
  <c r="HQ179" i="21" s="1"/>
  <c r="HQ144" i="21"/>
  <c r="HQ152" i="21" s="1"/>
  <c r="HR82" i="21"/>
  <c r="HR48" i="21"/>
  <c r="HQ55" i="21"/>
  <c r="HQ58" i="21" s="1"/>
  <c r="HR80" i="21"/>
  <c r="HR91" i="21" s="1"/>
  <c r="HR92" i="21" s="1"/>
  <c r="HQ59" i="21"/>
  <c r="HQ61" i="21" s="1"/>
  <c r="HR76" i="21"/>
  <c r="HQ126" i="21"/>
  <c r="HQ127" i="21" s="1"/>
  <c r="HR125" i="21" s="1"/>
  <c r="HR112" i="21"/>
  <c r="HR121" i="21"/>
  <c r="HR122" i="21" s="1"/>
  <c r="HR141" i="21" s="1"/>
  <c r="HR105" i="21"/>
  <c r="HR111" i="21" s="1"/>
  <c r="HR140" i="21" s="1"/>
  <c r="HS12" i="21"/>
  <c r="HS132" i="21" s="1"/>
  <c r="HS13" i="21"/>
  <c r="HS5" i="21" s="1"/>
  <c r="HS14" i="21"/>
  <c r="HS6" i="21" s="1"/>
  <c r="HP12" i="10"/>
  <c r="HP15" i="10" s="1"/>
  <c r="HP14" i="10"/>
  <c r="HP6" i="10" s="1"/>
  <c r="HP13" i="10"/>
  <c r="HP5" i="10" s="1"/>
  <c r="HR138" i="21" l="1"/>
  <c r="HR157" i="21"/>
  <c r="HS149" i="21"/>
  <c r="HS162" i="21"/>
  <c r="HR142" i="21"/>
  <c r="HR139" i="21"/>
  <c r="HS75" i="21"/>
  <c r="HR96" i="21" s="1"/>
  <c r="HR97" i="21" s="1"/>
  <c r="HS95" i="21" s="1"/>
  <c r="HQ66" i="21"/>
  <c r="HR113" i="21"/>
  <c r="HR81" i="21"/>
  <c r="HS77" i="21"/>
  <c r="HS74" i="21"/>
  <c r="HS87" i="21" s="1"/>
  <c r="HS88" i="21" s="1"/>
  <c r="HS106" i="21"/>
  <c r="HS103" i="21"/>
  <c r="HS117" i="21" s="1"/>
  <c r="HS118" i="21" s="1"/>
  <c r="HS104" i="21"/>
  <c r="HS102" i="21"/>
  <c r="HS110" i="21" s="1"/>
  <c r="HS15" i="21"/>
  <c r="HT11" i="21"/>
  <c r="HS7" i="21"/>
  <c r="HP7" i="10"/>
  <c r="HQ11" i="10"/>
  <c r="HS82" i="21" l="1"/>
  <c r="HS109" i="21"/>
  <c r="HR171" i="21"/>
  <c r="HR158" i="21"/>
  <c r="HR165" i="21" s="1"/>
  <c r="HR47" i="21"/>
  <c r="HR137" i="21"/>
  <c r="HR83" i="21"/>
  <c r="HR59" i="21" s="1"/>
  <c r="HR61" i="21" s="1"/>
  <c r="HR49" i="21"/>
  <c r="HR50" i="21" s="1"/>
  <c r="HR172" i="21" s="1"/>
  <c r="HS76" i="21"/>
  <c r="HS112" i="21"/>
  <c r="HR126" i="21"/>
  <c r="HR127" i="21" s="1"/>
  <c r="HS125" i="21" s="1"/>
  <c r="HS105" i="21"/>
  <c r="HS111" i="21" s="1"/>
  <c r="HS140" i="21" s="1"/>
  <c r="HS121" i="21"/>
  <c r="HS122" i="21" s="1"/>
  <c r="HS141" i="21" s="1"/>
  <c r="HT13" i="21"/>
  <c r="HT5" i="21" s="1"/>
  <c r="HT12" i="21"/>
  <c r="HT132" i="21" s="1"/>
  <c r="HT14" i="21"/>
  <c r="HT6" i="21" s="1"/>
  <c r="HQ12" i="10"/>
  <c r="HQ15" i="10" s="1"/>
  <c r="HQ13" i="10"/>
  <c r="HQ5" i="10" s="1"/>
  <c r="HQ14" i="10"/>
  <c r="HQ6" i="10" s="1"/>
  <c r="HS80" i="21" l="1"/>
  <c r="HS91" i="21" s="1"/>
  <c r="HS92" i="21" s="1"/>
  <c r="HR170" i="21"/>
  <c r="HR173" i="21" s="1"/>
  <c r="HR179" i="21" s="1"/>
  <c r="HT149" i="21"/>
  <c r="HT162" i="21"/>
  <c r="HR144" i="21"/>
  <c r="HR152" i="21" s="1"/>
  <c r="HS142" i="21"/>
  <c r="HS139" i="21"/>
  <c r="HS48" i="21"/>
  <c r="HR55" i="21"/>
  <c r="HR58" i="21" s="1"/>
  <c r="HR66" i="21" s="1"/>
  <c r="HS113" i="21"/>
  <c r="HS81" i="21"/>
  <c r="HT77" i="21"/>
  <c r="HT74" i="21"/>
  <c r="HT87" i="21" s="1"/>
  <c r="HT88" i="21" s="1"/>
  <c r="HT75" i="21"/>
  <c r="HT106" i="21"/>
  <c r="HT103" i="21"/>
  <c r="HT117" i="21" s="1"/>
  <c r="HT118" i="21" s="1"/>
  <c r="HT104" i="21"/>
  <c r="HT102" i="21"/>
  <c r="HT110" i="21" s="1"/>
  <c r="HT15" i="21"/>
  <c r="HU11" i="21"/>
  <c r="HT7" i="21"/>
  <c r="HQ7" i="10"/>
  <c r="HR11" i="10"/>
  <c r="HS138" i="21" l="1"/>
  <c r="HS157" i="21" s="1"/>
  <c r="HS158" i="21" s="1"/>
  <c r="HS165" i="21" s="1"/>
  <c r="HT109" i="21"/>
  <c r="HS171" i="21"/>
  <c r="HS47" i="21"/>
  <c r="HS137" i="21"/>
  <c r="HS83" i="21"/>
  <c r="HS49" i="21"/>
  <c r="HS50" i="21" s="1"/>
  <c r="HS172" i="21" s="1"/>
  <c r="HS59" i="21"/>
  <c r="HS61" i="21" s="1"/>
  <c r="HT82" i="21"/>
  <c r="HS96" i="21"/>
  <c r="HS97" i="21" s="1"/>
  <c r="HT95" i="21" s="1"/>
  <c r="HT76" i="21"/>
  <c r="HT81" i="21" s="1"/>
  <c r="HT137" i="21" s="1"/>
  <c r="HT121" i="21"/>
  <c r="HT122" i="21" s="1"/>
  <c r="HT141" i="21" s="1"/>
  <c r="HT105" i="21"/>
  <c r="HT111" i="21" s="1"/>
  <c r="HT140" i="21" s="1"/>
  <c r="HS126" i="21"/>
  <c r="HS127" i="21" s="1"/>
  <c r="HT125" i="21" s="1"/>
  <c r="HT112" i="21"/>
  <c r="HU13" i="21"/>
  <c r="HU5" i="21" s="1"/>
  <c r="HU14" i="21"/>
  <c r="HU6" i="21" s="1"/>
  <c r="HU12" i="21"/>
  <c r="HU132" i="21" s="1"/>
  <c r="HR12" i="10"/>
  <c r="HR15" i="10" s="1"/>
  <c r="HR13" i="10"/>
  <c r="HR5" i="10" s="1"/>
  <c r="HR14" i="10"/>
  <c r="HR6" i="10" s="1"/>
  <c r="HT80" i="21" l="1"/>
  <c r="HT91" i="21" s="1"/>
  <c r="HT92" i="21" s="1"/>
  <c r="HS170" i="21"/>
  <c r="HS173" i="21" s="1"/>
  <c r="HS179" i="21" s="1"/>
  <c r="HU149" i="21"/>
  <c r="HU162" i="21"/>
  <c r="HS144" i="21"/>
  <c r="HS152" i="21" s="1"/>
  <c r="HT139" i="21"/>
  <c r="HT142" i="21"/>
  <c r="HU75" i="21"/>
  <c r="HU82" i="21" s="1"/>
  <c r="HT47" i="21"/>
  <c r="HT49" i="21" s="1"/>
  <c r="HT48" i="21"/>
  <c r="HS55" i="21"/>
  <c r="HS58" i="21" s="1"/>
  <c r="HS66" i="21" s="1"/>
  <c r="HT113" i="21"/>
  <c r="HT83" i="21"/>
  <c r="HT170" i="21" s="1"/>
  <c r="HU77" i="21"/>
  <c r="HU74" i="21"/>
  <c r="HU87" i="21" s="1"/>
  <c r="HU88" i="21" s="1"/>
  <c r="HU106" i="21"/>
  <c r="HU103" i="21"/>
  <c r="HU117" i="21" s="1"/>
  <c r="HU118" i="21" s="1"/>
  <c r="HU102" i="21"/>
  <c r="HU110" i="21" s="1"/>
  <c r="HU104" i="21"/>
  <c r="HU15" i="21"/>
  <c r="HV11" i="21"/>
  <c r="HU7" i="21"/>
  <c r="HR7" i="10"/>
  <c r="HS11" i="10"/>
  <c r="HT138" i="21" l="1"/>
  <c r="HT157" i="21" s="1"/>
  <c r="HU109" i="21"/>
  <c r="HU121" i="21" s="1"/>
  <c r="HU122" i="21" s="1"/>
  <c r="HU141" i="21" s="1"/>
  <c r="HT171" i="21"/>
  <c r="HT158" i="21"/>
  <c r="HT165" i="21" s="1"/>
  <c r="HT96" i="21"/>
  <c r="HT97" i="21" s="1"/>
  <c r="HU95" i="21" s="1"/>
  <c r="HT50" i="21"/>
  <c r="HT172" i="21" s="1"/>
  <c r="HU48" i="21"/>
  <c r="HU80" i="21"/>
  <c r="HU91" i="21" s="1"/>
  <c r="HU92" i="21" s="1"/>
  <c r="HT59" i="21"/>
  <c r="HT61" i="21" s="1"/>
  <c r="HU76" i="21"/>
  <c r="HU112" i="21"/>
  <c r="HT126" i="21"/>
  <c r="HT127" i="21" s="1"/>
  <c r="HU125" i="21" s="1"/>
  <c r="HU105" i="21"/>
  <c r="HU111" i="21" s="1"/>
  <c r="HU140" i="21" s="1"/>
  <c r="HV14" i="21"/>
  <c r="HV6" i="21" s="1"/>
  <c r="HV12" i="21"/>
  <c r="HV132" i="21" s="1"/>
  <c r="HV13" i="21"/>
  <c r="HV5" i="21" s="1"/>
  <c r="HS12" i="10"/>
  <c r="HS15" i="10" s="1"/>
  <c r="HS13" i="10"/>
  <c r="HS5" i="10" s="1"/>
  <c r="HS14" i="10"/>
  <c r="HS6" i="10" s="1"/>
  <c r="HT173" i="21" l="1"/>
  <c r="HT179" i="21" s="1"/>
  <c r="HT55" i="21"/>
  <c r="HT58" i="21" s="1"/>
  <c r="HU138" i="21"/>
  <c r="HT144" i="21"/>
  <c r="HT152" i="21" s="1"/>
  <c r="HU157" i="21"/>
  <c r="HU158" i="21"/>
  <c r="HU165" i="21" s="1"/>
  <c r="HV149" i="21"/>
  <c r="HV162" i="21"/>
  <c r="HU142" i="21"/>
  <c r="HU139" i="21"/>
  <c r="HT66" i="21"/>
  <c r="HU113" i="21"/>
  <c r="HU81" i="21"/>
  <c r="HV104" i="21"/>
  <c r="HV112" i="21" s="1"/>
  <c r="HV77" i="21"/>
  <c r="HV74" i="21"/>
  <c r="HV87" i="21" s="1"/>
  <c r="HV88" i="21" s="1"/>
  <c r="HV75" i="21"/>
  <c r="HV106" i="21"/>
  <c r="HV103" i="21"/>
  <c r="HV117" i="21" s="1"/>
  <c r="HV118" i="21" s="1"/>
  <c r="HV102" i="21"/>
  <c r="HV110" i="21" s="1"/>
  <c r="HV15" i="21"/>
  <c r="HW11" i="21"/>
  <c r="HV7" i="21"/>
  <c r="HS7" i="10"/>
  <c r="HT11" i="10"/>
  <c r="HV109" i="21" l="1"/>
  <c r="HU171" i="21"/>
  <c r="HV139" i="21"/>
  <c r="HV142" i="21"/>
  <c r="HU47" i="21"/>
  <c r="HU49" i="21" s="1"/>
  <c r="HU50" i="21" s="1"/>
  <c r="HU172" i="21" s="1"/>
  <c r="HU137" i="21"/>
  <c r="HU126" i="21"/>
  <c r="HU127" i="21" s="1"/>
  <c r="HV125" i="21" s="1"/>
  <c r="HU83" i="21"/>
  <c r="HU59" i="21" s="1"/>
  <c r="HU61" i="21" s="1"/>
  <c r="HU96" i="21"/>
  <c r="HU97" i="21" s="1"/>
  <c r="HV95" i="21" s="1"/>
  <c r="HV82" i="21"/>
  <c r="HV76" i="21"/>
  <c r="HV81" i="21" s="1"/>
  <c r="HV137" i="21" s="1"/>
  <c r="HV121" i="21"/>
  <c r="HV122" i="21" s="1"/>
  <c r="HV141" i="21" s="1"/>
  <c r="HV105" i="21"/>
  <c r="HV111" i="21" s="1"/>
  <c r="HW13" i="21"/>
  <c r="HW5" i="21" s="1"/>
  <c r="HW14" i="21"/>
  <c r="HW6" i="21" s="1"/>
  <c r="HW12" i="21"/>
  <c r="HW132" i="21" s="1"/>
  <c r="HT13" i="10"/>
  <c r="HT5" i="10" s="1"/>
  <c r="HT14" i="10"/>
  <c r="HT6" i="10" s="1"/>
  <c r="HT12" i="10"/>
  <c r="HT15" i="10" s="1"/>
  <c r="HV80" i="21" l="1"/>
  <c r="HV91" i="21" s="1"/>
  <c r="HV92" i="21" s="1"/>
  <c r="HU170" i="21"/>
  <c r="HU173" i="21" s="1"/>
  <c r="HU179" i="21" s="1"/>
  <c r="HW149" i="21"/>
  <c r="HW162" i="21"/>
  <c r="HU144" i="21"/>
  <c r="HU152" i="21" s="1"/>
  <c r="HV113" i="21"/>
  <c r="HV140" i="21"/>
  <c r="HW75" i="21"/>
  <c r="HV96" i="21" s="1"/>
  <c r="HV97" i="21" s="1"/>
  <c r="HW95" i="21" s="1"/>
  <c r="HV47" i="21"/>
  <c r="HV49" i="21" s="1"/>
  <c r="HV48" i="21"/>
  <c r="HU55" i="21"/>
  <c r="HU58" i="21" s="1"/>
  <c r="HU66" i="21" s="1"/>
  <c r="HV83" i="21"/>
  <c r="HV170" i="21" s="1"/>
  <c r="HW77" i="21"/>
  <c r="HW74" i="21"/>
  <c r="HW87" i="21" s="1"/>
  <c r="HW88" i="21" s="1"/>
  <c r="HW106" i="21"/>
  <c r="HW103" i="21"/>
  <c r="HW117" i="21" s="1"/>
  <c r="HW118" i="21" s="1"/>
  <c r="HW104" i="21"/>
  <c r="HW102" i="21"/>
  <c r="HW110" i="21" s="1"/>
  <c r="HX11" i="21"/>
  <c r="HW15" i="21"/>
  <c r="HW7" i="21"/>
  <c r="HU11" i="10"/>
  <c r="HT7" i="10"/>
  <c r="HV138" i="21" l="1"/>
  <c r="HV157" i="21" s="1"/>
  <c r="HW109" i="21"/>
  <c r="HV171" i="21"/>
  <c r="HV158" i="21"/>
  <c r="HV165" i="21" s="1"/>
  <c r="HW82" i="21"/>
  <c r="HV50" i="21"/>
  <c r="HV172" i="21" s="1"/>
  <c r="HW80" i="21"/>
  <c r="HW91" i="21" s="1"/>
  <c r="HW92" i="21" s="1"/>
  <c r="HV59" i="21"/>
  <c r="HV61" i="21" s="1"/>
  <c r="HW76" i="21"/>
  <c r="HV126" i="21"/>
  <c r="HV127" i="21" s="1"/>
  <c r="HW125" i="21" s="1"/>
  <c r="HW112" i="21"/>
  <c r="HW121" i="21"/>
  <c r="HW122" i="21" s="1"/>
  <c r="HW141" i="21" s="1"/>
  <c r="HW105" i="21"/>
  <c r="HW111" i="21" s="1"/>
  <c r="HW140" i="21" s="1"/>
  <c r="HX14" i="21"/>
  <c r="HX6" i="21" s="1"/>
  <c r="HX13" i="21"/>
  <c r="HX5" i="21" s="1"/>
  <c r="HX12" i="21"/>
  <c r="HX132" i="21" s="1"/>
  <c r="HU13" i="10"/>
  <c r="HU5" i="10" s="1"/>
  <c r="HU14" i="10"/>
  <c r="HU6" i="10" s="1"/>
  <c r="HU12" i="10"/>
  <c r="HU15" i="10" s="1"/>
  <c r="HV173" i="21" l="1"/>
  <c r="HV179" i="21" s="1"/>
  <c r="HW138" i="21"/>
  <c r="HV144" i="21"/>
  <c r="HV152" i="21" s="1"/>
  <c r="HX149" i="21"/>
  <c r="HX162" i="21"/>
  <c r="HW157" i="21"/>
  <c r="HW139" i="21"/>
  <c r="HW142" i="21"/>
  <c r="HX75" i="21"/>
  <c r="HW96" i="21" s="1"/>
  <c r="HW97" i="21" s="1"/>
  <c r="HX95" i="21" s="1"/>
  <c r="HW48" i="21"/>
  <c r="HV55" i="21"/>
  <c r="HV58" i="21" s="1"/>
  <c r="HV66" i="21" s="1"/>
  <c r="HW113" i="21"/>
  <c r="HW81" i="21"/>
  <c r="HX77" i="21"/>
  <c r="HX74" i="21"/>
  <c r="HX87" i="21" s="1"/>
  <c r="HX88" i="21" s="1"/>
  <c r="HX103" i="21"/>
  <c r="HX117" i="21" s="1"/>
  <c r="HX118" i="21" s="1"/>
  <c r="HX106" i="21"/>
  <c r="HX104" i="21"/>
  <c r="HX102" i="21"/>
  <c r="HX110" i="21" s="1"/>
  <c r="HX7" i="21"/>
  <c r="HX15" i="21"/>
  <c r="HY11" i="21"/>
  <c r="HV11" i="10"/>
  <c r="HU7" i="10"/>
  <c r="HX82" i="21" l="1"/>
  <c r="HX109" i="21"/>
  <c r="HW171" i="21"/>
  <c r="HW158" i="21"/>
  <c r="HW165" i="21" s="1"/>
  <c r="HW47" i="21"/>
  <c r="HW137" i="21"/>
  <c r="HW83" i="21"/>
  <c r="HW170" i="21" s="1"/>
  <c r="HW49" i="21"/>
  <c r="HW50" i="21" s="1"/>
  <c r="HW172" i="21" s="1"/>
  <c r="HX76" i="21"/>
  <c r="HX112" i="21"/>
  <c r="HW126" i="21"/>
  <c r="HW127" i="21" s="1"/>
  <c r="HX125" i="21" s="1"/>
  <c r="HX121" i="21"/>
  <c r="HX122" i="21" s="1"/>
  <c r="HX141" i="21" s="1"/>
  <c r="HX105" i="21"/>
  <c r="HX111" i="21" s="1"/>
  <c r="HX140" i="21" s="1"/>
  <c r="HY13" i="21"/>
  <c r="HY5" i="21" s="1"/>
  <c r="HY14" i="21"/>
  <c r="HY6" i="21" s="1"/>
  <c r="HY12" i="21"/>
  <c r="HY132" i="21" s="1"/>
  <c r="HV13" i="10"/>
  <c r="HV5" i="10" s="1"/>
  <c r="HV14" i="10"/>
  <c r="HV6" i="10" s="1"/>
  <c r="HV12" i="10"/>
  <c r="HV15" i="10" s="1"/>
  <c r="HW173" i="21" l="1"/>
  <c r="HW179" i="21" s="1"/>
  <c r="HW59" i="21"/>
  <c r="HW61" i="21" s="1"/>
  <c r="HX80" i="21"/>
  <c r="HX91" i="21" s="1"/>
  <c r="HX92" i="21" s="1"/>
  <c r="HX138" i="21" s="1"/>
  <c r="HX157" i="21" s="1"/>
  <c r="HY149" i="21"/>
  <c r="HY162" i="21"/>
  <c r="HW144" i="21"/>
  <c r="HW152" i="21" s="1"/>
  <c r="HX139" i="21"/>
  <c r="HX142" i="21"/>
  <c r="HY75" i="21"/>
  <c r="HX96" i="21" s="1"/>
  <c r="HX97" i="21" s="1"/>
  <c r="HY95" i="21" s="1"/>
  <c r="HW55" i="21"/>
  <c r="HW58" i="21" s="1"/>
  <c r="HW66" i="21" s="1"/>
  <c r="HX48" i="21"/>
  <c r="HX113" i="21"/>
  <c r="HX81" i="21"/>
  <c r="HY77" i="21"/>
  <c r="HY74" i="21"/>
  <c r="HY87" i="21" s="1"/>
  <c r="HY88" i="21" s="1"/>
  <c r="HY106" i="21"/>
  <c r="HY103" i="21"/>
  <c r="HY117" i="21" s="1"/>
  <c r="HY118" i="21" s="1"/>
  <c r="HY104" i="21"/>
  <c r="HY102" i="21"/>
  <c r="HY110" i="21" s="1"/>
  <c r="HZ11" i="21"/>
  <c r="HY7" i="21"/>
  <c r="HY15" i="21"/>
  <c r="HW11" i="10"/>
  <c r="HV7" i="10"/>
  <c r="HY109" i="21" l="1"/>
  <c r="HX171" i="21"/>
  <c r="HX158" i="21"/>
  <c r="HX165" i="21" s="1"/>
  <c r="HY82" i="21"/>
  <c r="HX47" i="21"/>
  <c r="HX137" i="21"/>
  <c r="HX83" i="21"/>
  <c r="HX49" i="21"/>
  <c r="HX50" i="21" s="1"/>
  <c r="HX172" i="21" s="1"/>
  <c r="HY76" i="21"/>
  <c r="HX126" i="21"/>
  <c r="HX127" i="21" s="1"/>
  <c r="HY125" i="21" s="1"/>
  <c r="HY112" i="21"/>
  <c r="HY105" i="21"/>
  <c r="HY111" i="21" s="1"/>
  <c r="HY140" i="21" s="1"/>
  <c r="HY121" i="21"/>
  <c r="HY122" i="21" s="1"/>
  <c r="HY141" i="21" s="1"/>
  <c r="HZ14" i="21"/>
  <c r="HZ6" i="21" s="1"/>
  <c r="HZ12" i="21"/>
  <c r="HZ132" i="21" s="1"/>
  <c r="HZ13" i="21"/>
  <c r="HZ5" i="21" s="1"/>
  <c r="HW13" i="10"/>
  <c r="HW5" i="10" s="1"/>
  <c r="HW14" i="10"/>
  <c r="HW6" i="10" s="1"/>
  <c r="HW12" i="10"/>
  <c r="HW15" i="10" s="1"/>
  <c r="HY80" i="21" l="1"/>
  <c r="HY91" i="21" s="1"/>
  <c r="HY92" i="21" s="1"/>
  <c r="HX170" i="21"/>
  <c r="HX173" i="21" s="1"/>
  <c r="HX179" i="21" s="1"/>
  <c r="HZ149" i="21"/>
  <c r="HZ162" i="21"/>
  <c r="HX144" i="21"/>
  <c r="HX152" i="21" s="1"/>
  <c r="HY139" i="21"/>
  <c r="HY142" i="21"/>
  <c r="HY48" i="21"/>
  <c r="HX55" i="21"/>
  <c r="HX58" i="21" s="1"/>
  <c r="HX59" i="21"/>
  <c r="HX61" i="21" s="1"/>
  <c r="HY113" i="21"/>
  <c r="HY81" i="21"/>
  <c r="HZ77" i="21"/>
  <c r="HZ74" i="21"/>
  <c r="HZ87" i="21" s="1"/>
  <c r="HZ88" i="21" s="1"/>
  <c r="HZ75" i="21"/>
  <c r="HZ103" i="21"/>
  <c r="HZ117" i="21" s="1"/>
  <c r="HZ118" i="21" s="1"/>
  <c r="HZ106" i="21"/>
  <c r="HZ104" i="21"/>
  <c r="HZ102" i="21"/>
  <c r="HZ110" i="21" s="1"/>
  <c r="IA11" i="21"/>
  <c r="HZ15" i="21"/>
  <c r="HZ7" i="21"/>
  <c r="HX11" i="10"/>
  <c r="HW7" i="10"/>
  <c r="HY138" i="21" l="1"/>
  <c r="HY157" i="21" s="1"/>
  <c r="HZ109" i="21"/>
  <c r="HY171" i="21"/>
  <c r="HY158" i="21"/>
  <c r="HY165" i="21" s="1"/>
  <c r="HY47" i="21"/>
  <c r="HY49" i="21" s="1"/>
  <c r="HY50" i="21" s="1"/>
  <c r="HY172" i="21" s="1"/>
  <c r="HY137" i="21"/>
  <c r="HX66" i="21"/>
  <c r="HY83" i="21"/>
  <c r="HY170" i="21" s="1"/>
  <c r="HY96" i="21"/>
  <c r="HY97" i="21" s="1"/>
  <c r="HZ95" i="21" s="1"/>
  <c r="HZ82" i="21"/>
  <c r="HZ76" i="21"/>
  <c r="HZ81" i="21" s="1"/>
  <c r="HZ137" i="21" s="1"/>
  <c r="HY126" i="21"/>
  <c r="HY127" i="21" s="1"/>
  <c r="HZ125" i="21" s="1"/>
  <c r="HZ112" i="21"/>
  <c r="HZ105" i="21"/>
  <c r="HZ111" i="21" s="1"/>
  <c r="HZ140" i="21" s="1"/>
  <c r="HZ121" i="21"/>
  <c r="HZ122" i="21" s="1"/>
  <c r="HZ141" i="21" s="1"/>
  <c r="IA14" i="21"/>
  <c r="IA6" i="21" s="1"/>
  <c r="IA12" i="21"/>
  <c r="IA132" i="21" s="1"/>
  <c r="IA13" i="21"/>
  <c r="IA5" i="21" s="1"/>
  <c r="HX13" i="10"/>
  <c r="HX5" i="10" s="1"/>
  <c r="HX14" i="10"/>
  <c r="HX6" i="10" s="1"/>
  <c r="HX12" i="10"/>
  <c r="HX15" i="10" s="1"/>
  <c r="HY173" i="21" l="1"/>
  <c r="HY179" i="21" s="1"/>
  <c r="HY59" i="21"/>
  <c r="HY61" i="21" s="1"/>
  <c r="HZ80" i="21"/>
  <c r="HZ91" i="21" s="1"/>
  <c r="HZ92" i="21" s="1"/>
  <c r="HZ138" i="21" s="1"/>
  <c r="HZ157" i="21" s="1"/>
  <c r="HZ158" i="21" s="1"/>
  <c r="HZ165" i="21" s="1"/>
  <c r="IA149" i="21"/>
  <c r="IA162" i="21"/>
  <c r="HY144" i="21"/>
  <c r="HY152" i="21" s="1"/>
  <c r="HZ142" i="21"/>
  <c r="HZ139" i="21"/>
  <c r="HZ47" i="21"/>
  <c r="HZ48" i="21"/>
  <c r="HY55" i="21"/>
  <c r="HY58" i="21" s="1"/>
  <c r="HY66" i="21" s="1"/>
  <c r="HZ113" i="21"/>
  <c r="HZ83" i="21"/>
  <c r="HZ170" i="21" s="1"/>
  <c r="IA102" i="21"/>
  <c r="IA110" i="21" s="1"/>
  <c r="IA77" i="21"/>
  <c r="IA74" i="21"/>
  <c r="IA87" i="21" s="1"/>
  <c r="IA88" i="21" s="1"/>
  <c r="IA75" i="21"/>
  <c r="IA106" i="21"/>
  <c r="IA103" i="21"/>
  <c r="IA117" i="21" s="1"/>
  <c r="IA118" i="21" s="1"/>
  <c r="IA104" i="21"/>
  <c r="IA15" i="21"/>
  <c r="IB11" i="21"/>
  <c r="IA7" i="21"/>
  <c r="HX7" i="10"/>
  <c r="HY11" i="10"/>
  <c r="IA109" i="21" l="1"/>
  <c r="IA121" i="21" s="1"/>
  <c r="IA122" i="21" s="1"/>
  <c r="IA141" i="21" s="1"/>
  <c r="HZ171" i="21"/>
  <c r="HZ49" i="21"/>
  <c r="HZ144" i="21"/>
  <c r="HZ152" i="21" s="1"/>
  <c r="HZ50" i="21"/>
  <c r="HZ172" i="21" s="1"/>
  <c r="IA48" i="21"/>
  <c r="HZ55" i="21"/>
  <c r="HZ58" i="21" s="1"/>
  <c r="IA80" i="21"/>
  <c r="IA91" i="21" s="1"/>
  <c r="IA92" i="21" s="1"/>
  <c r="HZ59" i="21"/>
  <c r="HZ61" i="21" s="1"/>
  <c r="HZ96" i="21"/>
  <c r="HZ97" i="21" s="1"/>
  <c r="IA95" i="21" s="1"/>
  <c r="IA82" i="21"/>
  <c r="IA76" i="21"/>
  <c r="IA81" i="21" s="1"/>
  <c r="IA137" i="21" s="1"/>
  <c r="HZ126" i="21"/>
  <c r="HZ127" i="21" s="1"/>
  <c r="IA125" i="21" s="1"/>
  <c r="IA112" i="21"/>
  <c r="IA105" i="21"/>
  <c r="IA111" i="21" s="1"/>
  <c r="IA140" i="21" s="1"/>
  <c r="IB12" i="21"/>
  <c r="IB132" i="21" s="1"/>
  <c r="IB14" i="21"/>
  <c r="IB6" i="21" s="1"/>
  <c r="IB13" i="21"/>
  <c r="IB5" i="21" s="1"/>
  <c r="HY13" i="10"/>
  <c r="HY5" i="10" s="1"/>
  <c r="HY14" i="10"/>
  <c r="HY6" i="10" s="1"/>
  <c r="HY12" i="10"/>
  <c r="HY15" i="10" s="1"/>
  <c r="HZ173" i="21" l="1"/>
  <c r="HZ179" i="21" s="1"/>
  <c r="IA138" i="21"/>
  <c r="IB149" i="21"/>
  <c r="IB162" i="21"/>
  <c r="IA157" i="21"/>
  <c r="IA139" i="21"/>
  <c r="IA142" i="21"/>
  <c r="IA144" i="21" s="1"/>
  <c r="IA152" i="21" s="1"/>
  <c r="IA47" i="21"/>
  <c r="IA49" i="21" s="1"/>
  <c r="IA50" i="21" s="1"/>
  <c r="IA172" i="21" s="1"/>
  <c r="HZ66" i="21"/>
  <c r="IA113" i="21"/>
  <c r="IA83" i="21"/>
  <c r="IA170" i="21" s="1"/>
  <c r="IB77" i="21"/>
  <c r="IB74" i="21"/>
  <c r="IB87" i="21" s="1"/>
  <c r="IB88" i="21" s="1"/>
  <c r="IB75" i="21"/>
  <c r="IB106" i="21"/>
  <c r="IB103" i="21"/>
  <c r="IB117" i="21" s="1"/>
  <c r="IB118" i="21" s="1"/>
  <c r="IB104" i="21"/>
  <c r="IB102" i="21"/>
  <c r="IB110" i="21" s="1"/>
  <c r="IB15" i="21"/>
  <c r="IC11" i="21"/>
  <c r="IB7" i="21"/>
  <c r="HZ11" i="10"/>
  <c r="HY7" i="10"/>
  <c r="IB109" i="21" l="1"/>
  <c r="IA171" i="21"/>
  <c r="IA173" i="21" s="1"/>
  <c r="IA179" i="21" s="1"/>
  <c r="IA158" i="21"/>
  <c r="IA165" i="21" s="1"/>
  <c r="IB48" i="21"/>
  <c r="IA55" i="21"/>
  <c r="IA58" i="21" s="1"/>
  <c r="IB80" i="21"/>
  <c r="IB91" i="21" s="1"/>
  <c r="IB92" i="21" s="1"/>
  <c r="IA59" i="21"/>
  <c r="IA61" i="21" s="1"/>
  <c r="IA96" i="21"/>
  <c r="IA97" i="21" s="1"/>
  <c r="IB95" i="21" s="1"/>
  <c r="IB82" i="21"/>
  <c r="IB76" i="21"/>
  <c r="IB81" i="21" s="1"/>
  <c r="IB137" i="21" s="1"/>
  <c r="IA126" i="21"/>
  <c r="IA127" i="21" s="1"/>
  <c r="IB125" i="21" s="1"/>
  <c r="IB112" i="21"/>
  <c r="IB121" i="21"/>
  <c r="IB122" i="21" s="1"/>
  <c r="IB141" i="21" s="1"/>
  <c r="IB105" i="21"/>
  <c r="IB111" i="21" s="1"/>
  <c r="IB140" i="21" s="1"/>
  <c r="IC14" i="21"/>
  <c r="IC6" i="21" s="1"/>
  <c r="IC12" i="21"/>
  <c r="IC132" i="21" s="1"/>
  <c r="IC13" i="21"/>
  <c r="IC5" i="21" s="1"/>
  <c r="HZ13" i="10"/>
  <c r="HZ5" i="10" s="1"/>
  <c r="HZ14" i="10"/>
  <c r="HZ6" i="10" s="1"/>
  <c r="HZ12" i="10"/>
  <c r="HZ15" i="10" s="1"/>
  <c r="IB138" i="21" l="1"/>
  <c r="IB157" i="21"/>
  <c r="IB158" i="21"/>
  <c r="IB165" i="21" s="1"/>
  <c r="IC149" i="21"/>
  <c r="IC162" i="21"/>
  <c r="IB139" i="21"/>
  <c r="IB142" i="21"/>
  <c r="IB144" i="21" s="1"/>
  <c r="IB152" i="21" s="1"/>
  <c r="IB47" i="21"/>
  <c r="IA66" i="21"/>
  <c r="IB113" i="21"/>
  <c r="IB83" i="21"/>
  <c r="IB170" i="21" s="1"/>
  <c r="IC77" i="21"/>
  <c r="IC74" i="21"/>
  <c r="IC87" i="21" s="1"/>
  <c r="IC88" i="21" s="1"/>
  <c r="IC75" i="21"/>
  <c r="IC106" i="21"/>
  <c r="IC103" i="21"/>
  <c r="IC117" i="21" s="1"/>
  <c r="IC118" i="21" s="1"/>
  <c r="IC102" i="21"/>
  <c r="IC110" i="21" s="1"/>
  <c r="IC104" i="21"/>
  <c r="IC15" i="21"/>
  <c r="ID11" i="21"/>
  <c r="IC7" i="21"/>
  <c r="IA11" i="10"/>
  <c r="HZ7" i="10"/>
  <c r="IC109" i="21" l="1"/>
  <c r="IB171" i="21"/>
  <c r="IB49" i="21"/>
  <c r="IB50" i="21" s="1"/>
  <c r="IB172" i="21" s="1"/>
  <c r="IC80" i="21"/>
  <c r="IC91" i="21" s="1"/>
  <c r="IC92" i="21" s="1"/>
  <c r="IB59" i="21"/>
  <c r="IB61" i="21" s="1"/>
  <c r="IB96" i="21"/>
  <c r="IB97" i="21" s="1"/>
  <c r="IC95" i="21" s="1"/>
  <c r="IC82" i="21"/>
  <c r="IC76" i="21"/>
  <c r="IC81" i="21" s="1"/>
  <c r="IC137" i="21" s="1"/>
  <c r="IB126" i="21"/>
  <c r="IB127" i="21" s="1"/>
  <c r="IC125" i="21" s="1"/>
  <c r="IC112" i="21"/>
  <c r="IC105" i="21"/>
  <c r="IC111" i="21" s="1"/>
  <c r="IC140" i="21" s="1"/>
  <c r="IC121" i="21"/>
  <c r="IC122" i="21" s="1"/>
  <c r="IC141" i="21" s="1"/>
  <c r="ID12" i="21"/>
  <c r="ID132" i="21" s="1"/>
  <c r="ID14" i="21"/>
  <c r="ID6" i="21" s="1"/>
  <c r="ID13" i="21"/>
  <c r="ID5" i="21" s="1"/>
  <c r="IA14" i="10"/>
  <c r="IA6" i="10" s="1"/>
  <c r="IA13" i="10"/>
  <c r="IA5" i="10" s="1"/>
  <c r="IA12" i="10"/>
  <c r="IA15" i="10" s="1"/>
  <c r="IB173" i="21" l="1"/>
  <c r="IB179" i="21" s="1"/>
  <c r="IB55" i="21"/>
  <c r="IB58" i="21" s="1"/>
  <c r="IC138" i="21"/>
  <c r="IC48" i="21"/>
  <c r="ID149" i="21"/>
  <c r="ID162" i="21"/>
  <c r="IC157" i="21"/>
  <c r="IC142" i="21"/>
  <c r="IC139" i="21"/>
  <c r="IC47" i="21"/>
  <c r="IB66" i="21"/>
  <c r="IC113" i="21"/>
  <c r="IC83" i="21"/>
  <c r="IC170" i="21" s="1"/>
  <c r="ID102" i="21"/>
  <c r="ID110" i="21" s="1"/>
  <c r="ID77" i="21"/>
  <c r="ID74" i="21"/>
  <c r="ID87" i="21" s="1"/>
  <c r="ID88" i="21" s="1"/>
  <c r="ID75" i="21"/>
  <c r="ID104" i="21"/>
  <c r="ID106" i="21"/>
  <c r="ID103" i="21"/>
  <c r="ID117" i="21" s="1"/>
  <c r="ID118" i="21" s="1"/>
  <c r="IE11" i="21"/>
  <c r="ID15" i="21"/>
  <c r="ID7" i="21"/>
  <c r="IB11" i="10"/>
  <c r="IA7" i="10"/>
  <c r="ID109" i="21" l="1"/>
  <c r="IC171" i="21"/>
  <c r="IC158" i="21"/>
  <c r="IC165" i="21" s="1"/>
  <c r="IC49" i="21"/>
  <c r="IC50" i="21" s="1"/>
  <c r="IC172" i="21" s="1"/>
  <c r="IC144" i="21"/>
  <c r="IC152" i="21" s="1"/>
  <c r="ID48" i="21"/>
  <c r="IC55" i="21"/>
  <c r="IC58" i="21" s="1"/>
  <c r="ID80" i="21"/>
  <c r="ID91" i="21" s="1"/>
  <c r="ID92" i="21" s="1"/>
  <c r="IC59" i="21"/>
  <c r="IC61" i="21" s="1"/>
  <c r="IC96" i="21"/>
  <c r="IC97" i="21" s="1"/>
  <c r="ID95" i="21" s="1"/>
  <c r="ID82" i="21"/>
  <c r="ID76" i="21"/>
  <c r="ID81" i="21" s="1"/>
  <c r="ID137" i="21" s="1"/>
  <c r="ID105" i="21"/>
  <c r="ID111" i="21" s="1"/>
  <c r="ID140" i="21" s="1"/>
  <c r="ID121" i="21"/>
  <c r="ID122" i="21" s="1"/>
  <c r="ID141" i="21" s="1"/>
  <c r="IC126" i="21"/>
  <c r="IC127" i="21" s="1"/>
  <c r="ID125" i="21" s="1"/>
  <c r="ID112" i="21"/>
  <c r="IE14" i="21"/>
  <c r="IE6" i="21" s="1"/>
  <c r="IE12" i="21"/>
  <c r="IE132" i="21" s="1"/>
  <c r="IE13" i="21"/>
  <c r="IE5" i="21" s="1"/>
  <c r="IB14" i="10"/>
  <c r="IB6" i="10" s="1"/>
  <c r="IB12" i="10"/>
  <c r="IB15" i="10" s="1"/>
  <c r="IB13" i="10"/>
  <c r="IB5" i="10" s="1"/>
  <c r="IC173" i="21" l="1"/>
  <c r="IC179" i="21" s="1"/>
  <c r="ID138" i="21"/>
  <c r="ID157" i="21"/>
  <c r="ID158" i="21"/>
  <c r="ID165" i="21" s="1"/>
  <c r="IE149" i="21"/>
  <c r="IE162" i="21"/>
  <c r="ID142" i="21"/>
  <c r="ID139" i="21"/>
  <c r="IE75" i="21"/>
  <c r="IE82" i="21" s="1"/>
  <c r="ID47" i="21"/>
  <c r="IC66" i="21"/>
  <c r="ID49" i="21"/>
  <c r="ID50" i="21" s="1"/>
  <c r="ID172" i="21" s="1"/>
  <c r="ID113" i="21"/>
  <c r="ID83" i="21"/>
  <c r="ID170" i="21" s="1"/>
  <c r="IE102" i="21"/>
  <c r="IE110" i="21" s="1"/>
  <c r="IE77" i="21"/>
  <c r="IE74" i="21"/>
  <c r="IE87" i="21" s="1"/>
  <c r="IE88" i="21" s="1"/>
  <c r="IE104" i="21"/>
  <c r="IE106" i="21"/>
  <c r="IE103" i="21"/>
  <c r="IE117" i="21" s="1"/>
  <c r="IE118" i="21" s="1"/>
  <c r="IE15" i="21"/>
  <c r="IF11" i="21"/>
  <c r="IE7" i="21"/>
  <c r="IC11" i="10"/>
  <c r="IB7" i="10"/>
  <c r="IE109" i="21" l="1"/>
  <c r="ID171" i="21"/>
  <c r="ID173" i="21" s="1"/>
  <c r="ID179" i="21" s="1"/>
  <c r="ID96" i="21"/>
  <c r="ID97" i="21" s="1"/>
  <c r="IE95" i="21" s="1"/>
  <c r="ID144" i="21"/>
  <c r="ID152" i="21" s="1"/>
  <c r="IE48" i="21"/>
  <c r="ID55" i="21"/>
  <c r="ID58" i="21" s="1"/>
  <c r="IE80" i="21"/>
  <c r="IE91" i="21" s="1"/>
  <c r="IE92" i="21" s="1"/>
  <c r="ID59" i="21"/>
  <c r="ID61" i="21" s="1"/>
  <c r="IE76" i="21"/>
  <c r="IE121" i="21"/>
  <c r="IE122" i="21" s="1"/>
  <c r="IE141" i="21" s="1"/>
  <c r="IE105" i="21"/>
  <c r="IE111" i="21" s="1"/>
  <c r="IE140" i="21" s="1"/>
  <c r="IE112" i="21"/>
  <c r="ID126" i="21"/>
  <c r="ID127" i="21" s="1"/>
  <c r="IE125" i="21" s="1"/>
  <c r="IF13" i="21"/>
  <c r="IF5" i="21" s="1"/>
  <c r="IF12" i="21"/>
  <c r="IF132" i="21" s="1"/>
  <c r="IF14" i="21"/>
  <c r="IF6" i="21" s="1"/>
  <c r="IC14" i="10"/>
  <c r="IC6" i="10" s="1"/>
  <c r="IC13" i="10"/>
  <c r="IC5" i="10" s="1"/>
  <c r="IC12" i="10"/>
  <c r="IC15" i="10" s="1"/>
  <c r="IE138" i="21" l="1"/>
  <c r="IF149" i="21"/>
  <c r="IF162" i="21"/>
  <c r="IE157" i="21"/>
  <c r="IE142" i="21"/>
  <c r="IE139" i="21"/>
  <c r="ID66" i="21"/>
  <c r="IE113" i="21"/>
  <c r="IE81" i="21"/>
  <c r="IF77" i="21"/>
  <c r="IF74" i="21"/>
  <c r="IF87" i="21" s="1"/>
  <c r="IF88" i="21" s="1"/>
  <c r="IF75" i="21"/>
  <c r="IF106" i="21"/>
  <c r="IF103" i="21"/>
  <c r="IF117" i="21" s="1"/>
  <c r="IF118" i="21" s="1"/>
  <c r="IF104" i="21"/>
  <c r="IF102" i="21"/>
  <c r="IF110" i="21" s="1"/>
  <c r="IF15" i="21"/>
  <c r="IG11" i="21"/>
  <c r="IF7" i="21"/>
  <c r="ID11" i="10"/>
  <c r="IC7" i="10"/>
  <c r="IF109" i="21" l="1"/>
  <c r="IE171" i="21"/>
  <c r="IE158" i="21"/>
  <c r="IE165" i="21" s="1"/>
  <c r="IE47" i="21"/>
  <c r="IE137" i="21"/>
  <c r="IE83" i="21"/>
  <c r="IE170" i="21" s="1"/>
  <c r="IE49" i="21"/>
  <c r="IE50" i="21" s="1"/>
  <c r="IE172" i="21" s="1"/>
  <c r="IF80" i="21"/>
  <c r="IF91" i="21" s="1"/>
  <c r="IF92" i="21" s="1"/>
  <c r="IF82" i="21"/>
  <c r="IE96" i="21"/>
  <c r="IE97" i="21" s="1"/>
  <c r="IF95" i="21" s="1"/>
  <c r="IF76" i="21"/>
  <c r="IF81" i="21" s="1"/>
  <c r="IF137" i="21" s="1"/>
  <c r="IF112" i="21"/>
  <c r="IE126" i="21"/>
  <c r="IE127" i="21" s="1"/>
  <c r="IF125" i="21" s="1"/>
  <c r="IF121" i="21"/>
  <c r="IF122" i="21" s="1"/>
  <c r="IF141" i="21" s="1"/>
  <c r="IF105" i="21"/>
  <c r="IF111" i="21" s="1"/>
  <c r="IF140" i="21" s="1"/>
  <c r="IG13" i="21"/>
  <c r="IG5" i="21" s="1"/>
  <c r="IG12" i="21"/>
  <c r="IG132" i="21" s="1"/>
  <c r="IG14" i="21"/>
  <c r="IG6" i="21" s="1"/>
  <c r="ID14" i="10"/>
  <c r="ID6" i="10" s="1"/>
  <c r="ID12" i="10"/>
  <c r="ID15" i="10" s="1"/>
  <c r="ID13" i="10"/>
  <c r="ID5" i="10" s="1"/>
  <c r="IE173" i="21" l="1"/>
  <c r="IE179" i="21" s="1"/>
  <c r="IE59" i="21"/>
  <c r="IE61" i="21" s="1"/>
  <c r="IF138" i="21"/>
  <c r="IF157" i="21"/>
  <c r="IF158" i="21"/>
  <c r="IF165" i="21" s="1"/>
  <c r="IG149" i="21"/>
  <c r="IG162" i="21"/>
  <c r="IE144" i="21"/>
  <c r="IE152" i="21" s="1"/>
  <c r="IF142" i="21"/>
  <c r="IF139" i="21"/>
  <c r="IF47" i="21"/>
  <c r="IE55" i="21"/>
  <c r="IE58" i="21" s="1"/>
  <c r="IE66" i="21" s="1"/>
  <c r="IF48" i="21"/>
  <c r="IF113" i="21"/>
  <c r="IF83" i="21"/>
  <c r="IF170" i="21" s="1"/>
  <c r="IG77" i="21"/>
  <c r="IG74" i="21"/>
  <c r="IG87" i="21" s="1"/>
  <c r="IG88" i="21" s="1"/>
  <c r="IG75" i="21"/>
  <c r="IG106" i="21"/>
  <c r="IG103" i="21"/>
  <c r="IG117" i="21" s="1"/>
  <c r="IG118" i="21" s="1"/>
  <c r="IG102" i="21"/>
  <c r="IG110" i="21" s="1"/>
  <c r="IG104" i="21"/>
  <c r="IG15" i="21"/>
  <c r="IH11" i="21"/>
  <c r="IG7" i="21"/>
  <c r="IE11" i="10"/>
  <c r="ID7" i="10"/>
  <c r="IG109" i="21" l="1"/>
  <c r="IG121" i="21" s="1"/>
  <c r="IG122" i="21" s="1"/>
  <c r="IG141" i="21" s="1"/>
  <c r="IF171" i="21"/>
  <c r="IF49" i="21"/>
  <c r="IF144" i="21"/>
  <c r="IF152" i="21" s="1"/>
  <c r="IF50" i="21"/>
  <c r="IF172" i="21" s="1"/>
  <c r="IG48" i="21"/>
  <c r="IF55" i="21"/>
  <c r="IF58" i="21" s="1"/>
  <c r="IG80" i="21"/>
  <c r="IG91" i="21" s="1"/>
  <c r="IG92" i="21" s="1"/>
  <c r="IF59" i="21"/>
  <c r="IF61" i="21" s="1"/>
  <c r="IF96" i="21"/>
  <c r="IF97" i="21" s="1"/>
  <c r="IG95" i="21" s="1"/>
  <c r="IG82" i="21"/>
  <c r="IG76" i="21"/>
  <c r="IG81" i="21" s="1"/>
  <c r="IG137" i="21" s="1"/>
  <c r="IF126" i="21"/>
  <c r="IF127" i="21" s="1"/>
  <c r="IG125" i="21" s="1"/>
  <c r="IG112" i="21"/>
  <c r="IG105" i="21"/>
  <c r="IG111" i="21" s="1"/>
  <c r="IG140" i="21" s="1"/>
  <c r="IH13" i="21"/>
  <c r="IH5" i="21" s="1"/>
  <c r="IH12" i="21"/>
  <c r="IH132" i="21" s="1"/>
  <c r="IH14" i="21"/>
  <c r="IH6" i="21" s="1"/>
  <c r="IE12" i="10"/>
  <c r="IE15" i="10" s="1"/>
  <c r="IE13" i="10"/>
  <c r="IE5" i="10" s="1"/>
  <c r="IE14" i="10"/>
  <c r="IE6" i="10" s="1"/>
  <c r="IF173" i="21" l="1"/>
  <c r="IF179" i="21" s="1"/>
  <c r="IG138" i="21"/>
  <c r="IH149" i="21"/>
  <c r="IH162" i="21"/>
  <c r="IG157" i="21"/>
  <c r="IG142" i="21"/>
  <c r="IG139" i="21"/>
  <c r="IH75" i="21"/>
  <c r="IG96" i="21" s="1"/>
  <c r="IG97" i="21" s="1"/>
  <c r="IH95" i="21" s="1"/>
  <c r="IF66" i="21"/>
  <c r="IG47" i="21"/>
  <c r="IG113" i="21"/>
  <c r="IG83" i="21"/>
  <c r="IG170" i="21" s="1"/>
  <c r="IH77" i="21"/>
  <c r="IH74" i="21"/>
  <c r="IH87" i="21" s="1"/>
  <c r="IH88" i="21" s="1"/>
  <c r="IH106" i="21"/>
  <c r="IH103" i="21"/>
  <c r="IH117" i="21" s="1"/>
  <c r="IH118" i="21" s="1"/>
  <c r="IH104" i="21"/>
  <c r="IH102" i="21"/>
  <c r="IH110" i="21" s="1"/>
  <c r="IH15" i="21"/>
  <c r="IH7" i="21"/>
  <c r="II11" i="21"/>
  <c r="IF11" i="10"/>
  <c r="IE7" i="10"/>
  <c r="IH82" i="21" l="1"/>
  <c r="IH109" i="21"/>
  <c r="IH121" i="21" s="1"/>
  <c r="IH122" i="21" s="1"/>
  <c r="IH141" i="21" s="1"/>
  <c r="IG171" i="21"/>
  <c r="IG158" i="21"/>
  <c r="IG165" i="21" s="1"/>
  <c r="IG49" i="21"/>
  <c r="IG50" i="21" s="1"/>
  <c r="IG172" i="21" s="1"/>
  <c r="IG144" i="21"/>
  <c r="IG152" i="21" s="1"/>
  <c r="IH48" i="21"/>
  <c r="IH80" i="21"/>
  <c r="IH91" i="21" s="1"/>
  <c r="IH92" i="21" s="1"/>
  <c r="IG59" i="21"/>
  <c r="IG61" i="21" s="1"/>
  <c r="IH76" i="21"/>
  <c r="IG126" i="21"/>
  <c r="IG127" i="21" s="1"/>
  <c r="IH125" i="21" s="1"/>
  <c r="IH112" i="21"/>
  <c r="IH105" i="21"/>
  <c r="IH111" i="21" s="1"/>
  <c r="IH140" i="21" s="1"/>
  <c r="II12" i="21"/>
  <c r="II132" i="21" s="1"/>
  <c r="II13" i="21"/>
  <c r="II5" i="21" s="1"/>
  <c r="II14" i="21"/>
  <c r="II6" i="21" s="1"/>
  <c r="IF12" i="10"/>
  <c r="IF15" i="10" s="1"/>
  <c r="IF13" i="10"/>
  <c r="IF5" i="10" s="1"/>
  <c r="IF14" i="10"/>
  <c r="IF6" i="10" s="1"/>
  <c r="IG173" i="21" l="1"/>
  <c r="IG179" i="21" s="1"/>
  <c r="IG55" i="21"/>
  <c r="IG58" i="21" s="1"/>
  <c r="IH138" i="21"/>
  <c r="IH157" i="21"/>
  <c r="II149" i="21"/>
  <c r="II162" i="21"/>
  <c r="IH158" i="21"/>
  <c r="IH165" i="21" s="1"/>
  <c r="IH142" i="21"/>
  <c r="IH139" i="21"/>
  <c r="II75" i="21"/>
  <c r="IH96" i="21" s="1"/>
  <c r="IH97" i="21" s="1"/>
  <c r="II95" i="21" s="1"/>
  <c r="IG66" i="21"/>
  <c r="IH113" i="21"/>
  <c r="IH81" i="21"/>
  <c r="II77" i="21"/>
  <c r="II74" i="21"/>
  <c r="II87" i="21" s="1"/>
  <c r="II88" i="21" s="1"/>
  <c r="II106" i="21"/>
  <c r="II103" i="21"/>
  <c r="II117" i="21" s="1"/>
  <c r="II118" i="21" s="1"/>
  <c r="II104" i="21"/>
  <c r="II102" i="21"/>
  <c r="II110" i="21" s="1"/>
  <c r="II15" i="21"/>
  <c r="II7" i="21"/>
  <c r="IJ11" i="21"/>
  <c r="IF7" i="10"/>
  <c r="IG11" i="10"/>
  <c r="II109" i="21" l="1"/>
  <c r="IH171" i="21"/>
  <c r="II82" i="21"/>
  <c r="IH47" i="21"/>
  <c r="IH137" i="21"/>
  <c r="IH83" i="21"/>
  <c r="IH170" i="21" s="1"/>
  <c r="IH49" i="21"/>
  <c r="IH50" i="21" s="1"/>
  <c r="IH172" i="21" s="1"/>
  <c r="II80" i="21"/>
  <c r="II91" i="21" s="1"/>
  <c r="II92" i="21" s="1"/>
  <c r="II76" i="21"/>
  <c r="IH126" i="21"/>
  <c r="IH127" i="21" s="1"/>
  <c r="II125" i="21" s="1"/>
  <c r="II112" i="21"/>
  <c r="II121" i="21"/>
  <c r="II122" i="21" s="1"/>
  <c r="II141" i="21" s="1"/>
  <c r="II105" i="21"/>
  <c r="II111" i="21" s="1"/>
  <c r="II140" i="21" s="1"/>
  <c r="IJ13" i="21"/>
  <c r="IJ5" i="21" s="1"/>
  <c r="IJ14" i="21"/>
  <c r="IJ6" i="21" s="1"/>
  <c r="IJ12" i="21"/>
  <c r="IJ132" i="21" s="1"/>
  <c r="IG12" i="10"/>
  <c r="IG15" i="10" s="1"/>
  <c r="IG13" i="10"/>
  <c r="IG5" i="10" s="1"/>
  <c r="IG14" i="10"/>
  <c r="IG6" i="10" s="1"/>
  <c r="IH173" i="21" l="1"/>
  <c r="IH179" i="21" s="1"/>
  <c r="IH59" i="21"/>
  <c r="IH61" i="21" s="1"/>
  <c r="II138" i="21"/>
  <c r="IJ149" i="21"/>
  <c r="IJ162" i="21"/>
  <c r="II157" i="21"/>
  <c r="IH144" i="21"/>
  <c r="IH152" i="21" s="1"/>
  <c r="II142" i="21"/>
  <c r="II139" i="21"/>
  <c r="II48" i="21"/>
  <c r="IH55" i="21"/>
  <c r="IH58" i="21" s="1"/>
  <c r="IH66" i="21" s="1"/>
  <c r="II113" i="21"/>
  <c r="II81" i="21"/>
  <c r="IJ77" i="21"/>
  <c r="IJ74" i="21"/>
  <c r="IJ87" i="21" s="1"/>
  <c r="IJ88" i="21" s="1"/>
  <c r="IJ75" i="21"/>
  <c r="IJ103" i="21"/>
  <c r="IJ117" i="21" s="1"/>
  <c r="IJ118" i="21" s="1"/>
  <c r="IJ106" i="21"/>
  <c r="IJ104" i="21"/>
  <c r="IJ102" i="21"/>
  <c r="IJ110" i="21" s="1"/>
  <c r="IJ7" i="21"/>
  <c r="IJ15" i="21"/>
  <c r="IK11" i="21"/>
  <c r="IG7" i="10"/>
  <c r="IH11" i="10"/>
  <c r="IJ109" i="21" l="1"/>
  <c r="II171" i="21"/>
  <c r="II158" i="21"/>
  <c r="II165" i="21" s="1"/>
  <c r="II47" i="21"/>
  <c r="II137" i="21"/>
  <c r="II83" i="21"/>
  <c r="II170" i="21" s="1"/>
  <c r="II49" i="21"/>
  <c r="II50" i="21" s="1"/>
  <c r="II172" i="21" s="1"/>
  <c r="IJ80" i="21"/>
  <c r="IJ91" i="21" s="1"/>
  <c r="IJ92" i="21" s="1"/>
  <c r="II96" i="21"/>
  <c r="II97" i="21" s="1"/>
  <c r="IJ95" i="21" s="1"/>
  <c r="IJ82" i="21"/>
  <c r="IJ76" i="21"/>
  <c r="IJ81" i="21" s="1"/>
  <c r="IJ137" i="21" s="1"/>
  <c r="II126" i="21"/>
  <c r="II127" i="21" s="1"/>
  <c r="IJ125" i="21" s="1"/>
  <c r="IJ112" i="21"/>
  <c r="IJ105" i="21"/>
  <c r="IJ111" i="21" s="1"/>
  <c r="IJ140" i="21" s="1"/>
  <c r="IJ121" i="21"/>
  <c r="IJ122" i="21" s="1"/>
  <c r="IJ141" i="21" s="1"/>
  <c r="IK13" i="21"/>
  <c r="IK5" i="21" s="1"/>
  <c r="IK14" i="21"/>
  <c r="IK6" i="21" s="1"/>
  <c r="IK12" i="21"/>
  <c r="IK132" i="21" s="1"/>
  <c r="IH12" i="10"/>
  <c r="IH15" i="10" s="1"/>
  <c r="IH13" i="10"/>
  <c r="IH5" i="10" s="1"/>
  <c r="IH14" i="10"/>
  <c r="IH6" i="10" s="1"/>
  <c r="II173" i="21" l="1"/>
  <c r="II179" i="21" s="1"/>
  <c r="II59" i="21"/>
  <c r="II61" i="21" s="1"/>
  <c r="IJ138" i="21"/>
  <c r="IJ157" i="21"/>
  <c r="IK149" i="21"/>
  <c r="IK162" i="21"/>
  <c r="IJ158" i="21"/>
  <c r="IJ165" i="21" s="1"/>
  <c r="II144" i="21"/>
  <c r="II152" i="21" s="1"/>
  <c r="IJ142" i="21"/>
  <c r="IJ139" i="21"/>
  <c r="IK75" i="21"/>
  <c r="IK82" i="21" s="1"/>
  <c r="IJ47" i="21"/>
  <c r="IJ48" i="21"/>
  <c r="II55" i="21"/>
  <c r="II58" i="21" s="1"/>
  <c r="II66" i="21" s="1"/>
  <c r="IJ49" i="21"/>
  <c r="IJ113" i="21"/>
  <c r="IJ83" i="21"/>
  <c r="IJ170" i="21" s="1"/>
  <c r="IK77" i="21"/>
  <c r="IK74" i="21"/>
  <c r="IK87" i="21" s="1"/>
  <c r="IK88" i="21" s="1"/>
  <c r="IK106" i="21"/>
  <c r="IK103" i="21"/>
  <c r="IK117" i="21" s="1"/>
  <c r="IK118" i="21" s="1"/>
  <c r="IK104" i="21"/>
  <c r="IK102" i="21"/>
  <c r="IK110" i="21" s="1"/>
  <c r="IK15" i="21"/>
  <c r="IK7" i="21"/>
  <c r="IL11" i="21"/>
  <c r="IH7" i="10"/>
  <c r="II11" i="10"/>
  <c r="IK109" i="21" l="1"/>
  <c r="IK121" i="21" s="1"/>
  <c r="IK122" i="21" s="1"/>
  <c r="IK141" i="21" s="1"/>
  <c r="IJ171" i="21"/>
  <c r="IJ144" i="21"/>
  <c r="IJ152" i="21" s="1"/>
  <c r="IJ96" i="21"/>
  <c r="IJ97" i="21" s="1"/>
  <c r="IK95" i="21" s="1"/>
  <c r="IJ50" i="21"/>
  <c r="IJ172" i="21" s="1"/>
  <c r="IK80" i="21"/>
  <c r="IK91" i="21" s="1"/>
  <c r="IK92" i="21" s="1"/>
  <c r="IJ59" i="21"/>
  <c r="IJ61" i="21" s="1"/>
  <c r="IK76" i="21"/>
  <c r="IK112" i="21"/>
  <c r="IJ126" i="21"/>
  <c r="IJ127" i="21" s="1"/>
  <c r="IK125" i="21" s="1"/>
  <c r="IK105" i="21"/>
  <c r="IK111" i="21" s="1"/>
  <c r="IK140" i="21" s="1"/>
  <c r="IL13" i="21"/>
  <c r="IL5" i="21" s="1"/>
  <c r="IL12" i="21"/>
  <c r="IL132" i="21" s="1"/>
  <c r="IL14" i="21"/>
  <c r="IL6" i="21" s="1"/>
  <c r="II13" i="10"/>
  <c r="II5" i="10" s="1"/>
  <c r="II14" i="10"/>
  <c r="II6" i="10" s="1"/>
  <c r="II12" i="10"/>
  <c r="II15" i="10" s="1"/>
  <c r="IJ173" i="21" l="1"/>
  <c r="IJ179" i="21" s="1"/>
  <c r="IK138" i="21"/>
  <c r="IL149" i="21"/>
  <c r="IL162" i="21"/>
  <c r="IK157" i="21"/>
  <c r="IK142" i="21"/>
  <c r="IK139" i="21"/>
  <c r="IL75" i="21"/>
  <c r="IL82" i="21" s="1"/>
  <c r="IK48" i="21"/>
  <c r="IJ55" i="21"/>
  <c r="IJ58" i="21" s="1"/>
  <c r="IJ66" i="21" s="1"/>
  <c r="IK113" i="21"/>
  <c r="IK81" i="21"/>
  <c r="IL104" i="21"/>
  <c r="IK126" i="21" s="1"/>
  <c r="IK127" i="21" s="1"/>
  <c r="IL77" i="21"/>
  <c r="IL74" i="21"/>
  <c r="IL87" i="21" s="1"/>
  <c r="IL88" i="21" s="1"/>
  <c r="IL106" i="21"/>
  <c r="IL103" i="21"/>
  <c r="IL117" i="21" s="1"/>
  <c r="IL118" i="21" s="1"/>
  <c r="IL102" i="21"/>
  <c r="IL110" i="21" s="1"/>
  <c r="IM11" i="21"/>
  <c r="IL15" i="21"/>
  <c r="IL7" i="21"/>
  <c r="II7" i="10"/>
  <c r="IJ11" i="10"/>
  <c r="IK96" i="21" l="1"/>
  <c r="IK97" i="21" s="1"/>
  <c r="IL95" i="21" s="1"/>
  <c r="IL109" i="21"/>
  <c r="IK171" i="21"/>
  <c r="IK158" i="21"/>
  <c r="IK165" i="21" s="1"/>
  <c r="IL125" i="21"/>
  <c r="IK47" i="21"/>
  <c r="IK49" i="21" s="1"/>
  <c r="IK50" i="21" s="1"/>
  <c r="IK172" i="21" s="1"/>
  <c r="IK137" i="21"/>
  <c r="IK83" i="21"/>
  <c r="IK170" i="21" s="1"/>
  <c r="IL112" i="21"/>
  <c r="IL76" i="21"/>
  <c r="IL121" i="21"/>
  <c r="IL122" i="21" s="1"/>
  <c r="IL141" i="21" s="1"/>
  <c r="IL105" i="21"/>
  <c r="IL111" i="21" s="1"/>
  <c r="IL140" i="21" s="1"/>
  <c r="IM13" i="21"/>
  <c r="IM5" i="21" s="1"/>
  <c r="IM14" i="21"/>
  <c r="IM6" i="21" s="1"/>
  <c r="IM12" i="21"/>
  <c r="IM132" i="21" s="1"/>
  <c r="IJ13" i="10"/>
  <c r="IJ5" i="10" s="1"/>
  <c r="IJ14" i="10"/>
  <c r="IJ6" i="10" s="1"/>
  <c r="IJ12" i="10"/>
  <c r="IJ15" i="10" s="1"/>
  <c r="IK173" i="21" l="1"/>
  <c r="IK179" i="21" s="1"/>
  <c r="IK59" i="21"/>
  <c r="IK61" i="21" s="1"/>
  <c r="IL80" i="21"/>
  <c r="IL91" i="21" s="1"/>
  <c r="IL92" i="21" s="1"/>
  <c r="IL138" i="21" s="1"/>
  <c r="IL157" i="21" s="1"/>
  <c r="IL158" i="21" s="1"/>
  <c r="IL165" i="21" s="1"/>
  <c r="IM149" i="21"/>
  <c r="IM162" i="21"/>
  <c r="IK144" i="21"/>
  <c r="IK152" i="21" s="1"/>
  <c r="IL139" i="21"/>
  <c r="IL142" i="21"/>
  <c r="IL48" i="21"/>
  <c r="IK55" i="21"/>
  <c r="IK58" i="21" s="1"/>
  <c r="IK66" i="21" s="1"/>
  <c r="IL113" i="21"/>
  <c r="IL81" i="21"/>
  <c r="IM102" i="21"/>
  <c r="IM110" i="21" s="1"/>
  <c r="IM77" i="21"/>
  <c r="IM74" i="21"/>
  <c r="IM87" i="21" s="1"/>
  <c r="IM88" i="21" s="1"/>
  <c r="IM75" i="21"/>
  <c r="IM104" i="21"/>
  <c r="IM106" i="21"/>
  <c r="IM103" i="21"/>
  <c r="IM117" i="21" s="1"/>
  <c r="IM118" i="21" s="1"/>
  <c r="IN11" i="21"/>
  <c r="IM15" i="21"/>
  <c r="IM7" i="21"/>
  <c r="IK11" i="10"/>
  <c r="IJ7" i="10"/>
  <c r="IM109" i="21" l="1"/>
  <c r="IL171" i="21"/>
  <c r="IL47" i="21"/>
  <c r="IL137" i="21"/>
  <c r="IL83" i="21"/>
  <c r="IL170" i="21" s="1"/>
  <c r="IL49" i="21"/>
  <c r="IL50" i="21" s="1"/>
  <c r="IL172" i="21" s="1"/>
  <c r="IM80" i="21"/>
  <c r="IM91" i="21" s="1"/>
  <c r="IM92" i="21" s="1"/>
  <c r="IL59" i="21"/>
  <c r="IL61" i="21" s="1"/>
  <c r="IL96" i="21"/>
  <c r="IL97" i="21" s="1"/>
  <c r="IM95" i="21" s="1"/>
  <c r="IM82" i="21"/>
  <c r="IM76" i="21"/>
  <c r="IM81" i="21" s="1"/>
  <c r="IM137" i="21" s="1"/>
  <c r="IM121" i="21"/>
  <c r="IM122" i="21" s="1"/>
  <c r="IM141" i="21" s="1"/>
  <c r="IM105" i="21"/>
  <c r="IM111" i="21" s="1"/>
  <c r="IM140" i="21" s="1"/>
  <c r="IL126" i="21"/>
  <c r="IL127" i="21" s="1"/>
  <c r="IM125" i="21" s="1"/>
  <c r="IM112" i="21"/>
  <c r="IN14" i="21"/>
  <c r="IN6" i="21" s="1"/>
  <c r="IN12" i="21"/>
  <c r="IN132" i="21" s="1"/>
  <c r="IN13" i="21"/>
  <c r="IN5" i="21" s="1"/>
  <c r="IK13" i="10"/>
  <c r="IK5" i="10" s="1"/>
  <c r="IK14" i="10"/>
  <c r="IK6" i="10" s="1"/>
  <c r="IK12" i="10"/>
  <c r="IK15" i="10" s="1"/>
  <c r="IL173" i="21" l="1"/>
  <c r="IL179" i="21" s="1"/>
  <c r="IM138" i="21"/>
  <c r="IN149" i="21"/>
  <c r="IN162" i="21"/>
  <c r="IM157" i="21"/>
  <c r="IL144" i="21"/>
  <c r="IL152" i="21" s="1"/>
  <c r="IM142" i="21"/>
  <c r="IM139" i="21"/>
  <c r="IN75" i="21"/>
  <c r="IN82" i="21" s="1"/>
  <c r="IM47" i="21"/>
  <c r="IM48" i="21"/>
  <c r="IL55" i="21"/>
  <c r="IL58" i="21" s="1"/>
  <c r="IL66" i="21" s="1"/>
  <c r="IM113" i="21"/>
  <c r="IM83" i="21"/>
  <c r="IM170" i="21" s="1"/>
  <c r="IN102" i="21"/>
  <c r="IN110" i="21" s="1"/>
  <c r="IN77" i="21"/>
  <c r="IN74" i="21"/>
  <c r="IN87" i="21" s="1"/>
  <c r="IN88" i="21" s="1"/>
  <c r="IN104" i="21"/>
  <c r="IN103" i="21"/>
  <c r="IN117" i="21" s="1"/>
  <c r="IN118" i="21" s="1"/>
  <c r="IN106" i="21"/>
  <c r="IN15" i="21"/>
  <c r="IO11" i="21"/>
  <c r="IN7" i="21"/>
  <c r="IK7" i="10"/>
  <c r="IL11" i="10"/>
  <c r="IN109" i="21" l="1"/>
  <c r="IM171" i="21"/>
  <c r="IM158" i="21"/>
  <c r="IM165" i="21" s="1"/>
  <c r="IM49" i="21"/>
  <c r="IM144" i="21"/>
  <c r="IM152" i="21" s="1"/>
  <c r="IM96" i="21"/>
  <c r="IM97" i="21" s="1"/>
  <c r="IN95" i="21" s="1"/>
  <c r="IM50" i="21"/>
  <c r="IM172" i="21" s="1"/>
  <c r="IN80" i="21"/>
  <c r="IN91" i="21" s="1"/>
  <c r="IN92" i="21" s="1"/>
  <c r="IM59" i="21"/>
  <c r="IM61" i="21" s="1"/>
  <c r="IN76" i="21"/>
  <c r="IN121" i="21"/>
  <c r="IN122" i="21" s="1"/>
  <c r="IN141" i="21" s="1"/>
  <c r="IN105" i="21"/>
  <c r="IN111" i="21" s="1"/>
  <c r="IN140" i="21" s="1"/>
  <c r="IM126" i="21"/>
  <c r="IM127" i="21" s="1"/>
  <c r="IN125" i="21" s="1"/>
  <c r="IN112" i="21"/>
  <c r="IO13" i="21"/>
  <c r="IO5" i="21" s="1"/>
  <c r="IO14" i="21"/>
  <c r="IO6" i="21" s="1"/>
  <c r="IO12" i="21"/>
  <c r="IO132" i="21" s="1"/>
  <c r="IL13" i="10"/>
  <c r="IL5" i="10" s="1"/>
  <c r="IL14" i="10"/>
  <c r="IL6" i="10" s="1"/>
  <c r="IL12" i="10"/>
  <c r="IL15" i="10" s="1"/>
  <c r="IM173" i="21" l="1"/>
  <c r="IM179" i="21" s="1"/>
  <c r="IN48" i="21"/>
  <c r="IM55" i="21"/>
  <c r="IM58" i="21" s="1"/>
  <c r="IN138" i="21"/>
  <c r="IN157" i="21"/>
  <c r="IN158" i="21"/>
  <c r="IN165" i="21" s="1"/>
  <c r="IO149" i="21"/>
  <c r="IO162" i="21"/>
  <c r="IN139" i="21"/>
  <c r="IN142" i="21"/>
  <c r="IM66" i="21"/>
  <c r="IN113" i="21"/>
  <c r="IN81" i="21"/>
  <c r="IO77" i="21"/>
  <c r="IO74" i="21"/>
  <c r="IO87" i="21" s="1"/>
  <c r="IO88" i="21" s="1"/>
  <c r="IO75" i="21"/>
  <c r="IO106" i="21"/>
  <c r="IO103" i="21"/>
  <c r="IO117" i="21" s="1"/>
  <c r="IO118" i="21" s="1"/>
  <c r="IO104" i="21"/>
  <c r="IO102" i="21"/>
  <c r="IO110" i="21" s="1"/>
  <c r="IP11" i="21"/>
  <c r="IO15" i="21"/>
  <c r="IO7" i="21"/>
  <c r="IM11" i="10"/>
  <c r="IL7" i="10"/>
  <c r="IO109" i="21" l="1"/>
  <c r="IN171" i="21"/>
  <c r="IN47" i="21"/>
  <c r="IN137" i="21"/>
  <c r="IN83" i="21"/>
  <c r="IN49" i="21"/>
  <c r="IN50" i="21" s="1"/>
  <c r="IN172" i="21" s="1"/>
  <c r="IO82" i="21"/>
  <c r="IN96" i="21"/>
  <c r="IN97" i="21" s="1"/>
  <c r="IO95" i="21" s="1"/>
  <c r="IO76" i="21"/>
  <c r="IO81" i="21" s="1"/>
  <c r="IO137" i="21" s="1"/>
  <c r="IO112" i="21"/>
  <c r="IN126" i="21"/>
  <c r="IN127" i="21" s="1"/>
  <c r="IO125" i="21" s="1"/>
  <c r="IO121" i="21"/>
  <c r="IO122" i="21" s="1"/>
  <c r="IO141" i="21" s="1"/>
  <c r="IO105" i="21"/>
  <c r="IO111" i="21" s="1"/>
  <c r="IO140" i="21" s="1"/>
  <c r="IP14" i="21"/>
  <c r="IP6" i="21" s="1"/>
  <c r="IP13" i="21"/>
  <c r="IP5" i="21" s="1"/>
  <c r="IP12" i="21"/>
  <c r="IP132" i="21" s="1"/>
  <c r="IM13" i="10"/>
  <c r="IM5" i="10" s="1"/>
  <c r="IM14" i="10"/>
  <c r="IM6" i="10" s="1"/>
  <c r="IM12" i="10"/>
  <c r="IM15" i="10" s="1"/>
  <c r="IO80" i="21" l="1"/>
  <c r="IO91" i="21" s="1"/>
  <c r="IO92" i="21" s="1"/>
  <c r="IN170" i="21"/>
  <c r="IN173" i="21" s="1"/>
  <c r="IN179" i="21" s="1"/>
  <c r="IP149" i="21"/>
  <c r="IP162" i="21"/>
  <c r="IN144" i="21"/>
  <c r="IN152" i="21" s="1"/>
  <c r="IO139" i="21"/>
  <c r="IO142" i="21"/>
  <c r="IO47" i="21"/>
  <c r="IO49" i="21" s="1"/>
  <c r="IO48" i="21"/>
  <c r="IN55" i="21"/>
  <c r="IN58" i="21" s="1"/>
  <c r="IN59" i="21"/>
  <c r="IN61" i="21" s="1"/>
  <c r="IO113" i="21"/>
  <c r="IO83" i="21"/>
  <c r="IO170" i="21" s="1"/>
  <c r="IP104" i="21"/>
  <c r="IO126" i="21" s="1"/>
  <c r="IO127" i="21" s="1"/>
  <c r="IP77" i="21"/>
  <c r="IP74" i="21"/>
  <c r="IP87" i="21" s="1"/>
  <c r="IP88" i="21" s="1"/>
  <c r="IP75" i="21"/>
  <c r="IP106" i="21"/>
  <c r="IP103" i="21"/>
  <c r="IP117" i="21" s="1"/>
  <c r="IP118" i="21" s="1"/>
  <c r="IP102" i="21"/>
  <c r="IP110" i="21" s="1"/>
  <c r="IQ11" i="21"/>
  <c r="IP15" i="21"/>
  <c r="IP7" i="21"/>
  <c r="IN11" i="10"/>
  <c r="IM7" i="10"/>
  <c r="IO138" i="21" l="1"/>
  <c r="IO157" i="21" s="1"/>
  <c r="IP109" i="21"/>
  <c r="IP121" i="21" s="1"/>
  <c r="IP122" i="21" s="1"/>
  <c r="IP141" i="21" s="1"/>
  <c r="IO171" i="21"/>
  <c r="IO158" i="21"/>
  <c r="IO165" i="21" s="1"/>
  <c r="IN66" i="21"/>
  <c r="IP125" i="21"/>
  <c r="IO50" i="21"/>
  <c r="IP112" i="21"/>
  <c r="IP80" i="21"/>
  <c r="IP91" i="21" s="1"/>
  <c r="IP92" i="21" s="1"/>
  <c r="IO59" i="21"/>
  <c r="IO61" i="21" s="1"/>
  <c r="IO96" i="21"/>
  <c r="IO97" i="21" s="1"/>
  <c r="IP95" i="21" s="1"/>
  <c r="IP82" i="21"/>
  <c r="IP76" i="21"/>
  <c r="IP81" i="21" s="1"/>
  <c r="IP137" i="21" s="1"/>
  <c r="IP105" i="21"/>
  <c r="IP111" i="21" s="1"/>
  <c r="IP140" i="21" s="1"/>
  <c r="IQ14" i="21"/>
  <c r="IQ6" i="21" s="1"/>
  <c r="IQ12" i="21"/>
  <c r="IQ132" i="21" s="1"/>
  <c r="IQ13" i="21"/>
  <c r="IQ5" i="21" s="1"/>
  <c r="IN13" i="10"/>
  <c r="IN5" i="10" s="1"/>
  <c r="IN14" i="10"/>
  <c r="IN6" i="10" s="1"/>
  <c r="IN12" i="10"/>
  <c r="IN15" i="10" s="1"/>
  <c r="IP138" i="21" l="1"/>
  <c r="IO144" i="21"/>
  <c r="IO152" i="21" s="1"/>
  <c r="IP48" i="21"/>
  <c r="IO172" i="21"/>
  <c r="IO173" i="21" s="1"/>
  <c r="IO179" i="21" s="1"/>
  <c r="IP157" i="21"/>
  <c r="IP158" i="21" s="1"/>
  <c r="IP165" i="21" s="1"/>
  <c r="IQ149" i="21"/>
  <c r="IQ162" i="21"/>
  <c r="IO55" i="21"/>
  <c r="IO58" i="21" s="1"/>
  <c r="IO66" i="21" s="1"/>
  <c r="IP142" i="21"/>
  <c r="IP139" i="21"/>
  <c r="IQ75" i="21"/>
  <c r="IQ82" i="21" s="1"/>
  <c r="IP47" i="21"/>
  <c r="IP49" i="21" s="1"/>
  <c r="IP50" i="21" s="1"/>
  <c r="IP172" i="21" s="1"/>
  <c r="IP113" i="21"/>
  <c r="IP83" i="21"/>
  <c r="IP170" i="21" s="1"/>
  <c r="IQ77" i="21"/>
  <c r="IQ74" i="21"/>
  <c r="IQ87" i="21" s="1"/>
  <c r="IQ88" i="21" s="1"/>
  <c r="IQ106" i="21"/>
  <c r="IQ103" i="21"/>
  <c r="IQ117" i="21" s="1"/>
  <c r="IQ118" i="21" s="1"/>
  <c r="IQ104" i="21"/>
  <c r="IQ102" i="21"/>
  <c r="IQ110" i="21" s="1"/>
  <c r="IQ15" i="21"/>
  <c r="IQ7" i="21"/>
  <c r="IR11" i="21"/>
  <c r="IO11" i="10"/>
  <c r="IN7" i="10"/>
  <c r="IQ109" i="21" l="1"/>
  <c r="IP171" i="21"/>
  <c r="IP173" i="21" s="1"/>
  <c r="IP179" i="21" s="1"/>
  <c r="IP144" i="21"/>
  <c r="IP152" i="21" s="1"/>
  <c r="IP96" i="21"/>
  <c r="IP97" i="21" s="1"/>
  <c r="IQ95" i="21" s="1"/>
  <c r="IQ48" i="21"/>
  <c r="IP55" i="21"/>
  <c r="IP58" i="21" s="1"/>
  <c r="IQ80" i="21"/>
  <c r="IQ91" i="21" s="1"/>
  <c r="IQ92" i="21" s="1"/>
  <c r="IP59" i="21"/>
  <c r="IP61" i="21" s="1"/>
  <c r="IQ76" i="21"/>
  <c r="IQ121" i="21"/>
  <c r="IQ122" i="21" s="1"/>
  <c r="IQ141" i="21" s="1"/>
  <c r="IQ105" i="21"/>
  <c r="IQ111" i="21" s="1"/>
  <c r="IQ140" i="21" s="1"/>
  <c r="IP126" i="21"/>
  <c r="IP127" i="21" s="1"/>
  <c r="IQ125" i="21" s="1"/>
  <c r="IQ112" i="21"/>
  <c r="IR12" i="21"/>
  <c r="IR132" i="21" s="1"/>
  <c r="IR13" i="21"/>
  <c r="IR5" i="21" s="1"/>
  <c r="IR14" i="21"/>
  <c r="IR6" i="21" s="1"/>
  <c r="IO14" i="10"/>
  <c r="IO6" i="10" s="1"/>
  <c r="IO12" i="10"/>
  <c r="IO15" i="10" s="1"/>
  <c r="IO13" i="10"/>
  <c r="IO5" i="10" s="1"/>
  <c r="IQ138" i="21" l="1"/>
  <c r="IR149" i="21"/>
  <c r="IR162" i="21"/>
  <c r="IQ157" i="21"/>
  <c r="IQ139" i="21"/>
  <c r="IQ142" i="21"/>
  <c r="IP66" i="21"/>
  <c r="IQ113" i="21"/>
  <c r="IQ81" i="21"/>
  <c r="IR77" i="21"/>
  <c r="IR74" i="21"/>
  <c r="IR87" i="21" s="1"/>
  <c r="IR88" i="21" s="1"/>
  <c r="IR75" i="21"/>
  <c r="IR106" i="21"/>
  <c r="IR103" i="21"/>
  <c r="IR117" i="21" s="1"/>
  <c r="IR118" i="21" s="1"/>
  <c r="IR102" i="21"/>
  <c r="IR110" i="21" s="1"/>
  <c r="IR104" i="21"/>
  <c r="IR15" i="21"/>
  <c r="IR7" i="21"/>
  <c r="IS11" i="21"/>
  <c r="IP11" i="10"/>
  <c r="IO7" i="10"/>
  <c r="IR109" i="21" l="1"/>
  <c r="IQ171" i="21"/>
  <c r="IQ158" i="21"/>
  <c r="IQ165" i="21" s="1"/>
  <c r="IQ47" i="21"/>
  <c r="IQ137" i="21"/>
  <c r="IQ83" i="21"/>
  <c r="IQ170" i="21" s="1"/>
  <c r="IQ49" i="21"/>
  <c r="IQ50" i="21" s="1"/>
  <c r="IQ172" i="21" s="1"/>
  <c r="IR80" i="21"/>
  <c r="IR91" i="21" s="1"/>
  <c r="IR92" i="21" s="1"/>
  <c r="IQ96" i="21"/>
  <c r="IQ97" i="21" s="1"/>
  <c r="IR95" i="21" s="1"/>
  <c r="IR82" i="21"/>
  <c r="IR76" i="21"/>
  <c r="IR81" i="21" s="1"/>
  <c r="IR137" i="21" s="1"/>
  <c r="IR112" i="21"/>
  <c r="IQ126" i="21"/>
  <c r="IQ127" i="21" s="1"/>
  <c r="IR125" i="21" s="1"/>
  <c r="IR105" i="21"/>
  <c r="IR111" i="21" s="1"/>
  <c r="IR140" i="21" s="1"/>
  <c r="IR121" i="21"/>
  <c r="IR122" i="21" s="1"/>
  <c r="IR141" i="21" s="1"/>
  <c r="IS14" i="21"/>
  <c r="IS6" i="21" s="1"/>
  <c r="IS12" i="21"/>
  <c r="IS132" i="21" s="1"/>
  <c r="IS13" i="21"/>
  <c r="IS5" i="21" s="1"/>
  <c r="IP14" i="10"/>
  <c r="IP6" i="10" s="1"/>
  <c r="IP13" i="10"/>
  <c r="IP5" i="10" s="1"/>
  <c r="IP12" i="10"/>
  <c r="IP15" i="10" s="1"/>
  <c r="IQ173" i="21" l="1"/>
  <c r="IQ179" i="21" s="1"/>
  <c r="IQ59" i="21"/>
  <c r="IQ61" i="21" s="1"/>
  <c r="IR138" i="21"/>
  <c r="IR157" i="21"/>
  <c r="IS149" i="21"/>
  <c r="IS162" i="21"/>
  <c r="IR158" i="21"/>
  <c r="IR165" i="21" s="1"/>
  <c r="IQ144" i="21"/>
  <c r="IQ152" i="21" s="1"/>
  <c r="IR139" i="21"/>
  <c r="IR142" i="21"/>
  <c r="IS75" i="21"/>
  <c r="IR96" i="21" s="1"/>
  <c r="IR97" i="21" s="1"/>
  <c r="IS95" i="21" s="1"/>
  <c r="IR47" i="21"/>
  <c r="IR48" i="21"/>
  <c r="IQ55" i="21"/>
  <c r="IQ58" i="21" s="1"/>
  <c r="IQ66" i="21" s="1"/>
  <c r="IR113" i="21"/>
  <c r="IR83" i="21"/>
  <c r="IR170" i="21" s="1"/>
  <c r="IS102" i="21"/>
  <c r="IS110" i="21" s="1"/>
  <c r="IS77" i="21"/>
  <c r="IS74" i="21"/>
  <c r="IS87" i="21" s="1"/>
  <c r="IS88" i="21" s="1"/>
  <c r="IS104" i="21"/>
  <c r="IS106" i="21"/>
  <c r="IS103" i="21"/>
  <c r="IS117" i="21" s="1"/>
  <c r="IS118" i="21" s="1"/>
  <c r="IS15" i="21"/>
  <c r="IS7" i="21"/>
  <c r="IT11" i="21"/>
  <c r="IQ11" i="10"/>
  <c r="IP7" i="10"/>
  <c r="IR144" i="21" l="1"/>
  <c r="IR152" i="21" s="1"/>
  <c r="IS109" i="21"/>
  <c r="IR171" i="21"/>
  <c r="IR49" i="21"/>
  <c r="IS82" i="21"/>
  <c r="IR50" i="21"/>
  <c r="IS80" i="21"/>
  <c r="IS91" i="21" s="1"/>
  <c r="IS92" i="21" s="1"/>
  <c r="IR59" i="21"/>
  <c r="IR61" i="21" s="1"/>
  <c r="IS76" i="21"/>
  <c r="IS121" i="21"/>
  <c r="IS122" i="21" s="1"/>
  <c r="IS141" i="21" s="1"/>
  <c r="IS105" i="21"/>
  <c r="IS111" i="21" s="1"/>
  <c r="IS140" i="21" s="1"/>
  <c r="IS112" i="21"/>
  <c r="IR126" i="21"/>
  <c r="IR127" i="21" s="1"/>
  <c r="IS125" i="21" s="1"/>
  <c r="IT12" i="21"/>
  <c r="IT132" i="21" s="1"/>
  <c r="IT14" i="21"/>
  <c r="IT6" i="21" s="1"/>
  <c r="IT13" i="21"/>
  <c r="IT5" i="21" s="1"/>
  <c r="IQ14" i="10"/>
  <c r="IQ6" i="10" s="1"/>
  <c r="IQ12" i="10"/>
  <c r="IQ15" i="10" s="1"/>
  <c r="IQ13" i="10"/>
  <c r="IQ5" i="10" s="1"/>
  <c r="IS138" i="21" l="1"/>
  <c r="IS48" i="21"/>
  <c r="IR172" i="21"/>
  <c r="IR173" i="21" s="1"/>
  <c r="IR179" i="21" s="1"/>
  <c r="IR55" i="21"/>
  <c r="IR58" i="21" s="1"/>
  <c r="IR66" i="21" s="1"/>
  <c r="IT149" i="21"/>
  <c r="IT162" i="21"/>
  <c r="IS157" i="21"/>
  <c r="IS142" i="21"/>
  <c r="IS139" i="21"/>
  <c r="IS113" i="21"/>
  <c r="IS81" i="21"/>
  <c r="IT77" i="21"/>
  <c r="IT74" i="21"/>
  <c r="IT87" i="21" s="1"/>
  <c r="IT88" i="21" s="1"/>
  <c r="IT75" i="21"/>
  <c r="IT106" i="21"/>
  <c r="IT103" i="21"/>
  <c r="IT117" i="21" s="1"/>
  <c r="IT118" i="21" s="1"/>
  <c r="IT104" i="21"/>
  <c r="IT102" i="21"/>
  <c r="IT110" i="21" s="1"/>
  <c r="IU11" i="21"/>
  <c r="IT15" i="21"/>
  <c r="IT7" i="21"/>
  <c r="IR11" i="10"/>
  <c r="IQ7" i="10"/>
  <c r="IT109" i="21" l="1"/>
  <c r="IS171" i="21"/>
  <c r="IS158" i="21"/>
  <c r="IS165" i="21" s="1"/>
  <c r="IS47" i="21"/>
  <c r="IS137" i="21"/>
  <c r="IS83" i="21"/>
  <c r="IS170" i="21" s="1"/>
  <c r="IS49" i="21"/>
  <c r="IS50" i="21" s="1"/>
  <c r="IS172" i="21" s="1"/>
  <c r="IT80" i="21"/>
  <c r="IT91" i="21" s="1"/>
  <c r="IT92" i="21" s="1"/>
  <c r="IS96" i="21"/>
  <c r="IS97" i="21" s="1"/>
  <c r="IT95" i="21" s="1"/>
  <c r="IT82" i="21"/>
  <c r="IT76" i="21"/>
  <c r="IT81" i="21" s="1"/>
  <c r="IT137" i="21" s="1"/>
  <c r="IS126" i="21"/>
  <c r="IS127" i="21" s="1"/>
  <c r="IT125" i="21" s="1"/>
  <c r="IT112" i="21"/>
  <c r="IT121" i="21"/>
  <c r="IT122" i="21" s="1"/>
  <c r="IT141" i="21" s="1"/>
  <c r="IT105" i="21"/>
  <c r="IT111" i="21" s="1"/>
  <c r="IT140" i="21" s="1"/>
  <c r="IU14" i="21"/>
  <c r="IU6" i="21" s="1"/>
  <c r="IU12" i="21"/>
  <c r="IU132" i="21" s="1"/>
  <c r="IU13" i="21"/>
  <c r="IU5" i="21" s="1"/>
  <c r="IR14" i="10"/>
  <c r="IR6" i="10" s="1"/>
  <c r="IR12" i="10"/>
  <c r="IR15" i="10" s="1"/>
  <c r="IR13" i="10"/>
  <c r="IR5" i="10" s="1"/>
  <c r="IS173" i="21" l="1"/>
  <c r="IS179" i="21" s="1"/>
  <c r="IS59" i="21"/>
  <c r="IS61" i="21" s="1"/>
  <c r="IT138" i="21"/>
  <c r="IT157" i="21"/>
  <c r="IT158" i="21"/>
  <c r="IT165" i="21" s="1"/>
  <c r="IU149" i="21"/>
  <c r="IU162" i="21"/>
  <c r="IS144" i="21"/>
  <c r="IS152" i="21" s="1"/>
  <c r="IT142" i="21"/>
  <c r="IT139" i="21"/>
  <c r="IT47" i="21"/>
  <c r="IT48" i="21"/>
  <c r="IS55" i="21"/>
  <c r="IS58" i="21" s="1"/>
  <c r="IS66" i="21" s="1"/>
  <c r="IT113" i="21"/>
  <c r="IT83" i="21"/>
  <c r="IT170" i="21" s="1"/>
  <c r="IU104" i="21"/>
  <c r="IT126" i="21" s="1"/>
  <c r="IT127" i="21" s="1"/>
  <c r="IU77" i="21"/>
  <c r="IU74" i="21"/>
  <c r="IU87" i="21" s="1"/>
  <c r="IU88" i="21" s="1"/>
  <c r="IU75" i="21"/>
  <c r="IU106" i="21"/>
  <c r="IU103" i="21"/>
  <c r="IU117" i="21" s="1"/>
  <c r="IU118" i="21" s="1"/>
  <c r="IU102" i="21"/>
  <c r="IU110" i="21" s="1"/>
  <c r="IU15" i="21"/>
  <c r="IU7" i="21"/>
  <c r="IV11" i="21"/>
  <c r="IS11" i="10"/>
  <c r="IR7" i="10"/>
  <c r="IU109" i="21" l="1"/>
  <c r="IT171" i="21"/>
  <c r="IT49" i="21"/>
  <c r="IT144" i="21"/>
  <c r="IT152" i="21" s="1"/>
  <c r="IT50" i="21"/>
  <c r="IT172" i="21" s="1"/>
  <c r="IU112" i="21"/>
  <c r="IU48" i="21"/>
  <c r="IU80" i="21"/>
  <c r="IU91" i="21" s="1"/>
  <c r="IU92" i="21" s="1"/>
  <c r="IT59" i="21"/>
  <c r="IT61" i="21" s="1"/>
  <c r="IU125" i="21"/>
  <c r="IU82" i="21"/>
  <c r="IT96" i="21"/>
  <c r="IT97" i="21" s="1"/>
  <c r="IU95" i="21" s="1"/>
  <c r="IU76" i="21"/>
  <c r="IU81" i="21" s="1"/>
  <c r="IU137" i="21" s="1"/>
  <c r="IU121" i="21"/>
  <c r="IU122" i="21" s="1"/>
  <c r="IU141" i="21" s="1"/>
  <c r="IU105" i="21"/>
  <c r="IU111" i="21" s="1"/>
  <c r="IV14" i="21"/>
  <c r="IV6" i="21" s="1"/>
  <c r="IV12" i="21"/>
  <c r="IV132" i="21" s="1"/>
  <c r="IV13" i="21"/>
  <c r="IV5" i="21" s="1"/>
  <c r="IS14" i="10"/>
  <c r="IS6" i="10" s="1"/>
  <c r="IS13" i="10"/>
  <c r="IS5" i="10" s="1"/>
  <c r="IS12" i="10"/>
  <c r="IS15" i="10" s="1"/>
  <c r="IT173" i="21" l="1"/>
  <c r="IT179" i="21" s="1"/>
  <c r="IT55" i="21"/>
  <c r="IT58" i="21" s="1"/>
  <c r="IT66" i="21" s="1"/>
  <c r="IU138" i="21"/>
  <c r="IV149" i="21"/>
  <c r="IV162" i="21"/>
  <c r="IU157" i="21"/>
  <c r="IU113" i="21"/>
  <c r="IU140" i="21"/>
  <c r="IU142" i="21"/>
  <c r="IU139" i="21"/>
  <c r="IU47" i="21"/>
  <c r="IU49" i="21"/>
  <c r="IU50" i="21" s="1"/>
  <c r="IU172" i="21" s="1"/>
  <c r="IU83" i="21"/>
  <c r="IU170" i="21" s="1"/>
  <c r="IV102" i="21"/>
  <c r="IV110" i="21" s="1"/>
  <c r="IV77" i="21"/>
  <c r="IV74" i="21"/>
  <c r="IV87" i="21" s="1"/>
  <c r="IV88" i="21" s="1"/>
  <c r="IV75" i="21"/>
  <c r="IV106" i="21"/>
  <c r="IV103" i="21"/>
  <c r="IV117" i="21" s="1"/>
  <c r="IV118" i="21" s="1"/>
  <c r="IV104" i="21"/>
  <c r="IV15" i="21"/>
  <c r="IV7" i="21"/>
  <c r="IW11" i="21"/>
  <c r="IT11" i="10"/>
  <c r="IS7" i="10"/>
  <c r="IV109" i="21" l="1"/>
  <c r="IU171" i="21"/>
  <c r="IU173" i="21" s="1"/>
  <c r="IU179" i="21" s="1"/>
  <c r="IU158" i="21"/>
  <c r="IU165" i="21" s="1"/>
  <c r="IU144" i="21"/>
  <c r="IU152" i="21" s="1"/>
  <c r="IU55" i="21"/>
  <c r="IU58" i="21" s="1"/>
  <c r="IV48" i="21"/>
  <c r="IV80" i="21"/>
  <c r="IV91" i="21" s="1"/>
  <c r="IV92" i="21" s="1"/>
  <c r="IU59" i="21"/>
  <c r="IU61" i="21" s="1"/>
  <c r="IU96" i="21"/>
  <c r="IU97" i="21" s="1"/>
  <c r="IV95" i="21" s="1"/>
  <c r="IV82" i="21"/>
  <c r="IV76" i="21"/>
  <c r="IV81" i="21" s="1"/>
  <c r="IV137" i="21" s="1"/>
  <c r="IV112" i="21"/>
  <c r="IU126" i="21"/>
  <c r="IU127" i="21" s="1"/>
  <c r="IV125" i="21" s="1"/>
  <c r="IV121" i="21"/>
  <c r="IV122" i="21" s="1"/>
  <c r="IV141" i="21" s="1"/>
  <c r="IV105" i="21"/>
  <c r="IV111" i="21" s="1"/>
  <c r="IV140" i="21" s="1"/>
  <c r="IW13" i="21"/>
  <c r="IW5" i="21" s="1"/>
  <c r="IW14" i="21"/>
  <c r="IW6" i="21" s="1"/>
  <c r="IW12" i="21"/>
  <c r="IW132" i="21" s="1"/>
  <c r="IT14" i="10"/>
  <c r="IT6" i="10" s="1"/>
  <c r="IT13" i="10"/>
  <c r="IT5" i="10" s="1"/>
  <c r="IT12" i="10"/>
  <c r="IT15" i="10" s="1"/>
  <c r="IV138" i="21" l="1"/>
  <c r="IV157" i="21"/>
  <c r="IW149" i="21"/>
  <c r="IW162" i="21"/>
  <c r="IV158" i="21"/>
  <c r="IV165" i="21" s="1"/>
  <c r="IV142" i="21"/>
  <c r="IV139" i="21"/>
  <c r="IV47" i="21"/>
  <c r="IV49" i="21" s="1"/>
  <c r="IV50" i="21" s="1"/>
  <c r="IV172" i="21" s="1"/>
  <c r="IU66" i="21"/>
  <c r="IV113" i="21"/>
  <c r="IV83" i="21"/>
  <c r="IV170" i="21" s="1"/>
  <c r="IW102" i="21"/>
  <c r="IW110" i="21" s="1"/>
  <c r="IW77" i="21"/>
  <c r="IW74" i="21"/>
  <c r="IW87" i="21" s="1"/>
  <c r="IW88" i="21" s="1"/>
  <c r="IW75" i="21"/>
  <c r="IW104" i="21"/>
  <c r="IW106" i="21"/>
  <c r="IW103" i="21"/>
  <c r="IW117" i="21" s="1"/>
  <c r="IW118" i="21" s="1"/>
  <c r="IW15" i="21"/>
  <c r="IX11" i="21"/>
  <c r="IW7" i="21"/>
  <c r="IU11" i="10"/>
  <c r="IT7" i="10"/>
  <c r="IW109" i="21" l="1"/>
  <c r="IV171" i="21"/>
  <c r="IV173" i="21" s="1"/>
  <c r="IV179" i="21" s="1"/>
  <c r="IV144" i="21"/>
  <c r="IV152" i="21" s="1"/>
  <c r="IW48" i="21"/>
  <c r="IV55" i="21"/>
  <c r="IV58" i="21" s="1"/>
  <c r="IW80" i="21"/>
  <c r="IW91" i="21" s="1"/>
  <c r="IW92" i="21" s="1"/>
  <c r="IV59" i="21"/>
  <c r="IV61" i="21" s="1"/>
  <c r="IV96" i="21"/>
  <c r="IV97" i="21" s="1"/>
  <c r="IW95" i="21" s="1"/>
  <c r="IW82" i="21"/>
  <c r="IW76" i="21"/>
  <c r="IW81" i="21" s="1"/>
  <c r="IW137" i="21" s="1"/>
  <c r="IV126" i="21"/>
  <c r="IV127" i="21" s="1"/>
  <c r="IW125" i="21" s="1"/>
  <c r="IW112" i="21"/>
  <c r="IW121" i="21"/>
  <c r="IW122" i="21" s="1"/>
  <c r="IW141" i="21" s="1"/>
  <c r="IW105" i="21"/>
  <c r="IW111" i="21" s="1"/>
  <c r="IW140" i="21" s="1"/>
  <c r="IX13" i="21"/>
  <c r="IX5" i="21" s="1"/>
  <c r="IX14" i="21"/>
  <c r="IX6" i="21" s="1"/>
  <c r="IX12" i="21"/>
  <c r="IX132" i="21" s="1"/>
  <c r="IU12" i="10"/>
  <c r="IU15" i="10" s="1"/>
  <c r="IU14" i="10"/>
  <c r="IU6" i="10" s="1"/>
  <c r="IU13" i="10"/>
  <c r="IU5" i="10" s="1"/>
  <c r="IW138" i="21" l="1"/>
  <c r="IW157" i="21"/>
  <c r="IX149" i="21"/>
  <c r="IX162" i="21"/>
  <c r="IW142" i="21"/>
  <c r="IW139" i="21"/>
  <c r="IX75" i="21"/>
  <c r="IW96" i="21" s="1"/>
  <c r="IW97" i="21" s="1"/>
  <c r="IX95" i="21" s="1"/>
  <c r="IW47" i="21"/>
  <c r="IV66" i="21"/>
  <c r="IW113" i="21"/>
  <c r="IW83" i="21"/>
  <c r="IW170" i="21" s="1"/>
  <c r="IX104" i="21"/>
  <c r="IW126" i="21" s="1"/>
  <c r="IW127" i="21" s="1"/>
  <c r="IX77" i="21"/>
  <c r="IX74" i="21"/>
  <c r="IX87" i="21" s="1"/>
  <c r="IX88" i="21" s="1"/>
  <c r="IX106" i="21"/>
  <c r="IX103" i="21"/>
  <c r="IX117" i="21" s="1"/>
  <c r="IX118" i="21" s="1"/>
  <c r="IX102" i="21"/>
  <c r="IX110" i="21" s="1"/>
  <c r="IX15" i="21"/>
  <c r="IX7" i="21"/>
  <c r="IY11" i="21"/>
  <c r="IU7" i="10"/>
  <c r="IV11" i="10"/>
  <c r="IX82" i="21" l="1"/>
  <c r="IX109" i="21"/>
  <c r="IW171" i="21"/>
  <c r="IW158" i="21"/>
  <c r="IW165" i="21" s="1"/>
  <c r="IW49" i="21"/>
  <c r="IW50" i="21" s="1"/>
  <c r="IW172" i="21" s="1"/>
  <c r="IW144" i="21"/>
  <c r="IW152" i="21" s="1"/>
  <c r="IX125" i="21"/>
  <c r="IX80" i="21"/>
  <c r="IX91" i="21" s="1"/>
  <c r="IX92" i="21" s="1"/>
  <c r="IW59" i="21"/>
  <c r="IW61" i="21" s="1"/>
  <c r="IX112" i="21"/>
  <c r="IX76" i="21"/>
  <c r="IX105" i="21"/>
  <c r="IX111" i="21" s="1"/>
  <c r="IX140" i="21" s="1"/>
  <c r="IX121" i="21"/>
  <c r="IX122" i="21" s="1"/>
  <c r="IX141" i="21" s="1"/>
  <c r="IY12" i="21"/>
  <c r="IY132" i="21" s="1"/>
  <c r="IY13" i="21"/>
  <c r="IY5" i="21" s="1"/>
  <c r="IY14" i="21"/>
  <c r="IY6" i="21" s="1"/>
  <c r="IV12" i="10"/>
  <c r="IV15" i="10" s="1"/>
  <c r="IV13" i="10"/>
  <c r="IV5" i="10" s="1"/>
  <c r="IV14" i="10"/>
  <c r="IV6" i="10" s="1"/>
  <c r="IW173" i="21" l="1"/>
  <c r="IW179" i="21" s="1"/>
  <c r="IW55" i="21"/>
  <c r="IW58" i="21" s="1"/>
  <c r="IX48" i="21"/>
  <c r="IX138" i="21"/>
  <c r="IX157" i="21"/>
  <c r="IX158" i="21"/>
  <c r="IX165" i="21" s="1"/>
  <c r="IY149" i="21"/>
  <c r="IY162" i="21"/>
  <c r="IX139" i="21"/>
  <c r="IX142" i="21"/>
  <c r="IW66" i="21"/>
  <c r="IX113" i="21"/>
  <c r="IX81" i="21"/>
  <c r="IY77" i="21"/>
  <c r="IY74" i="21"/>
  <c r="IY87" i="21" s="1"/>
  <c r="IY88" i="21" s="1"/>
  <c r="IY75" i="21"/>
  <c r="IY106" i="21"/>
  <c r="IY103" i="21"/>
  <c r="IY117" i="21" s="1"/>
  <c r="IY118" i="21" s="1"/>
  <c r="IY104" i="21"/>
  <c r="IY102" i="21"/>
  <c r="IY110" i="21" s="1"/>
  <c r="IY15" i="21"/>
  <c r="IY7" i="21"/>
  <c r="IZ11" i="21"/>
  <c r="IV7" i="10"/>
  <c r="IW11" i="10"/>
  <c r="IY109" i="21" l="1"/>
  <c r="IX171" i="21"/>
  <c r="IX47" i="21"/>
  <c r="IX137" i="21"/>
  <c r="IX83" i="21"/>
  <c r="IX170" i="21" s="1"/>
  <c r="IX49" i="21"/>
  <c r="IX50" i="21" s="1"/>
  <c r="IX172" i="21" s="1"/>
  <c r="IY80" i="21"/>
  <c r="IY91" i="21" s="1"/>
  <c r="IY92" i="21" s="1"/>
  <c r="IX59" i="21"/>
  <c r="IX61" i="21" s="1"/>
  <c r="IX96" i="21"/>
  <c r="IX97" i="21" s="1"/>
  <c r="IY95" i="21" s="1"/>
  <c r="IY82" i="21"/>
  <c r="IY76" i="21"/>
  <c r="IY81" i="21" s="1"/>
  <c r="IY137" i="21" s="1"/>
  <c r="IX126" i="21"/>
  <c r="IX127" i="21" s="1"/>
  <c r="IY125" i="21" s="1"/>
  <c r="IY112" i="21"/>
  <c r="IY105" i="21"/>
  <c r="IY111" i="21" s="1"/>
  <c r="IY140" i="21" s="1"/>
  <c r="IY121" i="21"/>
  <c r="IY122" i="21" s="1"/>
  <c r="IY141" i="21" s="1"/>
  <c r="IZ13" i="21"/>
  <c r="IZ5" i="21" s="1"/>
  <c r="IZ14" i="21"/>
  <c r="IZ6" i="21" s="1"/>
  <c r="IZ12" i="21"/>
  <c r="IZ132" i="21" s="1"/>
  <c r="IW12" i="10"/>
  <c r="IW15" i="10" s="1"/>
  <c r="IW13" i="10"/>
  <c r="IW5" i="10" s="1"/>
  <c r="IW14" i="10"/>
  <c r="IW6" i="10" s="1"/>
  <c r="IX173" i="21" l="1"/>
  <c r="IX179" i="21" s="1"/>
  <c r="IY138" i="21"/>
  <c r="IZ149" i="21"/>
  <c r="IZ162" i="21"/>
  <c r="IY157" i="21"/>
  <c r="IX144" i="21"/>
  <c r="IX152" i="21" s="1"/>
  <c r="IY139" i="21"/>
  <c r="IY142" i="21"/>
  <c r="IY144" i="21" s="1"/>
  <c r="IY152" i="21" s="1"/>
  <c r="IY47" i="21"/>
  <c r="IY48" i="21"/>
  <c r="IX55" i="21"/>
  <c r="IX58" i="21" s="1"/>
  <c r="IX66" i="21" s="1"/>
  <c r="IY113" i="21"/>
  <c r="IY83" i="21"/>
  <c r="IY170" i="21" s="1"/>
  <c r="IZ77" i="21"/>
  <c r="IZ74" i="21"/>
  <c r="IZ87" i="21" s="1"/>
  <c r="IZ88" i="21" s="1"/>
  <c r="IZ75" i="21"/>
  <c r="IZ106" i="21"/>
  <c r="IZ103" i="21"/>
  <c r="IZ117" i="21" s="1"/>
  <c r="IZ118" i="21" s="1"/>
  <c r="IZ104" i="21"/>
  <c r="IZ102" i="21"/>
  <c r="IZ110" i="21" s="1"/>
  <c r="IZ15" i="21"/>
  <c r="JA11" i="21"/>
  <c r="IZ7" i="21"/>
  <c r="IW7" i="10"/>
  <c r="IX11" i="10"/>
  <c r="IZ109" i="21" l="1"/>
  <c r="IZ121" i="21" s="1"/>
  <c r="IZ122" i="21" s="1"/>
  <c r="IZ141" i="21" s="1"/>
  <c r="IY171" i="21"/>
  <c r="IY158" i="21"/>
  <c r="IY165" i="21" s="1"/>
  <c r="IY49" i="21"/>
  <c r="IY50" i="21" s="1"/>
  <c r="IZ80" i="21"/>
  <c r="IY59" i="21"/>
  <c r="IY61" i="21" s="1"/>
  <c r="IY96" i="21"/>
  <c r="IY97" i="21" s="1"/>
  <c r="IZ95" i="21" s="1"/>
  <c r="IZ82" i="21"/>
  <c r="IZ91" i="21"/>
  <c r="IZ92" i="21" s="1"/>
  <c r="IZ76" i="21"/>
  <c r="IZ81" i="21" s="1"/>
  <c r="IZ137" i="21" s="1"/>
  <c r="IY126" i="21"/>
  <c r="IY127" i="21" s="1"/>
  <c r="IZ125" i="21" s="1"/>
  <c r="IZ112" i="21"/>
  <c r="IZ105" i="21"/>
  <c r="IZ111" i="21" s="1"/>
  <c r="IZ140" i="21" s="1"/>
  <c r="JA13" i="21"/>
  <c r="JA5" i="21" s="1"/>
  <c r="JA14" i="21"/>
  <c r="JA6" i="21" s="1"/>
  <c r="JA12" i="21"/>
  <c r="JA132" i="21" s="1"/>
  <c r="IX12" i="10"/>
  <c r="IX15" i="10" s="1"/>
  <c r="IX13" i="10"/>
  <c r="IX5" i="10" s="1"/>
  <c r="IX14" i="10"/>
  <c r="IX6" i="10" s="1"/>
  <c r="IY172" i="21" l="1"/>
  <c r="IZ48" i="21"/>
  <c r="IY55" i="21"/>
  <c r="IY58" i="21" s="1"/>
  <c r="IY173" i="21"/>
  <c r="IY179" i="21" s="1"/>
  <c r="IZ138" i="21"/>
  <c r="IZ157" i="21"/>
  <c r="IZ158" i="21"/>
  <c r="IZ165" i="21" s="1"/>
  <c r="JA149" i="21"/>
  <c r="JA162" i="21"/>
  <c r="IZ139" i="21"/>
  <c r="IZ142" i="21"/>
  <c r="IY66" i="21"/>
  <c r="IZ47" i="21"/>
  <c r="IZ49" i="21"/>
  <c r="IZ50" i="21" s="1"/>
  <c r="IZ172" i="21" s="1"/>
  <c r="IZ113" i="21"/>
  <c r="IZ83" i="21"/>
  <c r="IZ170" i="21" s="1"/>
  <c r="JA77" i="21"/>
  <c r="JA74" i="21"/>
  <c r="JA87" i="21" s="1"/>
  <c r="JA88" i="21" s="1"/>
  <c r="JA75" i="21"/>
  <c r="JA106" i="21"/>
  <c r="JA103" i="21"/>
  <c r="JA117" i="21" s="1"/>
  <c r="JA118" i="21" s="1"/>
  <c r="JA104" i="21"/>
  <c r="JA102" i="21"/>
  <c r="JA110" i="21" s="1"/>
  <c r="JA15" i="21"/>
  <c r="JB11" i="21"/>
  <c r="JA7" i="21"/>
  <c r="IX7" i="10"/>
  <c r="IY11" i="10"/>
  <c r="IZ144" i="21" l="1"/>
  <c r="IZ152" i="21" s="1"/>
  <c r="JA109" i="21"/>
  <c r="IZ171" i="21"/>
  <c r="IZ173" i="21" s="1"/>
  <c r="IZ179" i="21" s="1"/>
  <c r="JA48" i="21"/>
  <c r="IZ55" i="21"/>
  <c r="IZ58" i="21" s="1"/>
  <c r="JA80" i="21"/>
  <c r="JA91" i="21" s="1"/>
  <c r="JA92" i="21" s="1"/>
  <c r="IZ59" i="21"/>
  <c r="IZ61" i="21" s="1"/>
  <c r="IZ96" i="21"/>
  <c r="IZ97" i="21" s="1"/>
  <c r="JA95" i="21" s="1"/>
  <c r="JA82" i="21"/>
  <c r="JA76" i="21"/>
  <c r="JA81" i="21" s="1"/>
  <c r="JA137" i="21" s="1"/>
  <c r="IZ126" i="21"/>
  <c r="IZ127" i="21" s="1"/>
  <c r="JA125" i="21" s="1"/>
  <c r="JA112" i="21"/>
  <c r="JA105" i="21"/>
  <c r="JA111" i="21" s="1"/>
  <c r="JA140" i="21" s="1"/>
  <c r="JA121" i="21"/>
  <c r="JA122" i="21" s="1"/>
  <c r="JA141" i="21" s="1"/>
  <c r="JB14" i="21"/>
  <c r="JB6" i="21" s="1"/>
  <c r="JB12" i="21"/>
  <c r="JB132" i="21" s="1"/>
  <c r="JB13" i="21"/>
  <c r="JB5" i="21" s="1"/>
  <c r="IY13" i="10"/>
  <c r="IY5" i="10" s="1"/>
  <c r="IY12" i="10"/>
  <c r="IY15" i="10" s="1"/>
  <c r="IY14" i="10"/>
  <c r="IY6" i="10" s="1"/>
  <c r="JA138" i="21" l="1"/>
  <c r="JB149" i="21"/>
  <c r="JB162" i="21"/>
  <c r="JA157" i="21"/>
  <c r="JA142" i="21"/>
  <c r="JA139" i="21"/>
  <c r="JB75" i="21"/>
  <c r="JA96" i="21" s="1"/>
  <c r="JA97" i="21" s="1"/>
  <c r="JB95" i="21" s="1"/>
  <c r="JA47" i="21"/>
  <c r="IZ66" i="21"/>
  <c r="JA113" i="21"/>
  <c r="JA83" i="21"/>
  <c r="JA170" i="21" s="1"/>
  <c r="JB102" i="21"/>
  <c r="JB110" i="21" s="1"/>
  <c r="JB77" i="21"/>
  <c r="JB74" i="21"/>
  <c r="JB87" i="21" s="1"/>
  <c r="JB88" i="21" s="1"/>
  <c r="JB104" i="21"/>
  <c r="JB106" i="21"/>
  <c r="JB103" i="21"/>
  <c r="JB117" i="21" s="1"/>
  <c r="JB118" i="21" s="1"/>
  <c r="JB15" i="21"/>
  <c r="JC11" i="21"/>
  <c r="JB7" i="21"/>
  <c r="IY7" i="10"/>
  <c r="IZ11" i="10"/>
  <c r="JB82" i="21" l="1"/>
  <c r="JB109" i="21"/>
  <c r="JA171" i="21"/>
  <c r="JA158" i="21"/>
  <c r="JA165" i="21" s="1"/>
  <c r="JA49" i="21"/>
  <c r="JA50" i="21" s="1"/>
  <c r="JA172" i="21" s="1"/>
  <c r="JA144" i="21"/>
  <c r="JA152" i="21" s="1"/>
  <c r="JB48" i="21"/>
  <c r="JB80" i="21"/>
  <c r="JB91" i="21" s="1"/>
  <c r="JB92" i="21" s="1"/>
  <c r="JA59" i="21"/>
  <c r="JA61" i="21" s="1"/>
  <c r="JB76" i="21"/>
  <c r="JA126" i="21"/>
  <c r="JA127" i="21" s="1"/>
  <c r="JB125" i="21" s="1"/>
  <c r="JB112" i="21"/>
  <c r="JB121" i="21"/>
  <c r="JB122" i="21" s="1"/>
  <c r="JB141" i="21" s="1"/>
  <c r="JB105" i="21"/>
  <c r="JB111" i="21" s="1"/>
  <c r="JB140" i="21" s="1"/>
  <c r="JC13" i="21"/>
  <c r="JC5" i="21" s="1"/>
  <c r="JC14" i="21"/>
  <c r="JC6" i="21" s="1"/>
  <c r="JC12" i="21"/>
  <c r="JC132" i="21" s="1"/>
  <c r="IZ13" i="10"/>
  <c r="IZ5" i="10" s="1"/>
  <c r="IZ12" i="10"/>
  <c r="IZ15" i="10" s="1"/>
  <c r="IZ14" i="10"/>
  <c r="IZ6" i="10" s="1"/>
  <c r="JA173" i="21" l="1"/>
  <c r="JA179" i="21" s="1"/>
  <c r="JA55" i="21"/>
  <c r="JA58" i="21" s="1"/>
  <c r="JA66" i="21" s="1"/>
  <c r="JB138" i="21"/>
  <c r="JC149" i="21"/>
  <c r="JC162" i="21"/>
  <c r="JB157" i="21"/>
  <c r="JB139" i="21"/>
  <c r="JB142" i="21"/>
  <c r="JB113" i="21"/>
  <c r="JB81" i="21"/>
  <c r="JC102" i="21"/>
  <c r="JC110" i="21" s="1"/>
  <c r="JC77" i="21"/>
  <c r="JC74" i="21"/>
  <c r="JC87" i="21" s="1"/>
  <c r="JC88" i="21" s="1"/>
  <c r="JC75" i="21"/>
  <c r="JC106" i="21"/>
  <c r="JC103" i="21"/>
  <c r="JC117" i="21" s="1"/>
  <c r="JC118" i="21" s="1"/>
  <c r="JC104" i="21"/>
  <c r="JD11" i="21"/>
  <c r="JC15" i="21"/>
  <c r="JC7" i="21"/>
  <c r="JA11" i="10"/>
  <c r="IZ7" i="10"/>
  <c r="JC109" i="21" l="1"/>
  <c r="JB171" i="21"/>
  <c r="JB158" i="21"/>
  <c r="JB165" i="21" s="1"/>
  <c r="JB47" i="21"/>
  <c r="JB137" i="21"/>
  <c r="JB83" i="21"/>
  <c r="JB170" i="21" s="1"/>
  <c r="JB49" i="21"/>
  <c r="JB50" i="21" s="1"/>
  <c r="JB172" i="21" s="1"/>
  <c r="JC80" i="21"/>
  <c r="JC91" i="21" s="1"/>
  <c r="JC92" i="21" s="1"/>
  <c r="JB96" i="21"/>
  <c r="JB97" i="21" s="1"/>
  <c r="JC95" i="21" s="1"/>
  <c r="JC82" i="21"/>
  <c r="JC76" i="21"/>
  <c r="JC81" i="21" s="1"/>
  <c r="JC137" i="21" s="1"/>
  <c r="JB126" i="21"/>
  <c r="JB127" i="21" s="1"/>
  <c r="JC125" i="21" s="1"/>
  <c r="JC112" i="21"/>
  <c r="JC121" i="21"/>
  <c r="JC122" i="21" s="1"/>
  <c r="JC141" i="21" s="1"/>
  <c r="JC105" i="21"/>
  <c r="JC111" i="21" s="1"/>
  <c r="JC140" i="21" s="1"/>
  <c r="JD14" i="21"/>
  <c r="JD6" i="21" s="1"/>
  <c r="JD13" i="21"/>
  <c r="JD5" i="21" s="1"/>
  <c r="JD12" i="21"/>
  <c r="JD132" i="21" s="1"/>
  <c r="JA13" i="10"/>
  <c r="JA5" i="10" s="1"/>
  <c r="JA14" i="10"/>
  <c r="JA6" i="10" s="1"/>
  <c r="JA12" i="10"/>
  <c r="JA15" i="10" s="1"/>
  <c r="JB173" i="21" l="1"/>
  <c r="JB179" i="21" s="1"/>
  <c r="JB59" i="21"/>
  <c r="JB61" i="21" s="1"/>
  <c r="JC138" i="21"/>
  <c r="JC157" i="21"/>
  <c r="JC158" i="21"/>
  <c r="JC165" i="21" s="1"/>
  <c r="JD149" i="21"/>
  <c r="JD162" i="21"/>
  <c r="JB144" i="21"/>
  <c r="JB152" i="21" s="1"/>
  <c r="JC142" i="21"/>
  <c r="JC139" i="21"/>
  <c r="JC47" i="21"/>
  <c r="JD75" i="21"/>
  <c r="JC96" i="21" s="1"/>
  <c r="JC97" i="21" s="1"/>
  <c r="JD95" i="21" s="1"/>
  <c r="JC49" i="21"/>
  <c r="JC48" i="21"/>
  <c r="JB55" i="21"/>
  <c r="JB58" i="21" s="1"/>
  <c r="JB66" i="21" s="1"/>
  <c r="JC113" i="21"/>
  <c r="JC83" i="21"/>
  <c r="JC170" i="21" s="1"/>
  <c r="JD102" i="21"/>
  <c r="JD110" i="21" s="1"/>
  <c r="JD77" i="21"/>
  <c r="JD74" i="21"/>
  <c r="JD87" i="21" s="1"/>
  <c r="JD88" i="21" s="1"/>
  <c r="JD103" i="21"/>
  <c r="JD117" i="21" s="1"/>
  <c r="JD118" i="21" s="1"/>
  <c r="JD106" i="21"/>
  <c r="JD104" i="21"/>
  <c r="JD7" i="21"/>
  <c r="JD15" i="21"/>
  <c r="JE11" i="21"/>
  <c r="JB11" i="10"/>
  <c r="JA7" i="10"/>
  <c r="JD109" i="21" l="1"/>
  <c r="JC171" i="21"/>
  <c r="JC144" i="21"/>
  <c r="JC152" i="21" s="1"/>
  <c r="JC50" i="21"/>
  <c r="JC172" i="21" s="1"/>
  <c r="JD82" i="21"/>
  <c r="JC55" i="21"/>
  <c r="JC58" i="21" s="1"/>
  <c r="JD48" i="21"/>
  <c r="JD80" i="21"/>
  <c r="JD91" i="21" s="1"/>
  <c r="JD92" i="21" s="1"/>
  <c r="JC59" i="21"/>
  <c r="JC61" i="21" s="1"/>
  <c r="JD76" i="21"/>
  <c r="JC126" i="21"/>
  <c r="JC127" i="21" s="1"/>
  <c r="JD125" i="21" s="1"/>
  <c r="JD112" i="21"/>
  <c r="JD105" i="21"/>
  <c r="JD111" i="21" s="1"/>
  <c r="JD140" i="21" s="1"/>
  <c r="JD121" i="21"/>
  <c r="JD122" i="21" s="1"/>
  <c r="JD141" i="21" s="1"/>
  <c r="JE13" i="21"/>
  <c r="JE5" i="21" s="1"/>
  <c r="JE14" i="21"/>
  <c r="JE6" i="21" s="1"/>
  <c r="JE12" i="21"/>
  <c r="JE132" i="21" s="1"/>
  <c r="JB13" i="10"/>
  <c r="JB5" i="10" s="1"/>
  <c r="JB14" i="10"/>
  <c r="JB6" i="10" s="1"/>
  <c r="JB12" i="10"/>
  <c r="JB15" i="10" s="1"/>
  <c r="JC173" i="21" l="1"/>
  <c r="JC179" i="21" s="1"/>
  <c r="JD138" i="21"/>
  <c r="JE149" i="21"/>
  <c r="JE162" i="21"/>
  <c r="JD157" i="21"/>
  <c r="JD139" i="21"/>
  <c r="JD142" i="21"/>
  <c r="JE75" i="21"/>
  <c r="JD96" i="21" s="1"/>
  <c r="JD97" i="21" s="1"/>
  <c r="JE95" i="21" s="1"/>
  <c r="JC66" i="21"/>
  <c r="JD113" i="21"/>
  <c r="JD81" i="21"/>
  <c r="JE102" i="21"/>
  <c r="JE110" i="21" s="1"/>
  <c r="JE77" i="21"/>
  <c r="JE74" i="21"/>
  <c r="JE87" i="21" s="1"/>
  <c r="JE88" i="21" s="1"/>
  <c r="JE104" i="21"/>
  <c r="JE106" i="21"/>
  <c r="JE103" i="21"/>
  <c r="JE117" i="21" s="1"/>
  <c r="JE118" i="21" s="1"/>
  <c r="JF11" i="21"/>
  <c r="JE7" i="21"/>
  <c r="JE15" i="21"/>
  <c r="JC11" i="10"/>
  <c r="JB7" i="10"/>
  <c r="JE82" i="21" l="1"/>
  <c r="JE109" i="21"/>
  <c r="JD171" i="21"/>
  <c r="JD158" i="21"/>
  <c r="JD165" i="21" s="1"/>
  <c r="JD47" i="21"/>
  <c r="JD137" i="21"/>
  <c r="JD83" i="21"/>
  <c r="JD170" i="21" s="1"/>
  <c r="JD49" i="21"/>
  <c r="JD50" i="21" s="1"/>
  <c r="JD172" i="21" s="1"/>
  <c r="JE76" i="21"/>
  <c r="JE112" i="21"/>
  <c r="JD126" i="21"/>
  <c r="JD127" i="21" s="1"/>
  <c r="JE125" i="21" s="1"/>
  <c r="JE121" i="21"/>
  <c r="JE122" i="21" s="1"/>
  <c r="JE141" i="21" s="1"/>
  <c r="JE105" i="21"/>
  <c r="JE111" i="21" s="1"/>
  <c r="JE140" i="21" s="1"/>
  <c r="JF14" i="21"/>
  <c r="JF6" i="21" s="1"/>
  <c r="JF12" i="21"/>
  <c r="JF132" i="21" s="1"/>
  <c r="JF13" i="21"/>
  <c r="JF5" i="21" s="1"/>
  <c r="JC13" i="10"/>
  <c r="JC5" i="10" s="1"/>
  <c r="JC14" i="10"/>
  <c r="JC6" i="10" s="1"/>
  <c r="JC12" i="10"/>
  <c r="JC15" i="10" s="1"/>
  <c r="JD173" i="21" l="1"/>
  <c r="JD179" i="21" s="1"/>
  <c r="JD59" i="21"/>
  <c r="JD61" i="21" s="1"/>
  <c r="JE80" i="21"/>
  <c r="JE91" i="21" s="1"/>
  <c r="JE92" i="21" s="1"/>
  <c r="JE138" i="21" s="1"/>
  <c r="JE157" i="21" s="1"/>
  <c r="JF149" i="21"/>
  <c r="JF162" i="21"/>
  <c r="JD144" i="21"/>
  <c r="JD152" i="21" s="1"/>
  <c r="JE139" i="21"/>
  <c r="JE142" i="21"/>
  <c r="JE48" i="21"/>
  <c r="JD55" i="21"/>
  <c r="JD58" i="21" s="1"/>
  <c r="JD66" i="21" s="1"/>
  <c r="JE113" i="21"/>
  <c r="JE81" i="21"/>
  <c r="JF77" i="21"/>
  <c r="JF74" i="21"/>
  <c r="JF87" i="21" s="1"/>
  <c r="JF88" i="21" s="1"/>
  <c r="JF75" i="21"/>
  <c r="JF103" i="21"/>
  <c r="JF117" i="21" s="1"/>
  <c r="JF118" i="21" s="1"/>
  <c r="JF106" i="21"/>
  <c r="JF104" i="21"/>
  <c r="JF102" i="21"/>
  <c r="JF110" i="21" s="1"/>
  <c r="JG11" i="21"/>
  <c r="JF15" i="21"/>
  <c r="JF7" i="21"/>
  <c r="JD11" i="10"/>
  <c r="JC7" i="10"/>
  <c r="JF109" i="21" l="1"/>
  <c r="JE171" i="21"/>
  <c r="JE158" i="21"/>
  <c r="JE165" i="21" s="1"/>
  <c r="JE47" i="21"/>
  <c r="JE137" i="21"/>
  <c r="JE83" i="21"/>
  <c r="JE170" i="21" s="1"/>
  <c r="JE49" i="21"/>
  <c r="JE50" i="21" s="1"/>
  <c r="JE172" i="21" s="1"/>
  <c r="JF80" i="21"/>
  <c r="JF91" i="21" s="1"/>
  <c r="JF92" i="21" s="1"/>
  <c r="JE96" i="21"/>
  <c r="JE97" i="21" s="1"/>
  <c r="JF95" i="21" s="1"/>
  <c r="JF82" i="21"/>
  <c r="JF76" i="21"/>
  <c r="JF81" i="21" s="1"/>
  <c r="JF137" i="21" s="1"/>
  <c r="JE126" i="21"/>
  <c r="JE127" i="21" s="1"/>
  <c r="JF125" i="21" s="1"/>
  <c r="JF112" i="21"/>
  <c r="JF105" i="21"/>
  <c r="JF111" i="21" s="1"/>
  <c r="JF140" i="21" s="1"/>
  <c r="JF121" i="21"/>
  <c r="JF122" i="21" s="1"/>
  <c r="JF141" i="21" s="1"/>
  <c r="JG14" i="21"/>
  <c r="JG6" i="21" s="1"/>
  <c r="JG12" i="21"/>
  <c r="JG132" i="21" s="1"/>
  <c r="JG13" i="21"/>
  <c r="JG5" i="21" s="1"/>
  <c r="JD13" i="10"/>
  <c r="JD5" i="10" s="1"/>
  <c r="JD14" i="10"/>
  <c r="JD6" i="10" s="1"/>
  <c r="JD12" i="10"/>
  <c r="JD15" i="10" s="1"/>
  <c r="JE173" i="21" l="1"/>
  <c r="JE179" i="21" s="1"/>
  <c r="JE59" i="21"/>
  <c r="JE61" i="21" s="1"/>
  <c r="JF138" i="21"/>
  <c r="JF157" i="21"/>
  <c r="JG149" i="21"/>
  <c r="JG162" i="21"/>
  <c r="JF158" i="21"/>
  <c r="JF165" i="21" s="1"/>
  <c r="JE144" i="21"/>
  <c r="JE152" i="21" s="1"/>
  <c r="JF142" i="21"/>
  <c r="JF139" i="21"/>
  <c r="JG75" i="21"/>
  <c r="JF96" i="21" s="1"/>
  <c r="JF97" i="21" s="1"/>
  <c r="JG95" i="21" s="1"/>
  <c r="JF47" i="21"/>
  <c r="JF48" i="21"/>
  <c r="JE55" i="21"/>
  <c r="JE58" i="21" s="1"/>
  <c r="JE66" i="21" s="1"/>
  <c r="JF113" i="21"/>
  <c r="JF83" i="21"/>
  <c r="JF170" i="21" s="1"/>
  <c r="JG77" i="21"/>
  <c r="JG74" i="21"/>
  <c r="JG87" i="21" s="1"/>
  <c r="JG88" i="21" s="1"/>
  <c r="JG106" i="21"/>
  <c r="JG103" i="21"/>
  <c r="JG117" i="21" s="1"/>
  <c r="JG118" i="21" s="1"/>
  <c r="JG104" i="21"/>
  <c r="JG102" i="21"/>
  <c r="JG110" i="21" s="1"/>
  <c r="JG15" i="21"/>
  <c r="JH11" i="21"/>
  <c r="JG7" i="21"/>
  <c r="JE11" i="10"/>
  <c r="JD7" i="10"/>
  <c r="JG109" i="21" l="1"/>
  <c r="JF171" i="21"/>
  <c r="JF49" i="21"/>
  <c r="JF144" i="21"/>
  <c r="JF152" i="21" s="1"/>
  <c r="JG82" i="21"/>
  <c r="JF50" i="21"/>
  <c r="JF55" i="21"/>
  <c r="JF58" i="21" s="1"/>
  <c r="JG80" i="21"/>
  <c r="JG91" i="21" s="1"/>
  <c r="JG92" i="21" s="1"/>
  <c r="JF59" i="21"/>
  <c r="JF61" i="21" s="1"/>
  <c r="JG76" i="21"/>
  <c r="JF126" i="21"/>
  <c r="JF127" i="21" s="1"/>
  <c r="JG125" i="21" s="1"/>
  <c r="JG112" i="21"/>
  <c r="JG121" i="21"/>
  <c r="JG122" i="21" s="1"/>
  <c r="JG141" i="21" s="1"/>
  <c r="JG105" i="21"/>
  <c r="JG111" i="21" s="1"/>
  <c r="JG140" i="21" s="1"/>
  <c r="JH12" i="21"/>
  <c r="JH132" i="21" s="1"/>
  <c r="JH14" i="21"/>
  <c r="JH6" i="21" s="1"/>
  <c r="JH13" i="21"/>
  <c r="JH5" i="21" s="1"/>
  <c r="JE13" i="10"/>
  <c r="JE5" i="10" s="1"/>
  <c r="JE14" i="10"/>
  <c r="JE6" i="10" s="1"/>
  <c r="JE12" i="10"/>
  <c r="JE15" i="10" s="1"/>
  <c r="JG138" i="21" l="1"/>
  <c r="JG48" i="21"/>
  <c r="JF172" i="21"/>
  <c r="JF173" i="21" s="1"/>
  <c r="JF179" i="21" s="1"/>
  <c r="JH149" i="21"/>
  <c r="JH162" i="21"/>
  <c r="JG157" i="21"/>
  <c r="JG139" i="21"/>
  <c r="JG142" i="21"/>
  <c r="JF66" i="21"/>
  <c r="JG113" i="21"/>
  <c r="JG81" i="21"/>
  <c r="JH77" i="21"/>
  <c r="JH74" i="21"/>
  <c r="JH87" i="21" s="1"/>
  <c r="JH88" i="21" s="1"/>
  <c r="JH75" i="21"/>
  <c r="JH103" i="21"/>
  <c r="JH117" i="21" s="1"/>
  <c r="JH118" i="21" s="1"/>
  <c r="JH106" i="21"/>
  <c r="JH102" i="21"/>
  <c r="JH110" i="21" s="1"/>
  <c r="JH104" i="21"/>
  <c r="JH15" i="21"/>
  <c r="JI11" i="21"/>
  <c r="JH7" i="21"/>
  <c r="JF11" i="10"/>
  <c r="JE7" i="10"/>
  <c r="JH109" i="21" l="1"/>
  <c r="JG171" i="21"/>
  <c r="JG158" i="21"/>
  <c r="JG165" i="21" s="1"/>
  <c r="JG47" i="21"/>
  <c r="JG137" i="21"/>
  <c r="JG83" i="21"/>
  <c r="JG170" i="21" s="1"/>
  <c r="JG49" i="21"/>
  <c r="JG50" i="21" s="1"/>
  <c r="JG172" i="21" s="1"/>
  <c r="JH80" i="21"/>
  <c r="JH91" i="21" s="1"/>
  <c r="JH92" i="21" s="1"/>
  <c r="JG96" i="21"/>
  <c r="JG97" i="21" s="1"/>
  <c r="JH95" i="21" s="1"/>
  <c r="JH82" i="21"/>
  <c r="JH76" i="21"/>
  <c r="JH81" i="21" s="1"/>
  <c r="JH137" i="21" s="1"/>
  <c r="JH112" i="21"/>
  <c r="JG126" i="21"/>
  <c r="JG127" i="21" s="1"/>
  <c r="JH125" i="21" s="1"/>
  <c r="JH121" i="21"/>
  <c r="JH122" i="21" s="1"/>
  <c r="JH141" i="21" s="1"/>
  <c r="JH105" i="21"/>
  <c r="JH111" i="21" s="1"/>
  <c r="JH140" i="21" s="1"/>
  <c r="JI14" i="21"/>
  <c r="JI6" i="21" s="1"/>
  <c r="JI13" i="21"/>
  <c r="JI5" i="21" s="1"/>
  <c r="JI12" i="21"/>
  <c r="JI132" i="21" s="1"/>
  <c r="JF12" i="10"/>
  <c r="JF15" i="10" s="1"/>
  <c r="JF14" i="10"/>
  <c r="JF6" i="10" s="1"/>
  <c r="JF13" i="10"/>
  <c r="JF5" i="10" s="1"/>
  <c r="JG173" i="21" l="1"/>
  <c r="JG179" i="21" s="1"/>
  <c r="JG59" i="21"/>
  <c r="JG61" i="21" s="1"/>
  <c r="JH138" i="21"/>
  <c r="JH157" i="21"/>
  <c r="JH158" i="21"/>
  <c r="JH165" i="21" s="1"/>
  <c r="JI149" i="21"/>
  <c r="JI162" i="21"/>
  <c r="JG144" i="21"/>
  <c r="JG152" i="21" s="1"/>
  <c r="JH139" i="21"/>
  <c r="JH142" i="21"/>
  <c r="JH144" i="21" s="1"/>
  <c r="JH152" i="21" s="1"/>
  <c r="JH47" i="21"/>
  <c r="JH48" i="21"/>
  <c r="JG55" i="21"/>
  <c r="JG58" i="21" s="1"/>
  <c r="JG66" i="21" s="1"/>
  <c r="JH113" i="21"/>
  <c r="JH83" i="21"/>
  <c r="JH170" i="21" s="1"/>
  <c r="JI77" i="21"/>
  <c r="JI74" i="21"/>
  <c r="JI87" i="21" s="1"/>
  <c r="JI88" i="21" s="1"/>
  <c r="JI75" i="21"/>
  <c r="JI106" i="21"/>
  <c r="JI103" i="21"/>
  <c r="JI117" i="21" s="1"/>
  <c r="JI118" i="21" s="1"/>
  <c r="JI104" i="21"/>
  <c r="JI102" i="21"/>
  <c r="JI110" i="21" s="1"/>
  <c r="JI15" i="21"/>
  <c r="JJ11" i="21"/>
  <c r="JI7" i="21"/>
  <c r="JG11" i="10"/>
  <c r="JF7" i="10"/>
  <c r="JI109" i="21" l="1"/>
  <c r="JH171" i="21"/>
  <c r="JH49" i="21"/>
  <c r="JH50" i="21"/>
  <c r="JH172" i="21" s="1"/>
  <c r="JI48" i="21"/>
  <c r="JH55" i="21"/>
  <c r="JH58" i="21" s="1"/>
  <c r="JI80" i="21"/>
  <c r="JI91" i="21" s="1"/>
  <c r="JI92" i="21" s="1"/>
  <c r="JH59" i="21"/>
  <c r="JH61" i="21" s="1"/>
  <c r="JH96" i="21"/>
  <c r="JH97" i="21" s="1"/>
  <c r="JI95" i="21" s="1"/>
  <c r="JI82" i="21"/>
  <c r="JI76" i="21"/>
  <c r="JI81" i="21" s="1"/>
  <c r="JI137" i="21" s="1"/>
  <c r="JH126" i="21"/>
  <c r="JH127" i="21" s="1"/>
  <c r="JI125" i="21" s="1"/>
  <c r="JI112" i="21"/>
  <c r="JI105" i="21"/>
  <c r="JI111" i="21" s="1"/>
  <c r="JI140" i="21" s="1"/>
  <c r="JI121" i="21"/>
  <c r="JI122" i="21" s="1"/>
  <c r="JI141" i="21" s="1"/>
  <c r="JJ12" i="21"/>
  <c r="JJ132" i="21" s="1"/>
  <c r="JJ13" i="21"/>
  <c r="JJ5" i="21" s="1"/>
  <c r="JJ14" i="21"/>
  <c r="JJ6" i="21" s="1"/>
  <c r="JG14" i="10"/>
  <c r="JG6" i="10" s="1"/>
  <c r="JG12" i="10"/>
  <c r="JG15" i="10" s="1"/>
  <c r="JG13" i="10"/>
  <c r="JG5" i="10" s="1"/>
  <c r="JH173" i="21" l="1"/>
  <c r="JH179" i="21" s="1"/>
  <c r="JI138" i="21"/>
  <c r="JJ149" i="21"/>
  <c r="JJ162" i="21"/>
  <c r="JI157" i="21"/>
  <c r="JI142" i="21"/>
  <c r="JI139" i="21"/>
  <c r="JH66" i="21"/>
  <c r="JI47" i="21"/>
  <c r="JI49" i="21" s="1"/>
  <c r="JI50" i="21" s="1"/>
  <c r="JI172" i="21" s="1"/>
  <c r="JI113" i="21"/>
  <c r="JI83" i="21"/>
  <c r="JI170" i="21" s="1"/>
  <c r="JJ77" i="21"/>
  <c r="JJ74" i="21"/>
  <c r="JJ87" i="21" s="1"/>
  <c r="JJ88" i="21" s="1"/>
  <c r="JJ75" i="21"/>
  <c r="JJ106" i="21"/>
  <c r="JJ103" i="21"/>
  <c r="JJ117" i="21" s="1"/>
  <c r="JJ118" i="21" s="1"/>
  <c r="JJ102" i="21"/>
  <c r="JJ110" i="21" s="1"/>
  <c r="JJ104" i="21"/>
  <c r="JK11" i="21"/>
  <c r="JJ15" i="21"/>
  <c r="JJ7" i="21"/>
  <c r="JH11" i="10"/>
  <c r="JG7" i="10"/>
  <c r="JJ109" i="21" l="1"/>
  <c r="JI171" i="21"/>
  <c r="JI173" i="21" s="1"/>
  <c r="JI179" i="21" s="1"/>
  <c r="JI158" i="21"/>
  <c r="JI165" i="21" s="1"/>
  <c r="JI144" i="21"/>
  <c r="JI152" i="21" s="1"/>
  <c r="JJ48" i="21"/>
  <c r="JI55" i="21"/>
  <c r="JI58" i="21" s="1"/>
  <c r="JJ80" i="21"/>
  <c r="JJ91" i="21" s="1"/>
  <c r="JJ92" i="21" s="1"/>
  <c r="JI59" i="21"/>
  <c r="JI61" i="21" s="1"/>
  <c r="JI96" i="21"/>
  <c r="JI97" i="21" s="1"/>
  <c r="JJ95" i="21" s="1"/>
  <c r="JJ82" i="21"/>
  <c r="JJ76" i="21"/>
  <c r="JJ81" i="21" s="1"/>
  <c r="JJ137" i="21" s="1"/>
  <c r="JI126" i="21"/>
  <c r="JI127" i="21" s="1"/>
  <c r="JJ125" i="21" s="1"/>
  <c r="JJ112" i="21"/>
  <c r="JJ105" i="21"/>
  <c r="JJ111" i="21" s="1"/>
  <c r="JJ140" i="21" s="1"/>
  <c r="JJ121" i="21"/>
  <c r="JJ122" i="21" s="1"/>
  <c r="JJ141" i="21" s="1"/>
  <c r="JK14" i="21"/>
  <c r="JK6" i="21" s="1"/>
  <c r="JK12" i="21"/>
  <c r="JK132" i="21" s="1"/>
  <c r="JK13" i="21"/>
  <c r="JK5" i="21" s="1"/>
  <c r="JH14" i="10"/>
  <c r="JH6" i="10" s="1"/>
  <c r="JH12" i="10"/>
  <c r="JH15" i="10" s="1"/>
  <c r="JH13" i="10"/>
  <c r="JH5" i="10" s="1"/>
  <c r="JJ138" i="21" l="1"/>
  <c r="JJ157" i="21"/>
  <c r="JK149" i="21"/>
  <c r="JK162" i="21"/>
  <c r="JJ158" i="21"/>
  <c r="JJ165" i="21" s="1"/>
  <c r="JJ142" i="21"/>
  <c r="JJ139" i="21"/>
  <c r="JJ47" i="21"/>
  <c r="JJ49" i="21" s="1"/>
  <c r="JJ50" i="21" s="1"/>
  <c r="JJ172" i="21" s="1"/>
  <c r="JK75" i="21"/>
  <c r="JK82" i="21" s="1"/>
  <c r="JI66" i="21"/>
  <c r="JJ113" i="21"/>
  <c r="JJ83" i="21"/>
  <c r="JJ170" i="21" s="1"/>
  <c r="JK77" i="21"/>
  <c r="JK74" i="21"/>
  <c r="JK87" i="21" s="1"/>
  <c r="JK88" i="21" s="1"/>
  <c r="JK106" i="21"/>
  <c r="JK103" i="21"/>
  <c r="JK117" i="21" s="1"/>
  <c r="JK118" i="21" s="1"/>
  <c r="JK104" i="21"/>
  <c r="JK102" i="21"/>
  <c r="JK110" i="21" s="1"/>
  <c r="JK15" i="21"/>
  <c r="JL11" i="21"/>
  <c r="JK7" i="21"/>
  <c r="JI11" i="10"/>
  <c r="JH7" i="10"/>
  <c r="JK109" i="21" l="1"/>
  <c r="JJ171" i="21"/>
  <c r="JJ173" i="21" s="1"/>
  <c r="JJ179" i="21" s="1"/>
  <c r="JJ144" i="21"/>
  <c r="JJ152" i="21" s="1"/>
  <c r="JJ96" i="21"/>
  <c r="JJ97" i="21" s="1"/>
  <c r="JK95" i="21" s="1"/>
  <c r="JK48" i="21"/>
  <c r="JJ55" i="21"/>
  <c r="JJ58" i="21" s="1"/>
  <c r="JK80" i="21"/>
  <c r="JK91" i="21" s="1"/>
  <c r="JK92" i="21" s="1"/>
  <c r="JJ59" i="21"/>
  <c r="JJ61" i="21" s="1"/>
  <c r="JK76" i="21"/>
  <c r="JJ126" i="21"/>
  <c r="JJ127" i="21" s="1"/>
  <c r="JK125" i="21" s="1"/>
  <c r="JK112" i="21"/>
  <c r="JK121" i="21"/>
  <c r="JK122" i="21" s="1"/>
  <c r="JK141" i="21" s="1"/>
  <c r="JK105" i="21"/>
  <c r="JK111" i="21" s="1"/>
  <c r="JK140" i="21" s="1"/>
  <c r="JL12" i="21"/>
  <c r="JL132" i="21" s="1"/>
  <c r="JL14" i="21"/>
  <c r="JL6" i="21" s="1"/>
  <c r="JL13" i="21"/>
  <c r="JL5" i="21" s="1"/>
  <c r="JI14" i="10"/>
  <c r="JI6" i="10" s="1"/>
  <c r="JI13" i="10"/>
  <c r="JI5" i="10" s="1"/>
  <c r="JI12" i="10"/>
  <c r="JI15" i="10" s="1"/>
  <c r="JK138" i="21" l="1"/>
  <c r="JK157" i="21"/>
  <c r="JL149" i="21"/>
  <c r="JL162" i="21"/>
  <c r="JK142" i="21"/>
  <c r="JK139" i="21"/>
  <c r="JJ66" i="21"/>
  <c r="JK113" i="21"/>
  <c r="JK81" i="21"/>
  <c r="JL104" i="21"/>
  <c r="JL112" i="21" s="1"/>
  <c r="JL77" i="21"/>
  <c r="JL74" i="21"/>
  <c r="JL87" i="21" s="1"/>
  <c r="JL88" i="21" s="1"/>
  <c r="JL75" i="21"/>
  <c r="JL106" i="21"/>
  <c r="JL103" i="21"/>
  <c r="JL117" i="21" s="1"/>
  <c r="JL118" i="21" s="1"/>
  <c r="JL102" i="21"/>
  <c r="JL110" i="21" s="1"/>
  <c r="JL15" i="21"/>
  <c r="JM11" i="21"/>
  <c r="JL7" i="21"/>
  <c r="JJ11" i="10"/>
  <c r="JI7" i="10"/>
  <c r="JL109" i="21" l="1"/>
  <c r="JK171" i="21"/>
  <c r="JK158" i="21"/>
  <c r="JK165" i="21" s="1"/>
  <c r="JL142" i="21"/>
  <c r="JL139" i="21"/>
  <c r="JK47" i="21"/>
  <c r="JK49" i="21" s="1"/>
  <c r="JK50" i="21" s="1"/>
  <c r="JK172" i="21" s="1"/>
  <c r="JK137" i="21"/>
  <c r="JK126" i="21"/>
  <c r="JK127" i="21" s="1"/>
  <c r="JL125" i="21" s="1"/>
  <c r="JK83" i="21"/>
  <c r="JK170" i="21" s="1"/>
  <c r="JL80" i="21"/>
  <c r="JL91" i="21" s="1"/>
  <c r="JL92" i="21" s="1"/>
  <c r="JK59" i="21"/>
  <c r="JK61" i="21" s="1"/>
  <c r="JK96" i="21"/>
  <c r="JK97" i="21" s="1"/>
  <c r="JL95" i="21" s="1"/>
  <c r="JL82" i="21"/>
  <c r="JL76" i="21"/>
  <c r="JL81" i="21" s="1"/>
  <c r="JL137" i="21" s="1"/>
  <c r="JL121" i="21"/>
  <c r="JL122" i="21" s="1"/>
  <c r="JL141" i="21" s="1"/>
  <c r="JL105" i="21"/>
  <c r="JL111" i="21" s="1"/>
  <c r="JM13" i="21"/>
  <c r="JM5" i="21" s="1"/>
  <c r="JM12" i="21"/>
  <c r="JM132" i="21" s="1"/>
  <c r="JM14" i="21"/>
  <c r="JM6" i="21" s="1"/>
  <c r="JJ14" i="10"/>
  <c r="JJ6" i="10" s="1"/>
  <c r="JJ13" i="10"/>
  <c r="JJ5" i="10" s="1"/>
  <c r="JJ12" i="10"/>
  <c r="JJ15" i="10" s="1"/>
  <c r="JK173" i="21" l="1"/>
  <c r="JK179" i="21" s="1"/>
  <c r="JL138" i="21"/>
  <c r="JL157" i="21"/>
  <c r="JL158" i="21"/>
  <c r="JL165" i="21" s="1"/>
  <c r="JM149" i="21"/>
  <c r="JM162" i="21"/>
  <c r="JK144" i="21"/>
  <c r="JK152" i="21" s="1"/>
  <c r="JL113" i="21"/>
  <c r="JL140" i="21"/>
  <c r="JL144" i="21" s="1"/>
  <c r="JL152" i="21" s="1"/>
  <c r="JM75" i="21"/>
  <c r="JL96" i="21" s="1"/>
  <c r="JL97" i="21" s="1"/>
  <c r="JM95" i="21" s="1"/>
  <c r="JL47" i="21"/>
  <c r="JL49" i="21" s="1"/>
  <c r="JK55" i="21"/>
  <c r="JK58" i="21" s="1"/>
  <c r="JK66" i="21" s="1"/>
  <c r="JL48" i="21"/>
  <c r="JL83" i="21"/>
  <c r="JL170" i="21" s="1"/>
  <c r="JM104" i="21"/>
  <c r="JL126" i="21" s="1"/>
  <c r="JL127" i="21" s="1"/>
  <c r="JM77" i="21"/>
  <c r="JM74" i="21"/>
  <c r="JM87" i="21" s="1"/>
  <c r="JM88" i="21" s="1"/>
  <c r="JM106" i="21"/>
  <c r="JM103" i="21"/>
  <c r="JM117" i="21" s="1"/>
  <c r="JM118" i="21" s="1"/>
  <c r="JM102" i="21"/>
  <c r="JM110" i="21" s="1"/>
  <c r="JM15" i="21"/>
  <c r="JM7" i="21"/>
  <c r="JN11" i="21"/>
  <c r="JK11" i="10"/>
  <c r="JJ7" i="10"/>
  <c r="JM109" i="21" l="1"/>
  <c r="JL171" i="21"/>
  <c r="JM82" i="21"/>
  <c r="JM125" i="21"/>
  <c r="JL50" i="21"/>
  <c r="JM112" i="21"/>
  <c r="JM80" i="21"/>
  <c r="JM91" i="21" s="1"/>
  <c r="JM92" i="21" s="1"/>
  <c r="JL59" i="21"/>
  <c r="JL61" i="21" s="1"/>
  <c r="JM76" i="21"/>
  <c r="JM121" i="21"/>
  <c r="JM122" i="21" s="1"/>
  <c r="JM141" i="21" s="1"/>
  <c r="JM105" i="21"/>
  <c r="JM111" i="21" s="1"/>
  <c r="JN13" i="21"/>
  <c r="JN5" i="21" s="1"/>
  <c r="JN14" i="21"/>
  <c r="JN6" i="21" s="1"/>
  <c r="JN12" i="21"/>
  <c r="JN132" i="21" s="1"/>
  <c r="JK12" i="10"/>
  <c r="JK15" i="10" s="1"/>
  <c r="JK14" i="10"/>
  <c r="JK6" i="10" s="1"/>
  <c r="JK13" i="10"/>
  <c r="JK5" i="10" s="1"/>
  <c r="JM138" i="21" l="1"/>
  <c r="JM48" i="21"/>
  <c r="JL172" i="21"/>
  <c r="JL173" i="21" s="1"/>
  <c r="JL179" i="21" s="1"/>
  <c r="JN149" i="21"/>
  <c r="JN162" i="21"/>
  <c r="JM157" i="21"/>
  <c r="JM142" i="21"/>
  <c r="JM139" i="21"/>
  <c r="JM113" i="21"/>
  <c r="JM140" i="21"/>
  <c r="JL55" i="21"/>
  <c r="JL58" i="21" s="1"/>
  <c r="JL66" i="21" s="1"/>
  <c r="JM81" i="21"/>
  <c r="JN77" i="21"/>
  <c r="JN74" i="21"/>
  <c r="JN87" i="21" s="1"/>
  <c r="JN88" i="21" s="1"/>
  <c r="JN75" i="21"/>
  <c r="JN106" i="21"/>
  <c r="JN103" i="21"/>
  <c r="JN117" i="21" s="1"/>
  <c r="JN118" i="21" s="1"/>
  <c r="JN104" i="21"/>
  <c r="JN102" i="21"/>
  <c r="JN110" i="21" s="1"/>
  <c r="JN15" i="21"/>
  <c r="JN7" i="21"/>
  <c r="JO11" i="21"/>
  <c r="JK7" i="10"/>
  <c r="JL11" i="10"/>
  <c r="JN109" i="21" l="1"/>
  <c r="JM171" i="21"/>
  <c r="JM158" i="21"/>
  <c r="JM165" i="21" s="1"/>
  <c r="JM47" i="21"/>
  <c r="JM137" i="21"/>
  <c r="JM83" i="21"/>
  <c r="JM49" i="21"/>
  <c r="JM50" i="21" s="1"/>
  <c r="JM172" i="21" s="1"/>
  <c r="JM96" i="21"/>
  <c r="JM97" i="21" s="1"/>
  <c r="JN95" i="21" s="1"/>
  <c r="JN82" i="21"/>
  <c r="JN76" i="21"/>
  <c r="JN81" i="21" s="1"/>
  <c r="JN137" i="21" s="1"/>
  <c r="JM126" i="21"/>
  <c r="JM127" i="21" s="1"/>
  <c r="JN125" i="21" s="1"/>
  <c r="JN112" i="21"/>
  <c r="JN121" i="21"/>
  <c r="JN122" i="21" s="1"/>
  <c r="JN141" i="21" s="1"/>
  <c r="JN105" i="21"/>
  <c r="JN111" i="21" s="1"/>
  <c r="JN140" i="21" s="1"/>
  <c r="JO12" i="21"/>
  <c r="JO132" i="21" s="1"/>
  <c r="JO13" i="21"/>
  <c r="JO5" i="21" s="1"/>
  <c r="JO14" i="21"/>
  <c r="JO6" i="21" s="1"/>
  <c r="JL12" i="10"/>
  <c r="JL15" i="10" s="1"/>
  <c r="JL14" i="10"/>
  <c r="JL6" i="10" s="1"/>
  <c r="JL13" i="10"/>
  <c r="JL5" i="10" s="1"/>
  <c r="JN80" i="21" l="1"/>
  <c r="JN91" i="21" s="1"/>
  <c r="JN92" i="21" s="1"/>
  <c r="JM170" i="21"/>
  <c r="JM173" i="21" s="1"/>
  <c r="JM179" i="21" s="1"/>
  <c r="JO149" i="21"/>
  <c r="JO162" i="21"/>
  <c r="JM144" i="21"/>
  <c r="JM152" i="21" s="1"/>
  <c r="JN142" i="21"/>
  <c r="JN139" i="21"/>
  <c r="JN47" i="21"/>
  <c r="JM59" i="21"/>
  <c r="JM61" i="21" s="1"/>
  <c r="JN48" i="21"/>
  <c r="JM55" i="21"/>
  <c r="JM58" i="21" s="1"/>
  <c r="JN113" i="21"/>
  <c r="JN83" i="21"/>
  <c r="JN170" i="21" s="1"/>
  <c r="JO102" i="21"/>
  <c r="JO110" i="21" s="1"/>
  <c r="JO77" i="21"/>
  <c r="JO74" i="21"/>
  <c r="JO87" i="21" s="1"/>
  <c r="JO88" i="21" s="1"/>
  <c r="JO75" i="21"/>
  <c r="JO106" i="21"/>
  <c r="JO103" i="21"/>
  <c r="JO117" i="21" s="1"/>
  <c r="JO118" i="21" s="1"/>
  <c r="JO104" i="21"/>
  <c r="JO15" i="21"/>
  <c r="JO7" i="21"/>
  <c r="JP11" i="21"/>
  <c r="JM11" i="10"/>
  <c r="JL7" i="10"/>
  <c r="JM66" i="21" l="1"/>
  <c r="JN138" i="21"/>
  <c r="JN157" i="21" s="1"/>
  <c r="JO109" i="21"/>
  <c r="JO121" i="21" s="1"/>
  <c r="JO122" i="21" s="1"/>
  <c r="JO141" i="21" s="1"/>
  <c r="JN171" i="21"/>
  <c r="JN158" i="21"/>
  <c r="JN165" i="21" s="1"/>
  <c r="JN49" i="21"/>
  <c r="JN50" i="21" s="1"/>
  <c r="JN144" i="21"/>
  <c r="JN152" i="21" s="1"/>
  <c r="JO80" i="21"/>
  <c r="JO91" i="21" s="1"/>
  <c r="JO92" i="21" s="1"/>
  <c r="JN59" i="21"/>
  <c r="JN61" i="21" s="1"/>
  <c r="JN96" i="21"/>
  <c r="JN97" i="21" s="1"/>
  <c r="JO95" i="21" s="1"/>
  <c r="JO82" i="21"/>
  <c r="JO76" i="21"/>
  <c r="JO81" i="21" s="1"/>
  <c r="JO137" i="21" s="1"/>
  <c r="JN126" i="21"/>
  <c r="JN127" i="21" s="1"/>
  <c r="JO125" i="21" s="1"/>
  <c r="JO112" i="21"/>
  <c r="JO105" i="21"/>
  <c r="JO111" i="21" s="1"/>
  <c r="JO140" i="21" s="1"/>
  <c r="JP13" i="21"/>
  <c r="JP5" i="21" s="1"/>
  <c r="JP14" i="21"/>
  <c r="JP6" i="21" s="1"/>
  <c r="JP12" i="21"/>
  <c r="JP132" i="21" s="1"/>
  <c r="JM12" i="10"/>
  <c r="JM15" i="10" s="1"/>
  <c r="JM13" i="10"/>
  <c r="JM5" i="10" s="1"/>
  <c r="JM14" i="10"/>
  <c r="JM6" i="10" s="1"/>
  <c r="JN172" i="21" l="1"/>
  <c r="JN55" i="21"/>
  <c r="JN58" i="21" s="1"/>
  <c r="JN173" i="21"/>
  <c r="JN179" i="21" s="1"/>
  <c r="JO138" i="21"/>
  <c r="JO48" i="21"/>
  <c r="JO157" i="21"/>
  <c r="JO158" i="21" s="1"/>
  <c r="JO165" i="21" s="1"/>
  <c r="JP149" i="21"/>
  <c r="JP162" i="21"/>
  <c r="JO142" i="21"/>
  <c r="JO139" i="21"/>
  <c r="JP75" i="21"/>
  <c r="JP82" i="21" s="1"/>
  <c r="JO47" i="21"/>
  <c r="JN66" i="21"/>
  <c r="JO49" i="21"/>
  <c r="JO50" i="21" s="1"/>
  <c r="JO172" i="21" s="1"/>
  <c r="JO113" i="21"/>
  <c r="JO83" i="21"/>
  <c r="JO170" i="21" s="1"/>
  <c r="JP102" i="21"/>
  <c r="JP110" i="21" s="1"/>
  <c r="JP77" i="21"/>
  <c r="JP74" i="21"/>
  <c r="JP87" i="21" s="1"/>
  <c r="JP88" i="21" s="1"/>
  <c r="JP106" i="21"/>
  <c r="JP103" i="21"/>
  <c r="JP117" i="21" s="1"/>
  <c r="JP118" i="21" s="1"/>
  <c r="JP104" i="21"/>
  <c r="JP15" i="21"/>
  <c r="JP7" i="21"/>
  <c r="JQ11" i="21"/>
  <c r="JN11" i="10"/>
  <c r="JM7" i="10"/>
  <c r="JP109" i="21" l="1"/>
  <c r="JO171" i="21"/>
  <c r="JO173" i="21" s="1"/>
  <c r="JO179" i="21" s="1"/>
  <c r="JO144" i="21"/>
  <c r="JO152" i="21" s="1"/>
  <c r="JO96" i="21"/>
  <c r="JO97" i="21" s="1"/>
  <c r="JP95" i="21" s="1"/>
  <c r="JP48" i="21"/>
  <c r="JO55" i="21"/>
  <c r="JO58" i="21" s="1"/>
  <c r="JP80" i="21"/>
  <c r="JP91" i="21" s="1"/>
  <c r="JP92" i="21" s="1"/>
  <c r="JO59" i="21"/>
  <c r="JO61" i="21" s="1"/>
  <c r="JP76" i="21"/>
  <c r="JO126" i="21"/>
  <c r="JO127" i="21" s="1"/>
  <c r="JP125" i="21" s="1"/>
  <c r="JP112" i="21"/>
  <c r="JP105" i="21"/>
  <c r="JP111" i="21" s="1"/>
  <c r="JP140" i="21" s="1"/>
  <c r="JP121" i="21"/>
  <c r="JP122" i="21" s="1"/>
  <c r="JP141" i="21" s="1"/>
  <c r="JQ13" i="21"/>
  <c r="JQ5" i="21" s="1"/>
  <c r="JQ14" i="21"/>
  <c r="JQ6" i="21" s="1"/>
  <c r="JQ12" i="21"/>
  <c r="JQ132" i="21" s="1"/>
  <c r="JN12" i="10"/>
  <c r="JN15" i="10" s="1"/>
  <c r="JN13" i="10"/>
  <c r="JN5" i="10" s="1"/>
  <c r="JN14" i="10"/>
  <c r="JN6" i="10" s="1"/>
  <c r="JP138" i="21" l="1"/>
  <c r="JQ149" i="21"/>
  <c r="JQ162" i="21"/>
  <c r="JP157" i="21"/>
  <c r="JP142" i="21"/>
  <c r="JP139" i="21"/>
  <c r="JO66" i="21"/>
  <c r="JP113" i="21"/>
  <c r="JP81" i="21"/>
  <c r="JQ77" i="21"/>
  <c r="JQ74" i="21"/>
  <c r="JQ87" i="21" s="1"/>
  <c r="JQ88" i="21" s="1"/>
  <c r="JQ75" i="21"/>
  <c r="JQ106" i="21"/>
  <c r="JQ103" i="21"/>
  <c r="JQ117" i="21" s="1"/>
  <c r="JQ118" i="21" s="1"/>
  <c r="JQ104" i="21"/>
  <c r="JQ102" i="21"/>
  <c r="JQ110" i="21" s="1"/>
  <c r="JQ15" i="21"/>
  <c r="JQ7" i="21"/>
  <c r="JR11" i="21"/>
  <c r="JO11" i="10"/>
  <c r="JN7" i="10"/>
  <c r="JQ109" i="21" l="1"/>
  <c r="JP171" i="21"/>
  <c r="JP158" i="21"/>
  <c r="JP165" i="21" s="1"/>
  <c r="JP47" i="21"/>
  <c r="JP137" i="21"/>
  <c r="JP83" i="21"/>
  <c r="JP170" i="21" s="1"/>
  <c r="JP49" i="21"/>
  <c r="JP50" i="21" s="1"/>
  <c r="JP172" i="21" s="1"/>
  <c r="JQ80" i="21"/>
  <c r="JQ91" i="21" s="1"/>
  <c r="JQ92" i="21" s="1"/>
  <c r="JP96" i="21"/>
  <c r="JP97" i="21" s="1"/>
  <c r="JQ95" i="21" s="1"/>
  <c r="JQ82" i="21"/>
  <c r="JQ76" i="21"/>
  <c r="JQ81" i="21" s="1"/>
  <c r="JQ137" i="21" s="1"/>
  <c r="JP126" i="21"/>
  <c r="JP127" i="21" s="1"/>
  <c r="JQ125" i="21" s="1"/>
  <c r="JQ112" i="21"/>
  <c r="JQ121" i="21"/>
  <c r="JQ122" i="21" s="1"/>
  <c r="JQ141" i="21" s="1"/>
  <c r="JQ105" i="21"/>
  <c r="JQ111" i="21" s="1"/>
  <c r="JQ140" i="21" s="1"/>
  <c r="JR13" i="21"/>
  <c r="JR5" i="21" s="1"/>
  <c r="JR12" i="21"/>
  <c r="JR132" i="21" s="1"/>
  <c r="JR14" i="21"/>
  <c r="JR6" i="21" s="1"/>
  <c r="JO14" i="10"/>
  <c r="JO6" i="10" s="1"/>
  <c r="JO13" i="10"/>
  <c r="JO5" i="10" s="1"/>
  <c r="JO12" i="10"/>
  <c r="JO15" i="10" s="1"/>
  <c r="JP173" i="21" l="1"/>
  <c r="JP179" i="21" s="1"/>
  <c r="JP59" i="21"/>
  <c r="JP61" i="21" s="1"/>
  <c r="JQ138" i="21"/>
  <c r="JQ157" i="21"/>
  <c r="JQ158" i="21"/>
  <c r="JQ165" i="21" s="1"/>
  <c r="JR149" i="21"/>
  <c r="JR162" i="21"/>
  <c r="JP144" i="21"/>
  <c r="JP152" i="21" s="1"/>
  <c r="JQ139" i="21"/>
  <c r="JQ142" i="21"/>
  <c r="JQ144" i="21" s="1"/>
  <c r="JQ152" i="21" s="1"/>
  <c r="JQ47" i="21"/>
  <c r="JQ48" i="21"/>
  <c r="JP55" i="21"/>
  <c r="JP58" i="21" s="1"/>
  <c r="JP66" i="21" s="1"/>
  <c r="JQ113" i="21"/>
  <c r="JQ83" i="21"/>
  <c r="JQ170" i="21" s="1"/>
  <c r="JR77" i="21"/>
  <c r="JR74" i="21"/>
  <c r="JR87" i="21" s="1"/>
  <c r="JR88" i="21" s="1"/>
  <c r="JR75" i="21"/>
  <c r="JR106" i="21"/>
  <c r="JR103" i="21"/>
  <c r="JR117" i="21" s="1"/>
  <c r="JR118" i="21" s="1"/>
  <c r="JR102" i="21"/>
  <c r="JR110" i="21" s="1"/>
  <c r="JR104" i="21"/>
  <c r="JR15" i="21"/>
  <c r="JR7" i="21"/>
  <c r="JS11" i="21"/>
  <c r="JP11" i="10"/>
  <c r="JO7" i="10"/>
  <c r="JR109" i="21" l="1"/>
  <c r="JQ171" i="21"/>
  <c r="JQ49" i="21"/>
  <c r="JQ50" i="21"/>
  <c r="JQ172" i="21" s="1"/>
  <c r="JR48" i="21"/>
  <c r="JQ55" i="21"/>
  <c r="JQ58" i="21" s="1"/>
  <c r="JR80" i="21"/>
  <c r="JR91" i="21" s="1"/>
  <c r="JR92" i="21" s="1"/>
  <c r="JQ59" i="21"/>
  <c r="JQ61" i="21" s="1"/>
  <c r="JQ96" i="21"/>
  <c r="JQ97" i="21" s="1"/>
  <c r="JR95" i="21" s="1"/>
  <c r="JR82" i="21"/>
  <c r="JR76" i="21"/>
  <c r="JR81" i="21" s="1"/>
  <c r="JR137" i="21" s="1"/>
  <c r="JR112" i="21"/>
  <c r="JQ126" i="21"/>
  <c r="JQ127" i="21" s="1"/>
  <c r="JR125" i="21" s="1"/>
  <c r="JR121" i="21"/>
  <c r="JR122" i="21" s="1"/>
  <c r="JR141" i="21" s="1"/>
  <c r="JR105" i="21"/>
  <c r="JR111" i="21" s="1"/>
  <c r="JR140" i="21" s="1"/>
  <c r="JS13" i="21"/>
  <c r="JS5" i="21" s="1"/>
  <c r="JS14" i="21"/>
  <c r="JS6" i="21" s="1"/>
  <c r="JS12" i="21"/>
  <c r="JS132" i="21" s="1"/>
  <c r="JP14" i="10"/>
  <c r="JP6" i="10" s="1"/>
  <c r="JP13" i="10"/>
  <c r="JP5" i="10" s="1"/>
  <c r="JP12" i="10"/>
  <c r="JP15" i="10" s="1"/>
  <c r="JQ173" i="21" l="1"/>
  <c r="JQ179" i="21" s="1"/>
  <c r="JR138" i="21"/>
  <c r="JS149" i="21"/>
  <c r="JS162" i="21"/>
  <c r="JR157" i="21"/>
  <c r="JR139" i="21"/>
  <c r="JR142" i="21"/>
  <c r="JR144" i="21" s="1"/>
  <c r="JR152" i="21" s="1"/>
  <c r="JR47" i="21"/>
  <c r="JQ66" i="21"/>
  <c r="JR113" i="21"/>
  <c r="JR83" i="21"/>
  <c r="JR170" i="21" s="1"/>
  <c r="JS77" i="21"/>
  <c r="JS74" i="21"/>
  <c r="JS87" i="21" s="1"/>
  <c r="JS88" i="21" s="1"/>
  <c r="JS75" i="21"/>
  <c r="JS106" i="21"/>
  <c r="JS103" i="21"/>
  <c r="JS117" i="21" s="1"/>
  <c r="JS118" i="21" s="1"/>
  <c r="JS104" i="21"/>
  <c r="JS102" i="21"/>
  <c r="JS110" i="21" s="1"/>
  <c r="JT11" i="21"/>
  <c r="JS15" i="21"/>
  <c r="JS7" i="21"/>
  <c r="JP7" i="10"/>
  <c r="JQ11" i="10"/>
  <c r="JS109" i="21" l="1"/>
  <c r="JR171" i="21"/>
  <c r="JR158" i="21"/>
  <c r="JR165" i="21" s="1"/>
  <c r="JR49" i="21"/>
  <c r="JR50" i="21" s="1"/>
  <c r="JR172" i="21" s="1"/>
  <c r="JS48" i="21"/>
  <c r="JR55" i="21"/>
  <c r="JR58" i="21" s="1"/>
  <c r="JS80" i="21"/>
  <c r="JS91" i="21" s="1"/>
  <c r="JS92" i="21" s="1"/>
  <c r="JR59" i="21"/>
  <c r="JR61" i="21" s="1"/>
  <c r="JS82" i="21"/>
  <c r="JR96" i="21"/>
  <c r="JR97" i="21" s="1"/>
  <c r="JS95" i="21" s="1"/>
  <c r="JS76" i="21"/>
  <c r="JS81" i="21" s="1"/>
  <c r="JS137" i="21" s="1"/>
  <c r="JR126" i="21"/>
  <c r="JR127" i="21" s="1"/>
  <c r="JS125" i="21" s="1"/>
  <c r="JS112" i="21"/>
  <c r="JS121" i="21"/>
  <c r="JS122" i="21" s="1"/>
  <c r="JS141" i="21" s="1"/>
  <c r="JS105" i="21"/>
  <c r="JS111" i="21" s="1"/>
  <c r="JS140" i="21" s="1"/>
  <c r="JT14" i="21"/>
  <c r="JT6" i="21" s="1"/>
  <c r="JT13" i="21"/>
  <c r="JT5" i="21" s="1"/>
  <c r="JT12" i="21"/>
  <c r="JT132" i="21" s="1"/>
  <c r="JQ13" i="10"/>
  <c r="JQ5" i="10" s="1"/>
  <c r="JQ14" i="10"/>
  <c r="JQ6" i="10" s="1"/>
  <c r="JQ12" i="10"/>
  <c r="JQ15" i="10" s="1"/>
  <c r="JR173" i="21" l="1"/>
  <c r="JR179" i="21" s="1"/>
  <c r="JS138" i="21"/>
  <c r="JS157" i="21"/>
  <c r="JS158" i="21" s="1"/>
  <c r="JS165" i="21" s="1"/>
  <c r="JT149" i="21"/>
  <c r="JT162" i="21"/>
  <c r="JS139" i="21"/>
  <c r="JS142" i="21"/>
  <c r="JS144" i="21" s="1"/>
  <c r="JS152" i="21" s="1"/>
  <c r="JS47" i="21"/>
  <c r="JR66" i="21"/>
  <c r="JS113" i="21"/>
  <c r="JS83" i="21"/>
  <c r="JS170" i="21" s="1"/>
  <c r="JT77" i="21"/>
  <c r="JT74" i="21"/>
  <c r="JT87" i="21" s="1"/>
  <c r="JT88" i="21" s="1"/>
  <c r="JT75" i="21"/>
  <c r="JT103" i="21"/>
  <c r="JT117" i="21" s="1"/>
  <c r="JT118" i="21" s="1"/>
  <c r="JT106" i="21"/>
  <c r="JT104" i="21"/>
  <c r="JT102" i="21"/>
  <c r="JT110" i="21" s="1"/>
  <c r="JT15" i="21"/>
  <c r="JT7" i="21"/>
  <c r="JU11" i="21"/>
  <c r="JR11" i="10"/>
  <c r="JQ7" i="10"/>
  <c r="JT109" i="21" l="1"/>
  <c r="JS171" i="21"/>
  <c r="JS49" i="21"/>
  <c r="JS50" i="21" s="1"/>
  <c r="JS172" i="21" s="1"/>
  <c r="JT48" i="21"/>
  <c r="JT80" i="21"/>
  <c r="JT91" i="21" s="1"/>
  <c r="JT92" i="21" s="1"/>
  <c r="JS59" i="21"/>
  <c r="JS61" i="21" s="1"/>
  <c r="JS96" i="21"/>
  <c r="JS97" i="21" s="1"/>
  <c r="JT95" i="21" s="1"/>
  <c r="JT82" i="21"/>
  <c r="JT76" i="21"/>
  <c r="JT81" i="21" s="1"/>
  <c r="JT137" i="21" s="1"/>
  <c r="JT112" i="21"/>
  <c r="JS126" i="21"/>
  <c r="JS127" i="21" s="1"/>
  <c r="JT125" i="21" s="1"/>
  <c r="JT121" i="21"/>
  <c r="JT122" i="21" s="1"/>
  <c r="JT141" i="21" s="1"/>
  <c r="JT105" i="21"/>
  <c r="JT111" i="21" s="1"/>
  <c r="JT140" i="21" s="1"/>
  <c r="JU13" i="21"/>
  <c r="JU5" i="21" s="1"/>
  <c r="JU14" i="21"/>
  <c r="JU6" i="21" s="1"/>
  <c r="JU12" i="21"/>
  <c r="JU132" i="21" s="1"/>
  <c r="JR13" i="10"/>
  <c r="JR5" i="10" s="1"/>
  <c r="JR14" i="10"/>
  <c r="JR6" i="10" s="1"/>
  <c r="JR12" i="10"/>
  <c r="JR15" i="10" s="1"/>
  <c r="JS173" i="21" l="1"/>
  <c r="JS179" i="21" s="1"/>
  <c r="JT138" i="21"/>
  <c r="JS55" i="21"/>
  <c r="JS58" i="21" s="1"/>
  <c r="JS66" i="21" s="1"/>
  <c r="JU149" i="21"/>
  <c r="JU162" i="21"/>
  <c r="JT157" i="21"/>
  <c r="JT139" i="21"/>
  <c r="JT142" i="21"/>
  <c r="JT144" i="21" s="1"/>
  <c r="JT152" i="21" s="1"/>
  <c r="JT47" i="21"/>
  <c r="JT49" i="21" s="1"/>
  <c r="JT50" i="21" s="1"/>
  <c r="JT172" i="21" s="1"/>
  <c r="JT113" i="21"/>
  <c r="JT83" i="21"/>
  <c r="JT170" i="21" s="1"/>
  <c r="JU104" i="21"/>
  <c r="JT126" i="21" s="1"/>
  <c r="JT127" i="21" s="1"/>
  <c r="JU77" i="21"/>
  <c r="JU74" i="21"/>
  <c r="JU87" i="21" s="1"/>
  <c r="JU88" i="21" s="1"/>
  <c r="JU75" i="21"/>
  <c r="JU106" i="21"/>
  <c r="JU103" i="21"/>
  <c r="JU117" i="21" s="1"/>
  <c r="JU118" i="21" s="1"/>
  <c r="JU102" i="21"/>
  <c r="JU110" i="21" s="1"/>
  <c r="JV11" i="21"/>
  <c r="JU15" i="21"/>
  <c r="JU7" i="21"/>
  <c r="JR7" i="10"/>
  <c r="JS11" i="10"/>
  <c r="JU109" i="21" l="1"/>
  <c r="JT171" i="21"/>
  <c r="JT173" i="21" s="1"/>
  <c r="JT179" i="21" s="1"/>
  <c r="JT158" i="21"/>
  <c r="JT165" i="21" s="1"/>
  <c r="JU48" i="21"/>
  <c r="JT55" i="21"/>
  <c r="JT58" i="21" s="1"/>
  <c r="JU80" i="21"/>
  <c r="JU91" i="21" s="1"/>
  <c r="JU92" i="21" s="1"/>
  <c r="JT59" i="21"/>
  <c r="JT61" i="21" s="1"/>
  <c r="JU125" i="21"/>
  <c r="JU112" i="21"/>
  <c r="JT96" i="21"/>
  <c r="JT97" i="21" s="1"/>
  <c r="JU95" i="21" s="1"/>
  <c r="JU82" i="21"/>
  <c r="JU76" i="21"/>
  <c r="JU81" i="21" s="1"/>
  <c r="JU137" i="21" s="1"/>
  <c r="JU105" i="21"/>
  <c r="JU111" i="21" s="1"/>
  <c r="JU140" i="21" s="1"/>
  <c r="JU121" i="21"/>
  <c r="JU122" i="21" s="1"/>
  <c r="JU141" i="21" s="1"/>
  <c r="JV14" i="21"/>
  <c r="JV6" i="21" s="1"/>
  <c r="JV13" i="21"/>
  <c r="JV5" i="21" s="1"/>
  <c r="JV12" i="21"/>
  <c r="JV132" i="21" s="1"/>
  <c r="JS13" i="10"/>
  <c r="JS5" i="10" s="1"/>
  <c r="JS14" i="10"/>
  <c r="JS6" i="10" s="1"/>
  <c r="JS12" i="10"/>
  <c r="JS15" i="10" s="1"/>
  <c r="JU138" i="21" l="1"/>
  <c r="JU157" i="21"/>
  <c r="JV149" i="21"/>
  <c r="JV162" i="21"/>
  <c r="JU158" i="21"/>
  <c r="JU165" i="21" s="1"/>
  <c r="JU139" i="21"/>
  <c r="JU142" i="21"/>
  <c r="JU144" i="21" s="1"/>
  <c r="JU152" i="21" s="1"/>
  <c r="JV75" i="21"/>
  <c r="JV82" i="21" s="1"/>
  <c r="JT66" i="21"/>
  <c r="JU47" i="21"/>
  <c r="JU113" i="21"/>
  <c r="JU83" i="21"/>
  <c r="JU170" i="21" s="1"/>
  <c r="JV77" i="21"/>
  <c r="JV74" i="21"/>
  <c r="JV87" i="21" s="1"/>
  <c r="JV88" i="21" s="1"/>
  <c r="JV103" i="21"/>
  <c r="JV117" i="21" s="1"/>
  <c r="JV118" i="21" s="1"/>
  <c r="JV106" i="21"/>
  <c r="JV104" i="21"/>
  <c r="JV102" i="21"/>
  <c r="JV110" i="21" s="1"/>
  <c r="JW11" i="21"/>
  <c r="JV15" i="21"/>
  <c r="JV7" i="21"/>
  <c r="JT11" i="10"/>
  <c r="JS7" i="10"/>
  <c r="JV109" i="21" l="1"/>
  <c r="JU171" i="21"/>
  <c r="JU96" i="21"/>
  <c r="JU97" i="21" s="1"/>
  <c r="JV95" i="21" s="1"/>
  <c r="JU49" i="21"/>
  <c r="JU50" i="21" s="1"/>
  <c r="JU172" i="21" s="1"/>
  <c r="JV48" i="21"/>
  <c r="JU55" i="21"/>
  <c r="JU58" i="21" s="1"/>
  <c r="JV80" i="21"/>
  <c r="JV91" i="21" s="1"/>
  <c r="JV92" i="21" s="1"/>
  <c r="JU59" i="21"/>
  <c r="JU61" i="21" s="1"/>
  <c r="JV76" i="21"/>
  <c r="JU126" i="21"/>
  <c r="JU127" i="21" s="1"/>
  <c r="JV125" i="21" s="1"/>
  <c r="JV112" i="21"/>
  <c r="JV121" i="21"/>
  <c r="JV122" i="21" s="1"/>
  <c r="JV141" i="21" s="1"/>
  <c r="JV105" i="21"/>
  <c r="JV111" i="21" s="1"/>
  <c r="JV140" i="21" s="1"/>
  <c r="JW14" i="21"/>
  <c r="JW6" i="21" s="1"/>
  <c r="JW12" i="21"/>
  <c r="JW132" i="21" s="1"/>
  <c r="JW13" i="21"/>
  <c r="JW5" i="21" s="1"/>
  <c r="JT13" i="10"/>
  <c r="JT5" i="10" s="1"/>
  <c r="JT14" i="10"/>
  <c r="JT6" i="10" s="1"/>
  <c r="JT12" i="10"/>
  <c r="JT15" i="10" s="1"/>
  <c r="JU173" i="21" l="1"/>
  <c r="JU179" i="21" s="1"/>
  <c r="JV138" i="21"/>
  <c r="JW149" i="21"/>
  <c r="JW162" i="21"/>
  <c r="JV157" i="21"/>
  <c r="JV142" i="21"/>
  <c r="JV139" i="21"/>
  <c r="JW75" i="21"/>
  <c r="JW82" i="21" s="1"/>
  <c r="JU66" i="21"/>
  <c r="JV113" i="21"/>
  <c r="JV81" i="21"/>
  <c r="JW77" i="21"/>
  <c r="JW74" i="21"/>
  <c r="JW87" i="21" s="1"/>
  <c r="JW88" i="21" s="1"/>
  <c r="JW106" i="21"/>
  <c r="JW103" i="21"/>
  <c r="JW117" i="21" s="1"/>
  <c r="JW118" i="21" s="1"/>
  <c r="JW104" i="21"/>
  <c r="JW102" i="21"/>
  <c r="JW110" i="21" s="1"/>
  <c r="JW15" i="21"/>
  <c r="JW7" i="21"/>
  <c r="JX11" i="21"/>
  <c r="JT7" i="10"/>
  <c r="JU11" i="10"/>
  <c r="JV96" i="21" l="1"/>
  <c r="JV97" i="21" s="1"/>
  <c r="JW95" i="21" s="1"/>
  <c r="JW109" i="21"/>
  <c r="JV171" i="21"/>
  <c r="JV158" i="21"/>
  <c r="JV165" i="21" s="1"/>
  <c r="JV47" i="21"/>
  <c r="JV137" i="21"/>
  <c r="JV83" i="21"/>
  <c r="JV59" i="21" s="1"/>
  <c r="JV61" i="21" s="1"/>
  <c r="JV49" i="21"/>
  <c r="JV50" i="21" s="1"/>
  <c r="JV172" i="21" s="1"/>
  <c r="JW76" i="21"/>
  <c r="JV126" i="21"/>
  <c r="JV127" i="21" s="1"/>
  <c r="JW125" i="21" s="1"/>
  <c r="JW112" i="21"/>
  <c r="JW121" i="21"/>
  <c r="JW122" i="21" s="1"/>
  <c r="JW141" i="21" s="1"/>
  <c r="JW105" i="21"/>
  <c r="JW111" i="21" s="1"/>
  <c r="JW140" i="21" s="1"/>
  <c r="JX12" i="21"/>
  <c r="JX132" i="21" s="1"/>
  <c r="JX13" i="21"/>
  <c r="JX5" i="21" s="1"/>
  <c r="JX14" i="21"/>
  <c r="JX6" i="21" s="1"/>
  <c r="JU14" i="10"/>
  <c r="JU6" i="10" s="1"/>
  <c r="JU12" i="10"/>
  <c r="JU15" i="10" s="1"/>
  <c r="JU13" i="10"/>
  <c r="JU5" i="10" s="1"/>
  <c r="JW80" i="21" l="1"/>
  <c r="JW91" i="21" s="1"/>
  <c r="JW92" i="21" s="1"/>
  <c r="JV170" i="21"/>
  <c r="JV173" i="21" s="1"/>
  <c r="JV179" i="21" s="1"/>
  <c r="JX149" i="21"/>
  <c r="JX162" i="21"/>
  <c r="JV144" i="21"/>
  <c r="JV152" i="21" s="1"/>
  <c r="JW139" i="21"/>
  <c r="JW142" i="21"/>
  <c r="JX75" i="21"/>
  <c r="JW96" i="21" s="1"/>
  <c r="JW97" i="21" s="1"/>
  <c r="JX95" i="21" s="1"/>
  <c r="JW48" i="21"/>
  <c r="JV55" i="21"/>
  <c r="JV58" i="21" s="1"/>
  <c r="JV66" i="21" s="1"/>
  <c r="JW113" i="21"/>
  <c r="JW81" i="21"/>
  <c r="JX77" i="21"/>
  <c r="JX74" i="21"/>
  <c r="JX87" i="21" s="1"/>
  <c r="JX88" i="21" s="1"/>
  <c r="JX104" i="21"/>
  <c r="JW126" i="21" s="1"/>
  <c r="JW127" i="21" s="1"/>
  <c r="JX102" i="21"/>
  <c r="JX110" i="21" s="1"/>
  <c r="JX106" i="21"/>
  <c r="JX103" i="21"/>
  <c r="JX117" i="21" s="1"/>
  <c r="JX118" i="21" s="1"/>
  <c r="JX15" i="21"/>
  <c r="JX7" i="21"/>
  <c r="JY11" i="21"/>
  <c r="JV11" i="10"/>
  <c r="JU7" i="10"/>
  <c r="JX82" i="21" l="1"/>
  <c r="JW138" i="21"/>
  <c r="JW157" i="21" s="1"/>
  <c r="JX109" i="21"/>
  <c r="JW171" i="21"/>
  <c r="JW158" i="21"/>
  <c r="JW165" i="21" s="1"/>
  <c r="JW47" i="21"/>
  <c r="JW49" i="21" s="1"/>
  <c r="JW50" i="21" s="1"/>
  <c r="JW172" i="21" s="1"/>
  <c r="JW137" i="21"/>
  <c r="JW83" i="21"/>
  <c r="JW59" i="21" s="1"/>
  <c r="JW61" i="21" s="1"/>
  <c r="JX125" i="21"/>
  <c r="JX112" i="21"/>
  <c r="JX76" i="21"/>
  <c r="JX105" i="21"/>
  <c r="JX111" i="21" s="1"/>
  <c r="JX140" i="21" s="1"/>
  <c r="JX121" i="21"/>
  <c r="JX122" i="21" s="1"/>
  <c r="JX141" i="21" s="1"/>
  <c r="JY14" i="21"/>
  <c r="JY6" i="21" s="1"/>
  <c r="JY12" i="21"/>
  <c r="JY132" i="21" s="1"/>
  <c r="JY13" i="21"/>
  <c r="JY5" i="21" s="1"/>
  <c r="JV14" i="10"/>
  <c r="JV6" i="10" s="1"/>
  <c r="JV12" i="10"/>
  <c r="JV15" i="10" s="1"/>
  <c r="JV13" i="10"/>
  <c r="JV5" i="10" s="1"/>
  <c r="JX80" i="21" l="1"/>
  <c r="JX91" i="21" s="1"/>
  <c r="JX92" i="21" s="1"/>
  <c r="JW170" i="21"/>
  <c r="JW173" i="21" s="1"/>
  <c r="JW179" i="21" s="1"/>
  <c r="JY149" i="21"/>
  <c r="JY162" i="21"/>
  <c r="JW144" i="21"/>
  <c r="JW152" i="21" s="1"/>
  <c r="JX139" i="21"/>
  <c r="JX142" i="21"/>
  <c r="JY75" i="21"/>
  <c r="JX96" i="21" s="1"/>
  <c r="JX97" i="21" s="1"/>
  <c r="JY95" i="21" s="1"/>
  <c r="JX48" i="21"/>
  <c r="JW55" i="21"/>
  <c r="JW58" i="21" s="1"/>
  <c r="JW66" i="21" s="1"/>
  <c r="JX113" i="21"/>
  <c r="JX81" i="21"/>
  <c r="JY77" i="21"/>
  <c r="JY74" i="21"/>
  <c r="JY87" i="21" s="1"/>
  <c r="JY88" i="21" s="1"/>
  <c r="JY106" i="21"/>
  <c r="JY103" i="21"/>
  <c r="JY117" i="21" s="1"/>
  <c r="JY118" i="21" s="1"/>
  <c r="JY104" i="21"/>
  <c r="JY102" i="21"/>
  <c r="JY110" i="21" s="1"/>
  <c r="JY15" i="21"/>
  <c r="JY7" i="21"/>
  <c r="JZ11" i="21"/>
  <c r="JW11" i="10"/>
  <c r="JV7" i="10"/>
  <c r="JY82" i="21" l="1"/>
  <c r="JX138" i="21"/>
  <c r="JX157" i="21" s="1"/>
  <c r="JY109" i="21"/>
  <c r="JX171" i="21"/>
  <c r="JX158" i="21"/>
  <c r="JX165" i="21" s="1"/>
  <c r="JX47" i="21"/>
  <c r="JX49" i="21" s="1"/>
  <c r="JX50" i="21" s="1"/>
  <c r="JX172" i="21" s="1"/>
  <c r="JX137" i="21"/>
  <c r="JX83" i="21"/>
  <c r="JX170" i="21" s="1"/>
  <c r="JY76" i="21"/>
  <c r="JX126" i="21"/>
  <c r="JX127" i="21" s="1"/>
  <c r="JY125" i="21" s="1"/>
  <c r="JY112" i="21"/>
  <c r="JY121" i="21"/>
  <c r="JY122" i="21" s="1"/>
  <c r="JY141" i="21" s="1"/>
  <c r="JY105" i="21"/>
  <c r="JY111" i="21" s="1"/>
  <c r="JY140" i="21" s="1"/>
  <c r="JZ12" i="21"/>
  <c r="JZ132" i="21" s="1"/>
  <c r="JZ13" i="21"/>
  <c r="JZ5" i="21" s="1"/>
  <c r="JZ14" i="21"/>
  <c r="JZ6" i="21" s="1"/>
  <c r="JW14" i="10"/>
  <c r="JW6" i="10" s="1"/>
  <c r="JW12" i="10"/>
  <c r="JW15" i="10" s="1"/>
  <c r="JW13" i="10"/>
  <c r="JW5" i="10" s="1"/>
  <c r="JX173" i="21" l="1"/>
  <c r="JX179" i="21" s="1"/>
  <c r="JX59" i="21"/>
  <c r="JX61" i="21" s="1"/>
  <c r="JY80" i="21"/>
  <c r="JY91" i="21" s="1"/>
  <c r="JY92" i="21" s="1"/>
  <c r="JY138" i="21" s="1"/>
  <c r="JY157" i="21" s="1"/>
  <c r="JY158" i="21" s="1"/>
  <c r="JY165" i="21" s="1"/>
  <c r="JZ149" i="21"/>
  <c r="JZ162" i="21"/>
  <c r="JX144" i="21"/>
  <c r="JX152" i="21" s="1"/>
  <c r="JY142" i="21"/>
  <c r="JY139" i="21"/>
  <c r="JY48" i="21"/>
  <c r="JX55" i="21"/>
  <c r="JX58" i="21" s="1"/>
  <c r="JX66" i="21" s="1"/>
  <c r="JY113" i="21"/>
  <c r="JY81" i="21"/>
  <c r="JZ102" i="21"/>
  <c r="JZ110" i="21" s="1"/>
  <c r="JZ77" i="21"/>
  <c r="JZ74" i="21"/>
  <c r="JZ87" i="21" s="1"/>
  <c r="JZ88" i="21" s="1"/>
  <c r="JZ75" i="21"/>
  <c r="JZ104" i="21"/>
  <c r="JZ106" i="21"/>
  <c r="JZ103" i="21"/>
  <c r="JZ117" i="21" s="1"/>
  <c r="JZ118" i="21" s="1"/>
  <c r="KA11" i="21"/>
  <c r="JZ15" i="21"/>
  <c r="JZ7" i="21"/>
  <c r="JX11" i="10"/>
  <c r="JW7" i="10"/>
  <c r="JZ109" i="21" l="1"/>
  <c r="JY171" i="21"/>
  <c r="JY47" i="21"/>
  <c r="JY137" i="21"/>
  <c r="JY83" i="21"/>
  <c r="JY170" i="21" s="1"/>
  <c r="JY49" i="21"/>
  <c r="JY50" i="21" s="1"/>
  <c r="JY172" i="21" s="1"/>
  <c r="JZ80" i="21"/>
  <c r="JZ91" i="21" s="1"/>
  <c r="JZ92" i="21" s="1"/>
  <c r="JY59" i="21"/>
  <c r="JY61" i="21" s="1"/>
  <c r="JY96" i="21"/>
  <c r="JY97" i="21" s="1"/>
  <c r="JZ95" i="21" s="1"/>
  <c r="JZ82" i="21"/>
  <c r="JZ76" i="21"/>
  <c r="JZ81" i="21" s="1"/>
  <c r="JZ137" i="21" s="1"/>
  <c r="JZ121" i="21"/>
  <c r="JZ122" i="21" s="1"/>
  <c r="JZ141" i="21" s="1"/>
  <c r="JZ105" i="21"/>
  <c r="JZ111" i="21" s="1"/>
  <c r="JZ140" i="21" s="1"/>
  <c r="JZ112" i="21"/>
  <c r="JY126" i="21"/>
  <c r="JY127" i="21" s="1"/>
  <c r="JZ125" i="21" s="1"/>
  <c r="KA14" i="21"/>
  <c r="KA6" i="21" s="1"/>
  <c r="KA12" i="21"/>
  <c r="KA132" i="21" s="1"/>
  <c r="KA13" i="21"/>
  <c r="KA5" i="21" s="1"/>
  <c r="JX14" i="10"/>
  <c r="JX6" i="10" s="1"/>
  <c r="JX12" i="10"/>
  <c r="JX15" i="10" s="1"/>
  <c r="JX13" i="10"/>
  <c r="JX5" i="10" s="1"/>
  <c r="JY173" i="21" l="1"/>
  <c r="JY179" i="21" s="1"/>
  <c r="JZ138" i="21"/>
  <c r="KA149" i="21"/>
  <c r="KA162" i="21"/>
  <c r="JZ157" i="21"/>
  <c r="JY144" i="21"/>
  <c r="JY152" i="21" s="1"/>
  <c r="JZ142" i="21"/>
  <c r="JZ139" i="21"/>
  <c r="JZ47" i="21"/>
  <c r="KA75" i="21"/>
  <c r="KA82" i="21" s="1"/>
  <c r="JZ48" i="21"/>
  <c r="JY55" i="21"/>
  <c r="JY58" i="21" s="1"/>
  <c r="JY66" i="21" s="1"/>
  <c r="JZ49" i="21"/>
  <c r="JZ113" i="21"/>
  <c r="JZ83" i="21"/>
  <c r="JZ170" i="21" s="1"/>
  <c r="KA77" i="21"/>
  <c r="KA74" i="21"/>
  <c r="KA87" i="21" s="1"/>
  <c r="KA88" i="21" s="1"/>
  <c r="KA106" i="21"/>
  <c r="KA103" i="21"/>
  <c r="KA117" i="21" s="1"/>
  <c r="KA118" i="21" s="1"/>
  <c r="KA104" i="21"/>
  <c r="KA102" i="21"/>
  <c r="KA110" i="21" s="1"/>
  <c r="KA15" i="21"/>
  <c r="KB11" i="21"/>
  <c r="KA7" i="21"/>
  <c r="JY11" i="10"/>
  <c r="JX7" i="10"/>
  <c r="JZ96" i="21" l="1"/>
  <c r="JZ97" i="21" s="1"/>
  <c r="KA95" i="21" s="1"/>
  <c r="KA109" i="21"/>
  <c r="JZ171" i="21"/>
  <c r="JZ158" i="21"/>
  <c r="JZ165" i="21" s="1"/>
  <c r="JZ144" i="21"/>
  <c r="JZ152" i="21" s="1"/>
  <c r="JZ50" i="21"/>
  <c r="JZ172" i="21" s="1"/>
  <c r="KA80" i="21"/>
  <c r="KA91" i="21" s="1"/>
  <c r="KA92" i="21" s="1"/>
  <c r="JZ59" i="21"/>
  <c r="JZ61" i="21" s="1"/>
  <c r="KA76" i="21"/>
  <c r="JZ126" i="21"/>
  <c r="JZ127" i="21" s="1"/>
  <c r="KA125" i="21" s="1"/>
  <c r="KA112" i="21"/>
  <c r="KA121" i="21"/>
  <c r="KA122" i="21" s="1"/>
  <c r="KA141" i="21" s="1"/>
  <c r="KA105" i="21"/>
  <c r="KA111" i="21" s="1"/>
  <c r="KA140" i="21" s="1"/>
  <c r="KB13" i="21"/>
  <c r="KB5" i="21" s="1"/>
  <c r="KB12" i="21"/>
  <c r="KB132" i="21" s="1"/>
  <c r="KB14" i="21"/>
  <c r="KB6" i="21" s="1"/>
  <c r="JY14" i="10"/>
  <c r="JY6" i="10" s="1"/>
  <c r="JY13" i="10"/>
  <c r="JY5" i="10" s="1"/>
  <c r="JY12" i="10"/>
  <c r="JY15" i="10" s="1"/>
  <c r="JZ173" i="21" l="1"/>
  <c r="JZ179" i="21" s="1"/>
  <c r="KA138" i="21"/>
  <c r="KA157" i="21"/>
  <c r="KB149" i="21"/>
  <c r="KB162" i="21"/>
  <c r="KA142" i="21"/>
  <c r="KA139" i="21"/>
  <c r="KA48" i="21"/>
  <c r="JZ55" i="21"/>
  <c r="JZ58" i="21" s="1"/>
  <c r="JZ66" i="21" s="1"/>
  <c r="KA113" i="21"/>
  <c r="KA81" i="21"/>
  <c r="KB102" i="21"/>
  <c r="KB110" i="21" s="1"/>
  <c r="KB77" i="21"/>
  <c r="KB74" i="21"/>
  <c r="KB87" i="21" s="1"/>
  <c r="KB88" i="21" s="1"/>
  <c r="KB75" i="21"/>
  <c r="KB104" i="21"/>
  <c r="KB106" i="21"/>
  <c r="KB103" i="21"/>
  <c r="KB117" i="21" s="1"/>
  <c r="KB118" i="21" s="1"/>
  <c r="KB15" i="21"/>
  <c r="KC11" i="21"/>
  <c r="KB7" i="21"/>
  <c r="JZ11" i="10"/>
  <c r="JY7" i="10"/>
  <c r="KB109" i="21" l="1"/>
  <c r="KA171" i="21"/>
  <c r="KA158" i="21"/>
  <c r="KA165" i="21" s="1"/>
  <c r="KA47" i="21"/>
  <c r="KA137" i="21"/>
  <c r="KA83" i="21"/>
  <c r="KA170" i="21" s="1"/>
  <c r="KA49" i="21"/>
  <c r="KA50" i="21" s="1"/>
  <c r="KA172" i="21" s="1"/>
  <c r="KB80" i="21"/>
  <c r="KB91" i="21" s="1"/>
  <c r="KB92" i="21" s="1"/>
  <c r="KA96" i="21"/>
  <c r="KA97" i="21" s="1"/>
  <c r="KB95" i="21" s="1"/>
  <c r="KB82" i="21"/>
  <c r="KB76" i="21"/>
  <c r="KB81" i="21" s="1"/>
  <c r="KB137" i="21" s="1"/>
  <c r="KB121" i="21"/>
  <c r="KB122" i="21" s="1"/>
  <c r="KB141" i="21" s="1"/>
  <c r="KB105" i="21"/>
  <c r="KB111" i="21" s="1"/>
  <c r="KB140" i="21" s="1"/>
  <c r="KB112" i="21"/>
  <c r="KA126" i="21"/>
  <c r="KA127" i="21" s="1"/>
  <c r="KB125" i="21" s="1"/>
  <c r="KC12" i="21"/>
  <c r="KC132" i="21" s="1"/>
  <c r="KC13" i="21"/>
  <c r="KC5" i="21" s="1"/>
  <c r="KC14" i="21"/>
  <c r="KC6" i="21" s="1"/>
  <c r="JZ14" i="10"/>
  <c r="JZ6" i="10" s="1"/>
  <c r="JZ13" i="10"/>
  <c r="JZ5" i="10" s="1"/>
  <c r="JZ12" i="10"/>
  <c r="JZ15" i="10" s="1"/>
  <c r="KA173" i="21" l="1"/>
  <c r="KA179" i="21" s="1"/>
  <c r="KA59" i="21"/>
  <c r="KA61" i="21" s="1"/>
  <c r="KB138" i="21"/>
  <c r="KC149" i="21"/>
  <c r="KC162" i="21"/>
  <c r="KB157" i="21"/>
  <c r="KA144" i="21"/>
  <c r="KA152" i="21" s="1"/>
  <c r="KB142" i="21"/>
  <c r="KB139" i="21"/>
  <c r="KC75" i="21"/>
  <c r="KC82" i="21" s="1"/>
  <c r="KB47" i="21"/>
  <c r="KB49" i="21" s="1"/>
  <c r="KA55" i="21"/>
  <c r="KA58" i="21" s="1"/>
  <c r="KA66" i="21" s="1"/>
  <c r="KB48" i="21"/>
  <c r="KB113" i="21"/>
  <c r="KB83" i="21"/>
  <c r="KB170" i="21" s="1"/>
  <c r="KC102" i="21"/>
  <c r="KC110" i="21" s="1"/>
  <c r="KC77" i="21"/>
  <c r="KC74" i="21"/>
  <c r="KC87" i="21" s="1"/>
  <c r="KC88" i="21" s="1"/>
  <c r="KC104" i="21"/>
  <c r="KB126" i="21" s="1"/>
  <c r="KB127" i="21" s="1"/>
  <c r="KC106" i="21"/>
  <c r="KC103" i="21"/>
  <c r="KC117" i="21" s="1"/>
  <c r="KC118" i="21" s="1"/>
  <c r="KC15" i="21"/>
  <c r="KD11" i="21"/>
  <c r="KC7" i="21"/>
  <c r="KA11" i="10"/>
  <c r="JZ7" i="10"/>
  <c r="KB96" i="21" l="1"/>
  <c r="KB97" i="21" s="1"/>
  <c r="KC95" i="21" s="1"/>
  <c r="KC109" i="21"/>
  <c r="KC121" i="21" s="1"/>
  <c r="KC122" i="21" s="1"/>
  <c r="KC141" i="21" s="1"/>
  <c r="KB171" i="21"/>
  <c r="KB50" i="21"/>
  <c r="KB172" i="21" s="1"/>
  <c r="KB158" i="21"/>
  <c r="KB165" i="21" s="1"/>
  <c r="KB144" i="21"/>
  <c r="KB152" i="21" s="1"/>
  <c r="KC48" i="21"/>
  <c r="KC80" i="21"/>
  <c r="KC91" i="21" s="1"/>
  <c r="KC92" i="21" s="1"/>
  <c r="KB59" i="21"/>
  <c r="KB61" i="21" s="1"/>
  <c r="KC125" i="21"/>
  <c r="KC112" i="21"/>
  <c r="KC76" i="21"/>
  <c r="KC105" i="21"/>
  <c r="KC111" i="21" s="1"/>
  <c r="KC140" i="21" s="1"/>
  <c r="KD13" i="21"/>
  <c r="KD5" i="21" s="1"/>
  <c r="KD12" i="21"/>
  <c r="KD132" i="21" s="1"/>
  <c r="KD14" i="21"/>
  <c r="KD6" i="21" s="1"/>
  <c r="KA12" i="10"/>
  <c r="KA15" i="10" s="1"/>
  <c r="KA14" i="10"/>
  <c r="KA6" i="10" s="1"/>
  <c r="KA13" i="10"/>
  <c r="KA5" i="10" s="1"/>
  <c r="KB173" i="21" l="1"/>
  <c r="KB179" i="21" s="1"/>
  <c r="KB55" i="21"/>
  <c r="KB58" i="21" s="1"/>
  <c r="KB66" i="21" s="1"/>
  <c r="KC138" i="21"/>
  <c r="KD149" i="21"/>
  <c r="KD162" i="21"/>
  <c r="KC157" i="21"/>
  <c r="KC142" i="21"/>
  <c r="KC139" i="21"/>
  <c r="KC113" i="21"/>
  <c r="KC81" i="21"/>
  <c r="KD104" i="21"/>
  <c r="KD112" i="21" s="1"/>
  <c r="KD77" i="21"/>
  <c r="KD74" i="21"/>
  <c r="KD87" i="21" s="1"/>
  <c r="KD88" i="21" s="1"/>
  <c r="KD75" i="21"/>
  <c r="KD106" i="21"/>
  <c r="KD103" i="21"/>
  <c r="KD117" i="21" s="1"/>
  <c r="KD118" i="21" s="1"/>
  <c r="KD102" i="21"/>
  <c r="KD110" i="21" s="1"/>
  <c r="KD15" i="21"/>
  <c r="KE11" i="21"/>
  <c r="KD7" i="21"/>
  <c r="KB11" i="10"/>
  <c r="KA7" i="10"/>
  <c r="KD109" i="21" l="1"/>
  <c r="KC171" i="21"/>
  <c r="KC158" i="21"/>
  <c r="KC165" i="21" s="1"/>
  <c r="KD139" i="21"/>
  <c r="KD142" i="21"/>
  <c r="KC47" i="21"/>
  <c r="KC49" i="21" s="1"/>
  <c r="KC50" i="21" s="1"/>
  <c r="KC172" i="21" s="1"/>
  <c r="KC137" i="21"/>
  <c r="KC126" i="21"/>
  <c r="KC127" i="21" s="1"/>
  <c r="KD125" i="21" s="1"/>
  <c r="KC83" i="21"/>
  <c r="KC96" i="21"/>
  <c r="KC97" i="21" s="1"/>
  <c r="KD95" i="21" s="1"/>
  <c r="KD82" i="21"/>
  <c r="KD76" i="21"/>
  <c r="KD81" i="21" s="1"/>
  <c r="KD137" i="21" s="1"/>
  <c r="KD121" i="21"/>
  <c r="KD122" i="21" s="1"/>
  <c r="KD141" i="21" s="1"/>
  <c r="KD105" i="21"/>
  <c r="KD111" i="21" s="1"/>
  <c r="KE12" i="21"/>
  <c r="KE132" i="21" s="1"/>
  <c r="KE13" i="21"/>
  <c r="KE5" i="21" s="1"/>
  <c r="KE14" i="21"/>
  <c r="KE6" i="21" s="1"/>
  <c r="KB12" i="10"/>
  <c r="KB15" i="10" s="1"/>
  <c r="KB14" i="10"/>
  <c r="KB6" i="10" s="1"/>
  <c r="KB13" i="10"/>
  <c r="KB5" i="10" s="1"/>
  <c r="KD80" i="21" l="1"/>
  <c r="KD91" i="21" s="1"/>
  <c r="KD92" i="21" s="1"/>
  <c r="KC170" i="21"/>
  <c r="KC173" i="21" s="1"/>
  <c r="KC179" i="21" s="1"/>
  <c r="KE149" i="21"/>
  <c r="KE162" i="21"/>
  <c r="KC144" i="21"/>
  <c r="KC152" i="21" s="1"/>
  <c r="KD113" i="21"/>
  <c r="KD140" i="21"/>
  <c r="KC59" i="21"/>
  <c r="KC61" i="21" s="1"/>
  <c r="KD47" i="21"/>
  <c r="KD48" i="21"/>
  <c r="KC55" i="21"/>
  <c r="KC58" i="21" s="1"/>
  <c r="KD83" i="21"/>
  <c r="KD170" i="21" s="1"/>
  <c r="KE77" i="21"/>
  <c r="KE74" i="21"/>
  <c r="KE87" i="21" s="1"/>
  <c r="KE88" i="21" s="1"/>
  <c r="KE102" i="21"/>
  <c r="KE110" i="21" s="1"/>
  <c r="KE75" i="21"/>
  <c r="KE104" i="21"/>
  <c r="KE112" i="21" s="1"/>
  <c r="KE106" i="21"/>
  <c r="KE103" i="21"/>
  <c r="KE117" i="21" s="1"/>
  <c r="KE118" i="21" s="1"/>
  <c r="KE15" i="21"/>
  <c r="KF11" i="21"/>
  <c r="KE7" i="21"/>
  <c r="KB7" i="10"/>
  <c r="KC11" i="10"/>
  <c r="KC66" i="21" l="1"/>
  <c r="KD138" i="21"/>
  <c r="KD157" i="21" s="1"/>
  <c r="KD158" i="21" s="1"/>
  <c r="KD165" i="21" s="1"/>
  <c r="KE109" i="21"/>
  <c r="KE121" i="21" s="1"/>
  <c r="KE122" i="21" s="1"/>
  <c r="KE141" i="21" s="1"/>
  <c r="KD171" i="21"/>
  <c r="KD49" i="21"/>
  <c r="KD50" i="21" s="1"/>
  <c r="KD55" i="21" s="1"/>
  <c r="KD58" i="21" s="1"/>
  <c r="KE139" i="21"/>
  <c r="KE142" i="21"/>
  <c r="KE80" i="21"/>
  <c r="KE91" i="21" s="1"/>
  <c r="KE92" i="21" s="1"/>
  <c r="KD59" i="21"/>
  <c r="KD61" i="21" s="1"/>
  <c r="KD126" i="21"/>
  <c r="KD127" i="21" s="1"/>
  <c r="KE125" i="21" s="1"/>
  <c r="KD96" i="21"/>
  <c r="KD97" i="21" s="1"/>
  <c r="KE95" i="21" s="1"/>
  <c r="KE82" i="21"/>
  <c r="KE76" i="21"/>
  <c r="KE81" i="21" s="1"/>
  <c r="KE137" i="21" s="1"/>
  <c r="KE105" i="21"/>
  <c r="KE111" i="21" s="1"/>
  <c r="KF13" i="21"/>
  <c r="KF5" i="21" s="1"/>
  <c r="KF14" i="21"/>
  <c r="KF6" i="21" s="1"/>
  <c r="KF12" i="21"/>
  <c r="KF132" i="21" s="1"/>
  <c r="KC12" i="10"/>
  <c r="KC15" i="10" s="1"/>
  <c r="KC13" i="10"/>
  <c r="KC5" i="10" s="1"/>
  <c r="KC14" i="10"/>
  <c r="KC6" i="10" s="1"/>
  <c r="KE138" i="21" l="1"/>
  <c r="KD144" i="21"/>
  <c r="KD152" i="21" s="1"/>
  <c r="KE48" i="21"/>
  <c r="KD172" i="21"/>
  <c r="KD173" i="21" s="1"/>
  <c r="KD179" i="21" s="1"/>
  <c r="KF149" i="21"/>
  <c r="KF162" i="21"/>
  <c r="KE157" i="21"/>
  <c r="KE158" i="21" s="1"/>
  <c r="KE165" i="21" s="1"/>
  <c r="KE113" i="21"/>
  <c r="KE140" i="21"/>
  <c r="KE144" i="21" s="1"/>
  <c r="KE152" i="21" s="1"/>
  <c r="KD66" i="21"/>
  <c r="KE47" i="21"/>
  <c r="KE83" i="21"/>
  <c r="KE170" i="21" s="1"/>
  <c r="KF104" i="21"/>
  <c r="KE126" i="21" s="1"/>
  <c r="KE127" i="21" s="1"/>
  <c r="KF77" i="21"/>
  <c r="KF74" i="21"/>
  <c r="KF87" i="21" s="1"/>
  <c r="KF88" i="21" s="1"/>
  <c r="KF75" i="21"/>
  <c r="KF106" i="21"/>
  <c r="KF103" i="21"/>
  <c r="KF117" i="21" s="1"/>
  <c r="KF118" i="21" s="1"/>
  <c r="KF102" i="21"/>
  <c r="KF110" i="21" s="1"/>
  <c r="KF15" i="21"/>
  <c r="KG11" i="21"/>
  <c r="KF7" i="21"/>
  <c r="KC7" i="10"/>
  <c r="KD11" i="10"/>
  <c r="KF109" i="21" l="1"/>
  <c r="KE171" i="21"/>
  <c r="KE173" i="21" s="1"/>
  <c r="KE179" i="21" s="1"/>
  <c r="KE49" i="21"/>
  <c r="KE50" i="21" s="1"/>
  <c r="KE172" i="21" s="1"/>
  <c r="KE55" i="21"/>
  <c r="KE58" i="21" s="1"/>
  <c r="KF80" i="21"/>
  <c r="KF91" i="21" s="1"/>
  <c r="KF92" i="21" s="1"/>
  <c r="KE59" i="21"/>
  <c r="KE61" i="21" s="1"/>
  <c r="KF125" i="21"/>
  <c r="KF112" i="21"/>
  <c r="KE96" i="21"/>
  <c r="KE97" i="21" s="1"/>
  <c r="KF95" i="21" s="1"/>
  <c r="KF82" i="21"/>
  <c r="KF76" i="21"/>
  <c r="KF81" i="21" s="1"/>
  <c r="KF137" i="21" s="1"/>
  <c r="KF121" i="21"/>
  <c r="KF122" i="21" s="1"/>
  <c r="KF141" i="21" s="1"/>
  <c r="KF105" i="21"/>
  <c r="KF111" i="21" s="1"/>
  <c r="KF140" i="21" s="1"/>
  <c r="KG13" i="21"/>
  <c r="KG5" i="21" s="1"/>
  <c r="KG12" i="21"/>
  <c r="KG132" i="21" s="1"/>
  <c r="KG14" i="21"/>
  <c r="KG6" i="21" s="1"/>
  <c r="KD12" i="10"/>
  <c r="KD15" i="10" s="1"/>
  <c r="KD13" i="10"/>
  <c r="KD5" i="10" s="1"/>
  <c r="KD14" i="10"/>
  <c r="KD6" i="10" s="1"/>
  <c r="KF138" i="21" l="1"/>
  <c r="KF48" i="21"/>
  <c r="KF157" i="21"/>
  <c r="KF158" i="21" s="1"/>
  <c r="KF165" i="21" s="1"/>
  <c r="KG149" i="21"/>
  <c r="KG162" i="21"/>
  <c r="KF139" i="21"/>
  <c r="KF142" i="21"/>
  <c r="KF47" i="21"/>
  <c r="KF49" i="21" s="1"/>
  <c r="KF50" i="21" s="1"/>
  <c r="KF172" i="21" s="1"/>
  <c r="KE66" i="21"/>
  <c r="KF113" i="21"/>
  <c r="KF83" i="21"/>
  <c r="KF170" i="21" s="1"/>
  <c r="KG102" i="21"/>
  <c r="KG110" i="21" s="1"/>
  <c r="KG77" i="21"/>
  <c r="KG74" i="21"/>
  <c r="KG87" i="21" s="1"/>
  <c r="KG88" i="21" s="1"/>
  <c r="KG75" i="21"/>
  <c r="KG104" i="21"/>
  <c r="KG103" i="21"/>
  <c r="KG117" i="21" s="1"/>
  <c r="KG118" i="21" s="1"/>
  <c r="KG106" i="21"/>
  <c r="KG15" i="21"/>
  <c r="KG7" i="21"/>
  <c r="KH11" i="21"/>
  <c r="KD7" i="10"/>
  <c r="KE11" i="10"/>
  <c r="KG109" i="21" l="1"/>
  <c r="KF171" i="21"/>
  <c r="KF173" i="21" s="1"/>
  <c r="KF179" i="21" s="1"/>
  <c r="KF144" i="21"/>
  <c r="KF152" i="21" s="1"/>
  <c r="KG48" i="21"/>
  <c r="KF55" i="21"/>
  <c r="KF58" i="21" s="1"/>
  <c r="KG80" i="21"/>
  <c r="KG91" i="21" s="1"/>
  <c r="KG92" i="21" s="1"/>
  <c r="KF59" i="21"/>
  <c r="KF61" i="21" s="1"/>
  <c r="KF96" i="21"/>
  <c r="KF97" i="21" s="1"/>
  <c r="KG95" i="21" s="1"/>
  <c r="KG82" i="21"/>
  <c r="KG76" i="21"/>
  <c r="KG81" i="21" s="1"/>
  <c r="KG137" i="21" s="1"/>
  <c r="KG121" i="21"/>
  <c r="KG122" i="21" s="1"/>
  <c r="KG141" i="21" s="1"/>
  <c r="KG105" i="21"/>
  <c r="KG111" i="21" s="1"/>
  <c r="KG140" i="21" s="1"/>
  <c r="KF126" i="21"/>
  <c r="KF127" i="21" s="1"/>
  <c r="KG125" i="21" s="1"/>
  <c r="KG112" i="21"/>
  <c r="KH12" i="21"/>
  <c r="KH132" i="21" s="1"/>
  <c r="KH14" i="21"/>
  <c r="KH6" i="21" s="1"/>
  <c r="KH13" i="21"/>
  <c r="KH5" i="21" s="1"/>
  <c r="KE13" i="10"/>
  <c r="KE5" i="10" s="1"/>
  <c r="KE12" i="10"/>
  <c r="KE15" i="10" s="1"/>
  <c r="KE14" i="10"/>
  <c r="KE6" i="10" s="1"/>
  <c r="KG138" i="21" l="1"/>
  <c r="KH149" i="21"/>
  <c r="KH162" i="21"/>
  <c r="KG157" i="21"/>
  <c r="KG158" i="21" s="1"/>
  <c r="KG165" i="21" s="1"/>
  <c r="KG139" i="21"/>
  <c r="KG142" i="21"/>
  <c r="KG144" i="21" s="1"/>
  <c r="KG152" i="21" s="1"/>
  <c r="KG47" i="21"/>
  <c r="KG49" i="21" s="1"/>
  <c r="KG50" i="21" s="1"/>
  <c r="KG172" i="21" s="1"/>
  <c r="KH75" i="21"/>
  <c r="KG96" i="21" s="1"/>
  <c r="KG97" i="21" s="1"/>
  <c r="KH95" i="21" s="1"/>
  <c r="KF66" i="21"/>
  <c r="KG113" i="21"/>
  <c r="KG83" i="21"/>
  <c r="KG170" i="21" s="1"/>
  <c r="KH102" i="21"/>
  <c r="KH110" i="21" s="1"/>
  <c r="KH77" i="21"/>
  <c r="KH74" i="21"/>
  <c r="KH87" i="21" s="1"/>
  <c r="KH88" i="21" s="1"/>
  <c r="KH106" i="21"/>
  <c r="KH103" i="21"/>
  <c r="KH117" i="21" s="1"/>
  <c r="KH118" i="21" s="1"/>
  <c r="KH104" i="21"/>
  <c r="KH15" i="21"/>
  <c r="KI11" i="21"/>
  <c r="KH7" i="21"/>
  <c r="KE7" i="10"/>
  <c r="KF11" i="10"/>
  <c r="KH82" i="21" l="1"/>
  <c r="KH109" i="21"/>
  <c r="KG171" i="21"/>
  <c r="KG173" i="21" s="1"/>
  <c r="KG179" i="21" s="1"/>
  <c r="KH48" i="21"/>
  <c r="KG55" i="21"/>
  <c r="KG58" i="21" s="1"/>
  <c r="KH80" i="21"/>
  <c r="KH91" i="21" s="1"/>
  <c r="KH92" i="21" s="1"/>
  <c r="KG59" i="21"/>
  <c r="KG61" i="21" s="1"/>
  <c r="KH76" i="21"/>
  <c r="KG126" i="21"/>
  <c r="KG127" i="21" s="1"/>
  <c r="KH125" i="21" s="1"/>
  <c r="KH112" i="21"/>
  <c r="KH121" i="21"/>
  <c r="KH122" i="21" s="1"/>
  <c r="KH141" i="21" s="1"/>
  <c r="KH105" i="21"/>
  <c r="KH111" i="21" s="1"/>
  <c r="KH140" i="21" s="1"/>
  <c r="KI13" i="21"/>
  <c r="KI5" i="21" s="1"/>
  <c r="KI14" i="21"/>
  <c r="KI6" i="21" s="1"/>
  <c r="KI12" i="21"/>
  <c r="KI132" i="21" s="1"/>
  <c r="F11" i="21"/>
  <c r="E11" i="21"/>
  <c r="KF13" i="10"/>
  <c r="KF5" i="10" s="1"/>
  <c r="KF14" i="10"/>
  <c r="KF6" i="10" s="1"/>
  <c r="KF12" i="10"/>
  <c r="KH138" i="21" l="1"/>
  <c r="KH157" i="21"/>
  <c r="KH158" i="21" s="1"/>
  <c r="KH165" i="21" s="1"/>
  <c r="KI149" i="21"/>
  <c r="KI162" i="21"/>
  <c r="KH139" i="21"/>
  <c r="KH142" i="21"/>
  <c r="O187" i="21"/>
  <c r="KI187" i="21"/>
  <c r="Q187" i="21"/>
  <c r="R187" i="21"/>
  <c r="P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K187" i="21"/>
  <c r="AL187" i="21"/>
  <c r="AM187" i="21"/>
  <c r="AN187" i="21"/>
  <c r="AO187" i="21"/>
  <c r="AP187" i="21"/>
  <c r="AQ187" i="21"/>
  <c r="AR187" i="21"/>
  <c r="AS187" i="21"/>
  <c r="AT187" i="21"/>
  <c r="AU187" i="21"/>
  <c r="AV187" i="21"/>
  <c r="AW187" i="21"/>
  <c r="AX187" i="21"/>
  <c r="AY187" i="21"/>
  <c r="AZ187" i="21"/>
  <c r="BA187" i="21"/>
  <c r="BB187" i="21"/>
  <c r="BC187" i="21"/>
  <c r="BD187" i="21"/>
  <c r="BE187" i="21"/>
  <c r="BF187" i="21"/>
  <c r="BG187" i="21"/>
  <c r="BH187" i="21"/>
  <c r="BI187" i="21"/>
  <c r="BJ187" i="21"/>
  <c r="BK187" i="21"/>
  <c r="BL187" i="21"/>
  <c r="BM187" i="21"/>
  <c r="BN187" i="21"/>
  <c r="BO187" i="21"/>
  <c r="BP187" i="21"/>
  <c r="BQ187" i="21"/>
  <c r="BR187" i="21"/>
  <c r="BS187" i="21"/>
  <c r="BT187" i="21"/>
  <c r="BU187" i="21"/>
  <c r="BV187" i="21"/>
  <c r="BW187" i="21"/>
  <c r="BX187" i="21"/>
  <c r="BY187" i="21"/>
  <c r="BZ187" i="21"/>
  <c r="CA187" i="21"/>
  <c r="CB187" i="21"/>
  <c r="CC187" i="21"/>
  <c r="CD187" i="21"/>
  <c r="CE187" i="21"/>
  <c r="CF187" i="21"/>
  <c r="CG187" i="21"/>
  <c r="CH187" i="21"/>
  <c r="CI187" i="21"/>
  <c r="CJ187" i="21"/>
  <c r="CK187" i="21"/>
  <c r="CL187" i="21"/>
  <c r="CM187" i="21"/>
  <c r="CN187" i="21"/>
  <c r="CO187" i="21"/>
  <c r="CP187" i="21"/>
  <c r="CQ187" i="21"/>
  <c r="CR187" i="21"/>
  <c r="CS187" i="21"/>
  <c r="CT187" i="21"/>
  <c r="CU187" i="21"/>
  <c r="CV187" i="21"/>
  <c r="CW187" i="21"/>
  <c r="CX187" i="21"/>
  <c r="CY187" i="21"/>
  <c r="CZ187" i="21"/>
  <c r="DA187" i="21"/>
  <c r="DB187" i="21"/>
  <c r="DC187" i="21"/>
  <c r="DD187" i="21"/>
  <c r="DE187" i="21"/>
  <c r="DF187" i="21"/>
  <c r="DG187" i="21"/>
  <c r="DH187" i="21"/>
  <c r="DI187" i="21"/>
  <c r="DJ187" i="21"/>
  <c r="DK187" i="21"/>
  <c r="DL187" i="21"/>
  <c r="DM187" i="21"/>
  <c r="DN187" i="21"/>
  <c r="DO187" i="21"/>
  <c r="DP187" i="21"/>
  <c r="DQ187" i="21"/>
  <c r="DR187" i="21"/>
  <c r="DS187" i="21"/>
  <c r="DT187" i="21"/>
  <c r="DU187" i="21"/>
  <c r="DV187" i="21"/>
  <c r="DW187" i="21"/>
  <c r="DX187" i="21"/>
  <c r="DY187" i="21"/>
  <c r="DZ187" i="21"/>
  <c r="EA187" i="21"/>
  <c r="EB187" i="21"/>
  <c r="EC187" i="21"/>
  <c r="ED187" i="21"/>
  <c r="EE187" i="21"/>
  <c r="EF187" i="21"/>
  <c r="EG187" i="21"/>
  <c r="EH187" i="21"/>
  <c r="EI187" i="21"/>
  <c r="EJ187" i="21"/>
  <c r="EK187" i="21"/>
  <c r="EL187" i="21"/>
  <c r="EM187" i="21"/>
  <c r="EN187" i="21"/>
  <c r="EO187" i="21"/>
  <c r="EP187" i="21"/>
  <c r="EQ187" i="21"/>
  <c r="ER187" i="21"/>
  <c r="ES187" i="21"/>
  <c r="ET187" i="21"/>
  <c r="EU187" i="21"/>
  <c r="EV187" i="21"/>
  <c r="EW187" i="21"/>
  <c r="EX187" i="21"/>
  <c r="EY187" i="21"/>
  <c r="EZ187" i="21"/>
  <c r="FA187" i="21"/>
  <c r="FB187" i="21"/>
  <c r="FC187" i="21"/>
  <c r="FD187" i="21"/>
  <c r="FE187" i="21"/>
  <c r="FF187" i="21"/>
  <c r="FG187" i="21"/>
  <c r="FH187" i="21"/>
  <c r="FI187" i="21"/>
  <c r="FJ187" i="21"/>
  <c r="FK187" i="21"/>
  <c r="FL187" i="21"/>
  <c r="FM187" i="21"/>
  <c r="FN187" i="21"/>
  <c r="FO187" i="21"/>
  <c r="FP187" i="21"/>
  <c r="FQ187" i="21"/>
  <c r="FR187" i="21"/>
  <c r="FS187" i="21"/>
  <c r="FT187" i="21"/>
  <c r="FU187" i="21"/>
  <c r="FV187" i="21"/>
  <c r="FW187" i="21"/>
  <c r="FX187" i="21"/>
  <c r="FY187" i="21"/>
  <c r="FZ187" i="21"/>
  <c r="GA187" i="21"/>
  <c r="GB187" i="21"/>
  <c r="GC187" i="21"/>
  <c r="GD187" i="21"/>
  <c r="GE187" i="21"/>
  <c r="GF187" i="21"/>
  <c r="GG187" i="21"/>
  <c r="GH187" i="21"/>
  <c r="GI187" i="21"/>
  <c r="GJ187" i="21"/>
  <c r="GK187" i="21"/>
  <c r="GL187" i="21"/>
  <c r="GM187" i="21"/>
  <c r="GN187" i="21"/>
  <c r="GO187" i="21"/>
  <c r="GP187" i="21"/>
  <c r="GQ187" i="21"/>
  <c r="GR187" i="21"/>
  <c r="GS187" i="21"/>
  <c r="GT187" i="21"/>
  <c r="GU187" i="21"/>
  <c r="GV187" i="21"/>
  <c r="GW187" i="21"/>
  <c r="GX187" i="21"/>
  <c r="GY187" i="21"/>
  <c r="GZ187" i="21"/>
  <c r="HA187" i="21"/>
  <c r="HB187" i="21"/>
  <c r="HC187" i="21"/>
  <c r="HD187" i="21"/>
  <c r="HE187" i="21"/>
  <c r="HF187" i="21"/>
  <c r="HG187" i="21"/>
  <c r="HH187" i="21"/>
  <c r="HI187" i="21"/>
  <c r="HJ187" i="21"/>
  <c r="HK187" i="21"/>
  <c r="HL187" i="21"/>
  <c r="HM187" i="21"/>
  <c r="HN187" i="21"/>
  <c r="HO187" i="21"/>
  <c r="HP187" i="21"/>
  <c r="HQ187" i="21"/>
  <c r="HR187" i="21"/>
  <c r="HS187" i="21"/>
  <c r="HT187" i="21"/>
  <c r="HU187" i="21"/>
  <c r="HV187" i="21"/>
  <c r="HW187" i="21"/>
  <c r="HX187" i="21"/>
  <c r="HY187" i="21"/>
  <c r="HZ187" i="21"/>
  <c r="IA187" i="21"/>
  <c r="IB187" i="21"/>
  <c r="IC187" i="21"/>
  <c r="ID187" i="21"/>
  <c r="IE187" i="21"/>
  <c r="IF187" i="21"/>
  <c r="IG187" i="21"/>
  <c r="IH187" i="21"/>
  <c r="II187" i="21"/>
  <c r="IJ187" i="21"/>
  <c r="IK187" i="21"/>
  <c r="IL187" i="21"/>
  <c r="IM187" i="21"/>
  <c r="IN187" i="21"/>
  <c r="IO187" i="21"/>
  <c r="IP187" i="21"/>
  <c r="IQ187" i="21"/>
  <c r="IR187" i="21"/>
  <c r="IS187" i="21"/>
  <c r="IT187" i="21"/>
  <c r="IU187" i="21"/>
  <c r="IV187" i="21"/>
  <c r="IW187" i="21"/>
  <c r="IX187" i="21"/>
  <c r="IY187" i="21"/>
  <c r="IZ187" i="21"/>
  <c r="JA187" i="21"/>
  <c r="JB187" i="21"/>
  <c r="JC187" i="21"/>
  <c r="JD187" i="21"/>
  <c r="JE187" i="21"/>
  <c r="JF187" i="21"/>
  <c r="JG187" i="21"/>
  <c r="JH187" i="21"/>
  <c r="JI187" i="21"/>
  <c r="JJ187" i="21"/>
  <c r="JK187" i="21"/>
  <c r="JL187" i="21"/>
  <c r="JM187" i="21"/>
  <c r="JN187" i="21"/>
  <c r="JO187" i="21"/>
  <c r="JP187" i="21"/>
  <c r="JQ187" i="21"/>
  <c r="JR187" i="21"/>
  <c r="JS187" i="21"/>
  <c r="JT187" i="21"/>
  <c r="JU187" i="21"/>
  <c r="JV187" i="21"/>
  <c r="JW187" i="21"/>
  <c r="JX187" i="21"/>
  <c r="JY187" i="21"/>
  <c r="JZ187" i="21"/>
  <c r="KA187" i="21"/>
  <c r="KB187" i="21"/>
  <c r="KC187" i="21"/>
  <c r="KD187" i="21"/>
  <c r="KE187" i="21"/>
  <c r="KF187" i="21"/>
  <c r="KH187" i="21"/>
  <c r="KG187" i="21"/>
  <c r="KG66" i="21"/>
  <c r="KH113" i="21"/>
  <c r="KH81" i="21"/>
  <c r="KI77" i="21"/>
  <c r="KI74" i="21"/>
  <c r="KI87" i="21" s="1"/>
  <c r="KI88" i="21" s="1"/>
  <c r="KI75" i="21"/>
  <c r="KI106" i="21"/>
  <c r="KI103" i="21"/>
  <c r="KI117" i="21" s="1"/>
  <c r="KI118" i="21" s="1"/>
  <c r="KI102" i="21"/>
  <c r="KI110" i="21" s="1"/>
  <c r="KI104" i="21"/>
  <c r="KI15" i="21"/>
  <c r="KI7" i="21"/>
  <c r="E12" i="21"/>
  <c r="F12" i="21"/>
  <c r="KF15" i="10"/>
  <c r="KF7" i="10"/>
  <c r="KI109" i="21" l="1"/>
  <c r="KH171" i="21"/>
  <c r="KH47" i="21"/>
  <c r="KH137" i="21"/>
  <c r="KH144" i="21" s="1"/>
  <c r="KH152" i="21" s="1"/>
  <c r="KH83" i="21"/>
  <c r="KH59" i="21" s="1"/>
  <c r="KH61" i="21" s="1"/>
  <c r="KH49" i="21"/>
  <c r="KH50" i="21" s="1"/>
  <c r="KH172" i="21" s="1"/>
  <c r="KH96" i="21"/>
  <c r="KH97" i="21" s="1"/>
  <c r="KI95" i="21" s="1"/>
  <c r="KI82" i="21"/>
  <c r="KI96" i="21"/>
  <c r="KI76" i="21"/>
  <c r="KI81" i="21" s="1"/>
  <c r="KI137" i="21" s="1"/>
  <c r="KH126" i="21"/>
  <c r="KH127" i="21" s="1"/>
  <c r="KI125" i="21" s="1"/>
  <c r="KI126" i="21"/>
  <c r="KI112" i="21"/>
  <c r="KI105" i="21"/>
  <c r="KI111" i="21" s="1"/>
  <c r="KI140" i="21" s="1"/>
  <c r="KI121" i="21"/>
  <c r="KI122" i="21" s="1"/>
  <c r="KI141" i="21" s="1"/>
  <c r="KI80" i="21" l="1"/>
  <c r="KI91" i="21" s="1"/>
  <c r="KI92" i="21" s="1"/>
  <c r="KH170" i="21"/>
  <c r="KH173" i="21" s="1"/>
  <c r="KH179" i="21" s="1"/>
  <c r="KI139" i="21"/>
  <c r="KI142" i="21"/>
  <c r="KI47" i="21"/>
  <c r="KI48" i="21"/>
  <c r="KH55" i="21"/>
  <c r="KH58" i="21" s="1"/>
  <c r="KH66" i="21" s="1"/>
  <c r="KI49" i="21"/>
  <c r="KI113" i="21"/>
  <c r="KI171" i="21" s="1"/>
  <c r="KI127" i="21"/>
  <c r="KI97" i="21"/>
  <c r="KI83" i="21"/>
  <c r="KI138" i="21" l="1"/>
  <c r="KI157" i="21" s="1"/>
  <c r="KI158" i="21" s="1"/>
  <c r="KI165" i="21" s="1"/>
  <c r="KI59" i="21"/>
  <c r="KI61" i="21" s="1"/>
  <c r="KI170" i="21"/>
  <c r="KI144" i="21"/>
  <c r="KI152" i="21" s="1"/>
  <c r="KI50" i="21"/>
  <c r="KI55" i="21" l="1"/>
  <c r="KI58" i="21" s="1"/>
  <c r="KI66" i="21" s="1"/>
  <c r="KI172" i="21"/>
  <c r="KI173" i="21" s="1"/>
  <c r="KI179" i="2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<sst xmlns="http://schemas.openxmlformats.org/spreadsheetml/2006/main" count="766" uniqueCount="268">
  <si>
    <t>Calendar Year</t>
  </si>
  <si>
    <t>Financial Year</t>
  </si>
  <si>
    <t>Sum Project</t>
  </si>
  <si>
    <t>Sum Loan</t>
  </si>
  <si>
    <t>Average</t>
  </si>
  <si>
    <t>Max</t>
  </si>
  <si>
    <t>Min</t>
  </si>
  <si>
    <t>Ref</t>
  </si>
  <si>
    <t>Units</t>
  </si>
  <si>
    <t>Date</t>
  </si>
  <si>
    <t>Periods</t>
  </si>
  <si>
    <t>Start of period</t>
  </si>
  <si>
    <t>End of period</t>
  </si>
  <si>
    <t>Calendar year</t>
  </si>
  <si>
    <t>Days</t>
  </si>
  <si>
    <t>Days in Period</t>
  </si>
  <si>
    <t>% pa</t>
  </si>
  <si>
    <t>Inflation index</t>
  </si>
  <si>
    <t>SOFR</t>
  </si>
  <si>
    <t>Revenue</t>
  </si>
  <si>
    <t>Cash EBITDA</t>
  </si>
  <si>
    <t>Tax</t>
  </si>
  <si>
    <t>USDm, real</t>
  </si>
  <si>
    <t>Capex</t>
  </si>
  <si>
    <t>%</t>
  </si>
  <si>
    <t>Other Costs</t>
  </si>
  <si>
    <t>#</t>
  </si>
  <si>
    <t>Base Case</t>
  </si>
  <si>
    <t>Metrics</t>
  </si>
  <si>
    <t>Chosen case</t>
  </si>
  <si>
    <t>Live Price</t>
  </si>
  <si>
    <t>Base case</t>
  </si>
  <si>
    <t>Lender case</t>
  </si>
  <si>
    <t>Downside case</t>
  </si>
  <si>
    <t>[Spare]</t>
  </si>
  <si>
    <t>Live</t>
  </si>
  <si>
    <t>LIVE</t>
  </si>
  <si>
    <t>Scenario Selection</t>
  </si>
  <si>
    <t>Case Number</t>
  </si>
  <si>
    <t>Case Name</t>
  </si>
  <si>
    <t>Modelled</t>
  </si>
  <si>
    <t>Financing</t>
  </si>
  <si>
    <t>Credit Metrics</t>
  </si>
  <si>
    <t>Financial Covenants</t>
  </si>
  <si>
    <t>DSCR Covenant</t>
  </si>
  <si>
    <t>Gearing Covenant</t>
  </si>
  <si>
    <t>Existing Term Loan</t>
  </si>
  <si>
    <t>Establishment Date</t>
  </si>
  <si>
    <t>Facility Size</t>
  </si>
  <si>
    <t>USDm</t>
  </si>
  <si>
    <t>Facility Maturity Date</t>
  </si>
  <si>
    <t>Facility Term</t>
  </si>
  <si>
    <t>Years</t>
  </si>
  <si>
    <t>Reference Rate</t>
  </si>
  <si>
    <t>Margin</t>
  </si>
  <si>
    <t>Perc</t>
  </si>
  <si>
    <t>Text</t>
  </si>
  <si>
    <t>Existing Term Loan - Amortisation Schedule</t>
  </si>
  <si>
    <t>Month</t>
  </si>
  <si>
    <t>Amount</t>
  </si>
  <si>
    <t>Months</t>
  </si>
  <si>
    <t>Facility Term - months</t>
  </si>
  <si>
    <t>New Term Loan</t>
  </si>
  <si>
    <t>Establishment Fee</t>
  </si>
  <si>
    <t>Amortised Establishment Fee</t>
  </si>
  <si>
    <t>Working Capital Facility</t>
  </si>
  <si>
    <t>WCF Establishment Date</t>
  </si>
  <si>
    <t>WCF Facility Size</t>
  </si>
  <si>
    <t>WCF Facility Maturity Date</t>
  </si>
  <si>
    <t>WCF Reference Rate</t>
  </si>
  <si>
    <t>WCF Margin</t>
  </si>
  <si>
    <t>Min Cash Balance</t>
  </si>
  <si>
    <t>#x</t>
  </si>
  <si>
    <t>Commitment Fee (% margin)</t>
  </si>
  <si>
    <t>Working Capital Facility - Parent</t>
  </si>
  <si>
    <t>WCF-P Establishment Date</t>
  </si>
  <si>
    <t>WCF-P Facility Size</t>
  </si>
  <si>
    <t>WCF-P Facility Maturity Date</t>
  </si>
  <si>
    <t>WCF-P Reference Rate</t>
  </si>
  <si>
    <t>WCF-P Margin</t>
  </si>
  <si>
    <t>WCF-P Establishment Fee</t>
  </si>
  <si>
    <t>Interest</t>
  </si>
  <si>
    <t>Corporate Items</t>
  </si>
  <si>
    <t>Bank Account</t>
  </si>
  <si>
    <t>Starting Balance</t>
  </si>
  <si>
    <t>Interest Reference</t>
  </si>
  <si>
    <t>CFADS</t>
  </si>
  <si>
    <t>Closing Cash Balance</t>
  </si>
  <si>
    <t>Opening Cash Balance</t>
  </si>
  <si>
    <t>Net Cash Flow</t>
  </si>
  <si>
    <t>Interest income on/off</t>
  </si>
  <si>
    <t>1/0 (On/Off)</t>
  </si>
  <si>
    <t>Facility Flags</t>
  </si>
  <si>
    <t>Establishment Flag</t>
  </si>
  <si>
    <t>Repayment Date</t>
  </si>
  <si>
    <t>New Term Loan - Amortisation Schedule</t>
  </si>
  <si>
    <t>Facility Month Counter</t>
  </si>
  <si>
    <t>Pay Interest Flag</t>
  </si>
  <si>
    <t>Facility balance</t>
  </si>
  <si>
    <t>Opening Balance</t>
  </si>
  <si>
    <t>Amortisation</t>
  </si>
  <si>
    <t>Repayment</t>
  </si>
  <si>
    <t>Closing Balance</t>
  </si>
  <si>
    <t>Balance at 30 June 2026</t>
  </si>
  <si>
    <t>All-in interest rate</t>
  </si>
  <si>
    <t>Interest Payments</t>
  </si>
  <si>
    <t>Interest accrued</t>
  </si>
  <si>
    <t>Interest Paid</t>
  </si>
  <si>
    <t>Amortisation of establishment fee</t>
  </si>
  <si>
    <t>Fee Amortisation Balance 30 June 2026</t>
  </si>
  <si>
    <t>1/0 Flag</t>
  </si>
  <si>
    <t>Monthly Fee Amortisation</t>
  </si>
  <si>
    <t>Facility Active</t>
  </si>
  <si>
    <t>Existing Facility</t>
  </si>
  <si>
    <t>New Facility</t>
  </si>
  <si>
    <t>Drawdown</t>
  </si>
  <si>
    <t>WCF Establishment Fee (%)</t>
  </si>
  <si>
    <t>WCF Establishment Fee - Total</t>
  </si>
  <si>
    <t>WCF Establishment Fee per Month</t>
  </si>
  <si>
    <t>Establishment Fee per month</t>
  </si>
  <si>
    <t>Establishment Fee Total</t>
  </si>
  <si>
    <t>Equity Items</t>
  </si>
  <si>
    <t>Dividend Distributions</t>
  </si>
  <si>
    <t>Distribution Percentage</t>
  </si>
  <si>
    <t>Distributions allowed?</t>
  </si>
  <si>
    <t>Flags</t>
  </si>
  <si>
    <t>Principal Amortisation</t>
  </si>
  <si>
    <t>Debt Service</t>
  </si>
  <si>
    <t>LTM CFADS</t>
  </si>
  <si>
    <t>LTM DSCR</t>
  </si>
  <si>
    <t>#.##x</t>
  </si>
  <si>
    <t>Equity</t>
  </si>
  <si>
    <t>Net Debt</t>
  </si>
  <si>
    <t>Gearing Ratio</t>
  </si>
  <si>
    <t>LTM ICR</t>
  </si>
  <si>
    <t>LTM Interest</t>
  </si>
  <si>
    <t>Total Income</t>
  </si>
  <si>
    <t>Tax/Accounting</t>
  </si>
  <si>
    <t>Tax Rate</t>
  </si>
  <si>
    <t>DTA Opening Balance</t>
  </si>
  <si>
    <t>DTL Opening Balance</t>
  </si>
  <si>
    <t>Corporate Depreciation</t>
  </si>
  <si>
    <t>PPE - Opening Balance</t>
  </si>
  <si>
    <t>Accounting</t>
  </si>
  <si>
    <t>Other Assets</t>
  </si>
  <si>
    <t>Other</t>
  </si>
  <si>
    <t>Other Liabilities</t>
  </si>
  <si>
    <t>Balance Sheet as at 30 June 2025 - Liabilities</t>
  </si>
  <si>
    <t>Balance Sheet as at 30 June 2025 - Assets</t>
  </si>
  <si>
    <t>Share Capital</t>
  </si>
  <si>
    <t>Retained Earnings</t>
  </si>
  <si>
    <t>[Spare 3]</t>
  </si>
  <si>
    <t>[Spare 4]</t>
  </si>
  <si>
    <t>[Spare 5]</t>
  </si>
  <si>
    <t>[Spare 6]</t>
  </si>
  <si>
    <t>[Spare 7]</t>
  </si>
  <si>
    <t>[Spare 8]</t>
  </si>
  <si>
    <t>[Spare 9]</t>
  </si>
  <si>
    <t>Balance Sheet as at 30 June 2025 - Equities</t>
  </si>
  <si>
    <t>Inputs</t>
  </si>
  <si>
    <t>Sales Volume</t>
  </si>
  <si>
    <t>Bank Adjustment</t>
  </si>
  <si>
    <t>Volumes and Prices</t>
  </si>
  <si>
    <t>Sales Price</t>
  </si>
  <si>
    <t>M Ltrs</t>
  </si>
  <si>
    <t>Unit Cost</t>
  </si>
  <si>
    <t>USD/Ltr, real</t>
  </si>
  <si>
    <t>Variable Costs</t>
  </si>
  <si>
    <t>Fixed Costs</t>
  </si>
  <si>
    <t>COGS</t>
  </si>
  <si>
    <t>USD, real</t>
  </si>
  <si>
    <t>SG&amp;A</t>
  </si>
  <si>
    <t>EBITDA</t>
  </si>
  <si>
    <t>Debt Facility</t>
  </si>
  <si>
    <t>Model Assumptions</t>
  </si>
  <si>
    <t>Model Input Assumptions</t>
  </si>
  <si>
    <t>Input Assumptions</t>
  </si>
  <si>
    <t>Facility</t>
  </si>
  <si>
    <t>Tax (est.)</t>
  </si>
  <si>
    <t>Financial Statements</t>
  </si>
  <si>
    <t>Income Statement - Inputs</t>
  </si>
  <si>
    <t>Income Statement - to CFADS</t>
  </si>
  <si>
    <t>Balance Sheet</t>
  </si>
  <si>
    <t>Cash</t>
  </si>
  <si>
    <t>Total Assets</t>
  </si>
  <si>
    <t>Debt</t>
  </si>
  <si>
    <t>Total Liabilities</t>
  </si>
  <si>
    <t>Share Holders Equity</t>
  </si>
  <si>
    <t>Total Equity</t>
  </si>
  <si>
    <t>PPE</t>
  </si>
  <si>
    <t>Cash Flow Statement</t>
  </si>
  <si>
    <t>Operating Cash Flows</t>
  </si>
  <si>
    <t>Investing Cash Flows</t>
  </si>
  <si>
    <t>Financing Cash Flows</t>
  </si>
  <si>
    <t>Balance Sheet Check</t>
  </si>
  <si>
    <t>Project NPV</t>
  </si>
  <si>
    <t>NPV</t>
  </si>
  <si>
    <t>&gt; Max NPV etcamples, other ways to calculate NPV, etc.</t>
  </si>
  <si>
    <t>DSCR</t>
  </si>
  <si>
    <t>DSCR - check</t>
  </si>
  <si>
    <t>^^ coloured TRUE/FALSE formatting</t>
  </si>
  <si>
    <t>Debt Service Cover Ratio</t>
  </si>
  <si>
    <t>Existing Term Loan Repayment</t>
  </si>
  <si>
    <t>New Term Loan Repayment</t>
  </si>
  <si>
    <t>Interest on cash balance</t>
  </si>
  <si>
    <t>Existing Term Loan - Scheduled Prinicipal</t>
  </si>
  <si>
    <t>Existing Term Loan Interest Paid</t>
  </si>
  <si>
    <t>New Term Loan Scheduled Principal</t>
  </si>
  <si>
    <t>New Term Loan Interest Paid</t>
  </si>
  <si>
    <t>Total LTM Debt Service</t>
  </si>
  <si>
    <t>Interest Cover Ratio</t>
  </si>
  <si>
    <t>LTM Cash EBITDA</t>
  </si>
  <si>
    <t>Cash Balance</t>
  </si>
  <si>
    <t>Yearly</t>
  </si>
  <si>
    <t>Period</t>
  </si>
  <si>
    <t>FCF</t>
  </si>
  <si>
    <t>Rate</t>
  </si>
  <si>
    <t>XNPV</t>
  </si>
  <si>
    <t>Manual (days) - PV</t>
  </si>
  <si>
    <t>Manual (days) - NPV</t>
  </si>
  <si>
    <t>Check</t>
  </si>
  <si>
    <t>Manual (periods) - PV</t>
  </si>
  <si>
    <t>Manual (periods) - NPV</t>
  </si>
  <si>
    <t>Quarterly</t>
  </si>
  <si>
    <t>Basic Financial Model</t>
  </si>
  <si>
    <t>Dates Training</t>
  </si>
  <si>
    <t>Date Timelines</t>
  </si>
  <si>
    <t>The main project timeline is provided at the top of this sheet. We are using monthly periods.</t>
  </si>
  <si>
    <t>The first date uses the DATE function, then all other dates use EOMONTH or the prior month plus 1.</t>
  </si>
  <si>
    <t>Example:</t>
  </si>
  <si>
    <t>Formulas:</t>
  </si>
  <si>
    <t>EOMONTH also becomes useful if you want to offset by quarter, years, and also if you want to go backwards in time.</t>
  </si>
  <si>
    <t>The EOMONTH formula always gives the end of the month, so you will need to adjust for any other date as required</t>
  </si>
  <si>
    <t>Example</t>
  </si>
  <si>
    <t>FORMULA TEXT</t>
  </si>
  <si>
    <t>End of current month</t>
  </si>
  <si>
    <t>Item</t>
  </si>
  <si>
    <t>End of quarter</t>
  </si>
  <si>
    <t>Next year</t>
  </si>
  <si>
    <t>Start of month</t>
  </si>
  <si>
    <t>EOMONTH</t>
  </si>
  <si>
    <t>DATE</t>
  </si>
  <si>
    <t>You can also use DATE to achieve similar outcomes, but this can have more complex or longer forumlas.</t>
  </si>
  <si>
    <t>* assuming reference month is always the start of the quarter</t>
  </si>
  <si>
    <t>End of quarter (any month)</t>
  </si>
  <si>
    <t>=DATE(2026,7,15)</t>
  </si>
  <si>
    <t>* any date within the quarter</t>
  </si>
  <si>
    <t>OTHER</t>
  </si>
  <si>
    <t>* longer formula, refer to formula bar</t>
  </si>
  <si>
    <t>End of quarter using LET</t>
  </si>
  <si>
    <t>Calendar and Financial Years</t>
  </si>
  <si>
    <t>In order to sum up quarters, financial or calendar years you will need a flag to identify where a specific date lies as shown below.</t>
  </si>
  <si>
    <t>Reference Date</t>
  </si>
  <si>
    <t>* assumes June YE</t>
  </si>
  <si>
    <t>Month End</t>
  </si>
  <si>
    <t>Any month end</t>
  </si>
  <si>
    <t>* This allows you to have any month as the financial year end, it uses the EDATE formula, which pushes the current date out by x months.</t>
  </si>
  <si>
    <t>EDATE</t>
  </si>
  <si>
    <t>&lt;&lt; change this</t>
  </si>
  <si>
    <t>&lt;&lt; impacts this (gets relative date in the callendar year for the financial year month end date)</t>
  </si>
  <si>
    <t>Components of the above EDATE Formula:</t>
  </si>
  <si>
    <t>Start Date</t>
  </si>
  <si>
    <t>Dates in period</t>
  </si>
  <si>
    <t>End Date</t>
  </si>
  <si>
    <t>Error version</t>
  </si>
  <si>
    <t>* don’t forget to add 1 if you refer to the start and end date</t>
  </si>
  <si>
    <t>End of prior period</t>
  </si>
  <si>
    <t>* don’t add 1 if you use end of prior period as a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</si>
</sst>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0.0%"/>
    <numFmt numFmtId="168" formatCode="0.00\x"/>
    <numFmt numFmtId="169" formatCode="&quot;Month &quot;#"/>
    <numFmt numFmtId="170" formatCode="&quot;On&quot;;&quot;Error&quot;;&quot;Off&quot;"/>
    <numFmt numFmtId="171" formatCode="#0_);\(#0\);\-"/>
    <numFmt numFmtId="172" formatCode="#,##0.00_);\(#,##0.00\);\-"/>
    <numFmt numFmtId="173" formatCode="#,##0.00_);\(#,##0.00\);&quot;-&quot;"/>
    <numFmt numFmtId="174" formatCode="0.00&quot;x&quot;"/>
  </numFmts>
  <fonts count="20" x14ac:knownFonts="1">
    <font>
      <sz val="11"/>
      <name val="Open Sans"/>
      <family val="2"/>
      <scheme val="minor"/>
    </font>
    <font>
      <sz val="11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sz val="11"/>
      <color theme="1"/>
      <name val="Open Sans"/>
      <family val="2"/>
      <scheme val="minor"/>
    </font>
    <font>
      <b/>
      <sz val="16"/>
      <color theme="1" tint="0.14996795556505021"/>
      <name val="Open Sans"/>
      <family val="2"/>
      <scheme val="major"/>
    </font>
    <font>
      <sz val="11"/>
      <color theme="1" tint="0.14996795556505021"/>
      <name val="Open Sans"/>
      <family val="2"/>
      <scheme val="major"/>
    </font>
    <font>
      <sz val="12"/>
      <color theme="1" tint="0.14993743705557422"/>
      <name val="Open Sans"/>
      <family val="2"/>
      <scheme val="major"/>
    </font>
    <font>
      <b/>
      <sz val="11"/>
      <color theme="1"/>
      <name val="Open Sans"/>
      <family val="2"/>
      <scheme val="minor"/>
    </font>
    <font>
      <sz val="11"/>
      <name val="Open Sans"/>
      <family val="2"/>
      <scheme val="minor"/>
    </font>
    <font>
      <sz val="11"/>
      <color theme="1" tint="0.14990691854609822"/>
      <name val="Open Sans"/>
      <family val="2"/>
      <scheme val="major"/>
    </font>
    <font>
      <b/>
      <sz val="12"/>
      <color theme="1" tint="0.14993743705557422"/>
      <name val="Open Sans"/>
      <family val="2"/>
      <scheme val="major"/>
    </font>
    <font>
      <b/>
      <sz val="11"/>
      <color theme="0"/>
      <name val="Open Sans"/>
      <family val="2"/>
      <scheme val="minor"/>
    </font>
    <font>
      <b/>
      <sz val="11"/>
      <color theme="4" tint="-0.499984740745262"/>
      <name val="Open Sans"/>
      <family val="2"/>
      <scheme val="minor"/>
    </font>
    <font>
      <sz val="11"/>
      <color theme="4" tint="-0.499984740745262"/>
      <name val="Open Sans"/>
      <family val="2"/>
      <scheme val="minor"/>
    </font>
    <font>
      <sz val="11"/>
      <color theme="8" tint="0.499984740745262"/>
      <name val="Open Sans"/>
      <family val="2"/>
      <scheme val="minor"/>
    </font>
    <font>
      <sz val="11"/>
      <color theme="8" tint="9.9948118533890809E-2"/>
      <name val="Open Sans"/>
      <family val="2"/>
      <scheme val="minor"/>
    </font>
    <font>
      <b/>
      <sz val="11"/>
      <name val="Open Sans"/>
      <family val="2"/>
      <scheme val="minor"/>
    </font>
    <font>
      <b/>
      <sz val="11"/>
      <name val="Open Sans"/>
      <scheme val="minor"/>
    </font>
    <font>
      <sz val="11"/>
      <color rgb="FFFF0000"/>
      <name val="Open Sans"/>
      <family val="2"/>
      <scheme val="minor"/>
    </font>
    <font>
      <b/>
      <u/>
      <sz val="11"/>
      <name val="Open Sans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4">
    <xf numFmtId="0" fontId="0" fillId="0" borderId="0">
      <alignment wrapText="1"/>
    </xf>
    <xf numFmtId="0" fontId="10" fillId="0" borderId="0" applyNumberFormat="0" applyFill="0" applyProtection="0">
      <alignment vertical="center"/>
    </xf>
    <xf numFmtId="0" fontId="6" fillId="0" borderId="0" applyNumberFormat="0" applyFill="0" applyProtection="0">
      <alignment vertical="center"/>
    </xf>
    <xf numFmtId="0" fontId="5" fillId="0" borderId="0" applyNumberFormat="0" applyFill="0" applyProtection="0">
      <alignment vertical="center"/>
    </xf>
    <xf numFmtId="0" fontId="9" fillId="0" borderId="0" applyNumberFormat="0" applyFill="0" applyProtection="0">
      <alignment vertical="center" wrapText="1"/>
    </xf>
    <xf numFmtId="166" fontId="8" fillId="0" borderId="0" applyFont="0" applyFill="0" applyBorder="0" applyAlignment="0" applyProtection="0"/>
    <xf numFmtId="10" fontId="8" fillId="0" borderId="0" applyFont="0" applyFill="0" applyBorder="0" applyProtection="0">
      <alignment horizontal="right"/>
    </xf>
    <xf numFmtId="0" fontId="7" fillId="2" borderId="0" applyNumberFormat="0" applyBorder="0" applyAlignment="0" applyProtection="0"/>
    <xf numFmtId="0" fontId="4" fillId="0" borderId="0" applyNumberFormat="0" applyFill="0" applyBorder="0" applyProtection="0">
      <alignment vertical="center"/>
    </xf>
    <xf numFmtId="10" fontId="3" fillId="3" borderId="0" applyFont="0" applyBorder="0" applyProtection="0">
      <alignment horizontal="right"/>
    </xf>
    <xf numFmtId="0" fontId="5" fillId="0" borderId="0" applyNumberFormat="0" applyFill="0" applyBorder="0" applyProtection="0">
      <alignment wrapText="1"/>
    </xf>
    <xf numFmtId="10" fontId="2" fillId="4" borderId="0" applyBorder="0" applyProtection="0">
      <alignment horizontal="right"/>
    </xf>
    <xf numFmtId="0" fontId="15" fillId="7" borderId="1" applyNumberFormat="0" applyAlignment="0" applyProtection="0"/>
    <xf numFmtId="0" fontId="1" fillId="0" borderId="0"/>
  </cellStyleXfs>
  <cellXfs count="96">
    <xf numFmtId="0" fontId="0" fillId="0" borderId="0" xfId="0">
      <alignment wrapText="1"/>
    </xf>
    <xf numFmtId="0" fontId="0" fillId="0" borderId="0" xfId="0" applyAlignment="1"/>
    <xf numFmtId="0" fontId="11" fillId="5" borderId="0" xfId="0" applyFont="1" applyFill="1" applyAlignment="1"/>
    <xf numFmtId="0" fontId="0" fillId="6" borderId="0" xfId="0" applyFill="1" applyAlignment="1"/>
    <xf numFmtId="0" fontId="11" fillId="5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15" fontId="0" fillId="0" borderId="2" xfId="0" applyNumberFormat="1" applyBorder="1" applyAlignment="1"/>
    <xf numFmtId="0" fontId="0" fillId="0" borderId="2" xfId="0" applyBorder="1" applyAlignment="1"/>
    <xf numFmtId="15" fontId="11" fillId="5" borderId="0" xfId="0" applyNumberFormat="1" applyFont="1" applyFill="1" applyAlignment="1"/>
    <xf numFmtId="0" fontId="12" fillId="6" borderId="0" xfId="0" applyFont="1" applyFill="1" applyAlignment="1"/>
    <xf numFmtId="0" fontId="13" fillId="6" borderId="0" xfId="0" applyFont="1" applyFill="1" applyAlignment="1"/>
    <xf numFmtId="0" fontId="12" fillId="0" borderId="0" xfId="0" applyFont="1" applyAlignment="1">
      <alignment horizontal="right"/>
    </xf>
    <xf numFmtId="0" fontId="0" fillId="0" borderId="2" xfId="0" applyBorder="1">
      <alignment wrapText="1"/>
    </xf>
    <xf numFmtId="1" fontId="14" fillId="7" borderId="2" xfId="0" applyNumberFormat="1" applyFont="1" applyFill="1" applyBorder="1">
      <alignment wrapText="1"/>
    </xf>
    <xf numFmtId="0" fontId="0" fillId="0" borderId="2" xfId="0" applyBorder="1" applyAlignment="1">
      <alignment horizontal="right" wrapText="1"/>
    </xf>
    <xf numFmtId="0" fontId="12" fillId="8" borderId="0" xfId="0" applyFont="1" applyFill="1" applyAlignment="1">
      <alignment horizontal="right"/>
    </xf>
    <xf numFmtId="0" fontId="0" fillId="8" borderId="0" xfId="0" applyFill="1">
      <alignment wrapText="1"/>
    </xf>
    <xf numFmtId="0" fontId="0" fillId="8" borderId="2" xfId="0" applyFill="1" applyBorder="1">
      <alignment wrapText="1"/>
    </xf>
    <xf numFmtId="0" fontId="12" fillId="8" borderId="0" xfId="0" applyFont="1" applyFill="1" applyAlignment="1">
      <alignment horizontal="left"/>
    </xf>
    <xf numFmtId="9" fontId="14" fillId="7" borderId="2" xfId="0" applyNumberFormat="1" applyFont="1" applyFill="1" applyBorder="1">
      <alignment wrapText="1"/>
    </xf>
    <xf numFmtId="9" fontId="0" fillId="0" borderId="2" xfId="0" applyNumberFormat="1" applyBorder="1">
      <alignment wrapText="1"/>
    </xf>
    <xf numFmtId="0" fontId="12" fillId="0" borderId="0" xfId="0" applyFont="1" applyAlignment="1">
      <alignment horizontal="left"/>
    </xf>
    <xf numFmtId="4" fontId="14" fillId="7" borderId="2" xfId="0" applyNumberFormat="1" applyFont="1" applyFill="1" applyBorder="1">
      <alignment wrapText="1"/>
    </xf>
    <xf numFmtId="4" fontId="0" fillId="0" borderId="2" xfId="0" applyNumberFormat="1" applyBorder="1">
      <alignment wrapText="1"/>
    </xf>
    <xf numFmtId="0" fontId="0" fillId="0" borderId="0" xfId="0" applyAlignment="1">
      <alignment horizontal="right" wrapText="1"/>
    </xf>
    <xf numFmtId="4" fontId="0" fillId="0" borderId="0" xfId="0" applyNumberFormat="1">
      <alignment wrapText="1"/>
    </xf>
    <xf numFmtId="167" fontId="14" fillId="7" borderId="2" xfId="0" applyNumberFormat="1" applyFont="1" applyFill="1" applyBorder="1">
      <alignment wrapText="1"/>
    </xf>
    <xf numFmtId="167" fontId="0" fillId="0" borderId="2" xfId="0" applyNumberFormat="1" applyBorder="1">
      <alignment wrapText="1"/>
    </xf>
    <xf numFmtId="0" fontId="16" fillId="8" borderId="2" xfId="0" applyFont="1" applyFill="1" applyBorder="1" applyAlignment="1">
      <alignment horizontal="right"/>
    </xf>
    <xf numFmtId="4" fontId="16" fillId="8" borderId="2" xfId="0" applyNumberFormat="1" applyFont="1" applyFill="1" applyBorder="1" applyAlignment="1"/>
    <xf numFmtId="168" fontId="14" fillId="7" borderId="2" xfId="0" applyNumberFormat="1" applyFont="1" applyFill="1" applyBorder="1">
      <alignment wrapText="1"/>
    </xf>
    <xf numFmtId="168" fontId="0" fillId="0" borderId="2" xfId="0" applyNumberFormat="1" applyBorder="1">
      <alignment wrapText="1"/>
    </xf>
    <xf numFmtId="15" fontId="14" fillId="7" borderId="2" xfId="0" applyNumberFormat="1" applyFont="1" applyFill="1" applyBorder="1">
      <alignment wrapText="1"/>
    </xf>
    <xf numFmtId="3" fontId="14" fillId="7" borderId="2" xfId="0" applyNumberFormat="1" applyFont="1" applyFill="1" applyBorder="1">
      <alignment wrapText="1"/>
    </xf>
    <xf numFmtId="3" fontId="0" fillId="0" borderId="2" xfId="0" applyNumberFormat="1" applyBorder="1">
      <alignment wrapText="1"/>
    </xf>
    <xf numFmtId="15" fontId="0" fillId="0" borderId="2" xfId="0" applyNumberFormat="1" applyBorder="1">
      <alignment wrapText="1"/>
    </xf>
    <xf numFmtId="15" fontId="14" fillId="7" borderId="2" xfId="0" applyNumberFormat="1" applyFont="1" applyFill="1" applyBorder="1" applyAlignment="1">
      <alignment horizontal="left" wrapText="1"/>
    </xf>
    <xf numFmtId="15" fontId="0" fillId="0" borderId="2" xfId="0" applyNumberFormat="1" applyBorder="1" applyAlignment="1">
      <alignment horizontal="left" wrapText="1"/>
    </xf>
    <xf numFmtId="10" fontId="14" fillId="7" borderId="2" xfId="0" applyNumberFormat="1" applyFont="1" applyFill="1" applyBorder="1" applyAlignment="1">
      <alignment horizontal="right" wrapText="1"/>
    </xf>
    <xf numFmtId="10" fontId="0" fillId="0" borderId="2" xfId="0" applyNumberFormat="1" applyBorder="1" applyAlignment="1">
      <alignment horizontal="right" wrapText="1"/>
    </xf>
    <xf numFmtId="169" fontId="14" fillId="7" borderId="2" xfId="0" applyNumberFormat="1" applyFont="1" applyFill="1" applyBorder="1">
      <alignment wrapText="1"/>
    </xf>
    <xf numFmtId="4" fontId="14" fillId="7" borderId="2" xfId="0" applyNumberFormat="1" applyFont="1" applyFill="1" applyBorder="1" applyAlignment="1">
      <alignment horizontal="right" wrapText="1"/>
    </xf>
    <xf numFmtId="10" fontId="0" fillId="0" borderId="2" xfId="0" applyNumberFormat="1" applyBorder="1">
      <alignment wrapText="1"/>
    </xf>
    <xf numFmtId="170" fontId="14" fillId="7" borderId="2" xfId="0" applyNumberFormat="1" applyFont="1" applyFill="1" applyBorder="1">
      <alignment wrapText="1"/>
    </xf>
    <xf numFmtId="170" fontId="0" fillId="0" borderId="2" xfId="0" applyNumberFormat="1" applyBorder="1">
      <alignment wrapText="1"/>
    </xf>
    <xf numFmtId="171" fontId="0" fillId="0" borderId="2" xfId="0" applyNumberFormat="1" applyBorder="1">
      <alignment wrapText="1"/>
    </xf>
    <xf numFmtId="0" fontId="17" fillId="0" borderId="2" xfId="0" applyFont="1" applyBorder="1" applyAlignment="1">
      <alignment horizontal="right" wrapText="1"/>
    </xf>
    <xf numFmtId="172" fontId="0" fillId="0" borderId="2" xfId="0" applyNumberFormat="1" applyBorder="1">
      <alignment wrapText="1"/>
    </xf>
    <xf numFmtId="172" fontId="17" fillId="0" borderId="2" xfId="0" applyNumberFormat="1" applyFont="1" applyBorder="1">
      <alignment wrapText="1"/>
    </xf>
    <xf numFmtId="10" fontId="17" fillId="0" borderId="2" xfId="0" applyNumberFormat="1" applyFont="1" applyBorder="1">
      <alignment wrapText="1"/>
    </xf>
    <xf numFmtId="172" fontId="0" fillId="0" borderId="0" xfId="0" applyNumberFormat="1">
      <alignment wrapText="1"/>
    </xf>
    <xf numFmtId="173" fontId="17" fillId="0" borderId="2" xfId="0" applyNumberFormat="1" applyFont="1" applyBorder="1">
      <alignment wrapText="1"/>
    </xf>
    <xf numFmtId="4" fontId="0" fillId="0" borderId="2" xfId="0" applyNumberFormat="1" applyBorder="1" applyAlignment="1">
      <alignment horizontal="right" wrapText="1"/>
    </xf>
    <xf numFmtId="172" fontId="0" fillId="8" borderId="2" xfId="0" applyNumberFormat="1" applyFill="1" applyBorder="1">
      <alignment wrapText="1"/>
    </xf>
    <xf numFmtId="0" fontId="0" fillId="10" borderId="2" xfId="0" applyFill="1" applyBorder="1">
      <alignment wrapText="1"/>
    </xf>
    <xf numFmtId="1" fontId="0" fillId="0" borderId="2" xfId="0" applyNumberFormat="1" applyBorder="1">
      <alignment wrapText="1"/>
    </xf>
    <xf numFmtId="1" fontId="0" fillId="0" borderId="3" xfId="0" applyNumberFormat="1" applyBorder="1">
      <alignment wrapText="1"/>
    </xf>
    <xf numFmtId="1" fontId="0" fillId="10" borderId="2" xfId="0" applyNumberFormat="1" applyFill="1" applyBorder="1">
      <alignment wrapText="1"/>
    </xf>
    <xf numFmtId="1" fontId="0" fillId="0" borderId="0" xfId="0" applyNumberFormat="1">
      <alignment wrapText="1"/>
    </xf>
    <xf numFmtId="2" fontId="14" fillId="7" borderId="2" xfId="0" applyNumberFormat="1" applyFont="1" applyFill="1" applyBorder="1">
      <alignment wrapText="1"/>
    </xf>
    <xf numFmtId="2" fontId="0" fillId="0" borderId="2" xfId="0" applyNumberFormat="1" applyBorder="1">
      <alignment wrapText="1"/>
    </xf>
    <xf numFmtId="2" fontId="0" fillId="10" borderId="2" xfId="0" applyNumberFormat="1" applyFill="1" applyBorder="1">
      <alignment wrapText="1"/>
    </xf>
    <xf numFmtId="2" fontId="0" fillId="0" borderId="0" xfId="0" applyNumberFormat="1">
      <alignment wrapText="1"/>
    </xf>
    <xf numFmtId="4" fontId="0" fillId="10" borderId="2" xfId="0" applyNumberFormat="1" applyFill="1" applyBorder="1">
      <alignment wrapText="1"/>
    </xf>
    <xf numFmtId="0" fontId="0" fillId="9" borderId="0" xfId="0" applyFill="1">
      <alignment wrapText="1"/>
    </xf>
    <xf numFmtId="3" fontId="0" fillId="0" borderId="0" xfId="0" applyNumberFormat="1">
      <alignment wrapText="1"/>
    </xf>
    <xf numFmtId="174" fontId="14" fillId="7" borderId="2" xfId="0" applyNumberFormat="1" applyFont="1" applyFill="1" applyBorder="1">
      <alignment wrapText="1"/>
    </xf>
    <xf numFmtId="0" fontId="18" fillId="0" borderId="0" xfId="0" applyFont="1">
      <alignment wrapText="1"/>
    </xf>
    <xf numFmtId="172" fontId="16" fillId="8" borderId="2" xfId="0" applyNumberFormat="1" applyFont="1" applyFill="1" applyBorder="1">
      <alignment wrapText="1"/>
    </xf>
    <xf numFmtId="0" fontId="1" fillId="0" borderId="0" xfId="13"/>
    <xf numFmtId="0" fontId="1" fillId="0" borderId="2" xfId="13" applyBorder="1"/>
    <xf numFmtId="15" fontId="1" fillId="0" borderId="2" xfId="13" applyNumberFormat="1" applyBorder="1"/>
    <xf numFmtId="164" fontId="1" fillId="0" borderId="2" xfId="13" applyNumberFormat="1" applyBorder="1"/>
    <xf numFmtId="9" fontId="1" fillId="0" borderId="2" xfId="13" applyNumberFormat="1" applyBorder="1"/>
    <xf numFmtId="0" fontId="7" fillId="0" borderId="2" xfId="13" applyFont="1" applyBorder="1"/>
    <xf numFmtId="165" fontId="1" fillId="0" borderId="4" xfId="13" applyNumberFormat="1" applyBorder="1"/>
    <xf numFmtId="165" fontId="1" fillId="0" borderId="2" xfId="13" applyNumberFormat="1" applyBorder="1"/>
    <xf numFmtId="0" fontId="1" fillId="0" borderId="5" xfId="13" applyBorder="1"/>
    <xf numFmtId="165" fontId="1" fillId="0" borderId="6" xfId="13" applyNumberFormat="1" applyBorder="1"/>
    <xf numFmtId="0" fontId="1" fillId="0" borderId="3" xfId="13" applyBorder="1"/>
    <xf numFmtId="165" fontId="1" fillId="0" borderId="7" xfId="13" applyNumberFormat="1" applyBorder="1"/>
    <xf numFmtId="164" fontId="1" fillId="0" borderId="4" xfId="13" applyNumberFormat="1" applyBorder="1"/>
    <xf numFmtId="164" fontId="1" fillId="0" borderId="6" xfId="13" applyNumberFormat="1" applyBorder="1"/>
    <xf numFmtId="164" fontId="1" fillId="0" borderId="3" xfId="13" applyNumberFormat="1" applyBorder="1"/>
    <xf numFmtId="164" fontId="1" fillId="0" borderId="7" xfId="13" applyNumberFormat="1" applyBorder="1"/>
    <xf numFmtId="0" fontId="17" fillId="0" borderId="2" xfId="0" applyFont="1" applyBorder="1">
      <alignment wrapText="1"/>
    </xf>
    <xf numFmtId="14" fontId="0" fillId="0" borderId="2" xfId="0" applyNumberFormat="1" applyBorder="1">
      <alignment wrapText="1"/>
    </xf>
    <xf numFmtId="0" fontId="19" fillId="0" borderId="0" xfId="0" applyFont="1">
      <alignment wrapText="1"/>
    </xf>
    <xf numFmtId="0" fontId="0" fillId="0" borderId="0" xfId="0" quotePrefix="1">
      <alignment wrapText="1"/>
    </xf>
    <xf numFmtId="15" fontId="0" fillId="7" borderId="2" xfId="0" applyNumberFormat="1" applyFill="1" applyBorder="1">
      <alignment wrapText="1"/>
    </xf>
    <xf numFmtId="15" fontId="17" fillId="0" borderId="2" xfId="0" applyNumberFormat="1" applyFont="1" applyBorder="1">
      <alignment wrapText="1"/>
    </xf>
    <xf numFmtId="14" fontId="17" fillId="0" borderId="2" xfId="0" applyNumberFormat="1" applyFont="1" applyBorder="1">
      <alignment wrapText="1"/>
    </xf>
    <xf numFmtId="14" fontId="0" fillId="0" borderId="2" xfId="0" applyNumberFormat="1" applyBorder="1" applyAlignment="1"/>
    <xf numFmtId="0" fontId="0" fillId="0" borderId="2" xfId="0" applyFill="1" applyBorder="1" applyAlignment="1">
      <alignment horizontal="right" wrapText="1"/>
    </xf>
    <xf numFmtId="3" fontId="0" fillId="7" borderId="2" xfId="0" applyNumberFormat="1" applyFill="1" applyBorder="1">
      <alignment wrapText="1"/>
    </xf>
  </cellXfs>
  <cellStyles count="14">
    <cellStyle name="20% - Accent1" xfId="11" builtinId="30" customBuiltin="1"/>
    <cellStyle name="20% - Accent6" xfId="7" builtinId="50" customBuiltin="1"/>
    <cellStyle name="40% - Accent1" xfId="9" builtinId="31" customBuiltin="1"/>
    <cellStyle name="Currency" xfId="5" builtinId="4" customBuiltin="1"/>
    <cellStyle name="Explanatory Text" xfId="10" builtinId="53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12" builtinId="20" customBuiltin="1"/>
    <cellStyle name="Normal" xfId="0" builtinId="0" customBuiltin="1"/>
    <cellStyle name="Normal 2" xfId="13" xr:uid="{FC3AE1AA-E1E9-43BC-9270-AE105FB13F22}"/>
    <cellStyle name="Percent" xfId="6" builtinId="5" customBuiltin="1"/>
    <cellStyle name="Title" xfId="8" builtinId="15" customBuiltin="1"/>
  </cellStyles>
  <dxfs count="4">
    <dxf>
      <font>
        <b/>
        <color theme="1"/>
      </font>
      <fill>
        <patternFill>
          <bgColor theme="4" tint="0.79998168889431442"/>
        </patternFill>
      </fill>
      <border>
        <left style="thin">
          <color auto="1"/>
        </left>
        <right style="thick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theme="1"/>
      </font>
      <fill>
        <patternFill>
          <bgColor theme="4" tint="0.79998168889431442"/>
        </patternFill>
      </fill>
      <border>
        <top style="thin">
          <color theme="8"/>
        </top>
        <bottom style="thick">
          <color theme="8"/>
        </bottom>
      </border>
    </dxf>
    <dxf>
      <font>
        <b/>
        <i val="0"/>
        <color theme="0"/>
      </font>
      <fill>
        <patternFill patternType="solid">
          <fgColor theme="8"/>
          <bgColor theme="8"/>
        </patternFill>
      </fill>
      <border diagonalUp="0" diagonalDown="0">
        <left/>
        <right/>
        <top/>
        <bottom style="thin">
          <color theme="8"/>
        </bottom>
        <vertical/>
        <horizontal/>
      </border>
    </dxf>
    <dxf>
      <font>
        <b val="0"/>
        <i val="0"/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</dxfs>
  <tableStyles count="2" defaultTableStyle="Profit and Loss Statement" defaultPivotStyle="PivotStyleLight16">
    <tableStyle name="Profit and Loss Statement" pivot="0" count="4" xr9:uid="{00000000-0011-0000-FFFF-FFFF00000000}">
      <tableStyleElement type="wholeTable" dxfId="3"/>
      <tableStyleElement type="headerRow" dxfId="2"/>
      <tableStyleElement type="totalRow" dxfId="1"/>
      <tableStyleElement type="lastColumn" dxfId="0"/>
    </tableStyle>
    <tableStyle name="Table Style 1" pivot="0" count="0" xr9:uid="{194B492A-3560-4CAF-B4CF-45A600A6CDF6}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D3DAE5"/>
      <rgbColor rgb="00FFFF00"/>
      <rgbColor rgb="00EAEAEA"/>
      <rgbColor rgb="0000FFFF"/>
      <rgbColor rgb="00800000"/>
      <rgbColor rgb="00ECEFF4"/>
      <rgbColor rgb="00000080"/>
      <rgbColor rgb="00808000"/>
      <rgbColor rgb="00800080"/>
      <rgbColor rgb="00BBC6D7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18</xdr:row>
      <xdr:rowOff>0</xdr:rowOff>
    </xdr:from>
    <xdr:to>
      <xdr:col>17</xdr:col>
      <xdr:colOff>0</xdr:colOff>
      <xdr:row>34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E74B48-D9A8-133C-61B3-D248B34B32B8}"/>
            </a:ext>
          </a:extLst>
        </xdr:cNvPr>
        <xdr:cNvSpPr txBox="1"/>
      </xdr:nvSpPr>
      <xdr:spPr>
        <a:xfrm>
          <a:off x="638175" y="3600450"/>
          <a:ext cx="13258800" cy="320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Dates are fundamental model inputs and operating assumptions. They </a:t>
          </a:r>
          <a:r>
            <a:rPr lang="en-US" u="sng"/>
            <a:t>determine when activities begin and end</a:t>
          </a:r>
          <a:r>
            <a:rPr lang="en-US"/>
            <a:t>, </a:t>
          </a:r>
          <a:r>
            <a:rPr lang="en-US" u="sng"/>
            <a:t>how many days fall within a calculation period</a:t>
          </a:r>
          <a:r>
            <a:rPr lang="en-US"/>
            <a:t>, when cash is received or paid, when interest accrues, when debt amortises and when financial ratios are tested.</a:t>
          </a:r>
        </a:p>
        <a:p>
          <a:endParaRPr lang="en-US"/>
        </a:p>
        <a:p>
          <a:r>
            <a:rPr lang="en-US"/>
            <a:t>A small timing error can affect:</a:t>
          </a:r>
        </a:p>
        <a:p>
          <a:r>
            <a:rPr lang="en-US"/>
            <a:t> - Revenue commencement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Operating and capital expenditure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Interest expense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Debt service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Tax timing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Liquidity requirements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Covenant compliance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NPV and IRR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Facility maturity and refinancing requirements </a:t>
          </a:r>
        </a:p>
        <a:p>
          <a:endParaRPr lang="en-US"/>
        </a:p>
        <a:p>
          <a:r>
            <a:rPr lang="en-US"/>
            <a:t>A model can contain reasonable annual assumptions but still produce materially incorrect outputs if those assumptions are allocated to the wrong months or calculated using an incorrect day-count convention.</a:t>
          </a:r>
        </a:p>
      </xdr:txBody>
    </xdr:sp>
    <xdr:clientData/>
  </xdr:twoCellAnchor>
  <xdr:twoCellAnchor>
    <xdr:from>
      <xdr:col>4</xdr:col>
      <xdr:colOff>0</xdr:colOff>
      <xdr:row>37</xdr:row>
      <xdr:rowOff>1904</xdr:rowOff>
    </xdr:from>
    <xdr:to>
      <xdr:col>17</xdr:col>
      <xdr:colOff>0</xdr:colOff>
      <xdr:row>51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B43F651-033C-4C97-AF3F-4755930DA306}"/>
            </a:ext>
          </a:extLst>
        </xdr:cNvPr>
        <xdr:cNvSpPr txBox="1"/>
      </xdr:nvSpPr>
      <xdr:spPr>
        <a:xfrm>
          <a:off x="638175" y="7402829"/>
          <a:ext cx="13258800" cy="279844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b="1" u="sng"/>
            <a:t>Model Timeline</a:t>
          </a:r>
        </a:p>
        <a:p>
          <a:endParaRPr lang="en-US"/>
        </a:p>
        <a:p>
          <a:r>
            <a:rPr lang="en-US"/>
            <a:t>A model should normally contain a consistent timeline with clearly identified:</a:t>
          </a:r>
        </a:p>
        <a:p>
          <a:r>
            <a:rPr lang="en-US"/>
            <a:t> - Period start dates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Period end dates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Number of days in each period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Financial year and calendar year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Construction, operations and closure phases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Interest payment dates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Debt repayment dates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</a:t>
          </a:r>
          <a:r>
            <a:rPr lang="en-US"/>
            <a:t>Reporting and covenant-testing dates</a:t>
          </a:r>
        </a:p>
        <a:p>
          <a:endParaRPr lang="en-US"/>
        </a:p>
        <a:p>
          <a:r>
            <a:rPr lang="en-US"/>
            <a:t>Calculations should reference the timeline rather than repeatedly hardcoding dates inside formulas.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Custom 406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C7DB"/>
      </a:accent1>
      <a:accent2>
        <a:srgbClr val="96C030"/>
      </a:accent2>
      <a:accent3>
        <a:srgbClr val="DB4D75"/>
      </a:accent3>
      <a:accent4>
        <a:srgbClr val="F09D23"/>
      </a:accent4>
      <a:accent5>
        <a:srgbClr val="002060"/>
      </a:accent5>
      <a:accent6>
        <a:srgbClr val="EAC71D"/>
      </a:accent6>
      <a:hlink>
        <a:srgbClr val="61C7DB"/>
      </a:hlink>
      <a:folHlink>
        <a:srgbClr val="8968A9"/>
      </a:folHlink>
    </a:clrScheme>
    <a:fontScheme name="Custom 62">
      <a:majorFont>
        <a:latin typeface="Open Sans"/>
        <a:ea typeface=""/>
        <a:cs typeface=""/>
      </a:majorFont>
      <a:minorFont>
        <a:latin typeface="Open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40A6-03D3-4129-A15D-D54F6026C84F}">
  <sheetPr codeName="Sheet2"/>
  <dimension ref="A1"/>
  <sheetViews>
    <sheetView workbookViewId="0">
      <selection activeCell="L16" sqref="L16"/>
    </sheetView>
    <sheetView workbookViewId="1"/>
  </sheetViews>
  <sheetFormatPr defaultRowHeight="15.6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22DD4-5CC8-4E43-9DD6-B9DB58309082}">
  <sheetPr>
    <tabColor theme="4" tint="-0.499984740745262"/>
  </sheetPr>
  <dimension ref="A1:KJ244"/>
  <sheetViews>
    <sheetView showGridLines="0" zoomScale="115" zoomScaleNormal="115" workbookViewId="0">
      <selection activeCell="J2" sqref="J2:KI16"/>
    </sheetView>
    <sheetView workbookViewId="1"/>
  </sheetViews>
  <sheetFormatPr defaultColWidth="0" defaultRowHeight="15.6" x14ac:dyDescent="0.35"/>
  <cols>
    <col min="1" max="1" width="2.69921875" bestFit="1" customWidth="1"/>
    <col min="2" max="4" width="9.19921875" customWidth="1"/>
    <col min="5" max="5" width="9.69921875" bestFit="1" customWidth="1"/>
    <col min="6" max="6" width="9.19921875" customWidth="1"/>
    <col min="7" max="7" width="12.296875" bestFit="1" customWidth="1"/>
    <col min="8" max="8" width="12.69921875" bestFit="1" customWidth="1"/>
    <col min="9" max="9" width="2.69921875" customWidth="1"/>
    <col min="10" max="10" width="1.796875" bestFit="1" customWidth="1"/>
    <col min="11" max="12" width="1.796875" customWidth="1"/>
    <col min="13" max="13" width="51" bestFit="1" customWidth="1"/>
    <col min="14" max="14" width="12.796875" bestFit="1" customWidth="1"/>
    <col min="15" max="15" width="10.09765625" bestFit="1" customWidth="1"/>
    <col min="16" max="16" width="10" bestFit="1" customWidth="1"/>
    <col min="17" max="17" width="9.796875" bestFit="1" customWidth="1"/>
    <col min="18" max="18" width="10.296875" bestFit="1" customWidth="1"/>
    <col min="19" max="19" width="10.09765625" bestFit="1" customWidth="1"/>
    <col min="20" max="20" width="9.5" bestFit="1" customWidth="1"/>
    <col min="21" max="21" width="10" bestFit="1" customWidth="1"/>
    <col min="22" max="22" width="10.296875" bestFit="1" customWidth="1"/>
    <col min="23" max="23" width="9.796875" bestFit="1" customWidth="1"/>
    <col min="24" max="24" width="10.69921875" bestFit="1" customWidth="1"/>
    <col min="25" max="25" width="9.69921875" bestFit="1" customWidth="1"/>
    <col min="26" max="26" width="9" bestFit="1" customWidth="1"/>
    <col min="27" max="27" width="10.09765625" bestFit="1" customWidth="1"/>
    <col min="28" max="28" width="10" bestFit="1" customWidth="1"/>
    <col min="29" max="29" width="9.796875" bestFit="1" customWidth="1"/>
    <col min="30" max="30" width="10.296875" bestFit="1" customWidth="1"/>
    <col min="31" max="31" width="10.09765625" bestFit="1" customWidth="1"/>
    <col min="32" max="32" width="9.5" bestFit="1" customWidth="1"/>
    <col min="33" max="33" width="10" bestFit="1" customWidth="1"/>
    <col min="34" max="34" width="10.296875" bestFit="1" customWidth="1"/>
    <col min="35" max="35" width="9.796875" bestFit="1" customWidth="1"/>
    <col min="36" max="36" width="10.69921875" bestFit="1" customWidth="1"/>
    <col min="37" max="37" width="9.69921875" bestFit="1" customWidth="1"/>
    <col min="38" max="38" width="9" bestFit="1" customWidth="1"/>
    <col min="39" max="39" width="10.09765625" bestFit="1" customWidth="1"/>
    <col min="40" max="40" width="10" bestFit="1" customWidth="1"/>
    <col min="41" max="41" width="9.796875" bestFit="1" customWidth="1"/>
    <col min="42" max="42" width="10.296875" bestFit="1" customWidth="1"/>
    <col min="43" max="43" width="10.09765625" bestFit="1" customWidth="1"/>
    <col min="44" max="44" width="9.5" bestFit="1" customWidth="1"/>
    <col min="45" max="45" width="10" bestFit="1" customWidth="1"/>
    <col min="46" max="46" width="10.296875" bestFit="1" customWidth="1"/>
    <col min="47" max="47" width="9.796875" bestFit="1" customWidth="1"/>
    <col min="48" max="48" width="10.69921875" bestFit="1" customWidth="1"/>
    <col min="49" max="49" width="9.69921875" bestFit="1" customWidth="1"/>
    <col min="50" max="50" width="9" bestFit="1" customWidth="1"/>
    <col min="51" max="51" width="10.09765625" bestFit="1" customWidth="1"/>
    <col min="52" max="52" width="10" bestFit="1" customWidth="1"/>
    <col min="53" max="53" width="9.796875" bestFit="1" customWidth="1"/>
    <col min="54" max="54" width="10.296875" bestFit="1" customWidth="1"/>
    <col min="55" max="55" width="10.09765625" bestFit="1" customWidth="1"/>
    <col min="56" max="56" width="9.5" bestFit="1" customWidth="1"/>
    <col min="57" max="57" width="10" bestFit="1" customWidth="1"/>
    <col min="58" max="58" width="10.296875" bestFit="1" customWidth="1"/>
    <col min="59" max="59" width="9.796875" bestFit="1" customWidth="1"/>
    <col min="60" max="60" width="10.69921875" bestFit="1" customWidth="1"/>
    <col min="61" max="61" width="9.69921875" bestFit="1" customWidth="1"/>
    <col min="62" max="62" width="9" bestFit="1" customWidth="1"/>
    <col min="63" max="63" width="10.09765625" bestFit="1" customWidth="1"/>
    <col min="64" max="64" width="10" bestFit="1" customWidth="1"/>
    <col min="65" max="65" width="9.796875" bestFit="1" customWidth="1"/>
    <col min="66" max="66" width="10.296875" bestFit="1" customWidth="1"/>
    <col min="67" max="67" width="10.09765625" bestFit="1" customWidth="1"/>
    <col min="68" max="68" width="9.5" bestFit="1" customWidth="1"/>
    <col min="69" max="69" width="10" bestFit="1" customWidth="1"/>
    <col min="70" max="70" width="10.296875" bestFit="1" customWidth="1"/>
    <col min="71" max="71" width="9.796875" bestFit="1" customWidth="1"/>
    <col min="72" max="72" width="10.69921875" bestFit="1" customWidth="1"/>
    <col min="73" max="73" width="9.69921875" bestFit="1" customWidth="1"/>
    <col min="74" max="74" width="9" bestFit="1" customWidth="1"/>
    <col min="75" max="75" width="10.09765625" bestFit="1" customWidth="1"/>
    <col min="76" max="76" width="10" bestFit="1" customWidth="1"/>
    <col min="77" max="77" width="9.796875" bestFit="1" customWidth="1"/>
    <col min="78" max="78" width="10.296875" bestFit="1" customWidth="1"/>
    <col min="79" max="79" width="10.09765625" bestFit="1" customWidth="1"/>
    <col min="80" max="80" width="9.5" bestFit="1" customWidth="1"/>
    <col min="81" max="81" width="10" bestFit="1" customWidth="1"/>
    <col min="82" max="82" width="10.296875" bestFit="1" customWidth="1"/>
    <col min="83" max="83" width="9.796875" bestFit="1" customWidth="1"/>
    <col min="84" max="84" width="10.69921875" bestFit="1" customWidth="1"/>
    <col min="85" max="85" width="9.69921875" bestFit="1" customWidth="1"/>
    <col min="86" max="86" width="9" bestFit="1" customWidth="1"/>
    <col min="87" max="87" width="10.09765625" bestFit="1" customWidth="1"/>
    <col min="88" max="88" width="10" bestFit="1" customWidth="1"/>
    <col min="89" max="89" width="9.796875" bestFit="1" customWidth="1"/>
    <col min="90" max="90" width="10.296875" bestFit="1" customWidth="1"/>
    <col min="91" max="91" width="10.09765625" bestFit="1" customWidth="1"/>
    <col min="92" max="92" width="9.5" bestFit="1" customWidth="1"/>
    <col min="93" max="93" width="10" bestFit="1" customWidth="1"/>
    <col min="94" max="94" width="10.296875" bestFit="1" customWidth="1"/>
    <col min="95" max="95" width="9.796875" bestFit="1" customWidth="1"/>
    <col min="96" max="96" width="10.69921875" bestFit="1" customWidth="1"/>
    <col min="97" max="97" width="9.69921875" bestFit="1" customWidth="1"/>
    <col min="98" max="98" width="9" bestFit="1" customWidth="1"/>
    <col min="99" max="99" width="10.09765625" bestFit="1" customWidth="1"/>
    <col min="100" max="100" width="10" bestFit="1" customWidth="1"/>
    <col min="101" max="101" width="9.796875" bestFit="1" customWidth="1"/>
    <col min="102" max="102" width="10.296875" bestFit="1" customWidth="1"/>
    <col min="103" max="103" width="10.09765625" bestFit="1" customWidth="1"/>
    <col min="104" max="104" width="9.5" bestFit="1" customWidth="1"/>
    <col min="105" max="105" width="10" bestFit="1" customWidth="1"/>
    <col min="106" max="106" width="10.296875" bestFit="1" customWidth="1"/>
    <col min="107" max="107" width="9.796875" bestFit="1" customWidth="1"/>
    <col min="108" max="108" width="10.69921875" bestFit="1" customWidth="1"/>
    <col min="109" max="109" width="9.69921875" bestFit="1" customWidth="1"/>
    <col min="110" max="110" width="9" bestFit="1" customWidth="1"/>
    <col min="111" max="111" width="10.09765625" bestFit="1" customWidth="1"/>
    <col min="112" max="112" width="10" bestFit="1" customWidth="1"/>
    <col min="113" max="113" width="9.796875" bestFit="1" customWidth="1"/>
    <col min="114" max="114" width="10.296875" bestFit="1" customWidth="1"/>
    <col min="115" max="115" width="10.09765625" bestFit="1" customWidth="1"/>
    <col min="116" max="116" width="9.5" bestFit="1" customWidth="1"/>
    <col min="117" max="117" width="10" bestFit="1" customWidth="1"/>
    <col min="118" max="118" width="10.296875" bestFit="1" customWidth="1"/>
    <col min="119" max="119" width="9.796875" bestFit="1" customWidth="1"/>
    <col min="120" max="120" width="10.69921875" bestFit="1" customWidth="1"/>
    <col min="121" max="121" width="9.69921875" bestFit="1" customWidth="1"/>
    <col min="122" max="122" width="9" bestFit="1" customWidth="1"/>
    <col min="123" max="123" width="10.09765625" bestFit="1" customWidth="1"/>
    <col min="124" max="124" width="10" bestFit="1" customWidth="1"/>
    <col min="125" max="125" width="9.796875" bestFit="1" customWidth="1"/>
    <col min="126" max="126" width="10.296875" bestFit="1" customWidth="1"/>
    <col min="127" max="127" width="10.09765625" bestFit="1" customWidth="1"/>
    <col min="128" max="128" width="9.5" bestFit="1" customWidth="1"/>
    <col min="129" max="129" width="10" bestFit="1" customWidth="1"/>
    <col min="130" max="130" width="10.296875" bestFit="1" customWidth="1"/>
    <col min="131" max="131" width="9.796875" bestFit="1" customWidth="1"/>
    <col min="132" max="132" width="10.69921875" bestFit="1" customWidth="1"/>
    <col min="133" max="133" width="9.69921875" bestFit="1" customWidth="1"/>
    <col min="134" max="134" width="9" bestFit="1" customWidth="1"/>
    <col min="135" max="135" width="10.09765625" bestFit="1" customWidth="1"/>
    <col min="136" max="136" width="10" bestFit="1" customWidth="1"/>
    <col min="137" max="137" width="9.796875" bestFit="1" customWidth="1"/>
    <col min="138" max="138" width="10.296875" bestFit="1" customWidth="1"/>
    <col min="139" max="139" width="10.09765625" bestFit="1" customWidth="1"/>
    <col min="140" max="140" width="9.5" bestFit="1" customWidth="1"/>
    <col min="141" max="141" width="10" bestFit="1" customWidth="1"/>
    <col min="142" max="142" width="10.296875" bestFit="1" customWidth="1"/>
    <col min="143" max="143" width="9.796875" bestFit="1" customWidth="1"/>
    <col min="144" max="144" width="10.69921875" bestFit="1" customWidth="1"/>
    <col min="145" max="145" width="9.69921875" bestFit="1" customWidth="1"/>
    <col min="146" max="146" width="9" bestFit="1" customWidth="1"/>
    <col min="147" max="147" width="10.09765625" bestFit="1" customWidth="1"/>
    <col min="148" max="148" width="10" bestFit="1" customWidth="1"/>
    <col min="149" max="149" width="9.796875" bestFit="1" customWidth="1"/>
    <col min="150" max="150" width="10.296875" bestFit="1" customWidth="1"/>
    <col min="151" max="151" width="10.09765625" bestFit="1" customWidth="1"/>
    <col min="152" max="152" width="9.5" bestFit="1" customWidth="1"/>
    <col min="153" max="153" width="10" bestFit="1" customWidth="1"/>
    <col min="154" max="154" width="10.296875" bestFit="1" customWidth="1"/>
    <col min="155" max="155" width="9.796875" bestFit="1" customWidth="1"/>
    <col min="156" max="156" width="10.69921875" bestFit="1" customWidth="1"/>
    <col min="157" max="157" width="9.69921875" bestFit="1" customWidth="1"/>
    <col min="158" max="158" width="9" bestFit="1" customWidth="1"/>
    <col min="159" max="159" width="10.09765625" bestFit="1" customWidth="1"/>
    <col min="160" max="160" width="10" bestFit="1" customWidth="1"/>
    <col min="161" max="161" width="9.796875" bestFit="1" customWidth="1"/>
    <col min="162" max="162" width="10.296875" bestFit="1" customWidth="1"/>
    <col min="163" max="163" width="10.09765625" bestFit="1" customWidth="1"/>
    <col min="164" max="164" width="9.5" bestFit="1" customWidth="1"/>
    <col min="165" max="165" width="10" bestFit="1" customWidth="1"/>
    <col min="166" max="166" width="10.296875" bestFit="1" customWidth="1"/>
    <col min="167" max="167" width="9.796875" bestFit="1" customWidth="1"/>
    <col min="168" max="168" width="10.69921875" bestFit="1" customWidth="1"/>
    <col min="169" max="169" width="9.69921875" bestFit="1" customWidth="1"/>
    <col min="170" max="170" width="9" bestFit="1" customWidth="1"/>
    <col min="171" max="171" width="10.09765625" bestFit="1" customWidth="1"/>
    <col min="172" max="172" width="10" bestFit="1" customWidth="1"/>
    <col min="173" max="173" width="9.796875" bestFit="1" customWidth="1"/>
    <col min="174" max="174" width="10.296875" bestFit="1" customWidth="1"/>
    <col min="175" max="175" width="10.09765625" bestFit="1" customWidth="1"/>
    <col min="176" max="176" width="9.5" bestFit="1" customWidth="1"/>
    <col min="177" max="177" width="10" bestFit="1" customWidth="1"/>
    <col min="178" max="178" width="10.296875" bestFit="1" customWidth="1"/>
    <col min="179" max="179" width="9.796875" bestFit="1" customWidth="1"/>
    <col min="180" max="180" width="10.69921875" bestFit="1" customWidth="1"/>
    <col min="181" max="181" width="9.69921875" bestFit="1" customWidth="1"/>
    <col min="182" max="182" width="9" bestFit="1" customWidth="1"/>
    <col min="183" max="183" width="10.09765625" bestFit="1" customWidth="1"/>
    <col min="184" max="184" width="10" bestFit="1" customWidth="1"/>
    <col min="185" max="185" width="9.796875" bestFit="1" customWidth="1"/>
    <col min="186" max="186" width="10.296875" bestFit="1" customWidth="1"/>
    <col min="187" max="187" width="10.09765625" bestFit="1" customWidth="1"/>
    <col min="188" max="188" width="9.5" bestFit="1" customWidth="1"/>
    <col min="189" max="189" width="10" bestFit="1" customWidth="1"/>
    <col min="190" max="190" width="10.296875" bestFit="1" customWidth="1"/>
    <col min="191" max="191" width="9.796875" bestFit="1" customWidth="1"/>
    <col min="192" max="192" width="10.69921875" bestFit="1" customWidth="1"/>
    <col min="193" max="193" width="9.69921875" bestFit="1" customWidth="1"/>
    <col min="194" max="194" width="9" bestFit="1" customWidth="1"/>
    <col min="195" max="195" width="10.09765625" bestFit="1" customWidth="1"/>
    <col min="196" max="196" width="10" bestFit="1" customWidth="1"/>
    <col min="197" max="197" width="9.796875" bestFit="1" customWidth="1"/>
    <col min="198" max="198" width="10.296875" bestFit="1" customWidth="1"/>
    <col min="199" max="199" width="10.09765625" bestFit="1" customWidth="1"/>
    <col min="200" max="200" width="9.5" bestFit="1" customWidth="1"/>
    <col min="201" max="201" width="10" bestFit="1" customWidth="1"/>
    <col min="202" max="202" width="10.296875" bestFit="1" customWidth="1"/>
    <col min="203" max="203" width="9.796875" bestFit="1" customWidth="1"/>
    <col min="204" max="204" width="10.69921875" bestFit="1" customWidth="1"/>
    <col min="205" max="205" width="9.69921875" bestFit="1" customWidth="1"/>
    <col min="206" max="206" width="9" bestFit="1" customWidth="1"/>
    <col min="207" max="207" width="10.09765625" bestFit="1" customWidth="1"/>
    <col min="208" max="208" width="10" bestFit="1" customWidth="1"/>
    <col min="209" max="209" width="9.796875" bestFit="1" customWidth="1"/>
    <col min="210" max="210" width="10.296875" bestFit="1" customWidth="1"/>
    <col min="211" max="211" width="10.09765625" bestFit="1" customWidth="1"/>
    <col min="212" max="212" width="9.5" bestFit="1" customWidth="1"/>
    <col min="213" max="213" width="10" bestFit="1" customWidth="1"/>
    <col min="214" max="214" width="10.296875" bestFit="1" customWidth="1"/>
    <col min="215" max="215" width="9.796875" bestFit="1" customWidth="1"/>
    <col min="216" max="216" width="10.69921875" bestFit="1" customWidth="1"/>
    <col min="217" max="217" width="9.69921875" bestFit="1" customWidth="1"/>
    <col min="218" max="218" width="9" bestFit="1" customWidth="1"/>
    <col min="219" max="219" width="10.09765625" bestFit="1" customWidth="1"/>
    <col min="220" max="220" width="10" bestFit="1" customWidth="1"/>
    <col min="221" max="221" width="9.796875" bestFit="1" customWidth="1"/>
    <col min="222" max="222" width="10.296875" bestFit="1" customWidth="1"/>
    <col min="223" max="223" width="10.09765625" bestFit="1" customWidth="1"/>
    <col min="224" max="224" width="9.5" bestFit="1" customWidth="1"/>
    <col min="225" max="225" width="10" bestFit="1" customWidth="1"/>
    <col min="226" max="226" width="10.296875" bestFit="1" customWidth="1"/>
    <col min="227" max="227" width="9.796875" bestFit="1" customWidth="1"/>
    <col min="228" max="228" width="10.69921875" bestFit="1" customWidth="1"/>
    <col min="229" max="229" width="9.69921875" bestFit="1" customWidth="1"/>
    <col min="230" max="230" width="9" bestFit="1" customWidth="1"/>
    <col min="231" max="231" width="10.09765625" bestFit="1" customWidth="1"/>
    <col min="232" max="232" width="10" bestFit="1" customWidth="1"/>
    <col min="233" max="233" width="9.796875" bestFit="1" customWidth="1"/>
    <col min="234" max="234" width="10.296875" bestFit="1" customWidth="1"/>
    <col min="235" max="235" width="10.09765625" bestFit="1" customWidth="1"/>
    <col min="236" max="236" width="9.5" bestFit="1" customWidth="1"/>
    <col min="237" max="237" width="10" bestFit="1" customWidth="1"/>
    <col min="238" max="238" width="10.296875" bestFit="1" customWidth="1"/>
    <col min="239" max="239" width="9.796875" bestFit="1" customWidth="1"/>
    <col min="240" max="240" width="10.69921875" bestFit="1" customWidth="1"/>
    <col min="241" max="241" width="9.69921875" bestFit="1" customWidth="1"/>
    <col min="242" max="242" width="9" bestFit="1" customWidth="1"/>
    <col min="243" max="243" width="10.09765625" bestFit="1" customWidth="1"/>
    <col min="244" max="244" width="10" bestFit="1" customWidth="1"/>
    <col min="245" max="245" width="9.796875" bestFit="1" customWidth="1"/>
    <col min="246" max="246" width="10.296875" bestFit="1" customWidth="1"/>
    <col min="247" max="247" width="10.09765625" bestFit="1" customWidth="1"/>
    <col min="248" max="248" width="9.5" bestFit="1" customWidth="1"/>
    <col min="249" max="249" width="10" bestFit="1" customWidth="1"/>
    <col min="250" max="250" width="10.296875" bestFit="1" customWidth="1"/>
    <col min="251" max="251" width="9.796875" bestFit="1" customWidth="1"/>
    <col min="252" max="252" width="10.69921875" bestFit="1" customWidth="1"/>
    <col min="253" max="253" width="9.69921875" bestFit="1" customWidth="1"/>
    <col min="254" max="254" width="9" bestFit="1" customWidth="1"/>
    <col min="255" max="255" width="10.09765625" bestFit="1" customWidth="1"/>
    <col min="256" max="256" width="10" bestFit="1" customWidth="1"/>
    <col min="257" max="257" width="9.796875" bestFit="1" customWidth="1"/>
    <col min="258" max="258" width="10.296875" bestFit="1" customWidth="1"/>
    <col min="259" max="259" width="10.09765625" bestFit="1" customWidth="1"/>
    <col min="260" max="260" width="9.5" bestFit="1" customWidth="1"/>
    <col min="261" max="261" width="10" bestFit="1" customWidth="1"/>
    <col min="262" max="262" width="10.296875" bestFit="1" customWidth="1"/>
    <col min="263" max="263" width="9.796875" bestFit="1" customWidth="1"/>
    <col min="264" max="264" width="10.69921875" bestFit="1" customWidth="1"/>
    <col min="265" max="265" width="9.69921875" bestFit="1" customWidth="1"/>
    <col min="266" max="266" width="9" bestFit="1" customWidth="1"/>
    <col min="267" max="267" width="10.09765625" bestFit="1" customWidth="1"/>
    <col min="268" max="268" width="10" bestFit="1" customWidth="1"/>
    <col min="269" max="269" width="9.796875" bestFit="1" customWidth="1"/>
    <col min="270" max="270" width="10.296875" bestFit="1" customWidth="1"/>
    <col min="271" max="271" width="10.09765625" bestFit="1" customWidth="1"/>
    <col min="272" max="272" width="9.5" bestFit="1" customWidth="1"/>
    <col min="273" max="273" width="10" bestFit="1" customWidth="1"/>
    <col min="274" max="274" width="10.296875" bestFit="1" customWidth="1"/>
    <col min="275" max="275" width="9.796875" bestFit="1" customWidth="1"/>
    <col min="276" max="276" width="10.69921875" bestFit="1" customWidth="1"/>
    <col min="277" max="277" width="9.69921875" bestFit="1" customWidth="1"/>
    <col min="278" max="278" width="9" bestFit="1" customWidth="1"/>
    <col min="279" max="279" width="10.09765625" bestFit="1" customWidth="1"/>
    <col min="280" max="280" width="10" bestFit="1" customWidth="1"/>
    <col min="281" max="281" width="9.796875" bestFit="1" customWidth="1"/>
    <col min="282" max="282" width="10.296875" bestFit="1" customWidth="1"/>
    <col min="283" max="283" width="10.09765625" bestFit="1" customWidth="1"/>
    <col min="284" max="284" width="9.5" bestFit="1" customWidth="1"/>
    <col min="285" max="285" width="10" bestFit="1" customWidth="1"/>
    <col min="286" max="286" width="10.296875" bestFit="1" customWidth="1"/>
    <col min="287" max="287" width="9.796875" bestFit="1" customWidth="1"/>
    <col min="288" max="288" width="10.69921875" bestFit="1" customWidth="1"/>
    <col min="289" max="290" width="9.69921875" bestFit="1" customWidth="1"/>
    <col min="291" max="291" width="10.09765625" bestFit="1" customWidth="1"/>
    <col min="292" max="292" width="10" bestFit="1" customWidth="1"/>
    <col min="293" max="293" width="9.796875" bestFit="1" customWidth="1"/>
    <col min="294" max="294" width="10.296875" bestFit="1" customWidth="1"/>
    <col min="295" max="295" width="10.09765625" bestFit="1" customWidth="1"/>
    <col min="296" max="296" width="8.796875" customWidth="1"/>
    <col min="297" max="16384" width="8.796875" hidden="1"/>
  </cols>
  <sheetData>
    <row r="1" spans="1:296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5">
      <c r="A2" s="1"/>
      <c r="B2" s="2"/>
      <c r="C2" s="2"/>
      <c r="D2" s="2"/>
      <c r="E2" s="2"/>
      <c r="F2" s="2"/>
      <c r="G2" s="2"/>
      <c r="H2" s="2"/>
      <c r="I2" s="1"/>
      <c r="J2" s="2" t="str">
        <f>Control!D2</f>
        <v>Basic Financial Model</v>
      </c>
      <c r="K2" s="2"/>
      <c r="L2" s="2"/>
      <c r="M2" s="4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1"/>
    </row>
    <row r="3" spans="1:296" x14ac:dyDescent="0.35">
      <c r="A3" s="1"/>
      <c r="B3" s="2"/>
      <c r="C3" s="2"/>
      <c r="D3" s="2"/>
      <c r="E3" s="2"/>
      <c r="F3" s="2"/>
      <c r="G3" s="2"/>
      <c r="H3" s="2"/>
      <c r="I3" s="1"/>
      <c r="J3" s="2" t="str">
        <f ca="1">MID(CELL("filename",A1),FIND("]",CELL("filename",A1))+1,255)</f>
        <v>Outputs</v>
      </c>
      <c r="K3" s="2"/>
      <c r="L3" s="2"/>
      <c r="M3" s="4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  <c r="KG3" s="2"/>
      <c r="KH3" s="2"/>
      <c r="KI3" s="2"/>
      <c r="KJ3" s="1"/>
    </row>
    <row r="4" spans="1:296" x14ac:dyDescent="0.35">
      <c r="A4" s="1"/>
      <c r="B4" s="2"/>
      <c r="C4" s="2"/>
      <c r="D4" s="2"/>
      <c r="E4" s="2"/>
      <c r="F4" s="2"/>
      <c r="G4" s="2"/>
      <c r="H4" s="2"/>
      <c r="I4" s="1"/>
      <c r="J4" s="2" t="str">
        <f>Control!D4</f>
        <v>Financial Scenario: Base Case</v>
      </c>
      <c r="K4" s="2"/>
      <c r="L4" s="2"/>
      <c r="M4" s="4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  <c r="KG4" s="2"/>
      <c r="KH4" s="2"/>
      <c r="KI4" s="2"/>
      <c r="KJ4" s="1"/>
    </row>
    <row r="5" spans="1:296" x14ac:dyDescent="0.35">
      <c r="A5" s="1"/>
      <c r="B5" s="2"/>
      <c r="C5" s="2"/>
      <c r="D5" s="2"/>
      <c r="E5" s="2"/>
      <c r="F5" s="2"/>
      <c r="G5" s="2"/>
      <c r="H5" s="2"/>
      <c r="I5" s="1"/>
      <c r="J5" s="2" t="s">
        <v>0</v>
      </c>
      <c r="K5" s="2"/>
      <c r="L5" s="2"/>
      <c r="M5" s="4"/>
      <c r="N5" s="2" t="str">
        <f t="shared" ref="N5:BY6" si="0">N13</f>
        <v>CY26</v>
      </c>
      <c r="O5" s="2" t="str">
        <f t="shared" si="0"/>
        <v>CY26</v>
      </c>
      <c r="P5" s="2" t="str">
        <f t="shared" si="0"/>
        <v>CY26</v>
      </c>
      <c r="Q5" s="2" t="str">
        <f t="shared" si="0"/>
        <v>CY26</v>
      </c>
      <c r="R5" s="2" t="str">
        <f t="shared" si="0"/>
        <v>CY26</v>
      </c>
      <c r="S5" s="2" t="str">
        <f t="shared" si="0"/>
        <v>CY26</v>
      </c>
      <c r="T5" s="2" t="str">
        <f t="shared" si="0"/>
        <v>CY27</v>
      </c>
      <c r="U5" s="2" t="str">
        <f t="shared" si="0"/>
        <v>CY27</v>
      </c>
      <c r="V5" s="2" t="str">
        <f t="shared" si="0"/>
        <v>CY27</v>
      </c>
      <c r="W5" s="2" t="str">
        <f t="shared" si="0"/>
        <v>CY27</v>
      </c>
      <c r="X5" s="2" t="str">
        <f t="shared" si="0"/>
        <v>CY27</v>
      </c>
      <c r="Y5" s="2" t="str">
        <f t="shared" si="0"/>
        <v>CY27</v>
      </c>
      <c r="Z5" s="2" t="str">
        <f t="shared" si="0"/>
        <v>CY27</v>
      </c>
      <c r="AA5" s="2" t="str">
        <f t="shared" si="0"/>
        <v>CY27</v>
      </c>
      <c r="AB5" s="2" t="str">
        <f t="shared" si="0"/>
        <v>CY27</v>
      </c>
      <c r="AC5" s="2" t="str">
        <f t="shared" si="0"/>
        <v>CY27</v>
      </c>
      <c r="AD5" s="2" t="str">
        <f t="shared" si="0"/>
        <v>CY27</v>
      </c>
      <c r="AE5" s="2" t="str">
        <f t="shared" si="0"/>
        <v>CY27</v>
      </c>
      <c r="AF5" s="2" t="str">
        <f t="shared" si="0"/>
        <v>CY28</v>
      </c>
      <c r="AG5" s="2" t="str">
        <f t="shared" si="0"/>
        <v>CY28</v>
      </c>
      <c r="AH5" s="2" t="str">
        <f t="shared" si="0"/>
        <v>CY28</v>
      </c>
      <c r="AI5" s="2" t="str">
        <f t="shared" si="0"/>
        <v>CY28</v>
      </c>
      <c r="AJ5" s="2" t="str">
        <f t="shared" si="0"/>
        <v>CY28</v>
      </c>
      <c r="AK5" s="2" t="str">
        <f t="shared" si="0"/>
        <v>CY28</v>
      </c>
      <c r="AL5" s="2" t="str">
        <f t="shared" si="0"/>
        <v>CY28</v>
      </c>
      <c r="AM5" s="2" t="str">
        <f t="shared" si="0"/>
        <v>CY28</v>
      </c>
      <c r="AN5" s="2" t="str">
        <f t="shared" si="0"/>
        <v>CY28</v>
      </c>
      <c r="AO5" s="2" t="str">
        <f t="shared" si="0"/>
        <v>CY28</v>
      </c>
      <c r="AP5" s="2" t="str">
        <f t="shared" si="0"/>
        <v>CY28</v>
      </c>
      <c r="AQ5" s="2" t="str">
        <f t="shared" si="0"/>
        <v>CY28</v>
      </c>
      <c r="AR5" s="2" t="str">
        <f t="shared" si="0"/>
        <v>CY29</v>
      </c>
      <c r="AS5" s="2" t="str">
        <f t="shared" si="0"/>
        <v>CY29</v>
      </c>
      <c r="AT5" s="2" t="str">
        <f t="shared" si="0"/>
        <v>CY29</v>
      </c>
      <c r="AU5" s="2" t="str">
        <f t="shared" si="0"/>
        <v>CY29</v>
      </c>
      <c r="AV5" s="2" t="str">
        <f t="shared" si="0"/>
        <v>CY29</v>
      </c>
      <c r="AW5" s="2" t="str">
        <f t="shared" si="0"/>
        <v>CY29</v>
      </c>
      <c r="AX5" s="2" t="str">
        <f t="shared" si="0"/>
        <v>CY29</v>
      </c>
      <c r="AY5" s="2" t="str">
        <f t="shared" si="0"/>
        <v>CY29</v>
      </c>
      <c r="AZ5" s="2" t="str">
        <f t="shared" si="0"/>
        <v>CY29</v>
      </c>
      <c r="BA5" s="2" t="str">
        <f t="shared" si="0"/>
        <v>CY29</v>
      </c>
      <c r="BB5" s="2" t="str">
        <f t="shared" si="0"/>
        <v>CY29</v>
      </c>
      <c r="BC5" s="2" t="str">
        <f t="shared" si="0"/>
        <v>CY29</v>
      </c>
      <c r="BD5" s="2" t="str">
        <f t="shared" si="0"/>
        <v>CY30</v>
      </c>
      <c r="BE5" s="2" t="str">
        <f t="shared" si="0"/>
        <v>CY30</v>
      </c>
      <c r="BF5" s="2" t="str">
        <f t="shared" si="0"/>
        <v>CY30</v>
      </c>
      <c r="BG5" s="2" t="str">
        <f t="shared" si="0"/>
        <v>CY30</v>
      </c>
      <c r="BH5" s="2" t="str">
        <f t="shared" si="0"/>
        <v>CY30</v>
      </c>
      <c r="BI5" s="2" t="str">
        <f t="shared" si="0"/>
        <v>CY30</v>
      </c>
      <c r="BJ5" s="2" t="str">
        <f t="shared" si="0"/>
        <v>CY30</v>
      </c>
      <c r="BK5" s="2" t="str">
        <f t="shared" si="0"/>
        <v>CY30</v>
      </c>
      <c r="BL5" s="2" t="str">
        <f t="shared" si="0"/>
        <v>CY30</v>
      </c>
      <c r="BM5" s="2" t="str">
        <f t="shared" si="0"/>
        <v>CY30</v>
      </c>
      <c r="BN5" s="2" t="str">
        <f t="shared" si="0"/>
        <v>CY30</v>
      </c>
      <c r="BO5" s="2" t="str">
        <f t="shared" si="0"/>
        <v>CY30</v>
      </c>
      <c r="BP5" s="2" t="str">
        <f t="shared" si="0"/>
        <v>CY31</v>
      </c>
      <c r="BQ5" s="2" t="str">
        <f t="shared" si="0"/>
        <v>CY31</v>
      </c>
      <c r="BR5" s="2" t="str">
        <f t="shared" si="0"/>
        <v>CY31</v>
      </c>
      <c r="BS5" s="2" t="str">
        <f t="shared" si="0"/>
        <v>CY31</v>
      </c>
      <c r="BT5" s="2" t="str">
        <f t="shared" si="0"/>
        <v>CY31</v>
      </c>
      <c r="BU5" s="2" t="str">
        <f t="shared" si="0"/>
        <v>CY31</v>
      </c>
      <c r="BV5" s="2" t="str">
        <f t="shared" si="0"/>
        <v>CY31</v>
      </c>
      <c r="BW5" s="2" t="str">
        <f t="shared" si="0"/>
        <v>CY31</v>
      </c>
      <c r="BX5" s="2" t="str">
        <f t="shared" si="0"/>
        <v>CY31</v>
      </c>
      <c r="BY5" s="2" t="str">
        <f t="shared" si="0"/>
        <v>CY31</v>
      </c>
      <c r="BZ5" s="2" t="str">
        <f t="shared" ref="BZ5:EK6" si="1">BZ13</f>
        <v>CY31</v>
      </c>
      <c r="CA5" s="2" t="str">
        <f t="shared" si="1"/>
        <v>CY31</v>
      </c>
      <c r="CB5" s="2" t="str">
        <f t="shared" si="1"/>
        <v>CY32</v>
      </c>
      <c r="CC5" s="2" t="str">
        <f t="shared" si="1"/>
        <v>CY32</v>
      </c>
      <c r="CD5" s="2" t="str">
        <f t="shared" si="1"/>
        <v>CY32</v>
      </c>
      <c r="CE5" s="2" t="str">
        <f t="shared" si="1"/>
        <v>CY32</v>
      </c>
      <c r="CF5" s="2" t="str">
        <f t="shared" si="1"/>
        <v>CY32</v>
      </c>
      <c r="CG5" s="2" t="str">
        <f t="shared" si="1"/>
        <v>CY32</v>
      </c>
      <c r="CH5" s="2" t="str">
        <f t="shared" si="1"/>
        <v>CY32</v>
      </c>
      <c r="CI5" s="2" t="str">
        <f t="shared" si="1"/>
        <v>CY32</v>
      </c>
      <c r="CJ5" s="2" t="str">
        <f t="shared" si="1"/>
        <v>CY32</v>
      </c>
      <c r="CK5" s="2" t="str">
        <f t="shared" si="1"/>
        <v>CY32</v>
      </c>
      <c r="CL5" s="2" t="str">
        <f t="shared" si="1"/>
        <v>CY32</v>
      </c>
      <c r="CM5" s="2" t="str">
        <f t="shared" si="1"/>
        <v>CY32</v>
      </c>
      <c r="CN5" s="2" t="str">
        <f t="shared" si="1"/>
        <v>CY33</v>
      </c>
      <c r="CO5" s="2" t="str">
        <f t="shared" si="1"/>
        <v>CY33</v>
      </c>
      <c r="CP5" s="2" t="str">
        <f t="shared" si="1"/>
        <v>CY33</v>
      </c>
      <c r="CQ5" s="2" t="str">
        <f t="shared" si="1"/>
        <v>CY33</v>
      </c>
      <c r="CR5" s="2" t="str">
        <f t="shared" si="1"/>
        <v>CY33</v>
      </c>
      <c r="CS5" s="2" t="str">
        <f t="shared" si="1"/>
        <v>CY33</v>
      </c>
      <c r="CT5" s="2" t="str">
        <f t="shared" si="1"/>
        <v>CY33</v>
      </c>
      <c r="CU5" s="2" t="str">
        <f t="shared" si="1"/>
        <v>CY33</v>
      </c>
      <c r="CV5" s="2" t="str">
        <f t="shared" si="1"/>
        <v>CY33</v>
      </c>
      <c r="CW5" s="2" t="str">
        <f t="shared" si="1"/>
        <v>CY33</v>
      </c>
      <c r="CX5" s="2" t="str">
        <f t="shared" si="1"/>
        <v>CY33</v>
      </c>
      <c r="CY5" s="2" t="str">
        <f t="shared" si="1"/>
        <v>CY33</v>
      </c>
      <c r="CZ5" s="2" t="str">
        <f t="shared" si="1"/>
        <v>CY34</v>
      </c>
      <c r="DA5" s="2" t="str">
        <f t="shared" si="1"/>
        <v>CY34</v>
      </c>
      <c r="DB5" s="2" t="str">
        <f t="shared" si="1"/>
        <v>CY34</v>
      </c>
      <c r="DC5" s="2" t="str">
        <f t="shared" si="1"/>
        <v>CY34</v>
      </c>
      <c r="DD5" s="2" t="str">
        <f t="shared" si="1"/>
        <v>CY34</v>
      </c>
      <c r="DE5" s="2" t="str">
        <f t="shared" si="1"/>
        <v>CY34</v>
      </c>
      <c r="DF5" s="2" t="str">
        <f t="shared" si="1"/>
        <v>CY34</v>
      </c>
      <c r="DG5" s="2" t="str">
        <f t="shared" si="1"/>
        <v>CY34</v>
      </c>
      <c r="DH5" s="2" t="str">
        <f t="shared" si="1"/>
        <v>CY34</v>
      </c>
      <c r="DI5" s="2" t="str">
        <f t="shared" si="1"/>
        <v>CY34</v>
      </c>
      <c r="DJ5" s="2" t="str">
        <f t="shared" si="1"/>
        <v>CY34</v>
      </c>
      <c r="DK5" s="2" t="str">
        <f t="shared" si="1"/>
        <v>CY34</v>
      </c>
      <c r="DL5" s="2" t="str">
        <f t="shared" si="1"/>
        <v>CY35</v>
      </c>
      <c r="DM5" s="2" t="str">
        <f t="shared" si="1"/>
        <v>CY35</v>
      </c>
      <c r="DN5" s="2" t="str">
        <f t="shared" si="1"/>
        <v>CY35</v>
      </c>
      <c r="DO5" s="2" t="str">
        <f t="shared" si="1"/>
        <v>CY35</v>
      </c>
      <c r="DP5" s="2" t="str">
        <f t="shared" si="1"/>
        <v>CY35</v>
      </c>
      <c r="DQ5" s="2" t="str">
        <f t="shared" si="1"/>
        <v>CY35</v>
      </c>
      <c r="DR5" s="2" t="str">
        <f t="shared" si="1"/>
        <v>CY35</v>
      </c>
      <c r="DS5" s="2" t="str">
        <f t="shared" si="1"/>
        <v>CY35</v>
      </c>
      <c r="DT5" s="2" t="str">
        <f t="shared" si="1"/>
        <v>CY35</v>
      </c>
      <c r="DU5" s="2" t="str">
        <f t="shared" si="1"/>
        <v>CY35</v>
      </c>
      <c r="DV5" s="2" t="str">
        <f t="shared" si="1"/>
        <v>CY35</v>
      </c>
      <c r="DW5" s="2" t="str">
        <f t="shared" si="1"/>
        <v>CY35</v>
      </c>
      <c r="DX5" s="2" t="str">
        <f t="shared" si="1"/>
        <v>CY36</v>
      </c>
      <c r="DY5" s="2" t="str">
        <f t="shared" si="1"/>
        <v>CY36</v>
      </c>
      <c r="DZ5" s="2" t="str">
        <f t="shared" si="1"/>
        <v>CY36</v>
      </c>
      <c r="EA5" s="2" t="str">
        <f t="shared" si="1"/>
        <v>CY36</v>
      </c>
      <c r="EB5" s="2" t="str">
        <f t="shared" si="1"/>
        <v>CY36</v>
      </c>
      <c r="EC5" s="2" t="str">
        <f t="shared" si="1"/>
        <v>CY36</v>
      </c>
      <c r="ED5" s="2" t="str">
        <f t="shared" si="1"/>
        <v>CY36</v>
      </c>
      <c r="EE5" s="2" t="str">
        <f t="shared" si="1"/>
        <v>CY36</v>
      </c>
      <c r="EF5" s="2" t="str">
        <f t="shared" si="1"/>
        <v>CY36</v>
      </c>
      <c r="EG5" s="2" t="str">
        <f t="shared" si="1"/>
        <v>CY36</v>
      </c>
      <c r="EH5" s="2" t="str">
        <f t="shared" si="1"/>
        <v>CY36</v>
      </c>
      <c r="EI5" s="2" t="str">
        <f t="shared" si="1"/>
        <v>CY36</v>
      </c>
      <c r="EJ5" s="2" t="str">
        <f t="shared" si="1"/>
        <v>CY37</v>
      </c>
      <c r="EK5" s="2" t="str">
        <f t="shared" si="1"/>
        <v>CY37</v>
      </c>
      <c r="EL5" s="2" t="str">
        <f t="shared" ref="EL5:GW6" si="2">EL13</f>
        <v>CY37</v>
      </c>
      <c r="EM5" s="2" t="str">
        <f t="shared" si="2"/>
        <v>CY37</v>
      </c>
      <c r="EN5" s="2" t="str">
        <f t="shared" si="2"/>
        <v>CY37</v>
      </c>
      <c r="EO5" s="2" t="str">
        <f t="shared" si="2"/>
        <v>CY37</v>
      </c>
      <c r="EP5" s="2" t="str">
        <f t="shared" si="2"/>
        <v>CY37</v>
      </c>
      <c r="EQ5" s="2" t="str">
        <f t="shared" si="2"/>
        <v>CY37</v>
      </c>
      <c r="ER5" s="2" t="str">
        <f t="shared" si="2"/>
        <v>CY37</v>
      </c>
      <c r="ES5" s="2" t="str">
        <f t="shared" si="2"/>
        <v>CY37</v>
      </c>
      <c r="ET5" s="2" t="str">
        <f t="shared" si="2"/>
        <v>CY37</v>
      </c>
      <c r="EU5" s="2" t="str">
        <f t="shared" si="2"/>
        <v>CY37</v>
      </c>
      <c r="EV5" s="2" t="str">
        <f t="shared" si="2"/>
        <v>CY38</v>
      </c>
      <c r="EW5" s="2" t="str">
        <f t="shared" si="2"/>
        <v>CY38</v>
      </c>
      <c r="EX5" s="2" t="str">
        <f t="shared" si="2"/>
        <v>CY38</v>
      </c>
      <c r="EY5" s="2" t="str">
        <f t="shared" si="2"/>
        <v>CY38</v>
      </c>
      <c r="EZ5" s="2" t="str">
        <f t="shared" si="2"/>
        <v>CY38</v>
      </c>
      <c r="FA5" s="2" t="str">
        <f t="shared" si="2"/>
        <v>CY38</v>
      </c>
      <c r="FB5" s="2" t="str">
        <f t="shared" si="2"/>
        <v>CY38</v>
      </c>
      <c r="FC5" s="2" t="str">
        <f t="shared" si="2"/>
        <v>CY38</v>
      </c>
      <c r="FD5" s="2" t="str">
        <f t="shared" si="2"/>
        <v>CY38</v>
      </c>
      <c r="FE5" s="2" t="str">
        <f t="shared" si="2"/>
        <v>CY38</v>
      </c>
      <c r="FF5" s="2" t="str">
        <f t="shared" si="2"/>
        <v>CY38</v>
      </c>
      <c r="FG5" s="2" t="str">
        <f t="shared" si="2"/>
        <v>CY38</v>
      </c>
      <c r="FH5" s="2" t="str">
        <f t="shared" si="2"/>
        <v>CY39</v>
      </c>
      <c r="FI5" s="2" t="str">
        <f t="shared" si="2"/>
        <v>CY39</v>
      </c>
      <c r="FJ5" s="2" t="str">
        <f t="shared" si="2"/>
        <v>CY39</v>
      </c>
      <c r="FK5" s="2" t="str">
        <f t="shared" si="2"/>
        <v>CY39</v>
      </c>
      <c r="FL5" s="2" t="str">
        <f t="shared" si="2"/>
        <v>CY39</v>
      </c>
      <c r="FM5" s="2" t="str">
        <f t="shared" si="2"/>
        <v>CY39</v>
      </c>
      <c r="FN5" s="2" t="str">
        <f t="shared" si="2"/>
        <v>CY39</v>
      </c>
      <c r="FO5" s="2" t="str">
        <f t="shared" si="2"/>
        <v>CY39</v>
      </c>
      <c r="FP5" s="2" t="str">
        <f t="shared" si="2"/>
        <v>CY39</v>
      </c>
      <c r="FQ5" s="2" t="str">
        <f t="shared" si="2"/>
        <v>CY39</v>
      </c>
      <c r="FR5" s="2" t="str">
        <f t="shared" si="2"/>
        <v>CY39</v>
      </c>
      <c r="FS5" s="2" t="str">
        <f t="shared" si="2"/>
        <v>CY39</v>
      </c>
      <c r="FT5" s="2" t="str">
        <f t="shared" si="2"/>
        <v>CY40</v>
      </c>
      <c r="FU5" s="2" t="str">
        <f t="shared" si="2"/>
        <v>CY40</v>
      </c>
      <c r="FV5" s="2" t="str">
        <f t="shared" si="2"/>
        <v>CY40</v>
      </c>
      <c r="FW5" s="2" t="str">
        <f t="shared" si="2"/>
        <v>CY40</v>
      </c>
      <c r="FX5" s="2" t="str">
        <f t="shared" si="2"/>
        <v>CY40</v>
      </c>
      <c r="FY5" s="2" t="str">
        <f t="shared" si="2"/>
        <v>CY40</v>
      </c>
      <c r="FZ5" s="2" t="str">
        <f t="shared" si="2"/>
        <v>CY40</v>
      </c>
      <c r="GA5" s="2" t="str">
        <f t="shared" si="2"/>
        <v>CY40</v>
      </c>
      <c r="GB5" s="2" t="str">
        <f t="shared" si="2"/>
        <v>CY40</v>
      </c>
      <c r="GC5" s="2" t="str">
        <f t="shared" si="2"/>
        <v>CY40</v>
      </c>
      <c r="GD5" s="2" t="str">
        <f t="shared" si="2"/>
        <v>CY40</v>
      </c>
      <c r="GE5" s="2" t="str">
        <f t="shared" si="2"/>
        <v>CY40</v>
      </c>
      <c r="GF5" s="2" t="str">
        <f t="shared" si="2"/>
        <v>CY41</v>
      </c>
      <c r="GG5" s="2" t="str">
        <f t="shared" si="2"/>
        <v>CY41</v>
      </c>
      <c r="GH5" s="2" t="str">
        <f t="shared" si="2"/>
        <v>CY41</v>
      </c>
      <c r="GI5" s="2" t="str">
        <f t="shared" si="2"/>
        <v>CY41</v>
      </c>
      <c r="GJ5" s="2" t="str">
        <f t="shared" si="2"/>
        <v>CY41</v>
      </c>
      <c r="GK5" s="2" t="str">
        <f t="shared" si="2"/>
        <v>CY41</v>
      </c>
      <c r="GL5" s="2" t="str">
        <f t="shared" si="2"/>
        <v>CY41</v>
      </c>
      <c r="GM5" s="2" t="str">
        <f t="shared" si="2"/>
        <v>CY41</v>
      </c>
      <c r="GN5" s="2" t="str">
        <f t="shared" si="2"/>
        <v>CY41</v>
      </c>
      <c r="GO5" s="2" t="str">
        <f t="shared" si="2"/>
        <v>CY41</v>
      </c>
      <c r="GP5" s="2" t="str">
        <f t="shared" si="2"/>
        <v>CY41</v>
      </c>
      <c r="GQ5" s="2" t="str">
        <f t="shared" si="2"/>
        <v>CY41</v>
      </c>
      <c r="GR5" s="2" t="str">
        <f t="shared" si="2"/>
        <v>CY42</v>
      </c>
      <c r="GS5" s="2" t="str">
        <f t="shared" si="2"/>
        <v>CY42</v>
      </c>
      <c r="GT5" s="2" t="str">
        <f t="shared" si="2"/>
        <v>CY42</v>
      </c>
      <c r="GU5" s="2" t="str">
        <f t="shared" si="2"/>
        <v>CY42</v>
      </c>
      <c r="GV5" s="2" t="str">
        <f t="shared" si="2"/>
        <v>CY42</v>
      </c>
      <c r="GW5" s="2" t="str">
        <f t="shared" si="2"/>
        <v>CY42</v>
      </c>
      <c r="GX5" s="2" t="str">
        <f t="shared" ref="GX5:JI6" si="3">GX13</f>
        <v>CY42</v>
      </c>
      <c r="GY5" s="2" t="str">
        <f t="shared" si="3"/>
        <v>CY42</v>
      </c>
      <c r="GZ5" s="2" t="str">
        <f t="shared" si="3"/>
        <v>CY42</v>
      </c>
      <c r="HA5" s="2" t="str">
        <f t="shared" si="3"/>
        <v>CY42</v>
      </c>
      <c r="HB5" s="2" t="str">
        <f t="shared" si="3"/>
        <v>CY42</v>
      </c>
      <c r="HC5" s="2" t="str">
        <f t="shared" si="3"/>
        <v>CY42</v>
      </c>
      <c r="HD5" s="2" t="str">
        <f t="shared" si="3"/>
        <v>CY43</v>
      </c>
      <c r="HE5" s="2" t="str">
        <f t="shared" si="3"/>
        <v>CY43</v>
      </c>
      <c r="HF5" s="2" t="str">
        <f t="shared" si="3"/>
        <v>CY43</v>
      </c>
      <c r="HG5" s="2" t="str">
        <f t="shared" si="3"/>
        <v>CY43</v>
      </c>
      <c r="HH5" s="2" t="str">
        <f t="shared" si="3"/>
        <v>CY43</v>
      </c>
      <c r="HI5" s="2" t="str">
        <f t="shared" si="3"/>
        <v>CY43</v>
      </c>
      <c r="HJ5" s="2" t="str">
        <f t="shared" si="3"/>
        <v>CY43</v>
      </c>
      <c r="HK5" s="2" t="str">
        <f t="shared" si="3"/>
        <v>CY43</v>
      </c>
      <c r="HL5" s="2" t="str">
        <f t="shared" si="3"/>
        <v>CY43</v>
      </c>
      <c r="HM5" s="2" t="str">
        <f t="shared" si="3"/>
        <v>CY43</v>
      </c>
      <c r="HN5" s="2" t="str">
        <f t="shared" si="3"/>
        <v>CY43</v>
      </c>
      <c r="HO5" s="2" t="str">
        <f t="shared" si="3"/>
        <v>CY43</v>
      </c>
      <c r="HP5" s="2" t="str">
        <f t="shared" si="3"/>
        <v>CY44</v>
      </c>
      <c r="HQ5" s="2" t="str">
        <f t="shared" si="3"/>
        <v>CY44</v>
      </c>
      <c r="HR5" s="2" t="str">
        <f t="shared" si="3"/>
        <v>CY44</v>
      </c>
      <c r="HS5" s="2" t="str">
        <f t="shared" si="3"/>
        <v>CY44</v>
      </c>
      <c r="HT5" s="2" t="str">
        <f t="shared" si="3"/>
        <v>CY44</v>
      </c>
      <c r="HU5" s="2" t="str">
        <f t="shared" si="3"/>
        <v>CY44</v>
      </c>
      <c r="HV5" s="2" t="str">
        <f t="shared" si="3"/>
        <v>CY44</v>
      </c>
      <c r="HW5" s="2" t="str">
        <f t="shared" si="3"/>
        <v>CY44</v>
      </c>
      <c r="HX5" s="2" t="str">
        <f t="shared" si="3"/>
        <v>CY44</v>
      </c>
      <c r="HY5" s="2" t="str">
        <f t="shared" si="3"/>
        <v>CY44</v>
      </c>
      <c r="HZ5" s="2" t="str">
        <f t="shared" si="3"/>
        <v>CY44</v>
      </c>
      <c r="IA5" s="2" t="str">
        <f t="shared" si="3"/>
        <v>CY44</v>
      </c>
      <c r="IB5" s="2" t="str">
        <f t="shared" si="3"/>
        <v>CY45</v>
      </c>
      <c r="IC5" s="2" t="str">
        <f t="shared" si="3"/>
        <v>CY45</v>
      </c>
      <c r="ID5" s="2" t="str">
        <f t="shared" si="3"/>
        <v>CY45</v>
      </c>
      <c r="IE5" s="2" t="str">
        <f t="shared" si="3"/>
        <v>CY45</v>
      </c>
      <c r="IF5" s="2" t="str">
        <f t="shared" si="3"/>
        <v>CY45</v>
      </c>
      <c r="IG5" s="2" t="str">
        <f t="shared" si="3"/>
        <v>CY45</v>
      </c>
      <c r="IH5" s="2" t="str">
        <f t="shared" si="3"/>
        <v>CY45</v>
      </c>
      <c r="II5" s="2" t="str">
        <f t="shared" si="3"/>
        <v>CY45</v>
      </c>
      <c r="IJ5" s="2" t="str">
        <f t="shared" si="3"/>
        <v>CY45</v>
      </c>
      <c r="IK5" s="2" t="str">
        <f t="shared" si="3"/>
        <v>CY45</v>
      </c>
      <c r="IL5" s="2" t="str">
        <f t="shared" si="3"/>
        <v>CY45</v>
      </c>
      <c r="IM5" s="2" t="str">
        <f t="shared" si="3"/>
        <v>CY45</v>
      </c>
      <c r="IN5" s="2" t="str">
        <f t="shared" si="3"/>
        <v>CY46</v>
      </c>
      <c r="IO5" s="2" t="str">
        <f t="shared" si="3"/>
        <v>CY46</v>
      </c>
      <c r="IP5" s="2" t="str">
        <f t="shared" si="3"/>
        <v>CY46</v>
      </c>
      <c r="IQ5" s="2" t="str">
        <f t="shared" si="3"/>
        <v>CY46</v>
      </c>
      <c r="IR5" s="2" t="str">
        <f t="shared" si="3"/>
        <v>CY46</v>
      </c>
      <c r="IS5" s="2" t="str">
        <f t="shared" si="3"/>
        <v>CY46</v>
      </c>
      <c r="IT5" s="2" t="str">
        <f t="shared" si="3"/>
        <v>CY46</v>
      </c>
      <c r="IU5" s="2" t="str">
        <f t="shared" si="3"/>
        <v>CY46</v>
      </c>
      <c r="IV5" s="2" t="str">
        <f t="shared" si="3"/>
        <v>CY46</v>
      </c>
      <c r="IW5" s="2" t="str">
        <f t="shared" si="3"/>
        <v>CY46</v>
      </c>
      <c r="IX5" s="2" t="str">
        <f t="shared" si="3"/>
        <v>CY46</v>
      </c>
      <c r="IY5" s="2" t="str">
        <f t="shared" si="3"/>
        <v>CY46</v>
      </c>
      <c r="IZ5" s="2" t="str">
        <f t="shared" si="3"/>
        <v>CY47</v>
      </c>
      <c r="JA5" s="2" t="str">
        <f t="shared" si="3"/>
        <v>CY47</v>
      </c>
      <c r="JB5" s="2" t="str">
        <f t="shared" si="3"/>
        <v>CY47</v>
      </c>
      <c r="JC5" s="2" t="str">
        <f t="shared" si="3"/>
        <v>CY47</v>
      </c>
      <c r="JD5" s="2" t="str">
        <f t="shared" si="3"/>
        <v>CY47</v>
      </c>
      <c r="JE5" s="2" t="str">
        <f t="shared" si="3"/>
        <v>CY47</v>
      </c>
      <c r="JF5" s="2" t="str">
        <f t="shared" si="3"/>
        <v>CY47</v>
      </c>
      <c r="JG5" s="2" t="str">
        <f t="shared" si="3"/>
        <v>CY47</v>
      </c>
      <c r="JH5" s="2" t="str">
        <f t="shared" si="3"/>
        <v>CY47</v>
      </c>
      <c r="JI5" s="2" t="str">
        <f t="shared" si="3"/>
        <v>CY47</v>
      </c>
      <c r="JJ5" s="2" t="str">
        <f t="shared" ref="JJ5:KI6" si="4">JJ13</f>
        <v>CY47</v>
      </c>
      <c r="JK5" s="2" t="str">
        <f t="shared" si="4"/>
        <v>CY47</v>
      </c>
      <c r="JL5" s="2" t="str">
        <f t="shared" si="4"/>
        <v>CY48</v>
      </c>
      <c r="JM5" s="2" t="str">
        <f t="shared" si="4"/>
        <v>CY48</v>
      </c>
      <c r="JN5" s="2" t="str">
        <f t="shared" si="4"/>
        <v>CY48</v>
      </c>
      <c r="JO5" s="2" t="str">
        <f t="shared" si="4"/>
        <v>CY48</v>
      </c>
      <c r="JP5" s="2" t="str">
        <f t="shared" si="4"/>
        <v>CY48</v>
      </c>
      <c r="JQ5" s="2" t="str">
        <f t="shared" si="4"/>
        <v>CY48</v>
      </c>
      <c r="JR5" s="2" t="str">
        <f t="shared" si="4"/>
        <v>CY48</v>
      </c>
      <c r="JS5" s="2" t="str">
        <f t="shared" si="4"/>
        <v>CY48</v>
      </c>
      <c r="JT5" s="2" t="str">
        <f t="shared" si="4"/>
        <v>CY48</v>
      </c>
      <c r="JU5" s="2" t="str">
        <f t="shared" si="4"/>
        <v>CY48</v>
      </c>
      <c r="JV5" s="2" t="str">
        <f t="shared" si="4"/>
        <v>CY48</v>
      </c>
      <c r="JW5" s="2" t="str">
        <f t="shared" si="4"/>
        <v>CY48</v>
      </c>
      <c r="JX5" s="2" t="str">
        <f t="shared" si="4"/>
        <v>CY49</v>
      </c>
      <c r="JY5" s="2" t="str">
        <f t="shared" si="4"/>
        <v>CY49</v>
      </c>
      <c r="JZ5" s="2" t="str">
        <f t="shared" si="4"/>
        <v>CY49</v>
      </c>
      <c r="KA5" s="2" t="str">
        <f t="shared" si="4"/>
        <v>CY49</v>
      </c>
      <c r="KB5" s="2" t="str">
        <f t="shared" si="4"/>
        <v>CY49</v>
      </c>
      <c r="KC5" s="2" t="str">
        <f t="shared" si="4"/>
        <v>CY49</v>
      </c>
      <c r="KD5" s="2" t="str">
        <f t="shared" si="4"/>
        <v>CY49</v>
      </c>
      <c r="KE5" s="2" t="str">
        <f t="shared" si="4"/>
        <v>CY49</v>
      </c>
      <c r="KF5" s="2" t="str">
        <f t="shared" si="4"/>
        <v>CY49</v>
      </c>
      <c r="KG5" s="2" t="str">
        <f t="shared" si="4"/>
        <v>CY49</v>
      </c>
      <c r="KH5" s="2" t="str">
        <f t="shared" si="4"/>
        <v>CY49</v>
      </c>
      <c r="KI5" s="2" t="str">
        <f t="shared" si="4"/>
        <v>CY49</v>
      </c>
      <c r="KJ5" s="1"/>
    </row>
    <row r="6" spans="1:296" x14ac:dyDescent="0.35">
      <c r="A6" s="1"/>
      <c r="B6" s="2"/>
      <c r="C6" s="2"/>
      <c r="D6" s="2"/>
      <c r="E6" s="2"/>
      <c r="F6" s="2"/>
      <c r="G6" s="2"/>
      <c r="H6" s="2"/>
      <c r="I6" s="1"/>
      <c r="J6" s="2" t="s">
        <v>1</v>
      </c>
      <c r="K6" s="2"/>
      <c r="L6" s="2"/>
      <c r="M6" s="4"/>
      <c r="N6" s="2" t="str">
        <f t="shared" si="0"/>
        <v>FY27</v>
      </c>
      <c r="O6" s="2" t="str">
        <f t="shared" si="0"/>
        <v>FY27</v>
      </c>
      <c r="P6" s="2" t="str">
        <f t="shared" si="0"/>
        <v>FY27</v>
      </c>
      <c r="Q6" s="2" t="str">
        <f t="shared" si="0"/>
        <v>FY27</v>
      </c>
      <c r="R6" s="2" t="str">
        <f t="shared" si="0"/>
        <v>FY27</v>
      </c>
      <c r="S6" s="2" t="str">
        <f t="shared" si="0"/>
        <v>FY27</v>
      </c>
      <c r="T6" s="2" t="str">
        <f t="shared" si="0"/>
        <v>FY27</v>
      </c>
      <c r="U6" s="2" t="str">
        <f t="shared" si="0"/>
        <v>FY27</v>
      </c>
      <c r="V6" s="2" t="str">
        <f t="shared" si="0"/>
        <v>FY27</v>
      </c>
      <c r="W6" s="2" t="str">
        <f t="shared" si="0"/>
        <v>FY27</v>
      </c>
      <c r="X6" s="2" t="str">
        <f t="shared" si="0"/>
        <v>FY27</v>
      </c>
      <c r="Y6" s="2" t="str">
        <f t="shared" si="0"/>
        <v>FY27</v>
      </c>
      <c r="Z6" s="2" t="str">
        <f t="shared" si="0"/>
        <v>FY28</v>
      </c>
      <c r="AA6" s="2" t="str">
        <f t="shared" si="0"/>
        <v>FY28</v>
      </c>
      <c r="AB6" s="2" t="str">
        <f t="shared" si="0"/>
        <v>FY28</v>
      </c>
      <c r="AC6" s="2" t="str">
        <f t="shared" si="0"/>
        <v>FY28</v>
      </c>
      <c r="AD6" s="2" t="str">
        <f t="shared" si="0"/>
        <v>FY28</v>
      </c>
      <c r="AE6" s="2" t="str">
        <f t="shared" si="0"/>
        <v>FY28</v>
      </c>
      <c r="AF6" s="2" t="str">
        <f t="shared" si="0"/>
        <v>FY28</v>
      </c>
      <c r="AG6" s="2" t="str">
        <f t="shared" si="0"/>
        <v>FY28</v>
      </c>
      <c r="AH6" s="2" t="str">
        <f t="shared" si="0"/>
        <v>FY28</v>
      </c>
      <c r="AI6" s="2" t="str">
        <f t="shared" si="0"/>
        <v>FY28</v>
      </c>
      <c r="AJ6" s="2" t="str">
        <f t="shared" si="0"/>
        <v>FY28</v>
      </c>
      <c r="AK6" s="2" t="str">
        <f t="shared" si="0"/>
        <v>FY28</v>
      </c>
      <c r="AL6" s="2" t="str">
        <f t="shared" si="0"/>
        <v>FY29</v>
      </c>
      <c r="AM6" s="2" t="str">
        <f t="shared" si="0"/>
        <v>FY29</v>
      </c>
      <c r="AN6" s="2" t="str">
        <f t="shared" si="0"/>
        <v>FY29</v>
      </c>
      <c r="AO6" s="2" t="str">
        <f t="shared" si="0"/>
        <v>FY29</v>
      </c>
      <c r="AP6" s="2" t="str">
        <f t="shared" si="0"/>
        <v>FY29</v>
      </c>
      <c r="AQ6" s="2" t="str">
        <f t="shared" si="0"/>
        <v>FY29</v>
      </c>
      <c r="AR6" s="2" t="str">
        <f t="shared" si="0"/>
        <v>FY29</v>
      </c>
      <c r="AS6" s="2" t="str">
        <f t="shared" si="0"/>
        <v>FY29</v>
      </c>
      <c r="AT6" s="2" t="str">
        <f t="shared" si="0"/>
        <v>FY29</v>
      </c>
      <c r="AU6" s="2" t="str">
        <f t="shared" si="0"/>
        <v>FY29</v>
      </c>
      <c r="AV6" s="2" t="str">
        <f t="shared" si="0"/>
        <v>FY29</v>
      </c>
      <c r="AW6" s="2" t="str">
        <f t="shared" si="0"/>
        <v>FY29</v>
      </c>
      <c r="AX6" s="2" t="str">
        <f t="shared" si="0"/>
        <v>FY30</v>
      </c>
      <c r="AY6" s="2" t="str">
        <f t="shared" si="0"/>
        <v>FY30</v>
      </c>
      <c r="AZ6" s="2" t="str">
        <f t="shared" si="0"/>
        <v>FY30</v>
      </c>
      <c r="BA6" s="2" t="str">
        <f t="shared" si="0"/>
        <v>FY30</v>
      </c>
      <c r="BB6" s="2" t="str">
        <f t="shared" si="0"/>
        <v>FY30</v>
      </c>
      <c r="BC6" s="2" t="str">
        <f t="shared" si="0"/>
        <v>FY30</v>
      </c>
      <c r="BD6" s="2" t="str">
        <f t="shared" si="0"/>
        <v>FY30</v>
      </c>
      <c r="BE6" s="2" t="str">
        <f t="shared" si="0"/>
        <v>FY30</v>
      </c>
      <c r="BF6" s="2" t="str">
        <f t="shared" si="0"/>
        <v>FY30</v>
      </c>
      <c r="BG6" s="2" t="str">
        <f t="shared" si="0"/>
        <v>FY30</v>
      </c>
      <c r="BH6" s="2" t="str">
        <f t="shared" si="0"/>
        <v>FY30</v>
      </c>
      <c r="BI6" s="2" t="str">
        <f t="shared" si="0"/>
        <v>FY30</v>
      </c>
      <c r="BJ6" s="2" t="str">
        <f t="shared" si="0"/>
        <v>FY31</v>
      </c>
      <c r="BK6" s="2" t="str">
        <f t="shared" si="0"/>
        <v>FY31</v>
      </c>
      <c r="BL6" s="2" t="str">
        <f t="shared" si="0"/>
        <v>FY31</v>
      </c>
      <c r="BM6" s="2" t="str">
        <f t="shared" si="0"/>
        <v>FY31</v>
      </c>
      <c r="BN6" s="2" t="str">
        <f t="shared" si="0"/>
        <v>FY31</v>
      </c>
      <c r="BO6" s="2" t="str">
        <f t="shared" si="0"/>
        <v>FY31</v>
      </c>
      <c r="BP6" s="2" t="str">
        <f t="shared" si="0"/>
        <v>FY31</v>
      </c>
      <c r="BQ6" s="2" t="str">
        <f t="shared" si="0"/>
        <v>FY31</v>
      </c>
      <c r="BR6" s="2" t="str">
        <f t="shared" si="0"/>
        <v>FY31</v>
      </c>
      <c r="BS6" s="2" t="str">
        <f t="shared" si="0"/>
        <v>FY31</v>
      </c>
      <c r="BT6" s="2" t="str">
        <f t="shared" si="0"/>
        <v>FY31</v>
      </c>
      <c r="BU6" s="2" t="str">
        <f t="shared" si="0"/>
        <v>FY31</v>
      </c>
      <c r="BV6" s="2" t="str">
        <f t="shared" si="0"/>
        <v>FY32</v>
      </c>
      <c r="BW6" s="2" t="str">
        <f t="shared" si="0"/>
        <v>FY32</v>
      </c>
      <c r="BX6" s="2" t="str">
        <f t="shared" si="0"/>
        <v>FY32</v>
      </c>
      <c r="BY6" s="2" t="str">
        <f t="shared" si="0"/>
        <v>FY32</v>
      </c>
      <c r="BZ6" s="2" t="str">
        <f t="shared" si="1"/>
        <v>FY32</v>
      </c>
      <c r="CA6" s="2" t="str">
        <f t="shared" si="1"/>
        <v>FY32</v>
      </c>
      <c r="CB6" s="2" t="str">
        <f t="shared" si="1"/>
        <v>FY32</v>
      </c>
      <c r="CC6" s="2" t="str">
        <f t="shared" si="1"/>
        <v>FY32</v>
      </c>
      <c r="CD6" s="2" t="str">
        <f t="shared" si="1"/>
        <v>FY32</v>
      </c>
      <c r="CE6" s="2" t="str">
        <f t="shared" si="1"/>
        <v>FY32</v>
      </c>
      <c r="CF6" s="2" t="str">
        <f t="shared" si="1"/>
        <v>FY32</v>
      </c>
      <c r="CG6" s="2" t="str">
        <f t="shared" si="1"/>
        <v>FY32</v>
      </c>
      <c r="CH6" s="2" t="str">
        <f t="shared" si="1"/>
        <v>FY33</v>
      </c>
      <c r="CI6" s="2" t="str">
        <f t="shared" si="1"/>
        <v>FY33</v>
      </c>
      <c r="CJ6" s="2" t="str">
        <f t="shared" si="1"/>
        <v>FY33</v>
      </c>
      <c r="CK6" s="2" t="str">
        <f t="shared" si="1"/>
        <v>FY33</v>
      </c>
      <c r="CL6" s="2" t="str">
        <f t="shared" si="1"/>
        <v>FY33</v>
      </c>
      <c r="CM6" s="2" t="str">
        <f t="shared" si="1"/>
        <v>FY33</v>
      </c>
      <c r="CN6" s="2" t="str">
        <f t="shared" si="1"/>
        <v>FY33</v>
      </c>
      <c r="CO6" s="2" t="str">
        <f t="shared" si="1"/>
        <v>FY33</v>
      </c>
      <c r="CP6" s="2" t="str">
        <f t="shared" si="1"/>
        <v>FY33</v>
      </c>
      <c r="CQ6" s="2" t="str">
        <f t="shared" si="1"/>
        <v>FY33</v>
      </c>
      <c r="CR6" s="2" t="str">
        <f t="shared" si="1"/>
        <v>FY33</v>
      </c>
      <c r="CS6" s="2" t="str">
        <f t="shared" si="1"/>
        <v>FY33</v>
      </c>
      <c r="CT6" s="2" t="str">
        <f t="shared" si="1"/>
        <v>FY34</v>
      </c>
      <c r="CU6" s="2" t="str">
        <f t="shared" si="1"/>
        <v>FY34</v>
      </c>
      <c r="CV6" s="2" t="str">
        <f t="shared" si="1"/>
        <v>FY34</v>
      </c>
      <c r="CW6" s="2" t="str">
        <f t="shared" si="1"/>
        <v>FY34</v>
      </c>
      <c r="CX6" s="2" t="str">
        <f t="shared" si="1"/>
        <v>FY34</v>
      </c>
      <c r="CY6" s="2" t="str">
        <f t="shared" si="1"/>
        <v>FY34</v>
      </c>
      <c r="CZ6" s="2" t="str">
        <f t="shared" si="1"/>
        <v>FY34</v>
      </c>
      <c r="DA6" s="2" t="str">
        <f t="shared" si="1"/>
        <v>FY34</v>
      </c>
      <c r="DB6" s="2" t="str">
        <f t="shared" si="1"/>
        <v>FY34</v>
      </c>
      <c r="DC6" s="2" t="str">
        <f t="shared" si="1"/>
        <v>FY34</v>
      </c>
      <c r="DD6" s="2" t="str">
        <f t="shared" si="1"/>
        <v>FY34</v>
      </c>
      <c r="DE6" s="2" t="str">
        <f t="shared" si="1"/>
        <v>FY34</v>
      </c>
      <c r="DF6" s="2" t="str">
        <f t="shared" si="1"/>
        <v>FY35</v>
      </c>
      <c r="DG6" s="2" t="str">
        <f t="shared" si="1"/>
        <v>FY35</v>
      </c>
      <c r="DH6" s="2" t="str">
        <f t="shared" si="1"/>
        <v>FY35</v>
      </c>
      <c r="DI6" s="2" t="str">
        <f t="shared" si="1"/>
        <v>FY35</v>
      </c>
      <c r="DJ6" s="2" t="str">
        <f t="shared" si="1"/>
        <v>FY35</v>
      </c>
      <c r="DK6" s="2" t="str">
        <f t="shared" si="1"/>
        <v>FY35</v>
      </c>
      <c r="DL6" s="2" t="str">
        <f t="shared" si="1"/>
        <v>FY35</v>
      </c>
      <c r="DM6" s="2" t="str">
        <f t="shared" si="1"/>
        <v>FY35</v>
      </c>
      <c r="DN6" s="2" t="str">
        <f t="shared" si="1"/>
        <v>FY35</v>
      </c>
      <c r="DO6" s="2" t="str">
        <f t="shared" si="1"/>
        <v>FY35</v>
      </c>
      <c r="DP6" s="2" t="str">
        <f t="shared" si="1"/>
        <v>FY35</v>
      </c>
      <c r="DQ6" s="2" t="str">
        <f t="shared" si="1"/>
        <v>FY35</v>
      </c>
      <c r="DR6" s="2" t="str">
        <f t="shared" si="1"/>
        <v>FY36</v>
      </c>
      <c r="DS6" s="2" t="str">
        <f t="shared" si="1"/>
        <v>FY36</v>
      </c>
      <c r="DT6" s="2" t="str">
        <f t="shared" si="1"/>
        <v>FY36</v>
      </c>
      <c r="DU6" s="2" t="str">
        <f t="shared" si="1"/>
        <v>FY36</v>
      </c>
      <c r="DV6" s="2" t="str">
        <f t="shared" si="1"/>
        <v>FY36</v>
      </c>
      <c r="DW6" s="2" t="str">
        <f t="shared" si="1"/>
        <v>FY36</v>
      </c>
      <c r="DX6" s="2" t="str">
        <f t="shared" si="1"/>
        <v>FY36</v>
      </c>
      <c r="DY6" s="2" t="str">
        <f t="shared" si="1"/>
        <v>FY36</v>
      </c>
      <c r="DZ6" s="2" t="str">
        <f t="shared" si="1"/>
        <v>FY36</v>
      </c>
      <c r="EA6" s="2" t="str">
        <f t="shared" si="1"/>
        <v>FY36</v>
      </c>
      <c r="EB6" s="2" t="str">
        <f t="shared" si="1"/>
        <v>FY36</v>
      </c>
      <c r="EC6" s="2" t="str">
        <f t="shared" si="1"/>
        <v>FY36</v>
      </c>
      <c r="ED6" s="2" t="str">
        <f t="shared" si="1"/>
        <v>FY37</v>
      </c>
      <c r="EE6" s="2" t="str">
        <f t="shared" si="1"/>
        <v>FY37</v>
      </c>
      <c r="EF6" s="2" t="str">
        <f t="shared" si="1"/>
        <v>FY37</v>
      </c>
      <c r="EG6" s="2" t="str">
        <f t="shared" si="1"/>
        <v>FY37</v>
      </c>
      <c r="EH6" s="2" t="str">
        <f t="shared" si="1"/>
        <v>FY37</v>
      </c>
      <c r="EI6" s="2" t="str">
        <f t="shared" si="1"/>
        <v>FY37</v>
      </c>
      <c r="EJ6" s="2" t="str">
        <f t="shared" si="1"/>
        <v>FY37</v>
      </c>
      <c r="EK6" s="2" t="str">
        <f t="shared" si="1"/>
        <v>FY37</v>
      </c>
      <c r="EL6" s="2" t="str">
        <f t="shared" si="2"/>
        <v>FY37</v>
      </c>
      <c r="EM6" s="2" t="str">
        <f t="shared" si="2"/>
        <v>FY37</v>
      </c>
      <c r="EN6" s="2" t="str">
        <f t="shared" si="2"/>
        <v>FY37</v>
      </c>
      <c r="EO6" s="2" t="str">
        <f t="shared" si="2"/>
        <v>FY37</v>
      </c>
      <c r="EP6" s="2" t="str">
        <f t="shared" si="2"/>
        <v>FY38</v>
      </c>
      <c r="EQ6" s="2" t="str">
        <f t="shared" si="2"/>
        <v>FY38</v>
      </c>
      <c r="ER6" s="2" t="str">
        <f t="shared" si="2"/>
        <v>FY38</v>
      </c>
      <c r="ES6" s="2" t="str">
        <f t="shared" si="2"/>
        <v>FY38</v>
      </c>
      <c r="ET6" s="2" t="str">
        <f t="shared" si="2"/>
        <v>FY38</v>
      </c>
      <c r="EU6" s="2" t="str">
        <f t="shared" si="2"/>
        <v>FY38</v>
      </c>
      <c r="EV6" s="2" t="str">
        <f t="shared" si="2"/>
        <v>FY38</v>
      </c>
      <c r="EW6" s="2" t="str">
        <f t="shared" si="2"/>
        <v>FY38</v>
      </c>
      <c r="EX6" s="2" t="str">
        <f t="shared" si="2"/>
        <v>FY38</v>
      </c>
      <c r="EY6" s="2" t="str">
        <f t="shared" si="2"/>
        <v>FY38</v>
      </c>
      <c r="EZ6" s="2" t="str">
        <f t="shared" si="2"/>
        <v>FY38</v>
      </c>
      <c r="FA6" s="2" t="str">
        <f t="shared" si="2"/>
        <v>FY38</v>
      </c>
      <c r="FB6" s="2" t="str">
        <f t="shared" si="2"/>
        <v>FY39</v>
      </c>
      <c r="FC6" s="2" t="str">
        <f t="shared" si="2"/>
        <v>FY39</v>
      </c>
      <c r="FD6" s="2" t="str">
        <f t="shared" si="2"/>
        <v>FY39</v>
      </c>
      <c r="FE6" s="2" t="str">
        <f t="shared" si="2"/>
        <v>FY39</v>
      </c>
      <c r="FF6" s="2" t="str">
        <f t="shared" si="2"/>
        <v>FY39</v>
      </c>
      <c r="FG6" s="2" t="str">
        <f t="shared" si="2"/>
        <v>FY39</v>
      </c>
      <c r="FH6" s="2" t="str">
        <f t="shared" si="2"/>
        <v>FY39</v>
      </c>
      <c r="FI6" s="2" t="str">
        <f t="shared" si="2"/>
        <v>FY39</v>
      </c>
      <c r="FJ6" s="2" t="str">
        <f t="shared" si="2"/>
        <v>FY39</v>
      </c>
      <c r="FK6" s="2" t="str">
        <f t="shared" si="2"/>
        <v>FY39</v>
      </c>
      <c r="FL6" s="2" t="str">
        <f t="shared" si="2"/>
        <v>FY39</v>
      </c>
      <c r="FM6" s="2" t="str">
        <f t="shared" si="2"/>
        <v>FY39</v>
      </c>
      <c r="FN6" s="2" t="str">
        <f t="shared" si="2"/>
        <v>FY40</v>
      </c>
      <c r="FO6" s="2" t="str">
        <f t="shared" si="2"/>
        <v>FY40</v>
      </c>
      <c r="FP6" s="2" t="str">
        <f t="shared" si="2"/>
        <v>FY40</v>
      </c>
      <c r="FQ6" s="2" t="str">
        <f t="shared" si="2"/>
        <v>FY40</v>
      </c>
      <c r="FR6" s="2" t="str">
        <f t="shared" si="2"/>
        <v>FY40</v>
      </c>
      <c r="FS6" s="2" t="str">
        <f t="shared" si="2"/>
        <v>FY40</v>
      </c>
      <c r="FT6" s="2" t="str">
        <f t="shared" si="2"/>
        <v>FY40</v>
      </c>
      <c r="FU6" s="2" t="str">
        <f t="shared" si="2"/>
        <v>FY40</v>
      </c>
      <c r="FV6" s="2" t="str">
        <f t="shared" si="2"/>
        <v>FY40</v>
      </c>
      <c r="FW6" s="2" t="str">
        <f t="shared" si="2"/>
        <v>FY40</v>
      </c>
      <c r="FX6" s="2" t="str">
        <f t="shared" si="2"/>
        <v>FY40</v>
      </c>
      <c r="FY6" s="2" t="str">
        <f t="shared" si="2"/>
        <v>FY40</v>
      </c>
      <c r="FZ6" s="2" t="str">
        <f t="shared" si="2"/>
        <v>FY41</v>
      </c>
      <c r="GA6" s="2" t="str">
        <f t="shared" si="2"/>
        <v>FY41</v>
      </c>
      <c r="GB6" s="2" t="str">
        <f t="shared" si="2"/>
        <v>FY41</v>
      </c>
      <c r="GC6" s="2" t="str">
        <f t="shared" si="2"/>
        <v>FY41</v>
      </c>
      <c r="GD6" s="2" t="str">
        <f t="shared" si="2"/>
        <v>FY41</v>
      </c>
      <c r="GE6" s="2" t="str">
        <f t="shared" si="2"/>
        <v>FY41</v>
      </c>
      <c r="GF6" s="2" t="str">
        <f t="shared" si="2"/>
        <v>FY41</v>
      </c>
      <c r="GG6" s="2" t="str">
        <f t="shared" si="2"/>
        <v>FY41</v>
      </c>
      <c r="GH6" s="2" t="str">
        <f t="shared" si="2"/>
        <v>FY41</v>
      </c>
      <c r="GI6" s="2" t="str">
        <f t="shared" si="2"/>
        <v>FY41</v>
      </c>
      <c r="GJ6" s="2" t="str">
        <f t="shared" si="2"/>
        <v>FY41</v>
      </c>
      <c r="GK6" s="2" t="str">
        <f t="shared" si="2"/>
        <v>FY41</v>
      </c>
      <c r="GL6" s="2" t="str">
        <f t="shared" si="2"/>
        <v>FY42</v>
      </c>
      <c r="GM6" s="2" t="str">
        <f t="shared" si="2"/>
        <v>FY42</v>
      </c>
      <c r="GN6" s="2" t="str">
        <f t="shared" si="2"/>
        <v>FY42</v>
      </c>
      <c r="GO6" s="2" t="str">
        <f t="shared" si="2"/>
        <v>FY42</v>
      </c>
      <c r="GP6" s="2" t="str">
        <f t="shared" si="2"/>
        <v>FY42</v>
      </c>
      <c r="GQ6" s="2" t="str">
        <f t="shared" si="2"/>
        <v>FY42</v>
      </c>
      <c r="GR6" s="2" t="str">
        <f t="shared" si="2"/>
        <v>FY42</v>
      </c>
      <c r="GS6" s="2" t="str">
        <f t="shared" si="2"/>
        <v>FY42</v>
      </c>
      <c r="GT6" s="2" t="str">
        <f t="shared" si="2"/>
        <v>FY42</v>
      </c>
      <c r="GU6" s="2" t="str">
        <f t="shared" si="2"/>
        <v>FY42</v>
      </c>
      <c r="GV6" s="2" t="str">
        <f t="shared" si="2"/>
        <v>FY42</v>
      </c>
      <c r="GW6" s="2" t="str">
        <f t="shared" si="2"/>
        <v>FY42</v>
      </c>
      <c r="GX6" s="2" t="str">
        <f t="shared" si="3"/>
        <v>FY43</v>
      </c>
      <c r="GY6" s="2" t="str">
        <f t="shared" si="3"/>
        <v>FY43</v>
      </c>
      <c r="GZ6" s="2" t="str">
        <f t="shared" si="3"/>
        <v>FY43</v>
      </c>
      <c r="HA6" s="2" t="str">
        <f t="shared" si="3"/>
        <v>FY43</v>
      </c>
      <c r="HB6" s="2" t="str">
        <f t="shared" si="3"/>
        <v>FY43</v>
      </c>
      <c r="HC6" s="2" t="str">
        <f t="shared" si="3"/>
        <v>FY43</v>
      </c>
      <c r="HD6" s="2" t="str">
        <f t="shared" si="3"/>
        <v>FY43</v>
      </c>
      <c r="HE6" s="2" t="str">
        <f t="shared" si="3"/>
        <v>FY43</v>
      </c>
      <c r="HF6" s="2" t="str">
        <f t="shared" si="3"/>
        <v>FY43</v>
      </c>
      <c r="HG6" s="2" t="str">
        <f t="shared" si="3"/>
        <v>FY43</v>
      </c>
      <c r="HH6" s="2" t="str">
        <f t="shared" si="3"/>
        <v>FY43</v>
      </c>
      <c r="HI6" s="2" t="str">
        <f t="shared" si="3"/>
        <v>FY43</v>
      </c>
      <c r="HJ6" s="2" t="str">
        <f t="shared" si="3"/>
        <v>FY44</v>
      </c>
      <c r="HK6" s="2" t="str">
        <f t="shared" si="3"/>
        <v>FY44</v>
      </c>
      <c r="HL6" s="2" t="str">
        <f t="shared" si="3"/>
        <v>FY44</v>
      </c>
      <c r="HM6" s="2" t="str">
        <f t="shared" si="3"/>
        <v>FY44</v>
      </c>
      <c r="HN6" s="2" t="str">
        <f t="shared" si="3"/>
        <v>FY44</v>
      </c>
      <c r="HO6" s="2" t="str">
        <f t="shared" si="3"/>
        <v>FY44</v>
      </c>
      <c r="HP6" s="2" t="str">
        <f t="shared" si="3"/>
        <v>FY44</v>
      </c>
      <c r="HQ6" s="2" t="str">
        <f t="shared" si="3"/>
        <v>FY44</v>
      </c>
      <c r="HR6" s="2" t="str">
        <f t="shared" si="3"/>
        <v>FY44</v>
      </c>
      <c r="HS6" s="2" t="str">
        <f t="shared" si="3"/>
        <v>FY44</v>
      </c>
      <c r="HT6" s="2" t="str">
        <f t="shared" si="3"/>
        <v>FY44</v>
      </c>
      <c r="HU6" s="2" t="str">
        <f t="shared" si="3"/>
        <v>FY44</v>
      </c>
      <c r="HV6" s="2" t="str">
        <f t="shared" si="3"/>
        <v>FY45</v>
      </c>
      <c r="HW6" s="2" t="str">
        <f t="shared" si="3"/>
        <v>FY45</v>
      </c>
      <c r="HX6" s="2" t="str">
        <f t="shared" si="3"/>
        <v>FY45</v>
      </c>
      <c r="HY6" s="2" t="str">
        <f t="shared" si="3"/>
        <v>FY45</v>
      </c>
      <c r="HZ6" s="2" t="str">
        <f t="shared" si="3"/>
        <v>FY45</v>
      </c>
      <c r="IA6" s="2" t="str">
        <f t="shared" si="3"/>
        <v>FY45</v>
      </c>
      <c r="IB6" s="2" t="str">
        <f t="shared" si="3"/>
        <v>FY45</v>
      </c>
      <c r="IC6" s="2" t="str">
        <f t="shared" si="3"/>
        <v>FY45</v>
      </c>
      <c r="ID6" s="2" t="str">
        <f t="shared" si="3"/>
        <v>FY45</v>
      </c>
      <c r="IE6" s="2" t="str">
        <f t="shared" si="3"/>
        <v>FY45</v>
      </c>
      <c r="IF6" s="2" t="str">
        <f t="shared" si="3"/>
        <v>FY45</v>
      </c>
      <c r="IG6" s="2" t="str">
        <f t="shared" si="3"/>
        <v>FY45</v>
      </c>
      <c r="IH6" s="2" t="str">
        <f t="shared" si="3"/>
        <v>FY46</v>
      </c>
      <c r="II6" s="2" t="str">
        <f t="shared" si="3"/>
        <v>FY46</v>
      </c>
      <c r="IJ6" s="2" t="str">
        <f t="shared" si="3"/>
        <v>FY46</v>
      </c>
      <c r="IK6" s="2" t="str">
        <f t="shared" si="3"/>
        <v>FY46</v>
      </c>
      <c r="IL6" s="2" t="str">
        <f t="shared" si="3"/>
        <v>FY46</v>
      </c>
      <c r="IM6" s="2" t="str">
        <f t="shared" si="3"/>
        <v>FY46</v>
      </c>
      <c r="IN6" s="2" t="str">
        <f t="shared" si="3"/>
        <v>FY46</v>
      </c>
      <c r="IO6" s="2" t="str">
        <f t="shared" si="3"/>
        <v>FY46</v>
      </c>
      <c r="IP6" s="2" t="str">
        <f t="shared" si="3"/>
        <v>FY46</v>
      </c>
      <c r="IQ6" s="2" t="str">
        <f t="shared" si="3"/>
        <v>FY46</v>
      </c>
      <c r="IR6" s="2" t="str">
        <f t="shared" si="3"/>
        <v>FY46</v>
      </c>
      <c r="IS6" s="2" t="str">
        <f t="shared" si="3"/>
        <v>FY46</v>
      </c>
      <c r="IT6" s="2" t="str">
        <f t="shared" si="3"/>
        <v>FY47</v>
      </c>
      <c r="IU6" s="2" t="str">
        <f t="shared" si="3"/>
        <v>FY47</v>
      </c>
      <c r="IV6" s="2" t="str">
        <f t="shared" si="3"/>
        <v>FY47</v>
      </c>
      <c r="IW6" s="2" t="str">
        <f t="shared" si="3"/>
        <v>FY47</v>
      </c>
      <c r="IX6" s="2" t="str">
        <f t="shared" si="3"/>
        <v>FY47</v>
      </c>
      <c r="IY6" s="2" t="str">
        <f t="shared" si="3"/>
        <v>FY47</v>
      </c>
      <c r="IZ6" s="2" t="str">
        <f t="shared" si="3"/>
        <v>FY47</v>
      </c>
      <c r="JA6" s="2" t="str">
        <f t="shared" si="3"/>
        <v>FY47</v>
      </c>
      <c r="JB6" s="2" t="str">
        <f t="shared" si="3"/>
        <v>FY47</v>
      </c>
      <c r="JC6" s="2" t="str">
        <f t="shared" si="3"/>
        <v>FY47</v>
      </c>
      <c r="JD6" s="2" t="str">
        <f t="shared" si="3"/>
        <v>FY47</v>
      </c>
      <c r="JE6" s="2" t="str">
        <f t="shared" si="3"/>
        <v>FY47</v>
      </c>
      <c r="JF6" s="2" t="str">
        <f t="shared" si="3"/>
        <v>FY48</v>
      </c>
      <c r="JG6" s="2" t="str">
        <f t="shared" si="3"/>
        <v>FY48</v>
      </c>
      <c r="JH6" s="2" t="str">
        <f t="shared" si="3"/>
        <v>FY48</v>
      </c>
      <c r="JI6" s="2" t="str">
        <f t="shared" si="3"/>
        <v>FY48</v>
      </c>
      <c r="JJ6" s="2" t="str">
        <f t="shared" si="4"/>
        <v>FY48</v>
      </c>
      <c r="JK6" s="2" t="str">
        <f t="shared" si="4"/>
        <v>FY48</v>
      </c>
      <c r="JL6" s="2" t="str">
        <f t="shared" si="4"/>
        <v>FY48</v>
      </c>
      <c r="JM6" s="2" t="str">
        <f t="shared" si="4"/>
        <v>FY48</v>
      </c>
      <c r="JN6" s="2" t="str">
        <f t="shared" si="4"/>
        <v>FY48</v>
      </c>
      <c r="JO6" s="2" t="str">
        <f t="shared" si="4"/>
        <v>FY48</v>
      </c>
      <c r="JP6" s="2" t="str">
        <f t="shared" si="4"/>
        <v>FY48</v>
      </c>
      <c r="JQ6" s="2" t="str">
        <f t="shared" si="4"/>
        <v>FY48</v>
      </c>
      <c r="JR6" s="2" t="str">
        <f t="shared" si="4"/>
        <v>FY49</v>
      </c>
      <c r="JS6" s="2" t="str">
        <f t="shared" si="4"/>
        <v>FY49</v>
      </c>
      <c r="JT6" s="2" t="str">
        <f t="shared" si="4"/>
        <v>FY49</v>
      </c>
      <c r="JU6" s="2" t="str">
        <f t="shared" si="4"/>
        <v>FY49</v>
      </c>
      <c r="JV6" s="2" t="str">
        <f t="shared" si="4"/>
        <v>FY49</v>
      </c>
      <c r="JW6" s="2" t="str">
        <f t="shared" si="4"/>
        <v>FY49</v>
      </c>
      <c r="JX6" s="2" t="str">
        <f t="shared" si="4"/>
        <v>FY49</v>
      </c>
      <c r="JY6" s="2" t="str">
        <f t="shared" si="4"/>
        <v>FY49</v>
      </c>
      <c r="JZ6" s="2" t="str">
        <f t="shared" si="4"/>
        <v>FY49</v>
      </c>
      <c r="KA6" s="2" t="str">
        <f t="shared" si="4"/>
        <v>FY49</v>
      </c>
      <c r="KB6" s="2" t="str">
        <f t="shared" si="4"/>
        <v>FY49</v>
      </c>
      <c r="KC6" s="2" t="str">
        <f t="shared" si="4"/>
        <v>FY49</v>
      </c>
      <c r="KD6" s="2" t="str">
        <f t="shared" si="4"/>
        <v>FY50</v>
      </c>
      <c r="KE6" s="2" t="str">
        <f t="shared" si="4"/>
        <v>FY50</v>
      </c>
      <c r="KF6" s="2" t="str">
        <f t="shared" si="4"/>
        <v>FY50</v>
      </c>
      <c r="KG6" s="2" t="str">
        <f t="shared" si="4"/>
        <v>FY50</v>
      </c>
      <c r="KH6" s="2" t="str">
        <f t="shared" si="4"/>
        <v>FY50</v>
      </c>
      <c r="KI6" s="2" t="str">
        <f t="shared" si="4"/>
        <v>FY50</v>
      </c>
      <c r="KJ6" s="1"/>
    </row>
    <row r="7" spans="1:296" x14ac:dyDescent="0.35">
      <c r="A7" s="1"/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1"/>
      <c r="J7" s="2" t="s">
        <v>9</v>
      </c>
      <c r="K7" s="2"/>
      <c r="L7" s="2"/>
      <c r="M7" s="4"/>
      <c r="N7" s="9" t="str">
        <f t="shared" ref="N7:BY7" si="5">TEXT(N12,"mmm-yy")</f>
        <v>Jul-26</v>
      </c>
      <c r="O7" s="9" t="str">
        <f t="shared" si="5"/>
        <v>Aug-26</v>
      </c>
      <c r="P7" s="9" t="str">
        <f t="shared" si="5"/>
        <v>Sep-26</v>
      </c>
      <c r="Q7" s="9" t="str">
        <f t="shared" si="5"/>
        <v>Oct-26</v>
      </c>
      <c r="R7" s="9" t="str">
        <f t="shared" si="5"/>
        <v>Nov-26</v>
      </c>
      <c r="S7" s="9" t="str">
        <f t="shared" si="5"/>
        <v>Dec-26</v>
      </c>
      <c r="T7" s="9" t="str">
        <f t="shared" si="5"/>
        <v>Jan-27</v>
      </c>
      <c r="U7" s="9" t="str">
        <f t="shared" si="5"/>
        <v>Feb-27</v>
      </c>
      <c r="V7" s="9" t="str">
        <f t="shared" si="5"/>
        <v>Mar-27</v>
      </c>
      <c r="W7" s="9" t="str">
        <f t="shared" si="5"/>
        <v>Apr-27</v>
      </c>
      <c r="X7" s="9" t="str">
        <f t="shared" si="5"/>
        <v>May-27</v>
      </c>
      <c r="Y7" s="9" t="str">
        <f t="shared" si="5"/>
        <v>Jun-27</v>
      </c>
      <c r="Z7" s="9" t="str">
        <f t="shared" si="5"/>
        <v>Jul-27</v>
      </c>
      <c r="AA7" s="9" t="str">
        <f t="shared" si="5"/>
        <v>Aug-27</v>
      </c>
      <c r="AB7" s="9" t="str">
        <f t="shared" si="5"/>
        <v>Sep-27</v>
      </c>
      <c r="AC7" s="9" t="str">
        <f t="shared" si="5"/>
        <v>Oct-27</v>
      </c>
      <c r="AD7" s="9" t="str">
        <f t="shared" si="5"/>
        <v>Nov-27</v>
      </c>
      <c r="AE7" s="9" t="str">
        <f t="shared" si="5"/>
        <v>Dec-27</v>
      </c>
      <c r="AF7" s="9" t="str">
        <f t="shared" si="5"/>
        <v>Jan-28</v>
      </c>
      <c r="AG7" s="9" t="str">
        <f t="shared" si="5"/>
        <v>Feb-28</v>
      </c>
      <c r="AH7" s="9" t="str">
        <f t="shared" si="5"/>
        <v>Mar-28</v>
      </c>
      <c r="AI7" s="9" t="str">
        <f t="shared" si="5"/>
        <v>Apr-28</v>
      </c>
      <c r="AJ7" s="9" t="str">
        <f t="shared" si="5"/>
        <v>May-28</v>
      </c>
      <c r="AK7" s="9" t="str">
        <f t="shared" si="5"/>
        <v>Jun-28</v>
      </c>
      <c r="AL7" s="9" t="str">
        <f t="shared" si="5"/>
        <v>Jul-28</v>
      </c>
      <c r="AM7" s="9" t="str">
        <f t="shared" si="5"/>
        <v>Aug-28</v>
      </c>
      <c r="AN7" s="9" t="str">
        <f t="shared" si="5"/>
        <v>Sep-28</v>
      </c>
      <c r="AO7" s="9" t="str">
        <f t="shared" si="5"/>
        <v>Oct-28</v>
      </c>
      <c r="AP7" s="9" t="str">
        <f t="shared" si="5"/>
        <v>Nov-28</v>
      </c>
      <c r="AQ7" s="9" t="str">
        <f t="shared" si="5"/>
        <v>Dec-28</v>
      </c>
      <c r="AR7" s="9" t="str">
        <f t="shared" si="5"/>
        <v>Jan-29</v>
      </c>
      <c r="AS7" s="9" t="str">
        <f t="shared" si="5"/>
        <v>Feb-29</v>
      </c>
      <c r="AT7" s="9" t="str">
        <f t="shared" si="5"/>
        <v>Mar-29</v>
      </c>
      <c r="AU7" s="9" t="str">
        <f t="shared" si="5"/>
        <v>Apr-29</v>
      </c>
      <c r="AV7" s="9" t="str">
        <f t="shared" si="5"/>
        <v>May-29</v>
      </c>
      <c r="AW7" s="9" t="str">
        <f t="shared" si="5"/>
        <v>Jun-29</v>
      </c>
      <c r="AX7" s="9" t="str">
        <f t="shared" si="5"/>
        <v>Jul-29</v>
      </c>
      <c r="AY7" s="9" t="str">
        <f t="shared" si="5"/>
        <v>Aug-29</v>
      </c>
      <c r="AZ7" s="9" t="str">
        <f t="shared" si="5"/>
        <v>Sep-29</v>
      </c>
      <c r="BA7" s="9" t="str">
        <f t="shared" si="5"/>
        <v>Oct-29</v>
      </c>
      <c r="BB7" s="9" t="str">
        <f t="shared" si="5"/>
        <v>Nov-29</v>
      </c>
      <c r="BC7" s="9" t="str">
        <f t="shared" si="5"/>
        <v>Dec-29</v>
      </c>
      <c r="BD7" s="9" t="str">
        <f t="shared" si="5"/>
        <v>Jan-30</v>
      </c>
      <c r="BE7" s="9" t="str">
        <f t="shared" si="5"/>
        <v>Feb-30</v>
      </c>
      <c r="BF7" s="9" t="str">
        <f t="shared" si="5"/>
        <v>Mar-30</v>
      </c>
      <c r="BG7" s="9" t="str">
        <f t="shared" si="5"/>
        <v>Apr-30</v>
      </c>
      <c r="BH7" s="9" t="str">
        <f t="shared" si="5"/>
        <v>May-30</v>
      </c>
      <c r="BI7" s="9" t="str">
        <f t="shared" si="5"/>
        <v>Jun-30</v>
      </c>
      <c r="BJ7" s="9" t="str">
        <f t="shared" si="5"/>
        <v>Jul-30</v>
      </c>
      <c r="BK7" s="9" t="str">
        <f t="shared" si="5"/>
        <v>Aug-30</v>
      </c>
      <c r="BL7" s="9" t="str">
        <f t="shared" si="5"/>
        <v>Sep-30</v>
      </c>
      <c r="BM7" s="9" t="str">
        <f t="shared" si="5"/>
        <v>Oct-30</v>
      </c>
      <c r="BN7" s="9" t="str">
        <f t="shared" si="5"/>
        <v>Nov-30</v>
      </c>
      <c r="BO7" s="9" t="str">
        <f t="shared" si="5"/>
        <v>Dec-30</v>
      </c>
      <c r="BP7" s="9" t="str">
        <f t="shared" si="5"/>
        <v>Jan-31</v>
      </c>
      <c r="BQ7" s="9" t="str">
        <f t="shared" si="5"/>
        <v>Feb-31</v>
      </c>
      <c r="BR7" s="9" t="str">
        <f t="shared" si="5"/>
        <v>Mar-31</v>
      </c>
      <c r="BS7" s="9" t="str">
        <f t="shared" si="5"/>
        <v>Apr-31</v>
      </c>
      <c r="BT7" s="9" t="str">
        <f t="shared" si="5"/>
        <v>May-31</v>
      </c>
      <c r="BU7" s="9" t="str">
        <f t="shared" si="5"/>
        <v>Jun-31</v>
      </c>
      <c r="BV7" s="9" t="str">
        <f t="shared" si="5"/>
        <v>Jul-31</v>
      </c>
      <c r="BW7" s="9" t="str">
        <f t="shared" si="5"/>
        <v>Aug-31</v>
      </c>
      <c r="BX7" s="9" t="str">
        <f t="shared" si="5"/>
        <v>Sep-31</v>
      </c>
      <c r="BY7" s="9" t="str">
        <f t="shared" si="5"/>
        <v>Oct-31</v>
      </c>
      <c r="BZ7" s="9" t="str">
        <f t="shared" ref="BZ7:EK7" si="6">TEXT(BZ12,"mmm-yy")</f>
        <v>Nov-31</v>
      </c>
      <c r="CA7" s="9" t="str">
        <f t="shared" si="6"/>
        <v>Dec-31</v>
      </c>
      <c r="CB7" s="9" t="str">
        <f t="shared" si="6"/>
        <v>Jan-32</v>
      </c>
      <c r="CC7" s="9" t="str">
        <f t="shared" si="6"/>
        <v>Feb-32</v>
      </c>
      <c r="CD7" s="9" t="str">
        <f t="shared" si="6"/>
        <v>Mar-32</v>
      </c>
      <c r="CE7" s="9" t="str">
        <f t="shared" si="6"/>
        <v>Apr-32</v>
      </c>
      <c r="CF7" s="9" t="str">
        <f t="shared" si="6"/>
        <v>May-32</v>
      </c>
      <c r="CG7" s="9" t="str">
        <f t="shared" si="6"/>
        <v>Jun-32</v>
      </c>
      <c r="CH7" s="9" t="str">
        <f t="shared" si="6"/>
        <v>Jul-32</v>
      </c>
      <c r="CI7" s="9" t="str">
        <f t="shared" si="6"/>
        <v>Aug-32</v>
      </c>
      <c r="CJ7" s="9" t="str">
        <f t="shared" si="6"/>
        <v>Sep-32</v>
      </c>
      <c r="CK7" s="9" t="str">
        <f t="shared" si="6"/>
        <v>Oct-32</v>
      </c>
      <c r="CL7" s="9" t="str">
        <f t="shared" si="6"/>
        <v>Nov-32</v>
      </c>
      <c r="CM7" s="9" t="str">
        <f t="shared" si="6"/>
        <v>Dec-32</v>
      </c>
      <c r="CN7" s="9" t="str">
        <f t="shared" si="6"/>
        <v>Jan-33</v>
      </c>
      <c r="CO7" s="9" t="str">
        <f t="shared" si="6"/>
        <v>Feb-33</v>
      </c>
      <c r="CP7" s="9" t="str">
        <f t="shared" si="6"/>
        <v>Mar-33</v>
      </c>
      <c r="CQ7" s="9" t="str">
        <f t="shared" si="6"/>
        <v>Apr-33</v>
      </c>
      <c r="CR7" s="9" t="str">
        <f t="shared" si="6"/>
        <v>May-33</v>
      </c>
      <c r="CS7" s="9" t="str">
        <f t="shared" si="6"/>
        <v>Jun-33</v>
      </c>
      <c r="CT7" s="9" t="str">
        <f t="shared" si="6"/>
        <v>Jul-33</v>
      </c>
      <c r="CU7" s="9" t="str">
        <f t="shared" si="6"/>
        <v>Aug-33</v>
      </c>
      <c r="CV7" s="9" t="str">
        <f t="shared" si="6"/>
        <v>Sep-33</v>
      </c>
      <c r="CW7" s="9" t="str">
        <f t="shared" si="6"/>
        <v>Oct-33</v>
      </c>
      <c r="CX7" s="9" t="str">
        <f t="shared" si="6"/>
        <v>Nov-33</v>
      </c>
      <c r="CY7" s="9" t="str">
        <f t="shared" si="6"/>
        <v>Dec-33</v>
      </c>
      <c r="CZ7" s="9" t="str">
        <f t="shared" si="6"/>
        <v>Jan-34</v>
      </c>
      <c r="DA7" s="9" t="str">
        <f t="shared" si="6"/>
        <v>Feb-34</v>
      </c>
      <c r="DB7" s="9" t="str">
        <f t="shared" si="6"/>
        <v>Mar-34</v>
      </c>
      <c r="DC7" s="9" t="str">
        <f t="shared" si="6"/>
        <v>Apr-34</v>
      </c>
      <c r="DD7" s="9" t="str">
        <f t="shared" si="6"/>
        <v>May-34</v>
      </c>
      <c r="DE7" s="9" t="str">
        <f t="shared" si="6"/>
        <v>Jun-34</v>
      </c>
      <c r="DF7" s="9" t="str">
        <f t="shared" si="6"/>
        <v>Jul-34</v>
      </c>
      <c r="DG7" s="9" t="str">
        <f t="shared" si="6"/>
        <v>Aug-34</v>
      </c>
      <c r="DH7" s="9" t="str">
        <f t="shared" si="6"/>
        <v>Sep-34</v>
      </c>
      <c r="DI7" s="9" t="str">
        <f t="shared" si="6"/>
        <v>Oct-34</v>
      </c>
      <c r="DJ7" s="9" t="str">
        <f t="shared" si="6"/>
        <v>Nov-34</v>
      </c>
      <c r="DK7" s="9" t="str">
        <f t="shared" si="6"/>
        <v>Dec-34</v>
      </c>
      <c r="DL7" s="9" t="str">
        <f t="shared" si="6"/>
        <v>Jan-35</v>
      </c>
      <c r="DM7" s="9" t="str">
        <f t="shared" si="6"/>
        <v>Feb-35</v>
      </c>
      <c r="DN7" s="9" t="str">
        <f t="shared" si="6"/>
        <v>Mar-35</v>
      </c>
      <c r="DO7" s="9" t="str">
        <f t="shared" si="6"/>
        <v>Apr-35</v>
      </c>
      <c r="DP7" s="9" t="str">
        <f t="shared" si="6"/>
        <v>May-35</v>
      </c>
      <c r="DQ7" s="9" t="str">
        <f t="shared" si="6"/>
        <v>Jun-35</v>
      </c>
      <c r="DR7" s="9" t="str">
        <f t="shared" si="6"/>
        <v>Jul-35</v>
      </c>
      <c r="DS7" s="9" t="str">
        <f t="shared" si="6"/>
        <v>Aug-35</v>
      </c>
      <c r="DT7" s="9" t="str">
        <f t="shared" si="6"/>
        <v>Sep-35</v>
      </c>
      <c r="DU7" s="9" t="str">
        <f t="shared" si="6"/>
        <v>Oct-35</v>
      </c>
      <c r="DV7" s="9" t="str">
        <f t="shared" si="6"/>
        <v>Nov-35</v>
      </c>
      <c r="DW7" s="9" t="str">
        <f t="shared" si="6"/>
        <v>Dec-35</v>
      </c>
      <c r="DX7" s="9" t="str">
        <f t="shared" si="6"/>
        <v>Jan-36</v>
      </c>
      <c r="DY7" s="9" t="str">
        <f t="shared" si="6"/>
        <v>Feb-36</v>
      </c>
      <c r="DZ7" s="9" t="str">
        <f t="shared" si="6"/>
        <v>Mar-36</v>
      </c>
      <c r="EA7" s="9" t="str">
        <f t="shared" si="6"/>
        <v>Apr-36</v>
      </c>
      <c r="EB7" s="9" t="str">
        <f t="shared" si="6"/>
        <v>May-36</v>
      </c>
      <c r="EC7" s="9" t="str">
        <f t="shared" si="6"/>
        <v>Jun-36</v>
      </c>
      <c r="ED7" s="9" t="str">
        <f t="shared" si="6"/>
        <v>Jul-36</v>
      </c>
      <c r="EE7" s="9" t="str">
        <f t="shared" si="6"/>
        <v>Aug-36</v>
      </c>
      <c r="EF7" s="9" t="str">
        <f t="shared" si="6"/>
        <v>Sep-36</v>
      </c>
      <c r="EG7" s="9" t="str">
        <f t="shared" si="6"/>
        <v>Oct-36</v>
      </c>
      <c r="EH7" s="9" t="str">
        <f t="shared" si="6"/>
        <v>Nov-36</v>
      </c>
      <c r="EI7" s="9" t="str">
        <f t="shared" si="6"/>
        <v>Dec-36</v>
      </c>
      <c r="EJ7" s="9" t="str">
        <f t="shared" si="6"/>
        <v>Jan-37</v>
      </c>
      <c r="EK7" s="9" t="str">
        <f t="shared" si="6"/>
        <v>Feb-37</v>
      </c>
      <c r="EL7" s="9" t="str">
        <f t="shared" ref="EL7:GW7" si="7">TEXT(EL12,"mmm-yy")</f>
        <v>Mar-37</v>
      </c>
      <c r="EM7" s="9" t="str">
        <f t="shared" si="7"/>
        <v>Apr-37</v>
      </c>
      <c r="EN7" s="9" t="str">
        <f t="shared" si="7"/>
        <v>May-37</v>
      </c>
      <c r="EO7" s="9" t="str">
        <f t="shared" si="7"/>
        <v>Jun-37</v>
      </c>
      <c r="EP7" s="9" t="str">
        <f t="shared" si="7"/>
        <v>Jul-37</v>
      </c>
      <c r="EQ7" s="9" t="str">
        <f t="shared" si="7"/>
        <v>Aug-37</v>
      </c>
      <c r="ER7" s="9" t="str">
        <f t="shared" si="7"/>
        <v>Sep-37</v>
      </c>
      <c r="ES7" s="9" t="str">
        <f t="shared" si="7"/>
        <v>Oct-37</v>
      </c>
      <c r="ET7" s="9" t="str">
        <f t="shared" si="7"/>
        <v>Nov-37</v>
      </c>
      <c r="EU7" s="9" t="str">
        <f t="shared" si="7"/>
        <v>Dec-37</v>
      </c>
      <c r="EV7" s="9" t="str">
        <f t="shared" si="7"/>
        <v>Jan-38</v>
      </c>
      <c r="EW7" s="9" t="str">
        <f t="shared" si="7"/>
        <v>Feb-38</v>
      </c>
      <c r="EX7" s="9" t="str">
        <f t="shared" si="7"/>
        <v>Mar-38</v>
      </c>
      <c r="EY7" s="9" t="str">
        <f t="shared" si="7"/>
        <v>Apr-38</v>
      </c>
      <c r="EZ7" s="9" t="str">
        <f t="shared" si="7"/>
        <v>May-38</v>
      </c>
      <c r="FA7" s="9" t="str">
        <f t="shared" si="7"/>
        <v>Jun-38</v>
      </c>
      <c r="FB7" s="9" t="str">
        <f t="shared" si="7"/>
        <v>Jul-38</v>
      </c>
      <c r="FC7" s="9" t="str">
        <f t="shared" si="7"/>
        <v>Aug-38</v>
      </c>
      <c r="FD7" s="9" t="str">
        <f t="shared" si="7"/>
        <v>Sep-38</v>
      </c>
      <c r="FE7" s="9" t="str">
        <f t="shared" si="7"/>
        <v>Oct-38</v>
      </c>
      <c r="FF7" s="9" t="str">
        <f t="shared" si="7"/>
        <v>Nov-38</v>
      </c>
      <c r="FG7" s="9" t="str">
        <f t="shared" si="7"/>
        <v>Dec-38</v>
      </c>
      <c r="FH7" s="9" t="str">
        <f t="shared" si="7"/>
        <v>Jan-39</v>
      </c>
      <c r="FI7" s="9" t="str">
        <f t="shared" si="7"/>
        <v>Feb-39</v>
      </c>
      <c r="FJ7" s="9" t="str">
        <f t="shared" si="7"/>
        <v>Mar-39</v>
      </c>
      <c r="FK7" s="9" t="str">
        <f t="shared" si="7"/>
        <v>Apr-39</v>
      </c>
      <c r="FL7" s="9" t="str">
        <f t="shared" si="7"/>
        <v>May-39</v>
      </c>
      <c r="FM7" s="9" t="str">
        <f t="shared" si="7"/>
        <v>Jun-39</v>
      </c>
      <c r="FN7" s="9" t="str">
        <f t="shared" si="7"/>
        <v>Jul-39</v>
      </c>
      <c r="FO7" s="9" t="str">
        <f t="shared" si="7"/>
        <v>Aug-39</v>
      </c>
      <c r="FP7" s="9" t="str">
        <f t="shared" si="7"/>
        <v>Sep-39</v>
      </c>
      <c r="FQ7" s="9" t="str">
        <f t="shared" si="7"/>
        <v>Oct-39</v>
      </c>
      <c r="FR7" s="9" t="str">
        <f t="shared" si="7"/>
        <v>Nov-39</v>
      </c>
      <c r="FS7" s="9" t="str">
        <f t="shared" si="7"/>
        <v>Dec-39</v>
      </c>
      <c r="FT7" s="9" t="str">
        <f t="shared" si="7"/>
        <v>Jan-40</v>
      </c>
      <c r="FU7" s="9" t="str">
        <f t="shared" si="7"/>
        <v>Feb-40</v>
      </c>
      <c r="FV7" s="9" t="str">
        <f t="shared" si="7"/>
        <v>Mar-40</v>
      </c>
      <c r="FW7" s="9" t="str">
        <f t="shared" si="7"/>
        <v>Apr-40</v>
      </c>
      <c r="FX7" s="9" t="str">
        <f t="shared" si="7"/>
        <v>May-40</v>
      </c>
      <c r="FY7" s="9" t="str">
        <f t="shared" si="7"/>
        <v>Jun-40</v>
      </c>
      <c r="FZ7" s="9" t="str">
        <f t="shared" si="7"/>
        <v>Jul-40</v>
      </c>
      <c r="GA7" s="9" t="str">
        <f t="shared" si="7"/>
        <v>Aug-40</v>
      </c>
      <c r="GB7" s="9" t="str">
        <f t="shared" si="7"/>
        <v>Sep-40</v>
      </c>
      <c r="GC7" s="9" t="str">
        <f t="shared" si="7"/>
        <v>Oct-40</v>
      </c>
      <c r="GD7" s="9" t="str">
        <f t="shared" si="7"/>
        <v>Nov-40</v>
      </c>
      <c r="GE7" s="9" t="str">
        <f t="shared" si="7"/>
        <v>Dec-40</v>
      </c>
      <c r="GF7" s="9" t="str">
        <f t="shared" si="7"/>
        <v>Jan-41</v>
      </c>
      <c r="GG7" s="9" t="str">
        <f t="shared" si="7"/>
        <v>Feb-41</v>
      </c>
      <c r="GH7" s="9" t="str">
        <f t="shared" si="7"/>
        <v>Mar-41</v>
      </c>
      <c r="GI7" s="9" t="str">
        <f t="shared" si="7"/>
        <v>Apr-41</v>
      </c>
      <c r="GJ7" s="9" t="str">
        <f t="shared" si="7"/>
        <v>May-41</v>
      </c>
      <c r="GK7" s="9" t="str">
        <f t="shared" si="7"/>
        <v>Jun-41</v>
      </c>
      <c r="GL7" s="9" t="str">
        <f t="shared" si="7"/>
        <v>Jul-41</v>
      </c>
      <c r="GM7" s="9" t="str">
        <f t="shared" si="7"/>
        <v>Aug-41</v>
      </c>
      <c r="GN7" s="9" t="str">
        <f t="shared" si="7"/>
        <v>Sep-41</v>
      </c>
      <c r="GO7" s="9" t="str">
        <f t="shared" si="7"/>
        <v>Oct-41</v>
      </c>
      <c r="GP7" s="9" t="str">
        <f t="shared" si="7"/>
        <v>Nov-41</v>
      </c>
      <c r="GQ7" s="9" t="str">
        <f t="shared" si="7"/>
        <v>Dec-41</v>
      </c>
      <c r="GR7" s="9" t="str">
        <f t="shared" si="7"/>
        <v>Jan-42</v>
      </c>
      <c r="GS7" s="9" t="str">
        <f t="shared" si="7"/>
        <v>Feb-42</v>
      </c>
      <c r="GT7" s="9" t="str">
        <f t="shared" si="7"/>
        <v>Mar-42</v>
      </c>
      <c r="GU7" s="9" t="str">
        <f t="shared" si="7"/>
        <v>Apr-42</v>
      </c>
      <c r="GV7" s="9" t="str">
        <f t="shared" si="7"/>
        <v>May-42</v>
      </c>
      <c r="GW7" s="9" t="str">
        <f t="shared" si="7"/>
        <v>Jun-42</v>
      </c>
      <c r="GX7" s="9" t="str">
        <f t="shared" ref="GX7:JI7" si="8">TEXT(GX12,"mmm-yy")</f>
        <v>Jul-42</v>
      </c>
      <c r="GY7" s="9" t="str">
        <f t="shared" si="8"/>
        <v>Aug-42</v>
      </c>
      <c r="GZ7" s="9" t="str">
        <f t="shared" si="8"/>
        <v>Sep-42</v>
      </c>
      <c r="HA7" s="9" t="str">
        <f t="shared" si="8"/>
        <v>Oct-42</v>
      </c>
      <c r="HB7" s="9" t="str">
        <f t="shared" si="8"/>
        <v>Nov-42</v>
      </c>
      <c r="HC7" s="9" t="str">
        <f t="shared" si="8"/>
        <v>Dec-42</v>
      </c>
      <c r="HD7" s="9" t="str">
        <f t="shared" si="8"/>
        <v>Jan-43</v>
      </c>
      <c r="HE7" s="9" t="str">
        <f t="shared" si="8"/>
        <v>Feb-43</v>
      </c>
      <c r="HF7" s="9" t="str">
        <f t="shared" si="8"/>
        <v>Mar-43</v>
      </c>
      <c r="HG7" s="9" t="str">
        <f t="shared" si="8"/>
        <v>Apr-43</v>
      </c>
      <c r="HH7" s="9" t="str">
        <f t="shared" si="8"/>
        <v>May-43</v>
      </c>
      <c r="HI7" s="9" t="str">
        <f t="shared" si="8"/>
        <v>Jun-43</v>
      </c>
      <c r="HJ7" s="9" t="str">
        <f t="shared" si="8"/>
        <v>Jul-43</v>
      </c>
      <c r="HK7" s="9" t="str">
        <f t="shared" si="8"/>
        <v>Aug-43</v>
      </c>
      <c r="HL7" s="9" t="str">
        <f t="shared" si="8"/>
        <v>Sep-43</v>
      </c>
      <c r="HM7" s="9" t="str">
        <f t="shared" si="8"/>
        <v>Oct-43</v>
      </c>
      <c r="HN7" s="9" t="str">
        <f t="shared" si="8"/>
        <v>Nov-43</v>
      </c>
      <c r="HO7" s="9" t="str">
        <f t="shared" si="8"/>
        <v>Dec-43</v>
      </c>
      <c r="HP7" s="9" t="str">
        <f t="shared" si="8"/>
        <v>Jan-44</v>
      </c>
      <c r="HQ7" s="9" t="str">
        <f t="shared" si="8"/>
        <v>Feb-44</v>
      </c>
      <c r="HR7" s="9" t="str">
        <f t="shared" si="8"/>
        <v>Mar-44</v>
      </c>
      <c r="HS7" s="9" t="str">
        <f t="shared" si="8"/>
        <v>Apr-44</v>
      </c>
      <c r="HT7" s="9" t="str">
        <f t="shared" si="8"/>
        <v>May-44</v>
      </c>
      <c r="HU7" s="9" t="str">
        <f t="shared" si="8"/>
        <v>Jun-44</v>
      </c>
      <c r="HV7" s="9" t="str">
        <f t="shared" si="8"/>
        <v>Jul-44</v>
      </c>
      <c r="HW7" s="9" t="str">
        <f t="shared" si="8"/>
        <v>Aug-44</v>
      </c>
      <c r="HX7" s="9" t="str">
        <f t="shared" si="8"/>
        <v>Sep-44</v>
      </c>
      <c r="HY7" s="9" t="str">
        <f t="shared" si="8"/>
        <v>Oct-44</v>
      </c>
      <c r="HZ7" s="9" t="str">
        <f t="shared" si="8"/>
        <v>Nov-44</v>
      </c>
      <c r="IA7" s="9" t="str">
        <f t="shared" si="8"/>
        <v>Dec-44</v>
      </c>
      <c r="IB7" s="9" t="str">
        <f t="shared" si="8"/>
        <v>Jan-45</v>
      </c>
      <c r="IC7" s="9" t="str">
        <f t="shared" si="8"/>
        <v>Feb-45</v>
      </c>
      <c r="ID7" s="9" t="str">
        <f t="shared" si="8"/>
        <v>Mar-45</v>
      </c>
      <c r="IE7" s="9" t="str">
        <f t="shared" si="8"/>
        <v>Apr-45</v>
      </c>
      <c r="IF7" s="9" t="str">
        <f t="shared" si="8"/>
        <v>May-45</v>
      </c>
      <c r="IG7" s="9" t="str">
        <f t="shared" si="8"/>
        <v>Jun-45</v>
      </c>
      <c r="IH7" s="9" t="str">
        <f t="shared" si="8"/>
        <v>Jul-45</v>
      </c>
      <c r="II7" s="9" t="str">
        <f t="shared" si="8"/>
        <v>Aug-45</v>
      </c>
      <c r="IJ7" s="9" t="str">
        <f t="shared" si="8"/>
        <v>Sep-45</v>
      </c>
      <c r="IK7" s="9" t="str">
        <f t="shared" si="8"/>
        <v>Oct-45</v>
      </c>
      <c r="IL7" s="9" t="str">
        <f t="shared" si="8"/>
        <v>Nov-45</v>
      </c>
      <c r="IM7" s="9" t="str">
        <f t="shared" si="8"/>
        <v>Dec-45</v>
      </c>
      <c r="IN7" s="9" t="str">
        <f t="shared" si="8"/>
        <v>Jan-46</v>
      </c>
      <c r="IO7" s="9" t="str">
        <f t="shared" si="8"/>
        <v>Feb-46</v>
      </c>
      <c r="IP7" s="9" t="str">
        <f t="shared" si="8"/>
        <v>Mar-46</v>
      </c>
      <c r="IQ7" s="9" t="str">
        <f t="shared" si="8"/>
        <v>Apr-46</v>
      </c>
      <c r="IR7" s="9" t="str">
        <f t="shared" si="8"/>
        <v>May-46</v>
      </c>
      <c r="IS7" s="9" t="str">
        <f t="shared" si="8"/>
        <v>Jun-46</v>
      </c>
      <c r="IT7" s="9" t="str">
        <f t="shared" si="8"/>
        <v>Jul-46</v>
      </c>
      <c r="IU7" s="9" t="str">
        <f t="shared" si="8"/>
        <v>Aug-46</v>
      </c>
      <c r="IV7" s="9" t="str">
        <f t="shared" si="8"/>
        <v>Sep-46</v>
      </c>
      <c r="IW7" s="9" t="str">
        <f t="shared" si="8"/>
        <v>Oct-46</v>
      </c>
      <c r="IX7" s="9" t="str">
        <f t="shared" si="8"/>
        <v>Nov-46</v>
      </c>
      <c r="IY7" s="9" t="str">
        <f t="shared" si="8"/>
        <v>Dec-46</v>
      </c>
      <c r="IZ7" s="9" t="str">
        <f t="shared" si="8"/>
        <v>Jan-47</v>
      </c>
      <c r="JA7" s="9" t="str">
        <f t="shared" si="8"/>
        <v>Feb-47</v>
      </c>
      <c r="JB7" s="9" t="str">
        <f t="shared" si="8"/>
        <v>Mar-47</v>
      </c>
      <c r="JC7" s="9" t="str">
        <f t="shared" si="8"/>
        <v>Apr-47</v>
      </c>
      <c r="JD7" s="9" t="str">
        <f t="shared" si="8"/>
        <v>May-47</v>
      </c>
      <c r="JE7" s="9" t="str">
        <f t="shared" si="8"/>
        <v>Jun-47</v>
      </c>
      <c r="JF7" s="9" t="str">
        <f t="shared" si="8"/>
        <v>Jul-47</v>
      </c>
      <c r="JG7" s="9" t="str">
        <f t="shared" si="8"/>
        <v>Aug-47</v>
      </c>
      <c r="JH7" s="9" t="str">
        <f t="shared" si="8"/>
        <v>Sep-47</v>
      </c>
      <c r="JI7" s="9" t="str">
        <f t="shared" si="8"/>
        <v>Oct-47</v>
      </c>
      <c r="JJ7" s="9" t="str">
        <f t="shared" ref="JJ7:KI7" si="9">TEXT(JJ12,"mmm-yy")</f>
        <v>Nov-47</v>
      </c>
      <c r="JK7" s="9" t="str">
        <f t="shared" si="9"/>
        <v>Dec-47</v>
      </c>
      <c r="JL7" s="9" t="str">
        <f t="shared" si="9"/>
        <v>Jan-48</v>
      </c>
      <c r="JM7" s="9" t="str">
        <f t="shared" si="9"/>
        <v>Feb-48</v>
      </c>
      <c r="JN7" s="9" t="str">
        <f t="shared" si="9"/>
        <v>Mar-48</v>
      </c>
      <c r="JO7" s="9" t="str">
        <f t="shared" si="9"/>
        <v>Apr-48</v>
      </c>
      <c r="JP7" s="9" t="str">
        <f t="shared" si="9"/>
        <v>May-48</v>
      </c>
      <c r="JQ7" s="9" t="str">
        <f t="shared" si="9"/>
        <v>Jun-48</v>
      </c>
      <c r="JR7" s="9" t="str">
        <f t="shared" si="9"/>
        <v>Jul-48</v>
      </c>
      <c r="JS7" s="9" t="str">
        <f t="shared" si="9"/>
        <v>Aug-48</v>
      </c>
      <c r="JT7" s="9" t="str">
        <f t="shared" si="9"/>
        <v>Sep-48</v>
      </c>
      <c r="JU7" s="9" t="str">
        <f t="shared" si="9"/>
        <v>Oct-48</v>
      </c>
      <c r="JV7" s="9" t="str">
        <f t="shared" si="9"/>
        <v>Nov-48</v>
      </c>
      <c r="JW7" s="9" t="str">
        <f t="shared" si="9"/>
        <v>Dec-48</v>
      </c>
      <c r="JX7" s="9" t="str">
        <f t="shared" si="9"/>
        <v>Jan-49</v>
      </c>
      <c r="JY7" s="9" t="str">
        <f t="shared" si="9"/>
        <v>Feb-49</v>
      </c>
      <c r="JZ7" s="9" t="str">
        <f t="shared" si="9"/>
        <v>Mar-49</v>
      </c>
      <c r="KA7" s="9" t="str">
        <f t="shared" si="9"/>
        <v>Apr-49</v>
      </c>
      <c r="KB7" s="9" t="str">
        <f t="shared" si="9"/>
        <v>May-49</v>
      </c>
      <c r="KC7" s="9" t="str">
        <f t="shared" si="9"/>
        <v>Jun-49</v>
      </c>
      <c r="KD7" s="9" t="str">
        <f t="shared" si="9"/>
        <v>Jul-49</v>
      </c>
      <c r="KE7" s="9" t="str">
        <f t="shared" si="9"/>
        <v>Aug-49</v>
      </c>
      <c r="KF7" s="9" t="str">
        <f t="shared" si="9"/>
        <v>Sep-49</v>
      </c>
      <c r="KG7" s="9" t="str">
        <f t="shared" si="9"/>
        <v>Oct-49</v>
      </c>
      <c r="KH7" s="9" t="str">
        <f t="shared" si="9"/>
        <v>Nov-49</v>
      </c>
      <c r="KI7" s="9" t="str">
        <f t="shared" si="9"/>
        <v>Dec-49</v>
      </c>
      <c r="KJ7" s="1"/>
    </row>
    <row r="8" spans="1:296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</row>
    <row r="9" spans="1:296" x14ac:dyDescent="0.35">
      <c r="A9" s="1"/>
      <c r="B9" s="10"/>
      <c r="C9" s="10"/>
      <c r="D9" s="10"/>
      <c r="E9" s="10"/>
      <c r="F9" s="10"/>
      <c r="G9" s="10"/>
      <c r="H9" s="10"/>
      <c r="I9" s="1"/>
      <c r="J9" s="10" t="s">
        <v>10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  <c r="KG9" s="10"/>
      <c r="KH9" s="10"/>
      <c r="KI9" s="10"/>
      <c r="KJ9" s="1"/>
    </row>
    <row r="10" spans="1:296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5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</row>
    <row r="11" spans="1:296" x14ac:dyDescent="0.35">
      <c r="A11" s="1"/>
      <c r="B11" s="8"/>
      <c r="C11" s="8"/>
      <c r="D11" s="8"/>
      <c r="E11" s="7">
        <f>MAX(N11:KI11)</f>
        <v>54758</v>
      </c>
      <c r="F11" s="7">
        <f>MIN(N11:KI11)</f>
        <v>46204</v>
      </c>
      <c r="G11" s="7"/>
      <c r="H11" s="8" t="s">
        <v>9</v>
      </c>
      <c r="I11" s="1"/>
      <c r="J11" s="1"/>
      <c r="K11" s="1"/>
      <c r="L11" s="1"/>
      <c r="M11" s="6" t="s">
        <v>11</v>
      </c>
      <c r="N11" s="7">
        <f>DATE(2026,7,1)</f>
        <v>46204</v>
      </c>
      <c r="O11" s="7">
        <f t="shared" ref="O11:BZ11" si="10">N12+1</f>
        <v>46235</v>
      </c>
      <c r="P11" s="7">
        <f t="shared" si="10"/>
        <v>46266</v>
      </c>
      <c r="Q11" s="7">
        <f t="shared" si="10"/>
        <v>46296</v>
      </c>
      <c r="R11" s="7">
        <f t="shared" si="10"/>
        <v>46327</v>
      </c>
      <c r="S11" s="7">
        <f t="shared" si="10"/>
        <v>46357</v>
      </c>
      <c r="T11" s="7">
        <f t="shared" si="10"/>
        <v>46388</v>
      </c>
      <c r="U11" s="7">
        <f t="shared" si="10"/>
        <v>46419</v>
      </c>
      <c r="V11" s="7">
        <f t="shared" si="10"/>
        <v>46447</v>
      </c>
      <c r="W11" s="7">
        <f t="shared" si="10"/>
        <v>46478</v>
      </c>
      <c r="X11" s="7">
        <f t="shared" si="10"/>
        <v>46508</v>
      </c>
      <c r="Y11" s="7">
        <f t="shared" si="10"/>
        <v>46539</v>
      </c>
      <c r="Z11" s="7">
        <f t="shared" si="10"/>
        <v>46569</v>
      </c>
      <c r="AA11" s="7">
        <f t="shared" si="10"/>
        <v>46600</v>
      </c>
      <c r="AB11" s="7">
        <f t="shared" si="10"/>
        <v>46631</v>
      </c>
      <c r="AC11" s="7">
        <f t="shared" si="10"/>
        <v>46661</v>
      </c>
      <c r="AD11" s="7">
        <f t="shared" si="10"/>
        <v>46692</v>
      </c>
      <c r="AE11" s="7">
        <f t="shared" si="10"/>
        <v>46722</v>
      </c>
      <c r="AF11" s="7">
        <f t="shared" si="10"/>
        <v>46753</v>
      </c>
      <c r="AG11" s="7">
        <f t="shared" si="10"/>
        <v>46784</v>
      </c>
      <c r="AH11" s="7">
        <f t="shared" si="10"/>
        <v>46813</v>
      </c>
      <c r="AI11" s="7">
        <f t="shared" si="10"/>
        <v>46844</v>
      </c>
      <c r="AJ11" s="7">
        <f t="shared" si="10"/>
        <v>46874</v>
      </c>
      <c r="AK11" s="7">
        <f t="shared" si="10"/>
        <v>46905</v>
      </c>
      <c r="AL11" s="7">
        <f t="shared" si="10"/>
        <v>46935</v>
      </c>
      <c r="AM11" s="7">
        <f t="shared" si="10"/>
        <v>46966</v>
      </c>
      <c r="AN11" s="7">
        <f t="shared" si="10"/>
        <v>46997</v>
      </c>
      <c r="AO11" s="7">
        <f t="shared" si="10"/>
        <v>47027</v>
      </c>
      <c r="AP11" s="7">
        <f t="shared" si="10"/>
        <v>47058</v>
      </c>
      <c r="AQ11" s="7">
        <f t="shared" si="10"/>
        <v>47088</v>
      </c>
      <c r="AR11" s="7">
        <f t="shared" si="10"/>
        <v>47119</v>
      </c>
      <c r="AS11" s="7">
        <f t="shared" si="10"/>
        <v>47150</v>
      </c>
      <c r="AT11" s="7">
        <f t="shared" si="10"/>
        <v>47178</v>
      </c>
      <c r="AU11" s="7">
        <f t="shared" si="10"/>
        <v>47209</v>
      </c>
      <c r="AV11" s="7">
        <f t="shared" si="10"/>
        <v>47239</v>
      </c>
      <c r="AW11" s="7">
        <f t="shared" si="10"/>
        <v>47270</v>
      </c>
      <c r="AX11" s="7">
        <f t="shared" si="10"/>
        <v>47300</v>
      </c>
      <c r="AY11" s="7">
        <f t="shared" si="10"/>
        <v>47331</v>
      </c>
      <c r="AZ11" s="7">
        <f t="shared" si="10"/>
        <v>47362</v>
      </c>
      <c r="BA11" s="7">
        <f t="shared" si="10"/>
        <v>47392</v>
      </c>
      <c r="BB11" s="7">
        <f t="shared" si="10"/>
        <v>47423</v>
      </c>
      <c r="BC11" s="7">
        <f t="shared" si="10"/>
        <v>47453</v>
      </c>
      <c r="BD11" s="7">
        <f t="shared" si="10"/>
        <v>47484</v>
      </c>
      <c r="BE11" s="7">
        <f t="shared" si="10"/>
        <v>47515</v>
      </c>
      <c r="BF11" s="7">
        <f t="shared" si="10"/>
        <v>47543</v>
      </c>
      <c r="BG11" s="7">
        <f t="shared" si="10"/>
        <v>47574</v>
      </c>
      <c r="BH11" s="7">
        <f t="shared" si="10"/>
        <v>47604</v>
      </c>
      <c r="BI11" s="7">
        <f t="shared" si="10"/>
        <v>47635</v>
      </c>
      <c r="BJ11" s="7">
        <f t="shared" si="10"/>
        <v>47665</v>
      </c>
      <c r="BK11" s="7">
        <f t="shared" si="10"/>
        <v>47696</v>
      </c>
      <c r="BL11" s="7">
        <f t="shared" si="10"/>
        <v>47727</v>
      </c>
      <c r="BM11" s="7">
        <f t="shared" si="10"/>
        <v>47757</v>
      </c>
      <c r="BN11" s="7">
        <f t="shared" si="10"/>
        <v>47788</v>
      </c>
      <c r="BO11" s="7">
        <f t="shared" si="10"/>
        <v>47818</v>
      </c>
      <c r="BP11" s="7">
        <f t="shared" si="10"/>
        <v>47849</v>
      </c>
      <c r="BQ11" s="7">
        <f t="shared" si="10"/>
        <v>47880</v>
      </c>
      <c r="BR11" s="7">
        <f t="shared" si="10"/>
        <v>47908</v>
      </c>
      <c r="BS11" s="7">
        <f t="shared" si="10"/>
        <v>47939</v>
      </c>
      <c r="BT11" s="7">
        <f t="shared" si="10"/>
        <v>47969</v>
      </c>
      <c r="BU11" s="7">
        <f t="shared" si="10"/>
        <v>48000</v>
      </c>
      <c r="BV11" s="7">
        <f t="shared" si="10"/>
        <v>48030</v>
      </c>
      <c r="BW11" s="7">
        <f t="shared" si="10"/>
        <v>48061</v>
      </c>
      <c r="BX11" s="7">
        <f t="shared" si="10"/>
        <v>48092</v>
      </c>
      <c r="BY11" s="7">
        <f t="shared" si="10"/>
        <v>48122</v>
      </c>
      <c r="BZ11" s="7">
        <f t="shared" si="10"/>
        <v>48153</v>
      </c>
      <c r="CA11" s="7">
        <f t="shared" ref="CA11:EL11" si="11">BZ12+1</f>
        <v>48183</v>
      </c>
      <c r="CB11" s="7">
        <f t="shared" si="11"/>
        <v>48214</v>
      </c>
      <c r="CC11" s="7">
        <f t="shared" si="11"/>
        <v>48245</v>
      </c>
      <c r="CD11" s="7">
        <f t="shared" si="11"/>
        <v>48274</v>
      </c>
      <c r="CE11" s="7">
        <f t="shared" si="11"/>
        <v>48305</v>
      </c>
      <c r="CF11" s="7">
        <f t="shared" si="11"/>
        <v>48335</v>
      </c>
      <c r="CG11" s="7">
        <f t="shared" si="11"/>
        <v>48366</v>
      </c>
      <c r="CH11" s="7">
        <f t="shared" si="11"/>
        <v>48396</v>
      </c>
      <c r="CI11" s="7">
        <f t="shared" si="11"/>
        <v>48427</v>
      </c>
      <c r="CJ11" s="7">
        <f t="shared" si="11"/>
        <v>48458</v>
      </c>
      <c r="CK11" s="7">
        <f t="shared" si="11"/>
        <v>48488</v>
      </c>
      <c r="CL11" s="7">
        <f t="shared" si="11"/>
        <v>48519</v>
      </c>
      <c r="CM11" s="7">
        <f t="shared" si="11"/>
        <v>48549</v>
      </c>
      <c r="CN11" s="7">
        <f t="shared" si="11"/>
        <v>48580</v>
      </c>
      <c r="CO11" s="7">
        <f t="shared" si="11"/>
        <v>48611</v>
      </c>
      <c r="CP11" s="7">
        <f t="shared" si="11"/>
        <v>48639</v>
      </c>
      <c r="CQ11" s="7">
        <f t="shared" si="11"/>
        <v>48670</v>
      </c>
      <c r="CR11" s="7">
        <f t="shared" si="11"/>
        <v>48700</v>
      </c>
      <c r="CS11" s="7">
        <f t="shared" si="11"/>
        <v>48731</v>
      </c>
      <c r="CT11" s="7">
        <f t="shared" si="11"/>
        <v>48761</v>
      </c>
      <c r="CU11" s="7">
        <f t="shared" si="11"/>
        <v>48792</v>
      </c>
      <c r="CV11" s="7">
        <f t="shared" si="11"/>
        <v>48823</v>
      </c>
      <c r="CW11" s="7">
        <f t="shared" si="11"/>
        <v>48853</v>
      </c>
      <c r="CX11" s="7">
        <f t="shared" si="11"/>
        <v>48884</v>
      </c>
      <c r="CY11" s="7">
        <f t="shared" si="11"/>
        <v>48914</v>
      </c>
      <c r="CZ11" s="7">
        <f t="shared" si="11"/>
        <v>48945</v>
      </c>
      <c r="DA11" s="7">
        <f t="shared" si="11"/>
        <v>48976</v>
      </c>
      <c r="DB11" s="7">
        <f t="shared" si="11"/>
        <v>49004</v>
      </c>
      <c r="DC11" s="7">
        <f t="shared" si="11"/>
        <v>49035</v>
      </c>
      <c r="DD11" s="7">
        <f t="shared" si="11"/>
        <v>49065</v>
      </c>
      <c r="DE11" s="7">
        <f t="shared" si="11"/>
        <v>49096</v>
      </c>
      <c r="DF11" s="7">
        <f t="shared" si="11"/>
        <v>49126</v>
      </c>
      <c r="DG11" s="7">
        <f t="shared" si="11"/>
        <v>49157</v>
      </c>
      <c r="DH11" s="7">
        <f t="shared" si="11"/>
        <v>49188</v>
      </c>
      <c r="DI11" s="7">
        <f t="shared" si="11"/>
        <v>49218</v>
      </c>
      <c r="DJ11" s="7">
        <f t="shared" si="11"/>
        <v>49249</v>
      </c>
      <c r="DK11" s="7">
        <f t="shared" si="11"/>
        <v>49279</v>
      </c>
      <c r="DL11" s="7">
        <f t="shared" si="11"/>
        <v>49310</v>
      </c>
      <c r="DM11" s="7">
        <f t="shared" si="11"/>
        <v>49341</v>
      </c>
      <c r="DN11" s="7">
        <f t="shared" si="11"/>
        <v>49369</v>
      </c>
      <c r="DO11" s="7">
        <f t="shared" si="11"/>
        <v>49400</v>
      </c>
      <c r="DP11" s="7">
        <f t="shared" si="11"/>
        <v>49430</v>
      </c>
      <c r="DQ11" s="7">
        <f t="shared" si="11"/>
        <v>49461</v>
      </c>
      <c r="DR11" s="7">
        <f t="shared" si="11"/>
        <v>49491</v>
      </c>
      <c r="DS11" s="7">
        <f t="shared" si="11"/>
        <v>49522</v>
      </c>
      <c r="DT11" s="7">
        <f t="shared" si="11"/>
        <v>49553</v>
      </c>
      <c r="DU11" s="7">
        <f t="shared" si="11"/>
        <v>49583</v>
      </c>
      <c r="DV11" s="7">
        <f t="shared" si="11"/>
        <v>49614</v>
      </c>
      <c r="DW11" s="7">
        <f t="shared" si="11"/>
        <v>49644</v>
      </c>
      <c r="DX11" s="7">
        <f t="shared" si="11"/>
        <v>49675</v>
      </c>
      <c r="DY11" s="7">
        <f t="shared" si="11"/>
        <v>49706</v>
      </c>
      <c r="DZ11" s="7">
        <f t="shared" si="11"/>
        <v>49735</v>
      </c>
      <c r="EA11" s="7">
        <f t="shared" si="11"/>
        <v>49766</v>
      </c>
      <c r="EB11" s="7">
        <f t="shared" si="11"/>
        <v>49796</v>
      </c>
      <c r="EC11" s="7">
        <f t="shared" si="11"/>
        <v>49827</v>
      </c>
      <c r="ED11" s="7">
        <f t="shared" si="11"/>
        <v>49857</v>
      </c>
      <c r="EE11" s="7">
        <f t="shared" si="11"/>
        <v>49888</v>
      </c>
      <c r="EF11" s="7">
        <f t="shared" si="11"/>
        <v>49919</v>
      </c>
      <c r="EG11" s="7">
        <f t="shared" si="11"/>
        <v>49949</v>
      </c>
      <c r="EH11" s="7">
        <f t="shared" si="11"/>
        <v>49980</v>
      </c>
      <c r="EI11" s="7">
        <f t="shared" si="11"/>
        <v>50010</v>
      </c>
      <c r="EJ11" s="7">
        <f t="shared" si="11"/>
        <v>50041</v>
      </c>
      <c r="EK11" s="7">
        <f t="shared" si="11"/>
        <v>50072</v>
      </c>
      <c r="EL11" s="7">
        <f t="shared" si="11"/>
        <v>50100</v>
      </c>
      <c r="EM11" s="7">
        <f t="shared" ref="EM11:GX11" si="12">EL12+1</f>
        <v>50131</v>
      </c>
      <c r="EN11" s="7">
        <f t="shared" si="12"/>
        <v>50161</v>
      </c>
      <c r="EO11" s="7">
        <f t="shared" si="12"/>
        <v>50192</v>
      </c>
      <c r="EP11" s="7">
        <f t="shared" si="12"/>
        <v>50222</v>
      </c>
      <c r="EQ11" s="7">
        <f t="shared" si="12"/>
        <v>50253</v>
      </c>
      <c r="ER11" s="7">
        <f t="shared" si="12"/>
        <v>50284</v>
      </c>
      <c r="ES11" s="7">
        <f t="shared" si="12"/>
        <v>50314</v>
      </c>
      <c r="ET11" s="7">
        <f t="shared" si="12"/>
        <v>50345</v>
      </c>
      <c r="EU11" s="7">
        <f t="shared" si="12"/>
        <v>50375</v>
      </c>
      <c r="EV11" s="7">
        <f t="shared" si="12"/>
        <v>50406</v>
      </c>
      <c r="EW11" s="7">
        <f t="shared" si="12"/>
        <v>50437</v>
      </c>
      <c r="EX11" s="7">
        <f t="shared" si="12"/>
        <v>50465</v>
      </c>
      <c r="EY11" s="7">
        <f t="shared" si="12"/>
        <v>50496</v>
      </c>
      <c r="EZ11" s="7">
        <f t="shared" si="12"/>
        <v>50526</v>
      </c>
      <c r="FA11" s="7">
        <f t="shared" si="12"/>
        <v>50557</v>
      </c>
      <c r="FB11" s="7">
        <f t="shared" si="12"/>
        <v>50587</v>
      </c>
      <c r="FC11" s="7">
        <f t="shared" si="12"/>
        <v>50618</v>
      </c>
      <c r="FD11" s="7">
        <f t="shared" si="12"/>
        <v>50649</v>
      </c>
      <c r="FE11" s="7">
        <f t="shared" si="12"/>
        <v>50679</v>
      </c>
      <c r="FF11" s="7">
        <f t="shared" si="12"/>
        <v>50710</v>
      </c>
      <c r="FG11" s="7">
        <f t="shared" si="12"/>
        <v>50740</v>
      </c>
      <c r="FH11" s="7">
        <f t="shared" si="12"/>
        <v>50771</v>
      </c>
      <c r="FI11" s="7">
        <f t="shared" si="12"/>
        <v>50802</v>
      </c>
      <c r="FJ11" s="7">
        <f t="shared" si="12"/>
        <v>50830</v>
      </c>
      <c r="FK11" s="7">
        <f t="shared" si="12"/>
        <v>50861</v>
      </c>
      <c r="FL11" s="7">
        <f t="shared" si="12"/>
        <v>50891</v>
      </c>
      <c r="FM11" s="7">
        <f t="shared" si="12"/>
        <v>50922</v>
      </c>
      <c r="FN11" s="7">
        <f t="shared" si="12"/>
        <v>50952</v>
      </c>
      <c r="FO11" s="7">
        <f t="shared" si="12"/>
        <v>50983</v>
      </c>
      <c r="FP11" s="7">
        <f t="shared" si="12"/>
        <v>51014</v>
      </c>
      <c r="FQ11" s="7">
        <f t="shared" si="12"/>
        <v>51044</v>
      </c>
      <c r="FR11" s="7">
        <f t="shared" si="12"/>
        <v>51075</v>
      </c>
      <c r="FS11" s="7">
        <f t="shared" si="12"/>
        <v>51105</v>
      </c>
      <c r="FT11" s="7">
        <f t="shared" si="12"/>
        <v>51136</v>
      </c>
      <c r="FU11" s="7">
        <f t="shared" si="12"/>
        <v>51167</v>
      </c>
      <c r="FV11" s="7">
        <f t="shared" si="12"/>
        <v>51196</v>
      </c>
      <c r="FW11" s="7">
        <f t="shared" si="12"/>
        <v>51227</v>
      </c>
      <c r="FX11" s="7">
        <f t="shared" si="12"/>
        <v>51257</v>
      </c>
      <c r="FY11" s="7">
        <f t="shared" si="12"/>
        <v>51288</v>
      </c>
      <c r="FZ11" s="7">
        <f t="shared" si="12"/>
        <v>51318</v>
      </c>
      <c r="GA11" s="7">
        <f t="shared" si="12"/>
        <v>51349</v>
      </c>
      <c r="GB11" s="7">
        <f t="shared" si="12"/>
        <v>51380</v>
      </c>
      <c r="GC11" s="7">
        <f t="shared" si="12"/>
        <v>51410</v>
      </c>
      <c r="GD11" s="7">
        <f t="shared" si="12"/>
        <v>51441</v>
      </c>
      <c r="GE11" s="7">
        <f t="shared" si="12"/>
        <v>51471</v>
      </c>
      <c r="GF11" s="7">
        <f t="shared" si="12"/>
        <v>51502</v>
      </c>
      <c r="GG11" s="7">
        <f t="shared" si="12"/>
        <v>51533</v>
      </c>
      <c r="GH11" s="7">
        <f t="shared" si="12"/>
        <v>51561</v>
      </c>
      <c r="GI11" s="7">
        <f t="shared" si="12"/>
        <v>51592</v>
      </c>
      <c r="GJ11" s="7">
        <f t="shared" si="12"/>
        <v>51622</v>
      </c>
      <c r="GK11" s="7">
        <f t="shared" si="12"/>
        <v>51653</v>
      </c>
      <c r="GL11" s="7">
        <f t="shared" si="12"/>
        <v>51683</v>
      </c>
      <c r="GM11" s="7">
        <f t="shared" si="12"/>
        <v>51714</v>
      </c>
      <c r="GN11" s="7">
        <f t="shared" si="12"/>
        <v>51745</v>
      </c>
      <c r="GO11" s="7">
        <f t="shared" si="12"/>
        <v>51775</v>
      </c>
      <c r="GP11" s="7">
        <f t="shared" si="12"/>
        <v>51806</v>
      </c>
      <c r="GQ11" s="7">
        <f t="shared" si="12"/>
        <v>51836</v>
      </c>
      <c r="GR11" s="7">
        <f t="shared" si="12"/>
        <v>51867</v>
      </c>
      <c r="GS11" s="7">
        <f t="shared" si="12"/>
        <v>51898</v>
      </c>
      <c r="GT11" s="7">
        <f t="shared" si="12"/>
        <v>51926</v>
      </c>
      <c r="GU11" s="7">
        <f t="shared" si="12"/>
        <v>51957</v>
      </c>
      <c r="GV11" s="7">
        <f t="shared" si="12"/>
        <v>51987</v>
      </c>
      <c r="GW11" s="7">
        <f t="shared" si="12"/>
        <v>52018</v>
      </c>
      <c r="GX11" s="7">
        <f t="shared" si="12"/>
        <v>52048</v>
      </c>
      <c r="GY11" s="7">
        <f t="shared" ref="GY11:JJ11" si="13">GX12+1</f>
        <v>52079</v>
      </c>
      <c r="GZ11" s="7">
        <f t="shared" si="13"/>
        <v>52110</v>
      </c>
      <c r="HA11" s="7">
        <f t="shared" si="13"/>
        <v>52140</v>
      </c>
      <c r="HB11" s="7">
        <f t="shared" si="13"/>
        <v>52171</v>
      </c>
      <c r="HC11" s="7">
        <f t="shared" si="13"/>
        <v>52201</v>
      </c>
      <c r="HD11" s="7">
        <f t="shared" si="13"/>
        <v>52232</v>
      </c>
      <c r="HE11" s="7">
        <f t="shared" si="13"/>
        <v>52263</v>
      </c>
      <c r="HF11" s="7">
        <f t="shared" si="13"/>
        <v>52291</v>
      </c>
      <c r="HG11" s="7">
        <f t="shared" si="13"/>
        <v>52322</v>
      </c>
      <c r="HH11" s="7">
        <f t="shared" si="13"/>
        <v>52352</v>
      </c>
      <c r="HI11" s="7">
        <f t="shared" si="13"/>
        <v>52383</v>
      </c>
      <c r="HJ11" s="7">
        <f t="shared" si="13"/>
        <v>52413</v>
      </c>
      <c r="HK11" s="7">
        <f t="shared" si="13"/>
        <v>52444</v>
      </c>
      <c r="HL11" s="7">
        <f t="shared" si="13"/>
        <v>52475</v>
      </c>
      <c r="HM11" s="7">
        <f t="shared" si="13"/>
        <v>52505</v>
      </c>
      <c r="HN11" s="7">
        <f t="shared" si="13"/>
        <v>52536</v>
      </c>
      <c r="HO11" s="7">
        <f t="shared" si="13"/>
        <v>52566</v>
      </c>
      <c r="HP11" s="7">
        <f t="shared" si="13"/>
        <v>52597</v>
      </c>
      <c r="HQ11" s="7">
        <f t="shared" si="13"/>
        <v>52628</v>
      </c>
      <c r="HR11" s="7">
        <f t="shared" si="13"/>
        <v>52657</v>
      </c>
      <c r="HS11" s="7">
        <f t="shared" si="13"/>
        <v>52688</v>
      </c>
      <c r="HT11" s="7">
        <f t="shared" si="13"/>
        <v>52718</v>
      </c>
      <c r="HU11" s="7">
        <f t="shared" si="13"/>
        <v>52749</v>
      </c>
      <c r="HV11" s="7">
        <f t="shared" si="13"/>
        <v>52779</v>
      </c>
      <c r="HW11" s="7">
        <f t="shared" si="13"/>
        <v>52810</v>
      </c>
      <c r="HX11" s="7">
        <f t="shared" si="13"/>
        <v>52841</v>
      </c>
      <c r="HY11" s="7">
        <f t="shared" si="13"/>
        <v>52871</v>
      </c>
      <c r="HZ11" s="7">
        <f t="shared" si="13"/>
        <v>52902</v>
      </c>
      <c r="IA11" s="7">
        <f t="shared" si="13"/>
        <v>52932</v>
      </c>
      <c r="IB11" s="7">
        <f t="shared" si="13"/>
        <v>52963</v>
      </c>
      <c r="IC11" s="7">
        <f t="shared" si="13"/>
        <v>52994</v>
      </c>
      <c r="ID11" s="7">
        <f t="shared" si="13"/>
        <v>53022</v>
      </c>
      <c r="IE11" s="7">
        <f t="shared" si="13"/>
        <v>53053</v>
      </c>
      <c r="IF11" s="7">
        <f t="shared" si="13"/>
        <v>53083</v>
      </c>
      <c r="IG11" s="7">
        <f t="shared" si="13"/>
        <v>53114</v>
      </c>
      <c r="IH11" s="7">
        <f t="shared" si="13"/>
        <v>53144</v>
      </c>
      <c r="II11" s="7">
        <f t="shared" si="13"/>
        <v>53175</v>
      </c>
      <c r="IJ11" s="7">
        <f t="shared" si="13"/>
        <v>53206</v>
      </c>
      <c r="IK11" s="7">
        <f t="shared" si="13"/>
        <v>53236</v>
      </c>
      <c r="IL11" s="7">
        <f t="shared" si="13"/>
        <v>53267</v>
      </c>
      <c r="IM11" s="7">
        <f t="shared" si="13"/>
        <v>53297</v>
      </c>
      <c r="IN11" s="7">
        <f t="shared" si="13"/>
        <v>53328</v>
      </c>
      <c r="IO11" s="7">
        <f t="shared" si="13"/>
        <v>53359</v>
      </c>
      <c r="IP11" s="7">
        <f t="shared" si="13"/>
        <v>53387</v>
      </c>
      <c r="IQ11" s="7">
        <f t="shared" si="13"/>
        <v>53418</v>
      </c>
      <c r="IR11" s="7">
        <f t="shared" si="13"/>
        <v>53448</v>
      </c>
      <c r="IS11" s="7">
        <f t="shared" si="13"/>
        <v>53479</v>
      </c>
      <c r="IT11" s="7">
        <f t="shared" si="13"/>
        <v>53509</v>
      </c>
      <c r="IU11" s="7">
        <f t="shared" si="13"/>
        <v>53540</v>
      </c>
      <c r="IV11" s="7">
        <f t="shared" si="13"/>
        <v>53571</v>
      </c>
      <c r="IW11" s="7">
        <f t="shared" si="13"/>
        <v>53601</v>
      </c>
      <c r="IX11" s="7">
        <f t="shared" si="13"/>
        <v>53632</v>
      </c>
      <c r="IY11" s="7">
        <f t="shared" si="13"/>
        <v>53662</v>
      </c>
      <c r="IZ11" s="7">
        <f t="shared" si="13"/>
        <v>53693</v>
      </c>
      <c r="JA11" s="7">
        <f t="shared" si="13"/>
        <v>53724</v>
      </c>
      <c r="JB11" s="7">
        <f t="shared" si="13"/>
        <v>53752</v>
      </c>
      <c r="JC11" s="7">
        <f t="shared" si="13"/>
        <v>53783</v>
      </c>
      <c r="JD11" s="7">
        <f t="shared" si="13"/>
        <v>53813</v>
      </c>
      <c r="JE11" s="7">
        <f t="shared" si="13"/>
        <v>53844</v>
      </c>
      <c r="JF11" s="7">
        <f t="shared" si="13"/>
        <v>53874</v>
      </c>
      <c r="JG11" s="7">
        <f t="shared" si="13"/>
        <v>53905</v>
      </c>
      <c r="JH11" s="7">
        <f t="shared" si="13"/>
        <v>53936</v>
      </c>
      <c r="JI11" s="7">
        <f t="shared" si="13"/>
        <v>53966</v>
      </c>
      <c r="JJ11" s="7">
        <f t="shared" si="13"/>
        <v>53997</v>
      </c>
      <c r="JK11" s="7">
        <f t="shared" ref="JK11:KI11" si="14">JJ12+1</f>
        <v>54027</v>
      </c>
      <c r="JL11" s="7">
        <f t="shared" si="14"/>
        <v>54058</v>
      </c>
      <c r="JM11" s="7">
        <f t="shared" si="14"/>
        <v>54089</v>
      </c>
      <c r="JN11" s="7">
        <f t="shared" si="14"/>
        <v>54118</v>
      </c>
      <c r="JO11" s="7">
        <f t="shared" si="14"/>
        <v>54149</v>
      </c>
      <c r="JP11" s="7">
        <f t="shared" si="14"/>
        <v>54179</v>
      </c>
      <c r="JQ11" s="7">
        <f t="shared" si="14"/>
        <v>54210</v>
      </c>
      <c r="JR11" s="7">
        <f t="shared" si="14"/>
        <v>54240</v>
      </c>
      <c r="JS11" s="7">
        <f t="shared" si="14"/>
        <v>54271</v>
      </c>
      <c r="JT11" s="7">
        <f t="shared" si="14"/>
        <v>54302</v>
      </c>
      <c r="JU11" s="7">
        <f t="shared" si="14"/>
        <v>54332</v>
      </c>
      <c r="JV11" s="7">
        <f t="shared" si="14"/>
        <v>54363</v>
      </c>
      <c r="JW11" s="7">
        <f t="shared" si="14"/>
        <v>54393</v>
      </c>
      <c r="JX11" s="7">
        <f t="shared" si="14"/>
        <v>54424</v>
      </c>
      <c r="JY11" s="7">
        <f t="shared" si="14"/>
        <v>54455</v>
      </c>
      <c r="JZ11" s="7">
        <f t="shared" si="14"/>
        <v>54483</v>
      </c>
      <c r="KA11" s="7">
        <f t="shared" si="14"/>
        <v>54514</v>
      </c>
      <c r="KB11" s="7">
        <f t="shared" si="14"/>
        <v>54544</v>
      </c>
      <c r="KC11" s="7">
        <f t="shared" si="14"/>
        <v>54575</v>
      </c>
      <c r="KD11" s="7">
        <f t="shared" si="14"/>
        <v>54605</v>
      </c>
      <c r="KE11" s="7">
        <f t="shared" si="14"/>
        <v>54636</v>
      </c>
      <c r="KF11" s="7">
        <f t="shared" si="14"/>
        <v>54667</v>
      </c>
      <c r="KG11" s="7">
        <f t="shared" si="14"/>
        <v>54697</v>
      </c>
      <c r="KH11" s="7">
        <f t="shared" si="14"/>
        <v>54728</v>
      </c>
      <c r="KI11" s="7">
        <f t="shared" si="14"/>
        <v>54758</v>
      </c>
      <c r="KJ11" s="1"/>
    </row>
    <row r="12" spans="1:296" x14ac:dyDescent="0.35">
      <c r="A12" s="1"/>
      <c r="B12" s="8"/>
      <c r="C12" s="8"/>
      <c r="D12" s="8"/>
      <c r="E12" s="7">
        <f>MAX(N12:KI12)</f>
        <v>54788</v>
      </c>
      <c r="F12" s="7">
        <f>MIN(N12:KI12)</f>
        <v>46234</v>
      </c>
      <c r="G12" s="7"/>
      <c r="H12" s="8" t="s">
        <v>9</v>
      </c>
      <c r="I12" s="1"/>
      <c r="J12" s="1"/>
      <c r="K12" s="1"/>
      <c r="L12" s="1"/>
      <c r="M12" s="6" t="s">
        <v>12</v>
      </c>
      <c r="N12" s="7">
        <f t="shared" ref="N12:BY12" si="15">EOMONTH(N11,0)</f>
        <v>46234</v>
      </c>
      <c r="O12" s="7">
        <f t="shared" si="15"/>
        <v>46265</v>
      </c>
      <c r="P12" s="7">
        <f t="shared" si="15"/>
        <v>46295</v>
      </c>
      <c r="Q12" s="7">
        <f t="shared" si="15"/>
        <v>46326</v>
      </c>
      <c r="R12" s="7">
        <f t="shared" si="15"/>
        <v>46356</v>
      </c>
      <c r="S12" s="7">
        <f t="shared" si="15"/>
        <v>46387</v>
      </c>
      <c r="T12" s="7">
        <f t="shared" si="15"/>
        <v>46418</v>
      </c>
      <c r="U12" s="7">
        <f t="shared" si="15"/>
        <v>46446</v>
      </c>
      <c r="V12" s="7">
        <f t="shared" si="15"/>
        <v>46477</v>
      </c>
      <c r="W12" s="7">
        <f t="shared" si="15"/>
        <v>46507</v>
      </c>
      <c r="X12" s="7">
        <f t="shared" si="15"/>
        <v>46538</v>
      </c>
      <c r="Y12" s="7">
        <f t="shared" si="15"/>
        <v>46568</v>
      </c>
      <c r="Z12" s="7">
        <f t="shared" si="15"/>
        <v>46599</v>
      </c>
      <c r="AA12" s="7">
        <f t="shared" si="15"/>
        <v>46630</v>
      </c>
      <c r="AB12" s="7">
        <f t="shared" si="15"/>
        <v>46660</v>
      </c>
      <c r="AC12" s="7">
        <f t="shared" si="15"/>
        <v>46691</v>
      </c>
      <c r="AD12" s="7">
        <f t="shared" si="15"/>
        <v>46721</v>
      </c>
      <c r="AE12" s="7">
        <f t="shared" si="15"/>
        <v>46752</v>
      </c>
      <c r="AF12" s="7">
        <f t="shared" si="15"/>
        <v>46783</v>
      </c>
      <c r="AG12" s="7">
        <f t="shared" si="15"/>
        <v>46812</v>
      </c>
      <c r="AH12" s="7">
        <f t="shared" si="15"/>
        <v>46843</v>
      </c>
      <c r="AI12" s="7">
        <f t="shared" si="15"/>
        <v>46873</v>
      </c>
      <c r="AJ12" s="7">
        <f t="shared" si="15"/>
        <v>46904</v>
      </c>
      <c r="AK12" s="7">
        <f t="shared" si="15"/>
        <v>46934</v>
      </c>
      <c r="AL12" s="7">
        <f t="shared" si="15"/>
        <v>46965</v>
      </c>
      <c r="AM12" s="7">
        <f t="shared" si="15"/>
        <v>46996</v>
      </c>
      <c r="AN12" s="7">
        <f t="shared" si="15"/>
        <v>47026</v>
      </c>
      <c r="AO12" s="7">
        <f t="shared" si="15"/>
        <v>47057</v>
      </c>
      <c r="AP12" s="7">
        <f t="shared" si="15"/>
        <v>47087</v>
      </c>
      <c r="AQ12" s="7">
        <f t="shared" si="15"/>
        <v>47118</v>
      </c>
      <c r="AR12" s="7">
        <f t="shared" si="15"/>
        <v>47149</v>
      </c>
      <c r="AS12" s="7">
        <f t="shared" si="15"/>
        <v>47177</v>
      </c>
      <c r="AT12" s="7">
        <f t="shared" si="15"/>
        <v>47208</v>
      </c>
      <c r="AU12" s="7">
        <f t="shared" si="15"/>
        <v>47238</v>
      </c>
      <c r="AV12" s="7">
        <f t="shared" si="15"/>
        <v>47269</v>
      </c>
      <c r="AW12" s="7">
        <f t="shared" si="15"/>
        <v>47299</v>
      </c>
      <c r="AX12" s="7">
        <f t="shared" si="15"/>
        <v>47330</v>
      </c>
      <c r="AY12" s="7">
        <f t="shared" si="15"/>
        <v>47361</v>
      </c>
      <c r="AZ12" s="7">
        <f t="shared" si="15"/>
        <v>47391</v>
      </c>
      <c r="BA12" s="7">
        <f t="shared" si="15"/>
        <v>47422</v>
      </c>
      <c r="BB12" s="7">
        <f t="shared" si="15"/>
        <v>47452</v>
      </c>
      <c r="BC12" s="7">
        <f t="shared" si="15"/>
        <v>47483</v>
      </c>
      <c r="BD12" s="7">
        <f t="shared" si="15"/>
        <v>47514</v>
      </c>
      <c r="BE12" s="7">
        <f t="shared" si="15"/>
        <v>47542</v>
      </c>
      <c r="BF12" s="7">
        <f t="shared" si="15"/>
        <v>47573</v>
      </c>
      <c r="BG12" s="7">
        <f t="shared" si="15"/>
        <v>47603</v>
      </c>
      <c r="BH12" s="7">
        <f t="shared" si="15"/>
        <v>47634</v>
      </c>
      <c r="BI12" s="7">
        <f t="shared" si="15"/>
        <v>47664</v>
      </c>
      <c r="BJ12" s="7">
        <f t="shared" si="15"/>
        <v>47695</v>
      </c>
      <c r="BK12" s="7">
        <f t="shared" si="15"/>
        <v>47726</v>
      </c>
      <c r="BL12" s="7">
        <f t="shared" si="15"/>
        <v>47756</v>
      </c>
      <c r="BM12" s="7">
        <f t="shared" si="15"/>
        <v>47787</v>
      </c>
      <c r="BN12" s="7">
        <f t="shared" si="15"/>
        <v>47817</v>
      </c>
      <c r="BO12" s="7">
        <f t="shared" si="15"/>
        <v>47848</v>
      </c>
      <c r="BP12" s="7">
        <f t="shared" si="15"/>
        <v>47879</v>
      </c>
      <c r="BQ12" s="7">
        <f t="shared" si="15"/>
        <v>47907</v>
      </c>
      <c r="BR12" s="7">
        <f t="shared" si="15"/>
        <v>47938</v>
      </c>
      <c r="BS12" s="7">
        <f t="shared" si="15"/>
        <v>47968</v>
      </c>
      <c r="BT12" s="7">
        <f t="shared" si="15"/>
        <v>47999</v>
      </c>
      <c r="BU12" s="7">
        <f t="shared" si="15"/>
        <v>48029</v>
      </c>
      <c r="BV12" s="7">
        <f t="shared" si="15"/>
        <v>48060</v>
      </c>
      <c r="BW12" s="7">
        <f t="shared" si="15"/>
        <v>48091</v>
      </c>
      <c r="BX12" s="7">
        <f t="shared" si="15"/>
        <v>48121</v>
      </c>
      <c r="BY12" s="7">
        <f t="shared" si="15"/>
        <v>48152</v>
      </c>
      <c r="BZ12" s="7">
        <f t="shared" ref="BZ12:EK12" si="16">EOMONTH(BZ11,0)</f>
        <v>48182</v>
      </c>
      <c r="CA12" s="7">
        <f t="shared" si="16"/>
        <v>48213</v>
      </c>
      <c r="CB12" s="7">
        <f t="shared" si="16"/>
        <v>48244</v>
      </c>
      <c r="CC12" s="7">
        <f t="shared" si="16"/>
        <v>48273</v>
      </c>
      <c r="CD12" s="7">
        <f t="shared" si="16"/>
        <v>48304</v>
      </c>
      <c r="CE12" s="7">
        <f t="shared" si="16"/>
        <v>48334</v>
      </c>
      <c r="CF12" s="7">
        <f t="shared" si="16"/>
        <v>48365</v>
      </c>
      <c r="CG12" s="7">
        <f t="shared" si="16"/>
        <v>48395</v>
      </c>
      <c r="CH12" s="7">
        <f t="shared" si="16"/>
        <v>48426</v>
      </c>
      <c r="CI12" s="7">
        <f t="shared" si="16"/>
        <v>48457</v>
      </c>
      <c r="CJ12" s="7">
        <f t="shared" si="16"/>
        <v>48487</v>
      </c>
      <c r="CK12" s="7">
        <f t="shared" si="16"/>
        <v>48518</v>
      </c>
      <c r="CL12" s="7">
        <f t="shared" si="16"/>
        <v>48548</v>
      </c>
      <c r="CM12" s="7">
        <f t="shared" si="16"/>
        <v>48579</v>
      </c>
      <c r="CN12" s="7">
        <f t="shared" si="16"/>
        <v>48610</v>
      </c>
      <c r="CO12" s="7">
        <f t="shared" si="16"/>
        <v>48638</v>
      </c>
      <c r="CP12" s="7">
        <f t="shared" si="16"/>
        <v>48669</v>
      </c>
      <c r="CQ12" s="7">
        <f t="shared" si="16"/>
        <v>48699</v>
      </c>
      <c r="CR12" s="7">
        <f t="shared" si="16"/>
        <v>48730</v>
      </c>
      <c r="CS12" s="7">
        <f t="shared" si="16"/>
        <v>48760</v>
      </c>
      <c r="CT12" s="7">
        <f t="shared" si="16"/>
        <v>48791</v>
      </c>
      <c r="CU12" s="7">
        <f t="shared" si="16"/>
        <v>48822</v>
      </c>
      <c r="CV12" s="7">
        <f t="shared" si="16"/>
        <v>48852</v>
      </c>
      <c r="CW12" s="7">
        <f t="shared" si="16"/>
        <v>48883</v>
      </c>
      <c r="CX12" s="7">
        <f t="shared" si="16"/>
        <v>48913</v>
      </c>
      <c r="CY12" s="7">
        <f t="shared" si="16"/>
        <v>48944</v>
      </c>
      <c r="CZ12" s="7">
        <f t="shared" si="16"/>
        <v>48975</v>
      </c>
      <c r="DA12" s="7">
        <f t="shared" si="16"/>
        <v>49003</v>
      </c>
      <c r="DB12" s="7">
        <f t="shared" si="16"/>
        <v>49034</v>
      </c>
      <c r="DC12" s="7">
        <f t="shared" si="16"/>
        <v>49064</v>
      </c>
      <c r="DD12" s="7">
        <f t="shared" si="16"/>
        <v>49095</v>
      </c>
      <c r="DE12" s="7">
        <f t="shared" si="16"/>
        <v>49125</v>
      </c>
      <c r="DF12" s="7">
        <f t="shared" si="16"/>
        <v>49156</v>
      </c>
      <c r="DG12" s="7">
        <f t="shared" si="16"/>
        <v>49187</v>
      </c>
      <c r="DH12" s="7">
        <f t="shared" si="16"/>
        <v>49217</v>
      </c>
      <c r="DI12" s="7">
        <f t="shared" si="16"/>
        <v>49248</v>
      </c>
      <c r="DJ12" s="7">
        <f t="shared" si="16"/>
        <v>49278</v>
      </c>
      <c r="DK12" s="7">
        <f t="shared" si="16"/>
        <v>49309</v>
      </c>
      <c r="DL12" s="7">
        <f t="shared" si="16"/>
        <v>49340</v>
      </c>
      <c r="DM12" s="7">
        <f t="shared" si="16"/>
        <v>49368</v>
      </c>
      <c r="DN12" s="7">
        <f t="shared" si="16"/>
        <v>49399</v>
      </c>
      <c r="DO12" s="7">
        <f t="shared" si="16"/>
        <v>49429</v>
      </c>
      <c r="DP12" s="7">
        <f t="shared" si="16"/>
        <v>49460</v>
      </c>
      <c r="DQ12" s="7">
        <f t="shared" si="16"/>
        <v>49490</v>
      </c>
      <c r="DR12" s="7">
        <f t="shared" si="16"/>
        <v>49521</v>
      </c>
      <c r="DS12" s="7">
        <f t="shared" si="16"/>
        <v>49552</v>
      </c>
      <c r="DT12" s="7">
        <f t="shared" si="16"/>
        <v>49582</v>
      </c>
      <c r="DU12" s="7">
        <f t="shared" si="16"/>
        <v>49613</v>
      </c>
      <c r="DV12" s="7">
        <f t="shared" si="16"/>
        <v>49643</v>
      </c>
      <c r="DW12" s="7">
        <f t="shared" si="16"/>
        <v>49674</v>
      </c>
      <c r="DX12" s="7">
        <f t="shared" si="16"/>
        <v>49705</v>
      </c>
      <c r="DY12" s="7">
        <f t="shared" si="16"/>
        <v>49734</v>
      </c>
      <c r="DZ12" s="7">
        <f t="shared" si="16"/>
        <v>49765</v>
      </c>
      <c r="EA12" s="7">
        <f t="shared" si="16"/>
        <v>49795</v>
      </c>
      <c r="EB12" s="7">
        <f t="shared" si="16"/>
        <v>49826</v>
      </c>
      <c r="EC12" s="7">
        <f t="shared" si="16"/>
        <v>49856</v>
      </c>
      <c r="ED12" s="7">
        <f t="shared" si="16"/>
        <v>49887</v>
      </c>
      <c r="EE12" s="7">
        <f t="shared" si="16"/>
        <v>49918</v>
      </c>
      <c r="EF12" s="7">
        <f t="shared" si="16"/>
        <v>49948</v>
      </c>
      <c r="EG12" s="7">
        <f t="shared" si="16"/>
        <v>49979</v>
      </c>
      <c r="EH12" s="7">
        <f t="shared" si="16"/>
        <v>50009</v>
      </c>
      <c r="EI12" s="7">
        <f t="shared" si="16"/>
        <v>50040</v>
      </c>
      <c r="EJ12" s="7">
        <f t="shared" si="16"/>
        <v>50071</v>
      </c>
      <c r="EK12" s="7">
        <f t="shared" si="16"/>
        <v>50099</v>
      </c>
      <c r="EL12" s="7">
        <f t="shared" ref="EL12:GW12" si="17">EOMONTH(EL11,0)</f>
        <v>50130</v>
      </c>
      <c r="EM12" s="7">
        <f t="shared" si="17"/>
        <v>50160</v>
      </c>
      <c r="EN12" s="7">
        <f t="shared" si="17"/>
        <v>50191</v>
      </c>
      <c r="EO12" s="7">
        <f t="shared" si="17"/>
        <v>50221</v>
      </c>
      <c r="EP12" s="7">
        <f t="shared" si="17"/>
        <v>50252</v>
      </c>
      <c r="EQ12" s="7">
        <f t="shared" si="17"/>
        <v>50283</v>
      </c>
      <c r="ER12" s="7">
        <f t="shared" si="17"/>
        <v>50313</v>
      </c>
      <c r="ES12" s="7">
        <f t="shared" si="17"/>
        <v>50344</v>
      </c>
      <c r="ET12" s="7">
        <f t="shared" si="17"/>
        <v>50374</v>
      </c>
      <c r="EU12" s="7">
        <f t="shared" si="17"/>
        <v>50405</v>
      </c>
      <c r="EV12" s="7">
        <f t="shared" si="17"/>
        <v>50436</v>
      </c>
      <c r="EW12" s="7">
        <f t="shared" si="17"/>
        <v>50464</v>
      </c>
      <c r="EX12" s="7">
        <f t="shared" si="17"/>
        <v>50495</v>
      </c>
      <c r="EY12" s="7">
        <f t="shared" si="17"/>
        <v>50525</v>
      </c>
      <c r="EZ12" s="7">
        <f t="shared" si="17"/>
        <v>50556</v>
      </c>
      <c r="FA12" s="7">
        <f t="shared" si="17"/>
        <v>50586</v>
      </c>
      <c r="FB12" s="7">
        <f t="shared" si="17"/>
        <v>50617</v>
      </c>
      <c r="FC12" s="7">
        <f t="shared" si="17"/>
        <v>50648</v>
      </c>
      <c r="FD12" s="7">
        <f t="shared" si="17"/>
        <v>50678</v>
      </c>
      <c r="FE12" s="7">
        <f t="shared" si="17"/>
        <v>50709</v>
      </c>
      <c r="FF12" s="7">
        <f t="shared" si="17"/>
        <v>50739</v>
      </c>
      <c r="FG12" s="7">
        <f t="shared" si="17"/>
        <v>50770</v>
      </c>
      <c r="FH12" s="7">
        <f t="shared" si="17"/>
        <v>50801</v>
      </c>
      <c r="FI12" s="7">
        <f t="shared" si="17"/>
        <v>50829</v>
      </c>
      <c r="FJ12" s="7">
        <f t="shared" si="17"/>
        <v>50860</v>
      </c>
      <c r="FK12" s="7">
        <f t="shared" si="17"/>
        <v>50890</v>
      </c>
      <c r="FL12" s="7">
        <f t="shared" si="17"/>
        <v>50921</v>
      </c>
      <c r="FM12" s="7">
        <f t="shared" si="17"/>
        <v>50951</v>
      </c>
      <c r="FN12" s="7">
        <f t="shared" si="17"/>
        <v>50982</v>
      </c>
      <c r="FO12" s="7">
        <f t="shared" si="17"/>
        <v>51013</v>
      </c>
      <c r="FP12" s="7">
        <f t="shared" si="17"/>
        <v>51043</v>
      </c>
      <c r="FQ12" s="7">
        <f t="shared" si="17"/>
        <v>51074</v>
      </c>
      <c r="FR12" s="7">
        <f t="shared" si="17"/>
        <v>51104</v>
      </c>
      <c r="FS12" s="7">
        <f t="shared" si="17"/>
        <v>51135</v>
      </c>
      <c r="FT12" s="7">
        <f t="shared" si="17"/>
        <v>51166</v>
      </c>
      <c r="FU12" s="7">
        <f t="shared" si="17"/>
        <v>51195</v>
      </c>
      <c r="FV12" s="7">
        <f t="shared" si="17"/>
        <v>51226</v>
      </c>
      <c r="FW12" s="7">
        <f t="shared" si="17"/>
        <v>51256</v>
      </c>
      <c r="FX12" s="7">
        <f t="shared" si="17"/>
        <v>51287</v>
      </c>
      <c r="FY12" s="7">
        <f t="shared" si="17"/>
        <v>51317</v>
      </c>
      <c r="FZ12" s="7">
        <f t="shared" si="17"/>
        <v>51348</v>
      </c>
      <c r="GA12" s="7">
        <f t="shared" si="17"/>
        <v>51379</v>
      </c>
      <c r="GB12" s="7">
        <f t="shared" si="17"/>
        <v>51409</v>
      </c>
      <c r="GC12" s="7">
        <f t="shared" si="17"/>
        <v>51440</v>
      </c>
      <c r="GD12" s="7">
        <f t="shared" si="17"/>
        <v>51470</v>
      </c>
      <c r="GE12" s="7">
        <f t="shared" si="17"/>
        <v>51501</v>
      </c>
      <c r="GF12" s="7">
        <f t="shared" si="17"/>
        <v>51532</v>
      </c>
      <c r="GG12" s="7">
        <f t="shared" si="17"/>
        <v>51560</v>
      </c>
      <c r="GH12" s="7">
        <f t="shared" si="17"/>
        <v>51591</v>
      </c>
      <c r="GI12" s="7">
        <f t="shared" si="17"/>
        <v>51621</v>
      </c>
      <c r="GJ12" s="7">
        <f t="shared" si="17"/>
        <v>51652</v>
      </c>
      <c r="GK12" s="7">
        <f t="shared" si="17"/>
        <v>51682</v>
      </c>
      <c r="GL12" s="7">
        <f t="shared" si="17"/>
        <v>51713</v>
      </c>
      <c r="GM12" s="7">
        <f t="shared" si="17"/>
        <v>51744</v>
      </c>
      <c r="GN12" s="7">
        <f t="shared" si="17"/>
        <v>51774</v>
      </c>
      <c r="GO12" s="7">
        <f t="shared" si="17"/>
        <v>51805</v>
      </c>
      <c r="GP12" s="7">
        <f t="shared" si="17"/>
        <v>51835</v>
      </c>
      <c r="GQ12" s="7">
        <f t="shared" si="17"/>
        <v>51866</v>
      </c>
      <c r="GR12" s="7">
        <f t="shared" si="17"/>
        <v>51897</v>
      </c>
      <c r="GS12" s="7">
        <f t="shared" si="17"/>
        <v>51925</v>
      </c>
      <c r="GT12" s="7">
        <f t="shared" si="17"/>
        <v>51956</v>
      </c>
      <c r="GU12" s="7">
        <f t="shared" si="17"/>
        <v>51986</v>
      </c>
      <c r="GV12" s="7">
        <f t="shared" si="17"/>
        <v>52017</v>
      </c>
      <c r="GW12" s="7">
        <f t="shared" si="17"/>
        <v>52047</v>
      </c>
      <c r="GX12" s="7">
        <f t="shared" ref="GX12:JI12" si="18">EOMONTH(GX11,0)</f>
        <v>52078</v>
      </c>
      <c r="GY12" s="7">
        <f t="shared" si="18"/>
        <v>52109</v>
      </c>
      <c r="GZ12" s="7">
        <f t="shared" si="18"/>
        <v>52139</v>
      </c>
      <c r="HA12" s="7">
        <f t="shared" si="18"/>
        <v>52170</v>
      </c>
      <c r="HB12" s="7">
        <f t="shared" si="18"/>
        <v>52200</v>
      </c>
      <c r="HC12" s="7">
        <f t="shared" si="18"/>
        <v>52231</v>
      </c>
      <c r="HD12" s="7">
        <f t="shared" si="18"/>
        <v>52262</v>
      </c>
      <c r="HE12" s="7">
        <f t="shared" si="18"/>
        <v>52290</v>
      </c>
      <c r="HF12" s="7">
        <f t="shared" si="18"/>
        <v>52321</v>
      </c>
      <c r="HG12" s="7">
        <f t="shared" si="18"/>
        <v>52351</v>
      </c>
      <c r="HH12" s="7">
        <f t="shared" si="18"/>
        <v>52382</v>
      </c>
      <c r="HI12" s="7">
        <f t="shared" si="18"/>
        <v>52412</v>
      </c>
      <c r="HJ12" s="7">
        <f t="shared" si="18"/>
        <v>52443</v>
      </c>
      <c r="HK12" s="7">
        <f t="shared" si="18"/>
        <v>52474</v>
      </c>
      <c r="HL12" s="7">
        <f t="shared" si="18"/>
        <v>52504</v>
      </c>
      <c r="HM12" s="7">
        <f t="shared" si="18"/>
        <v>52535</v>
      </c>
      <c r="HN12" s="7">
        <f t="shared" si="18"/>
        <v>52565</v>
      </c>
      <c r="HO12" s="7">
        <f t="shared" si="18"/>
        <v>52596</v>
      </c>
      <c r="HP12" s="7">
        <f t="shared" si="18"/>
        <v>52627</v>
      </c>
      <c r="HQ12" s="7">
        <f t="shared" si="18"/>
        <v>52656</v>
      </c>
      <c r="HR12" s="7">
        <f t="shared" si="18"/>
        <v>52687</v>
      </c>
      <c r="HS12" s="7">
        <f t="shared" si="18"/>
        <v>52717</v>
      </c>
      <c r="HT12" s="7">
        <f t="shared" si="18"/>
        <v>52748</v>
      </c>
      <c r="HU12" s="7">
        <f t="shared" si="18"/>
        <v>52778</v>
      </c>
      <c r="HV12" s="7">
        <f t="shared" si="18"/>
        <v>52809</v>
      </c>
      <c r="HW12" s="7">
        <f t="shared" si="18"/>
        <v>52840</v>
      </c>
      <c r="HX12" s="7">
        <f t="shared" si="18"/>
        <v>52870</v>
      </c>
      <c r="HY12" s="7">
        <f t="shared" si="18"/>
        <v>52901</v>
      </c>
      <c r="HZ12" s="7">
        <f t="shared" si="18"/>
        <v>52931</v>
      </c>
      <c r="IA12" s="7">
        <f t="shared" si="18"/>
        <v>52962</v>
      </c>
      <c r="IB12" s="7">
        <f t="shared" si="18"/>
        <v>52993</v>
      </c>
      <c r="IC12" s="7">
        <f t="shared" si="18"/>
        <v>53021</v>
      </c>
      <c r="ID12" s="7">
        <f t="shared" si="18"/>
        <v>53052</v>
      </c>
      <c r="IE12" s="7">
        <f t="shared" si="18"/>
        <v>53082</v>
      </c>
      <c r="IF12" s="7">
        <f t="shared" si="18"/>
        <v>53113</v>
      </c>
      <c r="IG12" s="7">
        <f t="shared" si="18"/>
        <v>53143</v>
      </c>
      <c r="IH12" s="7">
        <f t="shared" si="18"/>
        <v>53174</v>
      </c>
      <c r="II12" s="7">
        <f t="shared" si="18"/>
        <v>53205</v>
      </c>
      <c r="IJ12" s="7">
        <f t="shared" si="18"/>
        <v>53235</v>
      </c>
      <c r="IK12" s="7">
        <f t="shared" si="18"/>
        <v>53266</v>
      </c>
      <c r="IL12" s="7">
        <f t="shared" si="18"/>
        <v>53296</v>
      </c>
      <c r="IM12" s="7">
        <f t="shared" si="18"/>
        <v>53327</v>
      </c>
      <c r="IN12" s="7">
        <f t="shared" si="18"/>
        <v>53358</v>
      </c>
      <c r="IO12" s="7">
        <f t="shared" si="18"/>
        <v>53386</v>
      </c>
      <c r="IP12" s="7">
        <f t="shared" si="18"/>
        <v>53417</v>
      </c>
      <c r="IQ12" s="7">
        <f t="shared" si="18"/>
        <v>53447</v>
      </c>
      <c r="IR12" s="7">
        <f t="shared" si="18"/>
        <v>53478</v>
      </c>
      <c r="IS12" s="7">
        <f t="shared" si="18"/>
        <v>53508</v>
      </c>
      <c r="IT12" s="7">
        <f t="shared" si="18"/>
        <v>53539</v>
      </c>
      <c r="IU12" s="7">
        <f t="shared" si="18"/>
        <v>53570</v>
      </c>
      <c r="IV12" s="7">
        <f t="shared" si="18"/>
        <v>53600</v>
      </c>
      <c r="IW12" s="7">
        <f t="shared" si="18"/>
        <v>53631</v>
      </c>
      <c r="IX12" s="7">
        <f t="shared" si="18"/>
        <v>53661</v>
      </c>
      <c r="IY12" s="7">
        <f t="shared" si="18"/>
        <v>53692</v>
      </c>
      <c r="IZ12" s="7">
        <f t="shared" si="18"/>
        <v>53723</v>
      </c>
      <c r="JA12" s="7">
        <f t="shared" si="18"/>
        <v>53751</v>
      </c>
      <c r="JB12" s="7">
        <f t="shared" si="18"/>
        <v>53782</v>
      </c>
      <c r="JC12" s="7">
        <f t="shared" si="18"/>
        <v>53812</v>
      </c>
      <c r="JD12" s="7">
        <f t="shared" si="18"/>
        <v>53843</v>
      </c>
      <c r="JE12" s="7">
        <f t="shared" si="18"/>
        <v>53873</v>
      </c>
      <c r="JF12" s="7">
        <f t="shared" si="18"/>
        <v>53904</v>
      </c>
      <c r="JG12" s="7">
        <f t="shared" si="18"/>
        <v>53935</v>
      </c>
      <c r="JH12" s="7">
        <f t="shared" si="18"/>
        <v>53965</v>
      </c>
      <c r="JI12" s="7">
        <f t="shared" si="18"/>
        <v>53996</v>
      </c>
      <c r="JJ12" s="7">
        <f t="shared" ref="JJ12:KI12" si="19">EOMONTH(JJ11,0)</f>
        <v>54026</v>
      </c>
      <c r="JK12" s="7">
        <f t="shared" si="19"/>
        <v>54057</v>
      </c>
      <c r="JL12" s="7">
        <f t="shared" si="19"/>
        <v>54088</v>
      </c>
      <c r="JM12" s="7">
        <f t="shared" si="19"/>
        <v>54117</v>
      </c>
      <c r="JN12" s="7">
        <f t="shared" si="19"/>
        <v>54148</v>
      </c>
      <c r="JO12" s="7">
        <f t="shared" si="19"/>
        <v>54178</v>
      </c>
      <c r="JP12" s="7">
        <f t="shared" si="19"/>
        <v>54209</v>
      </c>
      <c r="JQ12" s="7">
        <f t="shared" si="19"/>
        <v>54239</v>
      </c>
      <c r="JR12" s="7">
        <f t="shared" si="19"/>
        <v>54270</v>
      </c>
      <c r="JS12" s="7">
        <f t="shared" si="19"/>
        <v>54301</v>
      </c>
      <c r="JT12" s="7">
        <f t="shared" si="19"/>
        <v>54331</v>
      </c>
      <c r="JU12" s="7">
        <f t="shared" si="19"/>
        <v>54362</v>
      </c>
      <c r="JV12" s="7">
        <f t="shared" si="19"/>
        <v>54392</v>
      </c>
      <c r="JW12" s="7">
        <f t="shared" si="19"/>
        <v>54423</v>
      </c>
      <c r="JX12" s="7">
        <f t="shared" si="19"/>
        <v>54454</v>
      </c>
      <c r="JY12" s="7">
        <f t="shared" si="19"/>
        <v>54482</v>
      </c>
      <c r="JZ12" s="7">
        <f t="shared" si="19"/>
        <v>54513</v>
      </c>
      <c r="KA12" s="7">
        <f t="shared" si="19"/>
        <v>54543</v>
      </c>
      <c r="KB12" s="7">
        <f t="shared" si="19"/>
        <v>54574</v>
      </c>
      <c r="KC12" s="7">
        <f t="shared" si="19"/>
        <v>54604</v>
      </c>
      <c r="KD12" s="7">
        <f t="shared" si="19"/>
        <v>54635</v>
      </c>
      <c r="KE12" s="7">
        <f t="shared" si="19"/>
        <v>54666</v>
      </c>
      <c r="KF12" s="7">
        <f t="shared" si="19"/>
        <v>54696</v>
      </c>
      <c r="KG12" s="7">
        <f t="shared" si="19"/>
        <v>54727</v>
      </c>
      <c r="KH12" s="7">
        <f t="shared" si="19"/>
        <v>54757</v>
      </c>
      <c r="KI12" s="7">
        <f t="shared" si="19"/>
        <v>54788</v>
      </c>
      <c r="KJ12" s="1"/>
    </row>
    <row r="13" spans="1:296" x14ac:dyDescent="0.35">
      <c r="A13" s="1"/>
      <c r="B13" s="8"/>
      <c r="C13" s="8"/>
      <c r="D13" s="8"/>
      <c r="E13" s="8"/>
      <c r="F13" s="8"/>
      <c r="G13" s="8"/>
      <c r="H13" s="8" t="s">
        <v>9</v>
      </c>
      <c r="I13" s="1"/>
      <c r="J13" s="1"/>
      <c r="K13" s="1"/>
      <c r="L13" s="1"/>
      <c r="M13" s="6" t="s">
        <v>13</v>
      </c>
      <c r="N13" s="6" t="str">
        <f t="shared" ref="N13:BY13" si="20">"CY"&amp;RIGHT(YEAR(N11),2)</f>
        <v>CY26</v>
      </c>
      <c r="O13" s="6" t="str">
        <f t="shared" si="20"/>
        <v>CY26</v>
      </c>
      <c r="P13" s="6" t="str">
        <f t="shared" si="20"/>
        <v>CY26</v>
      </c>
      <c r="Q13" s="6" t="str">
        <f t="shared" si="20"/>
        <v>CY26</v>
      </c>
      <c r="R13" s="6" t="str">
        <f t="shared" si="20"/>
        <v>CY26</v>
      </c>
      <c r="S13" s="6" t="str">
        <f t="shared" si="20"/>
        <v>CY26</v>
      </c>
      <c r="T13" s="6" t="str">
        <f t="shared" si="20"/>
        <v>CY27</v>
      </c>
      <c r="U13" s="6" t="str">
        <f t="shared" si="20"/>
        <v>CY27</v>
      </c>
      <c r="V13" s="6" t="str">
        <f t="shared" si="20"/>
        <v>CY27</v>
      </c>
      <c r="W13" s="6" t="str">
        <f t="shared" si="20"/>
        <v>CY27</v>
      </c>
      <c r="X13" s="6" t="str">
        <f t="shared" si="20"/>
        <v>CY27</v>
      </c>
      <c r="Y13" s="6" t="str">
        <f t="shared" si="20"/>
        <v>CY27</v>
      </c>
      <c r="Z13" s="6" t="str">
        <f t="shared" si="20"/>
        <v>CY27</v>
      </c>
      <c r="AA13" s="6" t="str">
        <f t="shared" si="20"/>
        <v>CY27</v>
      </c>
      <c r="AB13" s="6" t="str">
        <f t="shared" si="20"/>
        <v>CY27</v>
      </c>
      <c r="AC13" s="6" t="str">
        <f t="shared" si="20"/>
        <v>CY27</v>
      </c>
      <c r="AD13" s="6" t="str">
        <f t="shared" si="20"/>
        <v>CY27</v>
      </c>
      <c r="AE13" s="6" t="str">
        <f t="shared" si="20"/>
        <v>CY27</v>
      </c>
      <c r="AF13" s="6" t="str">
        <f t="shared" si="20"/>
        <v>CY28</v>
      </c>
      <c r="AG13" s="6" t="str">
        <f t="shared" si="20"/>
        <v>CY28</v>
      </c>
      <c r="AH13" s="6" t="str">
        <f t="shared" si="20"/>
        <v>CY28</v>
      </c>
      <c r="AI13" s="6" t="str">
        <f t="shared" si="20"/>
        <v>CY28</v>
      </c>
      <c r="AJ13" s="6" t="str">
        <f t="shared" si="20"/>
        <v>CY28</v>
      </c>
      <c r="AK13" s="6" t="str">
        <f t="shared" si="20"/>
        <v>CY28</v>
      </c>
      <c r="AL13" s="6" t="str">
        <f t="shared" si="20"/>
        <v>CY28</v>
      </c>
      <c r="AM13" s="6" t="str">
        <f t="shared" si="20"/>
        <v>CY28</v>
      </c>
      <c r="AN13" s="6" t="str">
        <f t="shared" si="20"/>
        <v>CY28</v>
      </c>
      <c r="AO13" s="6" t="str">
        <f t="shared" si="20"/>
        <v>CY28</v>
      </c>
      <c r="AP13" s="6" t="str">
        <f t="shared" si="20"/>
        <v>CY28</v>
      </c>
      <c r="AQ13" s="6" t="str">
        <f t="shared" si="20"/>
        <v>CY28</v>
      </c>
      <c r="AR13" s="6" t="str">
        <f t="shared" si="20"/>
        <v>CY29</v>
      </c>
      <c r="AS13" s="6" t="str">
        <f t="shared" si="20"/>
        <v>CY29</v>
      </c>
      <c r="AT13" s="6" t="str">
        <f t="shared" si="20"/>
        <v>CY29</v>
      </c>
      <c r="AU13" s="6" t="str">
        <f t="shared" si="20"/>
        <v>CY29</v>
      </c>
      <c r="AV13" s="6" t="str">
        <f t="shared" si="20"/>
        <v>CY29</v>
      </c>
      <c r="AW13" s="6" t="str">
        <f t="shared" si="20"/>
        <v>CY29</v>
      </c>
      <c r="AX13" s="6" t="str">
        <f t="shared" si="20"/>
        <v>CY29</v>
      </c>
      <c r="AY13" s="6" t="str">
        <f t="shared" si="20"/>
        <v>CY29</v>
      </c>
      <c r="AZ13" s="6" t="str">
        <f t="shared" si="20"/>
        <v>CY29</v>
      </c>
      <c r="BA13" s="6" t="str">
        <f t="shared" si="20"/>
        <v>CY29</v>
      </c>
      <c r="BB13" s="6" t="str">
        <f t="shared" si="20"/>
        <v>CY29</v>
      </c>
      <c r="BC13" s="6" t="str">
        <f t="shared" si="20"/>
        <v>CY29</v>
      </c>
      <c r="BD13" s="6" t="str">
        <f t="shared" si="20"/>
        <v>CY30</v>
      </c>
      <c r="BE13" s="6" t="str">
        <f t="shared" si="20"/>
        <v>CY30</v>
      </c>
      <c r="BF13" s="6" t="str">
        <f t="shared" si="20"/>
        <v>CY30</v>
      </c>
      <c r="BG13" s="6" t="str">
        <f t="shared" si="20"/>
        <v>CY30</v>
      </c>
      <c r="BH13" s="6" t="str">
        <f t="shared" si="20"/>
        <v>CY30</v>
      </c>
      <c r="BI13" s="6" t="str">
        <f t="shared" si="20"/>
        <v>CY30</v>
      </c>
      <c r="BJ13" s="6" t="str">
        <f t="shared" si="20"/>
        <v>CY30</v>
      </c>
      <c r="BK13" s="6" t="str">
        <f t="shared" si="20"/>
        <v>CY30</v>
      </c>
      <c r="BL13" s="6" t="str">
        <f t="shared" si="20"/>
        <v>CY30</v>
      </c>
      <c r="BM13" s="6" t="str">
        <f t="shared" si="20"/>
        <v>CY30</v>
      </c>
      <c r="BN13" s="6" t="str">
        <f t="shared" si="20"/>
        <v>CY30</v>
      </c>
      <c r="BO13" s="6" t="str">
        <f t="shared" si="20"/>
        <v>CY30</v>
      </c>
      <c r="BP13" s="6" t="str">
        <f t="shared" si="20"/>
        <v>CY31</v>
      </c>
      <c r="BQ13" s="6" t="str">
        <f t="shared" si="20"/>
        <v>CY31</v>
      </c>
      <c r="BR13" s="6" t="str">
        <f t="shared" si="20"/>
        <v>CY31</v>
      </c>
      <c r="BS13" s="6" t="str">
        <f t="shared" si="20"/>
        <v>CY31</v>
      </c>
      <c r="BT13" s="6" t="str">
        <f t="shared" si="20"/>
        <v>CY31</v>
      </c>
      <c r="BU13" s="6" t="str">
        <f t="shared" si="20"/>
        <v>CY31</v>
      </c>
      <c r="BV13" s="6" t="str">
        <f t="shared" si="20"/>
        <v>CY31</v>
      </c>
      <c r="BW13" s="6" t="str">
        <f t="shared" si="20"/>
        <v>CY31</v>
      </c>
      <c r="BX13" s="6" t="str">
        <f t="shared" si="20"/>
        <v>CY31</v>
      </c>
      <c r="BY13" s="6" t="str">
        <f t="shared" si="20"/>
        <v>CY31</v>
      </c>
      <c r="BZ13" s="6" t="str">
        <f t="shared" ref="BZ13:EK13" si="21">"CY"&amp;RIGHT(YEAR(BZ11),2)</f>
        <v>CY31</v>
      </c>
      <c r="CA13" s="6" t="str">
        <f t="shared" si="21"/>
        <v>CY31</v>
      </c>
      <c r="CB13" s="6" t="str">
        <f t="shared" si="21"/>
        <v>CY32</v>
      </c>
      <c r="CC13" s="6" t="str">
        <f t="shared" si="21"/>
        <v>CY32</v>
      </c>
      <c r="CD13" s="6" t="str">
        <f t="shared" si="21"/>
        <v>CY32</v>
      </c>
      <c r="CE13" s="6" t="str">
        <f t="shared" si="21"/>
        <v>CY32</v>
      </c>
      <c r="CF13" s="6" t="str">
        <f t="shared" si="21"/>
        <v>CY32</v>
      </c>
      <c r="CG13" s="6" t="str">
        <f t="shared" si="21"/>
        <v>CY32</v>
      </c>
      <c r="CH13" s="6" t="str">
        <f t="shared" si="21"/>
        <v>CY32</v>
      </c>
      <c r="CI13" s="6" t="str">
        <f t="shared" si="21"/>
        <v>CY32</v>
      </c>
      <c r="CJ13" s="6" t="str">
        <f t="shared" si="21"/>
        <v>CY32</v>
      </c>
      <c r="CK13" s="6" t="str">
        <f t="shared" si="21"/>
        <v>CY32</v>
      </c>
      <c r="CL13" s="6" t="str">
        <f t="shared" si="21"/>
        <v>CY32</v>
      </c>
      <c r="CM13" s="6" t="str">
        <f t="shared" si="21"/>
        <v>CY32</v>
      </c>
      <c r="CN13" s="6" t="str">
        <f t="shared" si="21"/>
        <v>CY33</v>
      </c>
      <c r="CO13" s="6" t="str">
        <f t="shared" si="21"/>
        <v>CY33</v>
      </c>
      <c r="CP13" s="6" t="str">
        <f t="shared" si="21"/>
        <v>CY33</v>
      </c>
      <c r="CQ13" s="6" t="str">
        <f t="shared" si="21"/>
        <v>CY33</v>
      </c>
      <c r="CR13" s="6" t="str">
        <f t="shared" si="21"/>
        <v>CY33</v>
      </c>
      <c r="CS13" s="6" t="str">
        <f t="shared" si="21"/>
        <v>CY33</v>
      </c>
      <c r="CT13" s="6" t="str">
        <f t="shared" si="21"/>
        <v>CY33</v>
      </c>
      <c r="CU13" s="6" t="str">
        <f t="shared" si="21"/>
        <v>CY33</v>
      </c>
      <c r="CV13" s="6" t="str">
        <f t="shared" si="21"/>
        <v>CY33</v>
      </c>
      <c r="CW13" s="6" t="str">
        <f t="shared" si="21"/>
        <v>CY33</v>
      </c>
      <c r="CX13" s="6" t="str">
        <f t="shared" si="21"/>
        <v>CY33</v>
      </c>
      <c r="CY13" s="6" t="str">
        <f t="shared" si="21"/>
        <v>CY33</v>
      </c>
      <c r="CZ13" s="6" t="str">
        <f t="shared" si="21"/>
        <v>CY34</v>
      </c>
      <c r="DA13" s="6" t="str">
        <f t="shared" si="21"/>
        <v>CY34</v>
      </c>
      <c r="DB13" s="6" t="str">
        <f t="shared" si="21"/>
        <v>CY34</v>
      </c>
      <c r="DC13" s="6" t="str">
        <f t="shared" si="21"/>
        <v>CY34</v>
      </c>
      <c r="DD13" s="6" t="str">
        <f t="shared" si="21"/>
        <v>CY34</v>
      </c>
      <c r="DE13" s="6" t="str">
        <f t="shared" si="21"/>
        <v>CY34</v>
      </c>
      <c r="DF13" s="6" t="str">
        <f t="shared" si="21"/>
        <v>CY34</v>
      </c>
      <c r="DG13" s="6" t="str">
        <f t="shared" si="21"/>
        <v>CY34</v>
      </c>
      <c r="DH13" s="6" t="str">
        <f t="shared" si="21"/>
        <v>CY34</v>
      </c>
      <c r="DI13" s="6" t="str">
        <f t="shared" si="21"/>
        <v>CY34</v>
      </c>
      <c r="DJ13" s="6" t="str">
        <f t="shared" si="21"/>
        <v>CY34</v>
      </c>
      <c r="DK13" s="6" t="str">
        <f t="shared" si="21"/>
        <v>CY34</v>
      </c>
      <c r="DL13" s="6" t="str">
        <f t="shared" si="21"/>
        <v>CY35</v>
      </c>
      <c r="DM13" s="6" t="str">
        <f t="shared" si="21"/>
        <v>CY35</v>
      </c>
      <c r="DN13" s="6" t="str">
        <f t="shared" si="21"/>
        <v>CY35</v>
      </c>
      <c r="DO13" s="6" t="str">
        <f t="shared" si="21"/>
        <v>CY35</v>
      </c>
      <c r="DP13" s="6" t="str">
        <f t="shared" si="21"/>
        <v>CY35</v>
      </c>
      <c r="DQ13" s="6" t="str">
        <f t="shared" si="21"/>
        <v>CY35</v>
      </c>
      <c r="DR13" s="6" t="str">
        <f t="shared" si="21"/>
        <v>CY35</v>
      </c>
      <c r="DS13" s="6" t="str">
        <f t="shared" si="21"/>
        <v>CY35</v>
      </c>
      <c r="DT13" s="6" t="str">
        <f t="shared" si="21"/>
        <v>CY35</v>
      </c>
      <c r="DU13" s="6" t="str">
        <f t="shared" si="21"/>
        <v>CY35</v>
      </c>
      <c r="DV13" s="6" t="str">
        <f t="shared" si="21"/>
        <v>CY35</v>
      </c>
      <c r="DW13" s="6" t="str">
        <f t="shared" si="21"/>
        <v>CY35</v>
      </c>
      <c r="DX13" s="6" t="str">
        <f t="shared" si="21"/>
        <v>CY36</v>
      </c>
      <c r="DY13" s="6" t="str">
        <f t="shared" si="21"/>
        <v>CY36</v>
      </c>
      <c r="DZ13" s="6" t="str">
        <f t="shared" si="21"/>
        <v>CY36</v>
      </c>
      <c r="EA13" s="6" t="str">
        <f t="shared" si="21"/>
        <v>CY36</v>
      </c>
      <c r="EB13" s="6" t="str">
        <f t="shared" si="21"/>
        <v>CY36</v>
      </c>
      <c r="EC13" s="6" t="str">
        <f t="shared" si="21"/>
        <v>CY36</v>
      </c>
      <c r="ED13" s="6" t="str">
        <f t="shared" si="21"/>
        <v>CY36</v>
      </c>
      <c r="EE13" s="6" t="str">
        <f t="shared" si="21"/>
        <v>CY36</v>
      </c>
      <c r="EF13" s="6" t="str">
        <f t="shared" si="21"/>
        <v>CY36</v>
      </c>
      <c r="EG13" s="6" t="str">
        <f t="shared" si="21"/>
        <v>CY36</v>
      </c>
      <c r="EH13" s="6" t="str">
        <f t="shared" si="21"/>
        <v>CY36</v>
      </c>
      <c r="EI13" s="6" t="str">
        <f t="shared" si="21"/>
        <v>CY36</v>
      </c>
      <c r="EJ13" s="6" t="str">
        <f t="shared" si="21"/>
        <v>CY37</v>
      </c>
      <c r="EK13" s="6" t="str">
        <f t="shared" si="21"/>
        <v>CY37</v>
      </c>
      <c r="EL13" s="6" t="str">
        <f t="shared" ref="EL13:GW13" si="22">"CY"&amp;RIGHT(YEAR(EL11),2)</f>
        <v>CY37</v>
      </c>
      <c r="EM13" s="6" t="str">
        <f t="shared" si="22"/>
        <v>CY37</v>
      </c>
      <c r="EN13" s="6" t="str">
        <f t="shared" si="22"/>
        <v>CY37</v>
      </c>
      <c r="EO13" s="6" t="str">
        <f t="shared" si="22"/>
        <v>CY37</v>
      </c>
      <c r="EP13" s="6" t="str">
        <f t="shared" si="22"/>
        <v>CY37</v>
      </c>
      <c r="EQ13" s="6" t="str">
        <f t="shared" si="22"/>
        <v>CY37</v>
      </c>
      <c r="ER13" s="6" t="str">
        <f t="shared" si="22"/>
        <v>CY37</v>
      </c>
      <c r="ES13" s="6" t="str">
        <f t="shared" si="22"/>
        <v>CY37</v>
      </c>
      <c r="ET13" s="6" t="str">
        <f t="shared" si="22"/>
        <v>CY37</v>
      </c>
      <c r="EU13" s="6" t="str">
        <f t="shared" si="22"/>
        <v>CY37</v>
      </c>
      <c r="EV13" s="6" t="str">
        <f t="shared" si="22"/>
        <v>CY38</v>
      </c>
      <c r="EW13" s="6" t="str">
        <f t="shared" si="22"/>
        <v>CY38</v>
      </c>
      <c r="EX13" s="6" t="str">
        <f t="shared" si="22"/>
        <v>CY38</v>
      </c>
      <c r="EY13" s="6" t="str">
        <f t="shared" si="22"/>
        <v>CY38</v>
      </c>
      <c r="EZ13" s="6" t="str">
        <f t="shared" si="22"/>
        <v>CY38</v>
      </c>
      <c r="FA13" s="6" t="str">
        <f t="shared" si="22"/>
        <v>CY38</v>
      </c>
      <c r="FB13" s="6" t="str">
        <f t="shared" si="22"/>
        <v>CY38</v>
      </c>
      <c r="FC13" s="6" t="str">
        <f t="shared" si="22"/>
        <v>CY38</v>
      </c>
      <c r="FD13" s="6" t="str">
        <f t="shared" si="22"/>
        <v>CY38</v>
      </c>
      <c r="FE13" s="6" t="str">
        <f t="shared" si="22"/>
        <v>CY38</v>
      </c>
      <c r="FF13" s="6" t="str">
        <f t="shared" si="22"/>
        <v>CY38</v>
      </c>
      <c r="FG13" s="6" t="str">
        <f t="shared" si="22"/>
        <v>CY38</v>
      </c>
      <c r="FH13" s="6" t="str">
        <f t="shared" si="22"/>
        <v>CY39</v>
      </c>
      <c r="FI13" s="6" t="str">
        <f t="shared" si="22"/>
        <v>CY39</v>
      </c>
      <c r="FJ13" s="6" t="str">
        <f t="shared" si="22"/>
        <v>CY39</v>
      </c>
      <c r="FK13" s="6" t="str">
        <f t="shared" si="22"/>
        <v>CY39</v>
      </c>
      <c r="FL13" s="6" t="str">
        <f t="shared" si="22"/>
        <v>CY39</v>
      </c>
      <c r="FM13" s="6" t="str">
        <f t="shared" si="22"/>
        <v>CY39</v>
      </c>
      <c r="FN13" s="6" t="str">
        <f t="shared" si="22"/>
        <v>CY39</v>
      </c>
      <c r="FO13" s="6" t="str">
        <f t="shared" si="22"/>
        <v>CY39</v>
      </c>
      <c r="FP13" s="6" t="str">
        <f t="shared" si="22"/>
        <v>CY39</v>
      </c>
      <c r="FQ13" s="6" t="str">
        <f t="shared" si="22"/>
        <v>CY39</v>
      </c>
      <c r="FR13" s="6" t="str">
        <f t="shared" si="22"/>
        <v>CY39</v>
      </c>
      <c r="FS13" s="6" t="str">
        <f t="shared" si="22"/>
        <v>CY39</v>
      </c>
      <c r="FT13" s="6" t="str">
        <f t="shared" si="22"/>
        <v>CY40</v>
      </c>
      <c r="FU13" s="6" t="str">
        <f t="shared" si="22"/>
        <v>CY40</v>
      </c>
      <c r="FV13" s="6" t="str">
        <f t="shared" si="22"/>
        <v>CY40</v>
      </c>
      <c r="FW13" s="6" t="str">
        <f t="shared" si="22"/>
        <v>CY40</v>
      </c>
      <c r="FX13" s="6" t="str">
        <f t="shared" si="22"/>
        <v>CY40</v>
      </c>
      <c r="FY13" s="6" t="str">
        <f t="shared" si="22"/>
        <v>CY40</v>
      </c>
      <c r="FZ13" s="6" t="str">
        <f t="shared" si="22"/>
        <v>CY40</v>
      </c>
      <c r="GA13" s="6" t="str">
        <f t="shared" si="22"/>
        <v>CY40</v>
      </c>
      <c r="GB13" s="6" t="str">
        <f t="shared" si="22"/>
        <v>CY40</v>
      </c>
      <c r="GC13" s="6" t="str">
        <f t="shared" si="22"/>
        <v>CY40</v>
      </c>
      <c r="GD13" s="6" t="str">
        <f t="shared" si="22"/>
        <v>CY40</v>
      </c>
      <c r="GE13" s="6" t="str">
        <f t="shared" si="22"/>
        <v>CY40</v>
      </c>
      <c r="GF13" s="6" t="str">
        <f t="shared" si="22"/>
        <v>CY41</v>
      </c>
      <c r="GG13" s="6" t="str">
        <f t="shared" si="22"/>
        <v>CY41</v>
      </c>
      <c r="GH13" s="6" t="str">
        <f t="shared" si="22"/>
        <v>CY41</v>
      </c>
      <c r="GI13" s="6" t="str">
        <f t="shared" si="22"/>
        <v>CY41</v>
      </c>
      <c r="GJ13" s="6" t="str">
        <f t="shared" si="22"/>
        <v>CY41</v>
      </c>
      <c r="GK13" s="6" t="str">
        <f t="shared" si="22"/>
        <v>CY41</v>
      </c>
      <c r="GL13" s="6" t="str">
        <f t="shared" si="22"/>
        <v>CY41</v>
      </c>
      <c r="GM13" s="6" t="str">
        <f t="shared" si="22"/>
        <v>CY41</v>
      </c>
      <c r="GN13" s="6" t="str">
        <f t="shared" si="22"/>
        <v>CY41</v>
      </c>
      <c r="GO13" s="6" t="str">
        <f t="shared" si="22"/>
        <v>CY41</v>
      </c>
      <c r="GP13" s="6" t="str">
        <f t="shared" si="22"/>
        <v>CY41</v>
      </c>
      <c r="GQ13" s="6" t="str">
        <f t="shared" si="22"/>
        <v>CY41</v>
      </c>
      <c r="GR13" s="6" t="str">
        <f t="shared" si="22"/>
        <v>CY42</v>
      </c>
      <c r="GS13" s="6" t="str">
        <f t="shared" si="22"/>
        <v>CY42</v>
      </c>
      <c r="GT13" s="6" t="str">
        <f t="shared" si="22"/>
        <v>CY42</v>
      </c>
      <c r="GU13" s="6" t="str">
        <f t="shared" si="22"/>
        <v>CY42</v>
      </c>
      <c r="GV13" s="6" t="str">
        <f t="shared" si="22"/>
        <v>CY42</v>
      </c>
      <c r="GW13" s="6" t="str">
        <f t="shared" si="22"/>
        <v>CY42</v>
      </c>
      <c r="GX13" s="6" t="str">
        <f t="shared" ref="GX13:JI13" si="23">"CY"&amp;RIGHT(YEAR(GX11),2)</f>
        <v>CY42</v>
      </c>
      <c r="GY13" s="6" t="str">
        <f t="shared" si="23"/>
        <v>CY42</v>
      </c>
      <c r="GZ13" s="6" t="str">
        <f t="shared" si="23"/>
        <v>CY42</v>
      </c>
      <c r="HA13" s="6" t="str">
        <f t="shared" si="23"/>
        <v>CY42</v>
      </c>
      <c r="HB13" s="6" t="str">
        <f t="shared" si="23"/>
        <v>CY42</v>
      </c>
      <c r="HC13" s="6" t="str">
        <f t="shared" si="23"/>
        <v>CY42</v>
      </c>
      <c r="HD13" s="6" t="str">
        <f t="shared" si="23"/>
        <v>CY43</v>
      </c>
      <c r="HE13" s="6" t="str">
        <f t="shared" si="23"/>
        <v>CY43</v>
      </c>
      <c r="HF13" s="6" t="str">
        <f t="shared" si="23"/>
        <v>CY43</v>
      </c>
      <c r="HG13" s="6" t="str">
        <f t="shared" si="23"/>
        <v>CY43</v>
      </c>
      <c r="HH13" s="6" t="str">
        <f t="shared" si="23"/>
        <v>CY43</v>
      </c>
      <c r="HI13" s="6" t="str">
        <f t="shared" si="23"/>
        <v>CY43</v>
      </c>
      <c r="HJ13" s="6" t="str">
        <f t="shared" si="23"/>
        <v>CY43</v>
      </c>
      <c r="HK13" s="6" t="str">
        <f t="shared" si="23"/>
        <v>CY43</v>
      </c>
      <c r="HL13" s="6" t="str">
        <f t="shared" si="23"/>
        <v>CY43</v>
      </c>
      <c r="HM13" s="6" t="str">
        <f t="shared" si="23"/>
        <v>CY43</v>
      </c>
      <c r="HN13" s="6" t="str">
        <f t="shared" si="23"/>
        <v>CY43</v>
      </c>
      <c r="HO13" s="6" t="str">
        <f t="shared" si="23"/>
        <v>CY43</v>
      </c>
      <c r="HP13" s="6" t="str">
        <f t="shared" si="23"/>
        <v>CY44</v>
      </c>
      <c r="HQ13" s="6" t="str">
        <f t="shared" si="23"/>
        <v>CY44</v>
      </c>
      <c r="HR13" s="6" t="str">
        <f t="shared" si="23"/>
        <v>CY44</v>
      </c>
      <c r="HS13" s="6" t="str">
        <f t="shared" si="23"/>
        <v>CY44</v>
      </c>
      <c r="HT13" s="6" t="str">
        <f t="shared" si="23"/>
        <v>CY44</v>
      </c>
      <c r="HU13" s="6" t="str">
        <f t="shared" si="23"/>
        <v>CY44</v>
      </c>
      <c r="HV13" s="6" t="str">
        <f t="shared" si="23"/>
        <v>CY44</v>
      </c>
      <c r="HW13" s="6" t="str">
        <f t="shared" si="23"/>
        <v>CY44</v>
      </c>
      <c r="HX13" s="6" t="str">
        <f t="shared" si="23"/>
        <v>CY44</v>
      </c>
      <c r="HY13" s="6" t="str">
        <f t="shared" si="23"/>
        <v>CY44</v>
      </c>
      <c r="HZ13" s="6" t="str">
        <f t="shared" si="23"/>
        <v>CY44</v>
      </c>
      <c r="IA13" s="6" t="str">
        <f t="shared" si="23"/>
        <v>CY44</v>
      </c>
      <c r="IB13" s="6" t="str">
        <f t="shared" si="23"/>
        <v>CY45</v>
      </c>
      <c r="IC13" s="6" t="str">
        <f t="shared" si="23"/>
        <v>CY45</v>
      </c>
      <c r="ID13" s="6" t="str">
        <f t="shared" si="23"/>
        <v>CY45</v>
      </c>
      <c r="IE13" s="6" t="str">
        <f t="shared" si="23"/>
        <v>CY45</v>
      </c>
      <c r="IF13" s="6" t="str">
        <f t="shared" si="23"/>
        <v>CY45</v>
      </c>
      <c r="IG13" s="6" t="str">
        <f t="shared" si="23"/>
        <v>CY45</v>
      </c>
      <c r="IH13" s="6" t="str">
        <f t="shared" si="23"/>
        <v>CY45</v>
      </c>
      <c r="II13" s="6" t="str">
        <f t="shared" si="23"/>
        <v>CY45</v>
      </c>
      <c r="IJ13" s="6" t="str">
        <f t="shared" si="23"/>
        <v>CY45</v>
      </c>
      <c r="IK13" s="6" t="str">
        <f t="shared" si="23"/>
        <v>CY45</v>
      </c>
      <c r="IL13" s="6" t="str">
        <f t="shared" si="23"/>
        <v>CY45</v>
      </c>
      <c r="IM13" s="6" t="str">
        <f t="shared" si="23"/>
        <v>CY45</v>
      </c>
      <c r="IN13" s="6" t="str">
        <f t="shared" si="23"/>
        <v>CY46</v>
      </c>
      <c r="IO13" s="6" t="str">
        <f t="shared" si="23"/>
        <v>CY46</v>
      </c>
      <c r="IP13" s="6" t="str">
        <f t="shared" si="23"/>
        <v>CY46</v>
      </c>
      <c r="IQ13" s="6" t="str">
        <f t="shared" si="23"/>
        <v>CY46</v>
      </c>
      <c r="IR13" s="6" t="str">
        <f t="shared" si="23"/>
        <v>CY46</v>
      </c>
      <c r="IS13" s="6" t="str">
        <f t="shared" si="23"/>
        <v>CY46</v>
      </c>
      <c r="IT13" s="6" t="str">
        <f t="shared" si="23"/>
        <v>CY46</v>
      </c>
      <c r="IU13" s="6" t="str">
        <f t="shared" si="23"/>
        <v>CY46</v>
      </c>
      <c r="IV13" s="6" t="str">
        <f t="shared" si="23"/>
        <v>CY46</v>
      </c>
      <c r="IW13" s="6" t="str">
        <f t="shared" si="23"/>
        <v>CY46</v>
      </c>
      <c r="IX13" s="6" t="str">
        <f t="shared" si="23"/>
        <v>CY46</v>
      </c>
      <c r="IY13" s="6" t="str">
        <f t="shared" si="23"/>
        <v>CY46</v>
      </c>
      <c r="IZ13" s="6" t="str">
        <f t="shared" si="23"/>
        <v>CY47</v>
      </c>
      <c r="JA13" s="6" t="str">
        <f t="shared" si="23"/>
        <v>CY47</v>
      </c>
      <c r="JB13" s="6" t="str">
        <f t="shared" si="23"/>
        <v>CY47</v>
      </c>
      <c r="JC13" s="6" t="str">
        <f t="shared" si="23"/>
        <v>CY47</v>
      </c>
      <c r="JD13" s="6" t="str">
        <f t="shared" si="23"/>
        <v>CY47</v>
      </c>
      <c r="JE13" s="6" t="str">
        <f t="shared" si="23"/>
        <v>CY47</v>
      </c>
      <c r="JF13" s="6" t="str">
        <f t="shared" si="23"/>
        <v>CY47</v>
      </c>
      <c r="JG13" s="6" t="str">
        <f t="shared" si="23"/>
        <v>CY47</v>
      </c>
      <c r="JH13" s="6" t="str">
        <f t="shared" si="23"/>
        <v>CY47</v>
      </c>
      <c r="JI13" s="6" t="str">
        <f t="shared" si="23"/>
        <v>CY47</v>
      </c>
      <c r="JJ13" s="6" t="str">
        <f t="shared" ref="JJ13:KI13" si="24">"CY"&amp;RIGHT(YEAR(JJ11),2)</f>
        <v>CY47</v>
      </c>
      <c r="JK13" s="6" t="str">
        <f t="shared" si="24"/>
        <v>CY47</v>
      </c>
      <c r="JL13" s="6" t="str">
        <f t="shared" si="24"/>
        <v>CY48</v>
      </c>
      <c r="JM13" s="6" t="str">
        <f t="shared" si="24"/>
        <v>CY48</v>
      </c>
      <c r="JN13" s="6" t="str">
        <f t="shared" si="24"/>
        <v>CY48</v>
      </c>
      <c r="JO13" s="6" t="str">
        <f t="shared" si="24"/>
        <v>CY48</v>
      </c>
      <c r="JP13" s="6" t="str">
        <f t="shared" si="24"/>
        <v>CY48</v>
      </c>
      <c r="JQ13" s="6" t="str">
        <f t="shared" si="24"/>
        <v>CY48</v>
      </c>
      <c r="JR13" s="6" t="str">
        <f t="shared" si="24"/>
        <v>CY48</v>
      </c>
      <c r="JS13" s="6" t="str">
        <f t="shared" si="24"/>
        <v>CY48</v>
      </c>
      <c r="JT13" s="6" t="str">
        <f t="shared" si="24"/>
        <v>CY48</v>
      </c>
      <c r="JU13" s="6" t="str">
        <f t="shared" si="24"/>
        <v>CY48</v>
      </c>
      <c r="JV13" s="6" t="str">
        <f t="shared" si="24"/>
        <v>CY48</v>
      </c>
      <c r="JW13" s="6" t="str">
        <f t="shared" si="24"/>
        <v>CY48</v>
      </c>
      <c r="JX13" s="6" t="str">
        <f t="shared" si="24"/>
        <v>CY49</v>
      </c>
      <c r="JY13" s="6" t="str">
        <f t="shared" si="24"/>
        <v>CY49</v>
      </c>
      <c r="JZ13" s="6" t="str">
        <f t="shared" si="24"/>
        <v>CY49</v>
      </c>
      <c r="KA13" s="6" t="str">
        <f t="shared" si="24"/>
        <v>CY49</v>
      </c>
      <c r="KB13" s="6" t="str">
        <f t="shared" si="24"/>
        <v>CY49</v>
      </c>
      <c r="KC13" s="6" t="str">
        <f t="shared" si="24"/>
        <v>CY49</v>
      </c>
      <c r="KD13" s="6" t="str">
        <f t="shared" si="24"/>
        <v>CY49</v>
      </c>
      <c r="KE13" s="6" t="str">
        <f t="shared" si="24"/>
        <v>CY49</v>
      </c>
      <c r="KF13" s="6" t="str">
        <f t="shared" si="24"/>
        <v>CY49</v>
      </c>
      <c r="KG13" s="6" t="str">
        <f t="shared" si="24"/>
        <v>CY49</v>
      </c>
      <c r="KH13" s="6" t="str">
        <f t="shared" si="24"/>
        <v>CY49</v>
      </c>
      <c r="KI13" s="6" t="str">
        <f t="shared" si="24"/>
        <v>CY49</v>
      </c>
      <c r="KJ13" s="1"/>
    </row>
    <row r="14" spans="1:296" x14ac:dyDescent="0.35">
      <c r="A14" s="1"/>
      <c r="B14" s="8"/>
      <c r="C14" s="8"/>
      <c r="D14" s="8"/>
      <c r="E14" s="8"/>
      <c r="F14" s="8"/>
      <c r="G14" s="8"/>
      <c r="H14" s="8" t="s">
        <v>9</v>
      </c>
      <c r="I14" s="1"/>
      <c r="J14" s="1"/>
      <c r="K14" s="1"/>
      <c r="L14" s="1"/>
      <c r="M14" s="6" t="s">
        <v>1</v>
      </c>
      <c r="N14" s="6" t="str">
        <f t="shared" ref="N14:BY14" si="25">"FY"&amp;IF(MONTH(N11)&gt;6,RIGHT(YEAR(N11)+1,2),RIGHT(YEAR(N11),2))</f>
        <v>FY27</v>
      </c>
      <c r="O14" s="6" t="str">
        <f t="shared" si="25"/>
        <v>FY27</v>
      </c>
      <c r="P14" s="6" t="str">
        <f t="shared" si="25"/>
        <v>FY27</v>
      </c>
      <c r="Q14" s="6" t="str">
        <f t="shared" si="25"/>
        <v>FY27</v>
      </c>
      <c r="R14" s="6" t="str">
        <f t="shared" si="25"/>
        <v>FY27</v>
      </c>
      <c r="S14" s="6" t="str">
        <f t="shared" si="25"/>
        <v>FY27</v>
      </c>
      <c r="T14" s="6" t="str">
        <f t="shared" si="25"/>
        <v>FY27</v>
      </c>
      <c r="U14" s="6" t="str">
        <f t="shared" si="25"/>
        <v>FY27</v>
      </c>
      <c r="V14" s="6" t="str">
        <f t="shared" si="25"/>
        <v>FY27</v>
      </c>
      <c r="W14" s="6" t="str">
        <f t="shared" si="25"/>
        <v>FY27</v>
      </c>
      <c r="X14" s="6" t="str">
        <f t="shared" si="25"/>
        <v>FY27</v>
      </c>
      <c r="Y14" s="6" t="str">
        <f t="shared" si="25"/>
        <v>FY27</v>
      </c>
      <c r="Z14" s="6" t="str">
        <f t="shared" si="25"/>
        <v>FY28</v>
      </c>
      <c r="AA14" s="6" t="str">
        <f t="shared" si="25"/>
        <v>FY28</v>
      </c>
      <c r="AB14" s="6" t="str">
        <f t="shared" si="25"/>
        <v>FY28</v>
      </c>
      <c r="AC14" s="6" t="str">
        <f t="shared" si="25"/>
        <v>FY28</v>
      </c>
      <c r="AD14" s="6" t="str">
        <f t="shared" si="25"/>
        <v>FY28</v>
      </c>
      <c r="AE14" s="6" t="str">
        <f t="shared" si="25"/>
        <v>FY28</v>
      </c>
      <c r="AF14" s="6" t="str">
        <f t="shared" si="25"/>
        <v>FY28</v>
      </c>
      <c r="AG14" s="6" t="str">
        <f t="shared" si="25"/>
        <v>FY28</v>
      </c>
      <c r="AH14" s="6" t="str">
        <f t="shared" si="25"/>
        <v>FY28</v>
      </c>
      <c r="AI14" s="6" t="str">
        <f t="shared" si="25"/>
        <v>FY28</v>
      </c>
      <c r="AJ14" s="6" t="str">
        <f t="shared" si="25"/>
        <v>FY28</v>
      </c>
      <c r="AK14" s="6" t="str">
        <f t="shared" si="25"/>
        <v>FY28</v>
      </c>
      <c r="AL14" s="6" t="str">
        <f t="shared" si="25"/>
        <v>FY29</v>
      </c>
      <c r="AM14" s="6" t="str">
        <f t="shared" si="25"/>
        <v>FY29</v>
      </c>
      <c r="AN14" s="6" t="str">
        <f t="shared" si="25"/>
        <v>FY29</v>
      </c>
      <c r="AO14" s="6" t="str">
        <f t="shared" si="25"/>
        <v>FY29</v>
      </c>
      <c r="AP14" s="6" t="str">
        <f t="shared" si="25"/>
        <v>FY29</v>
      </c>
      <c r="AQ14" s="6" t="str">
        <f t="shared" si="25"/>
        <v>FY29</v>
      </c>
      <c r="AR14" s="6" t="str">
        <f t="shared" si="25"/>
        <v>FY29</v>
      </c>
      <c r="AS14" s="6" t="str">
        <f t="shared" si="25"/>
        <v>FY29</v>
      </c>
      <c r="AT14" s="6" t="str">
        <f t="shared" si="25"/>
        <v>FY29</v>
      </c>
      <c r="AU14" s="6" t="str">
        <f t="shared" si="25"/>
        <v>FY29</v>
      </c>
      <c r="AV14" s="6" t="str">
        <f t="shared" si="25"/>
        <v>FY29</v>
      </c>
      <c r="AW14" s="6" t="str">
        <f t="shared" si="25"/>
        <v>FY29</v>
      </c>
      <c r="AX14" s="6" t="str">
        <f t="shared" si="25"/>
        <v>FY30</v>
      </c>
      <c r="AY14" s="6" t="str">
        <f t="shared" si="25"/>
        <v>FY30</v>
      </c>
      <c r="AZ14" s="6" t="str">
        <f t="shared" si="25"/>
        <v>FY30</v>
      </c>
      <c r="BA14" s="6" t="str">
        <f t="shared" si="25"/>
        <v>FY30</v>
      </c>
      <c r="BB14" s="6" t="str">
        <f t="shared" si="25"/>
        <v>FY30</v>
      </c>
      <c r="BC14" s="6" t="str">
        <f t="shared" si="25"/>
        <v>FY30</v>
      </c>
      <c r="BD14" s="6" t="str">
        <f t="shared" si="25"/>
        <v>FY30</v>
      </c>
      <c r="BE14" s="6" t="str">
        <f t="shared" si="25"/>
        <v>FY30</v>
      </c>
      <c r="BF14" s="6" t="str">
        <f t="shared" si="25"/>
        <v>FY30</v>
      </c>
      <c r="BG14" s="6" t="str">
        <f t="shared" si="25"/>
        <v>FY30</v>
      </c>
      <c r="BH14" s="6" t="str">
        <f t="shared" si="25"/>
        <v>FY30</v>
      </c>
      <c r="BI14" s="6" t="str">
        <f t="shared" si="25"/>
        <v>FY30</v>
      </c>
      <c r="BJ14" s="6" t="str">
        <f t="shared" si="25"/>
        <v>FY31</v>
      </c>
      <c r="BK14" s="6" t="str">
        <f t="shared" si="25"/>
        <v>FY31</v>
      </c>
      <c r="BL14" s="6" t="str">
        <f t="shared" si="25"/>
        <v>FY31</v>
      </c>
      <c r="BM14" s="6" t="str">
        <f t="shared" si="25"/>
        <v>FY31</v>
      </c>
      <c r="BN14" s="6" t="str">
        <f t="shared" si="25"/>
        <v>FY31</v>
      </c>
      <c r="BO14" s="6" t="str">
        <f t="shared" si="25"/>
        <v>FY31</v>
      </c>
      <c r="BP14" s="6" t="str">
        <f t="shared" si="25"/>
        <v>FY31</v>
      </c>
      <c r="BQ14" s="6" t="str">
        <f t="shared" si="25"/>
        <v>FY31</v>
      </c>
      <c r="BR14" s="6" t="str">
        <f t="shared" si="25"/>
        <v>FY31</v>
      </c>
      <c r="BS14" s="6" t="str">
        <f t="shared" si="25"/>
        <v>FY31</v>
      </c>
      <c r="BT14" s="6" t="str">
        <f t="shared" si="25"/>
        <v>FY31</v>
      </c>
      <c r="BU14" s="6" t="str">
        <f t="shared" si="25"/>
        <v>FY31</v>
      </c>
      <c r="BV14" s="6" t="str">
        <f t="shared" si="25"/>
        <v>FY32</v>
      </c>
      <c r="BW14" s="6" t="str">
        <f t="shared" si="25"/>
        <v>FY32</v>
      </c>
      <c r="BX14" s="6" t="str">
        <f t="shared" si="25"/>
        <v>FY32</v>
      </c>
      <c r="BY14" s="6" t="str">
        <f t="shared" si="25"/>
        <v>FY32</v>
      </c>
      <c r="BZ14" s="6" t="str">
        <f t="shared" ref="BZ14:EK14" si="26">"FY"&amp;IF(MONTH(BZ11)&gt;6,RIGHT(YEAR(BZ11)+1,2),RIGHT(YEAR(BZ11),2))</f>
        <v>FY32</v>
      </c>
      <c r="CA14" s="6" t="str">
        <f t="shared" si="26"/>
        <v>FY32</v>
      </c>
      <c r="CB14" s="6" t="str">
        <f t="shared" si="26"/>
        <v>FY32</v>
      </c>
      <c r="CC14" s="6" t="str">
        <f t="shared" si="26"/>
        <v>FY32</v>
      </c>
      <c r="CD14" s="6" t="str">
        <f t="shared" si="26"/>
        <v>FY32</v>
      </c>
      <c r="CE14" s="6" t="str">
        <f t="shared" si="26"/>
        <v>FY32</v>
      </c>
      <c r="CF14" s="6" t="str">
        <f t="shared" si="26"/>
        <v>FY32</v>
      </c>
      <c r="CG14" s="6" t="str">
        <f t="shared" si="26"/>
        <v>FY32</v>
      </c>
      <c r="CH14" s="6" t="str">
        <f t="shared" si="26"/>
        <v>FY33</v>
      </c>
      <c r="CI14" s="6" t="str">
        <f t="shared" si="26"/>
        <v>FY33</v>
      </c>
      <c r="CJ14" s="6" t="str">
        <f t="shared" si="26"/>
        <v>FY33</v>
      </c>
      <c r="CK14" s="6" t="str">
        <f t="shared" si="26"/>
        <v>FY33</v>
      </c>
      <c r="CL14" s="6" t="str">
        <f t="shared" si="26"/>
        <v>FY33</v>
      </c>
      <c r="CM14" s="6" t="str">
        <f t="shared" si="26"/>
        <v>FY33</v>
      </c>
      <c r="CN14" s="6" t="str">
        <f t="shared" si="26"/>
        <v>FY33</v>
      </c>
      <c r="CO14" s="6" t="str">
        <f t="shared" si="26"/>
        <v>FY33</v>
      </c>
      <c r="CP14" s="6" t="str">
        <f t="shared" si="26"/>
        <v>FY33</v>
      </c>
      <c r="CQ14" s="6" t="str">
        <f t="shared" si="26"/>
        <v>FY33</v>
      </c>
      <c r="CR14" s="6" t="str">
        <f t="shared" si="26"/>
        <v>FY33</v>
      </c>
      <c r="CS14" s="6" t="str">
        <f t="shared" si="26"/>
        <v>FY33</v>
      </c>
      <c r="CT14" s="6" t="str">
        <f t="shared" si="26"/>
        <v>FY34</v>
      </c>
      <c r="CU14" s="6" t="str">
        <f t="shared" si="26"/>
        <v>FY34</v>
      </c>
      <c r="CV14" s="6" t="str">
        <f t="shared" si="26"/>
        <v>FY34</v>
      </c>
      <c r="CW14" s="6" t="str">
        <f t="shared" si="26"/>
        <v>FY34</v>
      </c>
      <c r="CX14" s="6" t="str">
        <f t="shared" si="26"/>
        <v>FY34</v>
      </c>
      <c r="CY14" s="6" t="str">
        <f t="shared" si="26"/>
        <v>FY34</v>
      </c>
      <c r="CZ14" s="6" t="str">
        <f t="shared" si="26"/>
        <v>FY34</v>
      </c>
      <c r="DA14" s="6" t="str">
        <f t="shared" si="26"/>
        <v>FY34</v>
      </c>
      <c r="DB14" s="6" t="str">
        <f t="shared" si="26"/>
        <v>FY34</v>
      </c>
      <c r="DC14" s="6" t="str">
        <f t="shared" si="26"/>
        <v>FY34</v>
      </c>
      <c r="DD14" s="6" t="str">
        <f t="shared" si="26"/>
        <v>FY34</v>
      </c>
      <c r="DE14" s="6" t="str">
        <f t="shared" si="26"/>
        <v>FY34</v>
      </c>
      <c r="DF14" s="6" t="str">
        <f t="shared" si="26"/>
        <v>FY35</v>
      </c>
      <c r="DG14" s="6" t="str">
        <f t="shared" si="26"/>
        <v>FY35</v>
      </c>
      <c r="DH14" s="6" t="str">
        <f t="shared" si="26"/>
        <v>FY35</v>
      </c>
      <c r="DI14" s="6" t="str">
        <f t="shared" si="26"/>
        <v>FY35</v>
      </c>
      <c r="DJ14" s="6" t="str">
        <f t="shared" si="26"/>
        <v>FY35</v>
      </c>
      <c r="DK14" s="6" t="str">
        <f t="shared" si="26"/>
        <v>FY35</v>
      </c>
      <c r="DL14" s="6" t="str">
        <f t="shared" si="26"/>
        <v>FY35</v>
      </c>
      <c r="DM14" s="6" t="str">
        <f t="shared" si="26"/>
        <v>FY35</v>
      </c>
      <c r="DN14" s="6" t="str">
        <f t="shared" si="26"/>
        <v>FY35</v>
      </c>
      <c r="DO14" s="6" t="str">
        <f t="shared" si="26"/>
        <v>FY35</v>
      </c>
      <c r="DP14" s="6" t="str">
        <f t="shared" si="26"/>
        <v>FY35</v>
      </c>
      <c r="DQ14" s="6" t="str">
        <f t="shared" si="26"/>
        <v>FY35</v>
      </c>
      <c r="DR14" s="6" t="str">
        <f t="shared" si="26"/>
        <v>FY36</v>
      </c>
      <c r="DS14" s="6" t="str">
        <f t="shared" si="26"/>
        <v>FY36</v>
      </c>
      <c r="DT14" s="6" t="str">
        <f t="shared" si="26"/>
        <v>FY36</v>
      </c>
      <c r="DU14" s="6" t="str">
        <f t="shared" si="26"/>
        <v>FY36</v>
      </c>
      <c r="DV14" s="6" t="str">
        <f t="shared" si="26"/>
        <v>FY36</v>
      </c>
      <c r="DW14" s="6" t="str">
        <f t="shared" si="26"/>
        <v>FY36</v>
      </c>
      <c r="DX14" s="6" t="str">
        <f t="shared" si="26"/>
        <v>FY36</v>
      </c>
      <c r="DY14" s="6" t="str">
        <f t="shared" si="26"/>
        <v>FY36</v>
      </c>
      <c r="DZ14" s="6" t="str">
        <f t="shared" si="26"/>
        <v>FY36</v>
      </c>
      <c r="EA14" s="6" t="str">
        <f t="shared" si="26"/>
        <v>FY36</v>
      </c>
      <c r="EB14" s="6" t="str">
        <f t="shared" si="26"/>
        <v>FY36</v>
      </c>
      <c r="EC14" s="6" t="str">
        <f t="shared" si="26"/>
        <v>FY36</v>
      </c>
      <c r="ED14" s="6" t="str">
        <f t="shared" si="26"/>
        <v>FY37</v>
      </c>
      <c r="EE14" s="6" t="str">
        <f t="shared" si="26"/>
        <v>FY37</v>
      </c>
      <c r="EF14" s="6" t="str">
        <f t="shared" si="26"/>
        <v>FY37</v>
      </c>
      <c r="EG14" s="6" t="str">
        <f t="shared" si="26"/>
        <v>FY37</v>
      </c>
      <c r="EH14" s="6" t="str">
        <f t="shared" si="26"/>
        <v>FY37</v>
      </c>
      <c r="EI14" s="6" t="str">
        <f t="shared" si="26"/>
        <v>FY37</v>
      </c>
      <c r="EJ14" s="6" t="str">
        <f t="shared" si="26"/>
        <v>FY37</v>
      </c>
      <c r="EK14" s="6" t="str">
        <f t="shared" si="26"/>
        <v>FY37</v>
      </c>
      <c r="EL14" s="6" t="str">
        <f t="shared" ref="EL14:GW14" si="27">"FY"&amp;IF(MONTH(EL11)&gt;6,RIGHT(YEAR(EL11)+1,2),RIGHT(YEAR(EL11),2))</f>
        <v>FY37</v>
      </c>
      <c r="EM14" s="6" t="str">
        <f t="shared" si="27"/>
        <v>FY37</v>
      </c>
      <c r="EN14" s="6" t="str">
        <f t="shared" si="27"/>
        <v>FY37</v>
      </c>
      <c r="EO14" s="6" t="str">
        <f t="shared" si="27"/>
        <v>FY37</v>
      </c>
      <c r="EP14" s="6" t="str">
        <f t="shared" si="27"/>
        <v>FY38</v>
      </c>
      <c r="EQ14" s="6" t="str">
        <f t="shared" si="27"/>
        <v>FY38</v>
      </c>
      <c r="ER14" s="6" t="str">
        <f t="shared" si="27"/>
        <v>FY38</v>
      </c>
      <c r="ES14" s="6" t="str">
        <f t="shared" si="27"/>
        <v>FY38</v>
      </c>
      <c r="ET14" s="6" t="str">
        <f t="shared" si="27"/>
        <v>FY38</v>
      </c>
      <c r="EU14" s="6" t="str">
        <f t="shared" si="27"/>
        <v>FY38</v>
      </c>
      <c r="EV14" s="6" t="str">
        <f t="shared" si="27"/>
        <v>FY38</v>
      </c>
      <c r="EW14" s="6" t="str">
        <f t="shared" si="27"/>
        <v>FY38</v>
      </c>
      <c r="EX14" s="6" t="str">
        <f t="shared" si="27"/>
        <v>FY38</v>
      </c>
      <c r="EY14" s="6" t="str">
        <f t="shared" si="27"/>
        <v>FY38</v>
      </c>
      <c r="EZ14" s="6" t="str">
        <f t="shared" si="27"/>
        <v>FY38</v>
      </c>
      <c r="FA14" s="6" t="str">
        <f t="shared" si="27"/>
        <v>FY38</v>
      </c>
      <c r="FB14" s="6" t="str">
        <f t="shared" si="27"/>
        <v>FY39</v>
      </c>
      <c r="FC14" s="6" t="str">
        <f t="shared" si="27"/>
        <v>FY39</v>
      </c>
      <c r="FD14" s="6" t="str">
        <f t="shared" si="27"/>
        <v>FY39</v>
      </c>
      <c r="FE14" s="6" t="str">
        <f t="shared" si="27"/>
        <v>FY39</v>
      </c>
      <c r="FF14" s="6" t="str">
        <f t="shared" si="27"/>
        <v>FY39</v>
      </c>
      <c r="FG14" s="6" t="str">
        <f t="shared" si="27"/>
        <v>FY39</v>
      </c>
      <c r="FH14" s="6" t="str">
        <f t="shared" si="27"/>
        <v>FY39</v>
      </c>
      <c r="FI14" s="6" t="str">
        <f t="shared" si="27"/>
        <v>FY39</v>
      </c>
      <c r="FJ14" s="6" t="str">
        <f t="shared" si="27"/>
        <v>FY39</v>
      </c>
      <c r="FK14" s="6" t="str">
        <f t="shared" si="27"/>
        <v>FY39</v>
      </c>
      <c r="FL14" s="6" t="str">
        <f t="shared" si="27"/>
        <v>FY39</v>
      </c>
      <c r="FM14" s="6" t="str">
        <f t="shared" si="27"/>
        <v>FY39</v>
      </c>
      <c r="FN14" s="6" t="str">
        <f t="shared" si="27"/>
        <v>FY40</v>
      </c>
      <c r="FO14" s="6" t="str">
        <f t="shared" si="27"/>
        <v>FY40</v>
      </c>
      <c r="FP14" s="6" t="str">
        <f t="shared" si="27"/>
        <v>FY40</v>
      </c>
      <c r="FQ14" s="6" t="str">
        <f t="shared" si="27"/>
        <v>FY40</v>
      </c>
      <c r="FR14" s="6" t="str">
        <f t="shared" si="27"/>
        <v>FY40</v>
      </c>
      <c r="FS14" s="6" t="str">
        <f t="shared" si="27"/>
        <v>FY40</v>
      </c>
      <c r="FT14" s="6" t="str">
        <f t="shared" si="27"/>
        <v>FY40</v>
      </c>
      <c r="FU14" s="6" t="str">
        <f t="shared" si="27"/>
        <v>FY40</v>
      </c>
      <c r="FV14" s="6" t="str">
        <f t="shared" si="27"/>
        <v>FY40</v>
      </c>
      <c r="FW14" s="6" t="str">
        <f t="shared" si="27"/>
        <v>FY40</v>
      </c>
      <c r="FX14" s="6" t="str">
        <f t="shared" si="27"/>
        <v>FY40</v>
      </c>
      <c r="FY14" s="6" t="str">
        <f t="shared" si="27"/>
        <v>FY40</v>
      </c>
      <c r="FZ14" s="6" t="str">
        <f t="shared" si="27"/>
        <v>FY41</v>
      </c>
      <c r="GA14" s="6" t="str">
        <f t="shared" si="27"/>
        <v>FY41</v>
      </c>
      <c r="GB14" s="6" t="str">
        <f t="shared" si="27"/>
        <v>FY41</v>
      </c>
      <c r="GC14" s="6" t="str">
        <f t="shared" si="27"/>
        <v>FY41</v>
      </c>
      <c r="GD14" s="6" t="str">
        <f t="shared" si="27"/>
        <v>FY41</v>
      </c>
      <c r="GE14" s="6" t="str">
        <f t="shared" si="27"/>
        <v>FY41</v>
      </c>
      <c r="GF14" s="6" t="str">
        <f t="shared" si="27"/>
        <v>FY41</v>
      </c>
      <c r="GG14" s="6" t="str">
        <f t="shared" si="27"/>
        <v>FY41</v>
      </c>
      <c r="GH14" s="6" t="str">
        <f t="shared" si="27"/>
        <v>FY41</v>
      </c>
      <c r="GI14" s="6" t="str">
        <f t="shared" si="27"/>
        <v>FY41</v>
      </c>
      <c r="GJ14" s="6" t="str">
        <f t="shared" si="27"/>
        <v>FY41</v>
      </c>
      <c r="GK14" s="6" t="str">
        <f t="shared" si="27"/>
        <v>FY41</v>
      </c>
      <c r="GL14" s="6" t="str">
        <f t="shared" si="27"/>
        <v>FY42</v>
      </c>
      <c r="GM14" s="6" t="str">
        <f t="shared" si="27"/>
        <v>FY42</v>
      </c>
      <c r="GN14" s="6" t="str">
        <f t="shared" si="27"/>
        <v>FY42</v>
      </c>
      <c r="GO14" s="6" t="str">
        <f t="shared" si="27"/>
        <v>FY42</v>
      </c>
      <c r="GP14" s="6" t="str">
        <f t="shared" si="27"/>
        <v>FY42</v>
      </c>
      <c r="GQ14" s="6" t="str">
        <f t="shared" si="27"/>
        <v>FY42</v>
      </c>
      <c r="GR14" s="6" t="str">
        <f t="shared" si="27"/>
        <v>FY42</v>
      </c>
      <c r="GS14" s="6" t="str">
        <f t="shared" si="27"/>
        <v>FY42</v>
      </c>
      <c r="GT14" s="6" t="str">
        <f t="shared" si="27"/>
        <v>FY42</v>
      </c>
      <c r="GU14" s="6" t="str">
        <f t="shared" si="27"/>
        <v>FY42</v>
      </c>
      <c r="GV14" s="6" t="str">
        <f t="shared" si="27"/>
        <v>FY42</v>
      </c>
      <c r="GW14" s="6" t="str">
        <f t="shared" si="27"/>
        <v>FY42</v>
      </c>
      <c r="GX14" s="6" t="str">
        <f t="shared" ref="GX14:JI14" si="28">"FY"&amp;IF(MONTH(GX11)&gt;6,RIGHT(YEAR(GX11)+1,2),RIGHT(YEAR(GX11),2))</f>
        <v>FY43</v>
      </c>
      <c r="GY14" s="6" t="str">
        <f t="shared" si="28"/>
        <v>FY43</v>
      </c>
      <c r="GZ14" s="6" t="str">
        <f t="shared" si="28"/>
        <v>FY43</v>
      </c>
      <c r="HA14" s="6" t="str">
        <f t="shared" si="28"/>
        <v>FY43</v>
      </c>
      <c r="HB14" s="6" t="str">
        <f t="shared" si="28"/>
        <v>FY43</v>
      </c>
      <c r="HC14" s="6" t="str">
        <f t="shared" si="28"/>
        <v>FY43</v>
      </c>
      <c r="HD14" s="6" t="str">
        <f t="shared" si="28"/>
        <v>FY43</v>
      </c>
      <c r="HE14" s="6" t="str">
        <f t="shared" si="28"/>
        <v>FY43</v>
      </c>
      <c r="HF14" s="6" t="str">
        <f t="shared" si="28"/>
        <v>FY43</v>
      </c>
      <c r="HG14" s="6" t="str">
        <f t="shared" si="28"/>
        <v>FY43</v>
      </c>
      <c r="HH14" s="6" t="str">
        <f t="shared" si="28"/>
        <v>FY43</v>
      </c>
      <c r="HI14" s="6" t="str">
        <f t="shared" si="28"/>
        <v>FY43</v>
      </c>
      <c r="HJ14" s="6" t="str">
        <f t="shared" si="28"/>
        <v>FY44</v>
      </c>
      <c r="HK14" s="6" t="str">
        <f t="shared" si="28"/>
        <v>FY44</v>
      </c>
      <c r="HL14" s="6" t="str">
        <f t="shared" si="28"/>
        <v>FY44</v>
      </c>
      <c r="HM14" s="6" t="str">
        <f t="shared" si="28"/>
        <v>FY44</v>
      </c>
      <c r="HN14" s="6" t="str">
        <f t="shared" si="28"/>
        <v>FY44</v>
      </c>
      <c r="HO14" s="6" t="str">
        <f t="shared" si="28"/>
        <v>FY44</v>
      </c>
      <c r="HP14" s="6" t="str">
        <f t="shared" si="28"/>
        <v>FY44</v>
      </c>
      <c r="HQ14" s="6" t="str">
        <f t="shared" si="28"/>
        <v>FY44</v>
      </c>
      <c r="HR14" s="6" t="str">
        <f t="shared" si="28"/>
        <v>FY44</v>
      </c>
      <c r="HS14" s="6" t="str">
        <f t="shared" si="28"/>
        <v>FY44</v>
      </c>
      <c r="HT14" s="6" t="str">
        <f t="shared" si="28"/>
        <v>FY44</v>
      </c>
      <c r="HU14" s="6" t="str">
        <f t="shared" si="28"/>
        <v>FY44</v>
      </c>
      <c r="HV14" s="6" t="str">
        <f t="shared" si="28"/>
        <v>FY45</v>
      </c>
      <c r="HW14" s="6" t="str">
        <f t="shared" si="28"/>
        <v>FY45</v>
      </c>
      <c r="HX14" s="6" t="str">
        <f t="shared" si="28"/>
        <v>FY45</v>
      </c>
      <c r="HY14" s="6" t="str">
        <f t="shared" si="28"/>
        <v>FY45</v>
      </c>
      <c r="HZ14" s="6" t="str">
        <f t="shared" si="28"/>
        <v>FY45</v>
      </c>
      <c r="IA14" s="6" t="str">
        <f t="shared" si="28"/>
        <v>FY45</v>
      </c>
      <c r="IB14" s="6" t="str">
        <f t="shared" si="28"/>
        <v>FY45</v>
      </c>
      <c r="IC14" s="6" t="str">
        <f t="shared" si="28"/>
        <v>FY45</v>
      </c>
      <c r="ID14" s="6" t="str">
        <f t="shared" si="28"/>
        <v>FY45</v>
      </c>
      <c r="IE14" s="6" t="str">
        <f t="shared" si="28"/>
        <v>FY45</v>
      </c>
      <c r="IF14" s="6" t="str">
        <f t="shared" si="28"/>
        <v>FY45</v>
      </c>
      <c r="IG14" s="6" t="str">
        <f t="shared" si="28"/>
        <v>FY45</v>
      </c>
      <c r="IH14" s="6" t="str">
        <f t="shared" si="28"/>
        <v>FY46</v>
      </c>
      <c r="II14" s="6" t="str">
        <f t="shared" si="28"/>
        <v>FY46</v>
      </c>
      <c r="IJ14" s="6" t="str">
        <f t="shared" si="28"/>
        <v>FY46</v>
      </c>
      <c r="IK14" s="6" t="str">
        <f t="shared" si="28"/>
        <v>FY46</v>
      </c>
      <c r="IL14" s="6" t="str">
        <f t="shared" si="28"/>
        <v>FY46</v>
      </c>
      <c r="IM14" s="6" t="str">
        <f t="shared" si="28"/>
        <v>FY46</v>
      </c>
      <c r="IN14" s="6" t="str">
        <f t="shared" si="28"/>
        <v>FY46</v>
      </c>
      <c r="IO14" s="6" t="str">
        <f t="shared" si="28"/>
        <v>FY46</v>
      </c>
      <c r="IP14" s="6" t="str">
        <f t="shared" si="28"/>
        <v>FY46</v>
      </c>
      <c r="IQ14" s="6" t="str">
        <f t="shared" si="28"/>
        <v>FY46</v>
      </c>
      <c r="IR14" s="6" t="str">
        <f t="shared" si="28"/>
        <v>FY46</v>
      </c>
      <c r="IS14" s="6" t="str">
        <f t="shared" si="28"/>
        <v>FY46</v>
      </c>
      <c r="IT14" s="6" t="str">
        <f t="shared" si="28"/>
        <v>FY47</v>
      </c>
      <c r="IU14" s="6" t="str">
        <f t="shared" si="28"/>
        <v>FY47</v>
      </c>
      <c r="IV14" s="6" t="str">
        <f t="shared" si="28"/>
        <v>FY47</v>
      </c>
      <c r="IW14" s="6" t="str">
        <f t="shared" si="28"/>
        <v>FY47</v>
      </c>
      <c r="IX14" s="6" t="str">
        <f t="shared" si="28"/>
        <v>FY47</v>
      </c>
      <c r="IY14" s="6" t="str">
        <f t="shared" si="28"/>
        <v>FY47</v>
      </c>
      <c r="IZ14" s="6" t="str">
        <f t="shared" si="28"/>
        <v>FY47</v>
      </c>
      <c r="JA14" s="6" t="str">
        <f t="shared" si="28"/>
        <v>FY47</v>
      </c>
      <c r="JB14" s="6" t="str">
        <f t="shared" si="28"/>
        <v>FY47</v>
      </c>
      <c r="JC14" s="6" t="str">
        <f t="shared" si="28"/>
        <v>FY47</v>
      </c>
      <c r="JD14" s="6" t="str">
        <f t="shared" si="28"/>
        <v>FY47</v>
      </c>
      <c r="JE14" s="6" t="str">
        <f t="shared" si="28"/>
        <v>FY47</v>
      </c>
      <c r="JF14" s="6" t="str">
        <f t="shared" si="28"/>
        <v>FY48</v>
      </c>
      <c r="JG14" s="6" t="str">
        <f t="shared" si="28"/>
        <v>FY48</v>
      </c>
      <c r="JH14" s="6" t="str">
        <f t="shared" si="28"/>
        <v>FY48</v>
      </c>
      <c r="JI14" s="6" t="str">
        <f t="shared" si="28"/>
        <v>FY48</v>
      </c>
      <c r="JJ14" s="6" t="str">
        <f t="shared" ref="JJ14:KI14" si="29">"FY"&amp;IF(MONTH(JJ11)&gt;6,RIGHT(YEAR(JJ11)+1,2),RIGHT(YEAR(JJ11),2))</f>
        <v>FY48</v>
      </c>
      <c r="JK14" s="6" t="str">
        <f t="shared" si="29"/>
        <v>FY48</v>
      </c>
      <c r="JL14" s="6" t="str">
        <f t="shared" si="29"/>
        <v>FY48</v>
      </c>
      <c r="JM14" s="6" t="str">
        <f t="shared" si="29"/>
        <v>FY48</v>
      </c>
      <c r="JN14" s="6" t="str">
        <f t="shared" si="29"/>
        <v>FY48</v>
      </c>
      <c r="JO14" s="6" t="str">
        <f t="shared" si="29"/>
        <v>FY48</v>
      </c>
      <c r="JP14" s="6" t="str">
        <f t="shared" si="29"/>
        <v>FY48</v>
      </c>
      <c r="JQ14" s="6" t="str">
        <f t="shared" si="29"/>
        <v>FY48</v>
      </c>
      <c r="JR14" s="6" t="str">
        <f t="shared" si="29"/>
        <v>FY49</v>
      </c>
      <c r="JS14" s="6" t="str">
        <f t="shared" si="29"/>
        <v>FY49</v>
      </c>
      <c r="JT14" s="6" t="str">
        <f t="shared" si="29"/>
        <v>FY49</v>
      </c>
      <c r="JU14" s="6" t="str">
        <f t="shared" si="29"/>
        <v>FY49</v>
      </c>
      <c r="JV14" s="6" t="str">
        <f t="shared" si="29"/>
        <v>FY49</v>
      </c>
      <c r="JW14" s="6" t="str">
        <f t="shared" si="29"/>
        <v>FY49</v>
      </c>
      <c r="JX14" s="6" t="str">
        <f t="shared" si="29"/>
        <v>FY49</v>
      </c>
      <c r="JY14" s="6" t="str">
        <f t="shared" si="29"/>
        <v>FY49</v>
      </c>
      <c r="JZ14" s="6" t="str">
        <f t="shared" si="29"/>
        <v>FY49</v>
      </c>
      <c r="KA14" s="6" t="str">
        <f t="shared" si="29"/>
        <v>FY49</v>
      </c>
      <c r="KB14" s="6" t="str">
        <f t="shared" si="29"/>
        <v>FY49</v>
      </c>
      <c r="KC14" s="6" t="str">
        <f t="shared" si="29"/>
        <v>FY49</v>
      </c>
      <c r="KD14" s="6" t="str">
        <f t="shared" si="29"/>
        <v>FY50</v>
      </c>
      <c r="KE14" s="6" t="str">
        <f t="shared" si="29"/>
        <v>FY50</v>
      </c>
      <c r="KF14" s="6" t="str">
        <f t="shared" si="29"/>
        <v>FY50</v>
      </c>
      <c r="KG14" s="6" t="str">
        <f t="shared" si="29"/>
        <v>FY50</v>
      </c>
      <c r="KH14" s="6" t="str">
        <f t="shared" si="29"/>
        <v>FY50</v>
      </c>
      <c r="KI14" s="6" t="str">
        <f t="shared" si="29"/>
        <v>FY50</v>
      </c>
      <c r="KJ14" s="1"/>
    </row>
    <row r="15" spans="1:296" x14ac:dyDescent="0.35">
      <c r="A15" s="1"/>
      <c r="B15" s="8"/>
      <c r="C15" s="8"/>
      <c r="D15" s="8"/>
      <c r="E15" s="8"/>
      <c r="F15" s="8"/>
      <c r="G15" s="8"/>
      <c r="H15" s="8" t="s">
        <v>14</v>
      </c>
      <c r="I15" s="1"/>
      <c r="J15" s="1"/>
      <c r="K15" s="1"/>
      <c r="L15" s="1"/>
      <c r="M15" s="6" t="s">
        <v>15</v>
      </c>
      <c r="N15" s="8">
        <f t="shared" ref="N15:BY15" si="30">N12-N11+1</f>
        <v>31</v>
      </c>
      <c r="O15" s="8">
        <f t="shared" si="30"/>
        <v>31</v>
      </c>
      <c r="P15" s="8">
        <f t="shared" si="30"/>
        <v>30</v>
      </c>
      <c r="Q15" s="8">
        <f t="shared" si="30"/>
        <v>31</v>
      </c>
      <c r="R15" s="8">
        <f t="shared" si="30"/>
        <v>30</v>
      </c>
      <c r="S15" s="8">
        <f t="shared" si="30"/>
        <v>31</v>
      </c>
      <c r="T15" s="8">
        <f t="shared" si="30"/>
        <v>31</v>
      </c>
      <c r="U15" s="8">
        <f t="shared" si="30"/>
        <v>28</v>
      </c>
      <c r="V15" s="8">
        <f t="shared" si="30"/>
        <v>31</v>
      </c>
      <c r="W15" s="8">
        <f t="shared" si="30"/>
        <v>30</v>
      </c>
      <c r="X15" s="8">
        <f t="shared" si="30"/>
        <v>31</v>
      </c>
      <c r="Y15" s="8">
        <f t="shared" si="30"/>
        <v>30</v>
      </c>
      <c r="Z15" s="8">
        <f t="shared" si="30"/>
        <v>31</v>
      </c>
      <c r="AA15" s="8">
        <f t="shared" si="30"/>
        <v>31</v>
      </c>
      <c r="AB15" s="8">
        <f t="shared" si="30"/>
        <v>30</v>
      </c>
      <c r="AC15" s="8">
        <f t="shared" si="30"/>
        <v>31</v>
      </c>
      <c r="AD15" s="8">
        <f t="shared" si="30"/>
        <v>30</v>
      </c>
      <c r="AE15" s="8">
        <f t="shared" si="30"/>
        <v>31</v>
      </c>
      <c r="AF15" s="8">
        <f t="shared" si="30"/>
        <v>31</v>
      </c>
      <c r="AG15" s="8">
        <f t="shared" si="30"/>
        <v>29</v>
      </c>
      <c r="AH15" s="8">
        <f t="shared" si="30"/>
        <v>31</v>
      </c>
      <c r="AI15" s="8">
        <f t="shared" si="30"/>
        <v>30</v>
      </c>
      <c r="AJ15" s="8">
        <f t="shared" si="30"/>
        <v>31</v>
      </c>
      <c r="AK15" s="8">
        <f t="shared" si="30"/>
        <v>30</v>
      </c>
      <c r="AL15" s="8">
        <f t="shared" si="30"/>
        <v>31</v>
      </c>
      <c r="AM15" s="8">
        <f t="shared" si="30"/>
        <v>31</v>
      </c>
      <c r="AN15" s="8">
        <f t="shared" si="30"/>
        <v>30</v>
      </c>
      <c r="AO15" s="8">
        <f t="shared" si="30"/>
        <v>31</v>
      </c>
      <c r="AP15" s="8">
        <f t="shared" si="30"/>
        <v>30</v>
      </c>
      <c r="AQ15" s="8">
        <f t="shared" si="30"/>
        <v>31</v>
      </c>
      <c r="AR15" s="8">
        <f t="shared" si="30"/>
        <v>31</v>
      </c>
      <c r="AS15" s="8">
        <f t="shared" si="30"/>
        <v>28</v>
      </c>
      <c r="AT15" s="8">
        <f t="shared" si="30"/>
        <v>31</v>
      </c>
      <c r="AU15" s="8">
        <f t="shared" si="30"/>
        <v>30</v>
      </c>
      <c r="AV15" s="8">
        <f t="shared" si="30"/>
        <v>31</v>
      </c>
      <c r="AW15" s="8">
        <f t="shared" si="30"/>
        <v>30</v>
      </c>
      <c r="AX15" s="8">
        <f t="shared" si="30"/>
        <v>31</v>
      </c>
      <c r="AY15" s="8">
        <f t="shared" si="30"/>
        <v>31</v>
      </c>
      <c r="AZ15" s="8">
        <f t="shared" si="30"/>
        <v>30</v>
      </c>
      <c r="BA15" s="8">
        <f t="shared" si="30"/>
        <v>31</v>
      </c>
      <c r="BB15" s="8">
        <f t="shared" si="30"/>
        <v>30</v>
      </c>
      <c r="BC15" s="8">
        <f t="shared" si="30"/>
        <v>31</v>
      </c>
      <c r="BD15" s="8">
        <f t="shared" si="30"/>
        <v>31</v>
      </c>
      <c r="BE15" s="8">
        <f t="shared" si="30"/>
        <v>28</v>
      </c>
      <c r="BF15" s="8">
        <f t="shared" si="30"/>
        <v>31</v>
      </c>
      <c r="BG15" s="8">
        <f t="shared" si="30"/>
        <v>30</v>
      </c>
      <c r="BH15" s="8">
        <f t="shared" si="30"/>
        <v>31</v>
      </c>
      <c r="BI15" s="8">
        <f t="shared" si="30"/>
        <v>30</v>
      </c>
      <c r="BJ15" s="8">
        <f t="shared" si="30"/>
        <v>31</v>
      </c>
      <c r="BK15" s="8">
        <f t="shared" si="30"/>
        <v>31</v>
      </c>
      <c r="BL15" s="8">
        <f t="shared" si="30"/>
        <v>30</v>
      </c>
      <c r="BM15" s="8">
        <f t="shared" si="30"/>
        <v>31</v>
      </c>
      <c r="BN15" s="8">
        <f t="shared" si="30"/>
        <v>30</v>
      </c>
      <c r="BO15" s="8">
        <f t="shared" si="30"/>
        <v>31</v>
      </c>
      <c r="BP15" s="8">
        <f t="shared" si="30"/>
        <v>31</v>
      </c>
      <c r="BQ15" s="8">
        <f t="shared" si="30"/>
        <v>28</v>
      </c>
      <c r="BR15" s="8">
        <f t="shared" si="30"/>
        <v>31</v>
      </c>
      <c r="BS15" s="8">
        <f t="shared" si="30"/>
        <v>30</v>
      </c>
      <c r="BT15" s="8">
        <f t="shared" si="30"/>
        <v>31</v>
      </c>
      <c r="BU15" s="8">
        <f t="shared" si="30"/>
        <v>30</v>
      </c>
      <c r="BV15" s="8">
        <f t="shared" si="30"/>
        <v>31</v>
      </c>
      <c r="BW15" s="8">
        <f t="shared" si="30"/>
        <v>31</v>
      </c>
      <c r="BX15" s="8">
        <f t="shared" si="30"/>
        <v>30</v>
      </c>
      <c r="BY15" s="8">
        <f t="shared" si="30"/>
        <v>31</v>
      </c>
      <c r="BZ15" s="8">
        <f t="shared" ref="BZ15:EK15" si="31">BZ12-BZ11+1</f>
        <v>30</v>
      </c>
      <c r="CA15" s="8">
        <f t="shared" si="31"/>
        <v>31</v>
      </c>
      <c r="CB15" s="8">
        <f t="shared" si="31"/>
        <v>31</v>
      </c>
      <c r="CC15" s="8">
        <f t="shared" si="31"/>
        <v>29</v>
      </c>
      <c r="CD15" s="8">
        <f t="shared" si="31"/>
        <v>31</v>
      </c>
      <c r="CE15" s="8">
        <f t="shared" si="31"/>
        <v>30</v>
      </c>
      <c r="CF15" s="8">
        <f t="shared" si="31"/>
        <v>31</v>
      </c>
      <c r="CG15" s="8">
        <f t="shared" si="31"/>
        <v>30</v>
      </c>
      <c r="CH15" s="8">
        <f t="shared" si="31"/>
        <v>31</v>
      </c>
      <c r="CI15" s="8">
        <f t="shared" si="31"/>
        <v>31</v>
      </c>
      <c r="CJ15" s="8">
        <f t="shared" si="31"/>
        <v>30</v>
      </c>
      <c r="CK15" s="8">
        <f t="shared" si="31"/>
        <v>31</v>
      </c>
      <c r="CL15" s="8">
        <f t="shared" si="31"/>
        <v>30</v>
      </c>
      <c r="CM15" s="8">
        <f t="shared" si="31"/>
        <v>31</v>
      </c>
      <c r="CN15" s="8">
        <f t="shared" si="31"/>
        <v>31</v>
      </c>
      <c r="CO15" s="8">
        <f t="shared" si="31"/>
        <v>28</v>
      </c>
      <c r="CP15" s="8">
        <f t="shared" si="31"/>
        <v>31</v>
      </c>
      <c r="CQ15" s="8">
        <f t="shared" si="31"/>
        <v>30</v>
      </c>
      <c r="CR15" s="8">
        <f t="shared" si="31"/>
        <v>31</v>
      </c>
      <c r="CS15" s="8">
        <f t="shared" si="31"/>
        <v>30</v>
      </c>
      <c r="CT15" s="8">
        <f t="shared" si="31"/>
        <v>31</v>
      </c>
      <c r="CU15" s="8">
        <f t="shared" si="31"/>
        <v>31</v>
      </c>
      <c r="CV15" s="8">
        <f t="shared" si="31"/>
        <v>30</v>
      </c>
      <c r="CW15" s="8">
        <f t="shared" si="31"/>
        <v>31</v>
      </c>
      <c r="CX15" s="8">
        <f t="shared" si="31"/>
        <v>30</v>
      </c>
      <c r="CY15" s="8">
        <f t="shared" si="31"/>
        <v>31</v>
      </c>
      <c r="CZ15" s="8">
        <f t="shared" si="31"/>
        <v>31</v>
      </c>
      <c r="DA15" s="8">
        <f t="shared" si="31"/>
        <v>28</v>
      </c>
      <c r="DB15" s="8">
        <f t="shared" si="31"/>
        <v>31</v>
      </c>
      <c r="DC15" s="8">
        <f t="shared" si="31"/>
        <v>30</v>
      </c>
      <c r="DD15" s="8">
        <f t="shared" si="31"/>
        <v>31</v>
      </c>
      <c r="DE15" s="8">
        <f t="shared" si="31"/>
        <v>30</v>
      </c>
      <c r="DF15" s="8">
        <f t="shared" si="31"/>
        <v>31</v>
      </c>
      <c r="DG15" s="8">
        <f t="shared" si="31"/>
        <v>31</v>
      </c>
      <c r="DH15" s="8">
        <f t="shared" si="31"/>
        <v>30</v>
      </c>
      <c r="DI15" s="8">
        <f t="shared" si="31"/>
        <v>31</v>
      </c>
      <c r="DJ15" s="8">
        <f t="shared" si="31"/>
        <v>30</v>
      </c>
      <c r="DK15" s="8">
        <f t="shared" si="31"/>
        <v>31</v>
      </c>
      <c r="DL15" s="8">
        <f t="shared" si="31"/>
        <v>31</v>
      </c>
      <c r="DM15" s="8">
        <f t="shared" si="31"/>
        <v>28</v>
      </c>
      <c r="DN15" s="8">
        <f t="shared" si="31"/>
        <v>31</v>
      </c>
      <c r="DO15" s="8">
        <f t="shared" si="31"/>
        <v>30</v>
      </c>
      <c r="DP15" s="8">
        <f t="shared" si="31"/>
        <v>31</v>
      </c>
      <c r="DQ15" s="8">
        <f t="shared" si="31"/>
        <v>30</v>
      </c>
      <c r="DR15" s="8">
        <f t="shared" si="31"/>
        <v>31</v>
      </c>
      <c r="DS15" s="8">
        <f t="shared" si="31"/>
        <v>31</v>
      </c>
      <c r="DT15" s="8">
        <f t="shared" si="31"/>
        <v>30</v>
      </c>
      <c r="DU15" s="8">
        <f t="shared" si="31"/>
        <v>31</v>
      </c>
      <c r="DV15" s="8">
        <f t="shared" si="31"/>
        <v>30</v>
      </c>
      <c r="DW15" s="8">
        <f t="shared" si="31"/>
        <v>31</v>
      </c>
      <c r="DX15" s="8">
        <f t="shared" si="31"/>
        <v>31</v>
      </c>
      <c r="DY15" s="8">
        <f t="shared" si="31"/>
        <v>29</v>
      </c>
      <c r="DZ15" s="8">
        <f t="shared" si="31"/>
        <v>31</v>
      </c>
      <c r="EA15" s="8">
        <f t="shared" si="31"/>
        <v>30</v>
      </c>
      <c r="EB15" s="8">
        <f t="shared" si="31"/>
        <v>31</v>
      </c>
      <c r="EC15" s="8">
        <f t="shared" si="31"/>
        <v>30</v>
      </c>
      <c r="ED15" s="8">
        <f t="shared" si="31"/>
        <v>31</v>
      </c>
      <c r="EE15" s="8">
        <f t="shared" si="31"/>
        <v>31</v>
      </c>
      <c r="EF15" s="8">
        <f t="shared" si="31"/>
        <v>30</v>
      </c>
      <c r="EG15" s="8">
        <f t="shared" si="31"/>
        <v>31</v>
      </c>
      <c r="EH15" s="8">
        <f t="shared" si="31"/>
        <v>30</v>
      </c>
      <c r="EI15" s="8">
        <f t="shared" si="31"/>
        <v>31</v>
      </c>
      <c r="EJ15" s="8">
        <f t="shared" si="31"/>
        <v>31</v>
      </c>
      <c r="EK15" s="8">
        <f t="shared" si="31"/>
        <v>28</v>
      </c>
      <c r="EL15" s="8">
        <f t="shared" ref="EL15:GW15" si="32">EL12-EL11+1</f>
        <v>31</v>
      </c>
      <c r="EM15" s="8">
        <f t="shared" si="32"/>
        <v>30</v>
      </c>
      <c r="EN15" s="8">
        <f t="shared" si="32"/>
        <v>31</v>
      </c>
      <c r="EO15" s="8">
        <f t="shared" si="32"/>
        <v>30</v>
      </c>
      <c r="EP15" s="8">
        <f t="shared" si="32"/>
        <v>31</v>
      </c>
      <c r="EQ15" s="8">
        <f t="shared" si="32"/>
        <v>31</v>
      </c>
      <c r="ER15" s="8">
        <f t="shared" si="32"/>
        <v>30</v>
      </c>
      <c r="ES15" s="8">
        <f t="shared" si="32"/>
        <v>31</v>
      </c>
      <c r="ET15" s="8">
        <f t="shared" si="32"/>
        <v>30</v>
      </c>
      <c r="EU15" s="8">
        <f t="shared" si="32"/>
        <v>31</v>
      </c>
      <c r="EV15" s="8">
        <f t="shared" si="32"/>
        <v>31</v>
      </c>
      <c r="EW15" s="8">
        <f t="shared" si="32"/>
        <v>28</v>
      </c>
      <c r="EX15" s="8">
        <f t="shared" si="32"/>
        <v>31</v>
      </c>
      <c r="EY15" s="8">
        <f t="shared" si="32"/>
        <v>30</v>
      </c>
      <c r="EZ15" s="8">
        <f t="shared" si="32"/>
        <v>31</v>
      </c>
      <c r="FA15" s="8">
        <f t="shared" si="32"/>
        <v>30</v>
      </c>
      <c r="FB15" s="8">
        <f t="shared" si="32"/>
        <v>31</v>
      </c>
      <c r="FC15" s="8">
        <f t="shared" si="32"/>
        <v>31</v>
      </c>
      <c r="FD15" s="8">
        <f t="shared" si="32"/>
        <v>30</v>
      </c>
      <c r="FE15" s="8">
        <f t="shared" si="32"/>
        <v>31</v>
      </c>
      <c r="FF15" s="8">
        <f t="shared" si="32"/>
        <v>30</v>
      </c>
      <c r="FG15" s="8">
        <f t="shared" si="32"/>
        <v>31</v>
      </c>
      <c r="FH15" s="8">
        <f t="shared" si="32"/>
        <v>31</v>
      </c>
      <c r="FI15" s="8">
        <f t="shared" si="32"/>
        <v>28</v>
      </c>
      <c r="FJ15" s="8">
        <f t="shared" si="32"/>
        <v>31</v>
      </c>
      <c r="FK15" s="8">
        <f t="shared" si="32"/>
        <v>30</v>
      </c>
      <c r="FL15" s="8">
        <f t="shared" si="32"/>
        <v>31</v>
      </c>
      <c r="FM15" s="8">
        <f t="shared" si="32"/>
        <v>30</v>
      </c>
      <c r="FN15" s="8">
        <f t="shared" si="32"/>
        <v>31</v>
      </c>
      <c r="FO15" s="8">
        <f t="shared" si="32"/>
        <v>31</v>
      </c>
      <c r="FP15" s="8">
        <f t="shared" si="32"/>
        <v>30</v>
      </c>
      <c r="FQ15" s="8">
        <f t="shared" si="32"/>
        <v>31</v>
      </c>
      <c r="FR15" s="8">
        <f t="shared" si="32"/>
        <v>30</v>
      </c>
      <c r="FS15" s="8">
        <f t="shared" si="32"/>
        <v>31</v>
      </c>
      <c r="FT15" s="8">
        <f t="shared" si="32"/>
        <v>31</v>
      </c>
      <c r="FU15" s="8">
        <f t="shared" si="32"/>
        <v>29</v>
      </c>
      <c r="FV15" s="8">
        <f t="shared" si="32"/>
        <v>31</v>
      </c>
      <c r="FW15" s="8">
        <f t="shared" si="32"/>
        <v>30</v>
      </c>
      <c r="FX15" s="8">
        <f t="shared" si="32"/>
        <v>31</v>
      </c>
      <c r="FY15" s="8">
        <f t="shared" si="32"/>
        <v>30</v>
      </c>
      <c r="FZ15" s="8">
        <f t="shared" si="32"/>
        <v>31</v>
      </c>
      <c r="GA15" s="8">
        <f t="shared" si="32"/>
        <v>31</v>
      </c>
      <c r="GB15" s="8">
        <f t="shared" si="32"/>
        <v>30</v>
      </c>
      <c r="GC15" s="8">
        <f t="shared" si="32"/>
        <v>31</v>
      </c>
      <c r="GD15" s="8">
        <f t="shared" si="32"/>
        <v>30</v>
      </c>
      <c r="GE15" s="8">
        <f t="shared" si="32"/>
        <v>31</v>
      </c>
      <c r="GF15" s="8">
        <f t="shared" si="32"/>
        <v>31</v>
      </c>
      <c r="GG15" s="8">
        <f t="shared" si="32"/>
        <v>28</v>
      </c>
      <c r="GH15" s="8">
        <f t="shared" si="32"/>
        <v>31</v>
      </c>
      <c r="GI15" s="8">
        <f t="shared" si="32"/>
        <v>30</v>
      </c>
      <c r="GJ15" s="8">
        <f t="shared" si="32"/>
        <v>31</v>
      </c>
      <c r="GK15" s="8">
        <f t="shared" si="32"/>
        <v>30</v>
      </c>
      <c r="GL15" s="8">
        <f t="shared" si="32"/>
        <v>31</v>
      </c>
      <c r="GM15" s="8">
        <f t="shared" si="32"/>
        <v>31</v>
      </c>
      <c r="GN15" s="8">
        <f t="shared" si="32"/>
        <v>30</v>
      </c>
      <c r="GO15" s="8">
        <f t="shared" si="32"/>
        <v>31</v>
      </c>
      <c r="GP15" s="8">
        <f t="shared" si="32"/>
        <v>30</v>
      </c>
      <c r="GQ15" s="8">
        <f t="shared" si="32"/>
        <v>31</v>
      </c>
      <c r="GR15" s="8">
        <f t="shared" si="32"/>
        <v>31</v>
      </c>
      <c r="GS15" s="8">
        <f t="shared" si="32"/>
        <v>28</v>
      </c>
      <c r="GT15" s="8">
        <f t="shared" si="32"/>
        <v>31</v>
      </c>
      <c r="GU15" s="8">
        <f t="shared" si="32"/>
        <v>30</v>
      </c>
      <c r="GV15" s="8">
        <f t="shared" si="32"/>
        <v>31</v>
      </c>
      <c r="GW15" s="8">
        <f t="shared" si="32"/>
        <v>30</v>
      </c>
      <c r="GX15" s="8">
        <f t="shared" ref="GX15:JI15" si="33">GX12-GX11+1</f>
        <v>31</v>
      </c>
      <c r="GY15" s="8">
        <f t="shared" si="33"/>
        <v>31</v>
      </c>
      <c r="GZ15" s="8">
        <f t="shared" si="33"/>
        <v>30</v>
      </c>
      <c r="HA15" s="8">
        <f t="shared" si="33"/>
        <v>31</v>
      </c>
      <c r="HB15" s="8">
        <f t="shared" si="33"/>
        <v>30</v>
      </c>
      <c r="HC15" s="8">
        <f t="shared" si="33"/>
        <v>31</v>
      </c>
      <c r="HD15" s="8">
        <f t="shared" si="33"/>
        <v>31</v>
      </c>
      <c r="HE15" s="8">
        <f t="shared" si="33"/>
        <v>28</v>
      </c>
      <c r="HF15" s="8">
        <f t="shared" si="33"/>
        <v>31</v>
      </c>
      <c r="HG15" s="8">
        <f t="shared" si="33"/>
        <v>30</v>
      </c>
      <c r="HH15" s="8">
        <f t="shared" si="33"/>
        <v>31</v>
      </c>
      <c r="HI15" s="8">
        <f t="shared" si="33"/>
        <v>30</v>
      </c>
      <c r="HJ15" s="8">
        <f t="shared" si="33"/>
        <v>31</v>
      </c>
      <c r="HK15" s="8">
        <f t="shared" si="33"/>
        <v>31</v>
      </c>
      <c r="HL15" s="8">
        <f t="shared" si="33"/>
        <v>30</v>
      </c>
      <c r="HM15" s="8">
        <f t="shared" si="33"/>
        <v>31</v>
      </c>
      <c r="HN15" s="8">
        <f t="shared" si="33"/>
        <v>30</v>
      </c>
      <c r="HO15" s="8">
        <f t="shared" si="33"/>
        <v>31</v>
      </c>
      <c r="HP15" s="8">
        <f t="shared" si="33"/>
        <v>31</v>
      </c>
      <c r="HQ15" s="8">
        <f t="shared" si="33"/>
        <v>29</v>
      </c>
      <c r="HR15" s="8">
        <f t="shared" si="33"/>
        <v>31</v>
      </c>
      <c r="HS15" s="8">
        <f t="shared" si="33"/>
        <v>30</v>
      </c>
      <c r="HT15" s="8">
        <f t="shared" si="33"/>
        <v>31</v>
      </c>
      <c r="HU15" s="8">
        <f t="shared" si="33"/>
        <v>30</v>
      </c>
      <c r="HV15" s="8">
        <f t="shared" si="33"/>
        <v>31</v>
      </c>
      <c r="HW15" s="8">
        <f t="shared" si="33"/>
        <v>31</v>
      </c>
      <c r="HX15" s="8">
        <f t="shared" si="33"/>
        <v>30</v>
      </c>
      <c r="HY15" s="8">
        <f t="shared" si="33"/>
        <v>31</v>
      </c>
      <c r="HZ15" s="8">
        <f t="shared" si="33"/>
        <v>30</v>
      </c>
      <c r="IA15" s="8">
        <f t="shared" si="33"/>
        <v>31</v>
      </c>
      <c r="IB15" s="8">
        <f t="shared" si="33"/>
        <v>31</v>
      </c>
      <c r="IC15" s="8">
        <f t="shared" si="33"/>
        <v>28</v>
      </c>
      <c r="ID15" s="8">
        <f t="shared" si="33"/>
        <v>31</v>
      </c>
      <c r="IE15" s="8">
        <f t="shared" si="33"/>
        <v>30</v>
      </c>
      <c r="IF15" s="8">
        <f t="shared" si="33"/>
        <v>31</v>
      </c>
      <c r="IG15" s="8">
        <f t="shared" si="33"/>
        <v>30</v>
      </c>
      <c r="IH15" s="8">
        <f t="shared" si="33"/>
        <v>31</v>
      </c>
      <c r="II15" s="8">
        <f t="shared" si="33"/>
        <v>31</v>
      </c>
      <c r="IJ15" s="8">
        <f t="shared" si="33"/>
        <v>30</v>
      </c>
      <c r="IK15" s="8">
        <f t="shared" si="33"/>
        <v>31</v>
      </c>
      <c r="IL15" s="8">
        <f t="shared" si="33"/>
        <v>30</v>
      </c>
      <c r="IM15" s="8">
        <f t="shared" si="33"/>
        <v>31</v>
      </c>
      <c r="IN15" s="8">
        <f t="shared" si="33"/>
        <v>31</v>
      </c>
      <c r="IO15" s="8">
        <f t="shared" si="33"/>
        <v>28</v>
      </c>
      <c r="IP15" s="8">
        <f t="shared" si="33"/>
        <v>31</v>
      </c>
      <c r="IQ15" s="8">
        <f t="shared" si="33"/>
        <v>30</v>
      </c>
      <c r="IR15" s="8">
        <f t="shared" si="33"/>
        <v>31</v>
      </c>
      <c r="IS15" s="8">
        <f t="shared" si="33"/>
        <v>30</v>
      </c>
      <c r="IT15" s="8">
        <f t="shared" si="33"/>
        <v>31</v>
      </c>
      <c r="IU15" s="8">
        <f t="shared" si="33"/>
        <v>31</v>
      </c>
      <c r="IV15" s="8">
        <f t="shared" si="33"/>
        <v>30</v>
      </c>
      <c r="IW15" s="8">
        <f t="shared" si="33"/>
        <v>31</v>
      </c>
      <c r="IX15" s="8">
        <f t="shared" si="33"/>
        <v>30</v>
      </c>
      <c r="IY15" s="8">
        <f t="shared" si="33"/>
        <v>31</v>
      </c>
      <c r="IZ15" s="8">
        <f t="shared" si="33"/>
        <v>31</v>
      </c>
      <c r="JA15" s="8">
        <f t="shared" si="33"/>
        <v>28</v>
      </c>
      <c r="JB15" s="8">
        <f t="shared" si="33"/>
        <v>31</v>
      </c>
      <c r="JC15" s="8">
        <f t="shared" si="33"/>
        <v>30</v>
      </c>
      <c r="JD15" s="8">
        <f t="shared" si="33"/>
        <v>31</v>
      </c>
      <c r="JE15" s="8">
        <f t="shared" si="33"/>
        <v>30</v>
      </c>
      <c r="JF15" s="8">
        <f t="shared" si="33"/>
        <v>31</v>
      </c>
      <c r="JG15" s="8">
        <f t="shared" si="33"/>
        <v>31</v>
      </c>
      <c r="JH15" s="8">
        <f t="shared" si="33"/>
        <v>30</v>
      </c>
      <c r="JI15" s="8">
        <f t="shared" si="33"/>
        <v>31</v>
      </c>
      <c r="JJ15" s="8">
        <f t="shared" ref="JJ15:KI15" si="34">JJ12-JJ11+1</f>
        <v>30</v>
      </c>
      <c r="JK15" s="8">
        <f t="shared" si="34"/>
        <v>31</v>
      </c>
      <c r="JL15" s="8">
        <f t="shared" si="34"/>
        <v>31</v>
      </c>
      <c r="JM15" s="8">
        <f t="shared" si="34"/>
        <v>29</v>
      </c>
      <c r="JN15" s="8">
        <f t="shared" si="34"/>
        <v>31</v>
      </c>
      <c r="JO15" s="8">
        <f t="shared" si="34"/>
        <v>30</v>
      </c>
      <c r="JP15" s="8">
        <f t="shared" si="34"/>
        <v>31</v>
      </c>
      <c r="JQ15" s="8">
        <f t="shared" si="34"/>
        <v>30</v>
      </c>
      <c r="JR15" s="8">
        <f t="shared" si="34"/>
        <v>31</v>
      </c>
      <c r="JS15" s="8">
        <f t="shared" si="34"/>
        <v>31</v>
      </c>
      <c r="JT15" s="8">
        <f t="shared" si="34"/>
        <v>30</v>
      </c>
      <c r="JU15" s="8">
        <f t="shared" si="34"/>
        <v>31</v>
      </c>
      <c r="JV15" s="8">
        <f t="shared" si="34"/>
        <v>30</v>
      </c>
      <c r="JW15" s="8">
        <f t="shared" si="34"/>
        <v>31</v>
      </c>
      <c r="JX15" s="8">
        <f t="shared" si="34"/>
        <v>31</v>
      </c>
      <c r="JY15" s="8">
        <f t="shared" si="34"/>
        <v>28</v>
      </c>
      <c r="JZ15" s="8">
        <f t="shared" si="34"/>
        <v>31</v>
      </c>
      <c r="KA15" s="8">
        <f t="shared" si="34"/>
        <v>30</v>
      </c>
      <c r="KB15" s="8">
        <f t="shared" si="34"/>
        <v>31</v>
      </c>
      <c r="KC15" s="8">
        <f t="shared" si="34"/>
        <v>30</v>
      </c>
      <c r="KD15" s="8">
        <f t="shared" si="34"/>
        <v>31</v>
      </c>
      <c r="KE15" s="8">
        <f t="shared" si="34"/>
        <v>31</v>
      </c>
      <c r="KF15" s="8">
        <f t="shared" si="34"/>
        <v>30</v>
      </c>
      <c r="KG15" s="8">
        <f t="shared" si="34"/>
        <v>31</v>
      </c>
      <c r="KH15" s="8">
        <f t="shared" si="34"/>
        <v>30</v>
      </c>
      <c r="KI15" s="8">
        <f t="shared" si="34"/>
        <v>31</v>
      </c>
      <c r="KJ15" s="1"/>
    </row>
    <row r="16" spans="1:296" x14ac:dyDescent="0.35">
      <c r="A16" s="1"/>
      <c r="B16" s="8"/>
      <c r="C16" s="8"/>
      <c r="D16" s="8"/>
      <c r="E16" s="8"/>
      <c r="F16" s="8"/>
      <c r="G16" s="8"/>
      <c r="H16" s="8" t="s">
        <v>16</v>
      </c>
      <c r="I16" s="1"/>
      <c r="J16" s="1"/>
      <c r="K16" s="1"/>
      <c r="L16" s="1"/>
      <c r="M16" s="6" t="s">
        <v>17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1"/>
    </row>
    <row r="17" spans="1:296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5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</row>
    <row r="18" spans="1:296" x14ac:dyDescent="0.35">
      <c r="J18" s="10" t="s">
        <v>179</v>
      </c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 s="10"/>
      <c r="GM18" s="10"/>
      <c r="GN18" s="10"/>
      <c r="GO18" s="10"/>
      <c r="GP18" s="10"/>
      <c r="GQ18" s="10"/>
      <c r="GR18" s="10"/>
      <c r="GS18" s="10"/>
      <c r="GT18" s="10"/>
      <c r="GU18" s="10"/>
      <c r="GV18" s="10"/>
      <c r="GW18" s="10"/>
      <c r="GX18" s="10"/>
      <c r="GY18" s="10"/>
      <c r="GZ18" s="10"/>
      <c r="HA18" s="10"/>
      <c r="HB18" s="10"/>
      <c r="HC18" s="10"/>
      <c r="HD18" s="10"/>
      <c r="HE18" s="10"/>
      <c r="HF18" s="10"/>
      <c r="HG18" s="10"/>
      <c r="HH18" s="10"/>
      <c r="HI18" s="10"/>
      <c r="HJ18" s="10"/>
      <c r="HK18" s="10"/>
      <c r="HL18" s="10"/>
      <c r="HM18" s="10"/>
      <c r="HN18" s="10"/>
      <c r="HO18" s="10"/>
      <c r="HP18" s="10"/>
      <c r="HQ18" s="10"/>
      <c r="HR18" s="10"/>
      <c r="HS18" s="10"/>
      <c r="HT18" s="10"/>
      <c r="HU18" s="10"/>
      <c r="HV18" s="10"/>
      <c r="HW18" s="10"/>
      <c r="HX18" s="10"/>
      <c r="HY18" s="10"/>
      <c r="HZ18" s="10"/>
      <c r="IA18" s="10"/>
      <c r="IB18" s="10"/>
      <c r="IC18" s="10"/>
      <c r="ID18" s="10"/>
      <c r="IE18" s="10"/>
      <c r="IF18" s="10"/>
      <c r="IG18" s="10"/>
      <c r="IH18" s="10"/>
      <c r="II18" s="10"/>
      <c r="IJ18" s="10"/>
      <c r="IK18" s="10"/>
      <c r="IL18" s="10"/>
      <c r="IM18" s="10"/>
      <c r="IN18" s="10"/>
      <c r="IO18" s="10"/>
      <c r="IP18" s="10"/>
      <c r="IQ18" s="10"/>
      <c r="IR18" s="10"/>
      <c r="IS18" s="10"/>
      <c r="IT18" s="10"/>
      <c r="IU18" s="10"/>
      <c r="IV18" s="10"/>
      <c r="IW18" s="10"/>
      <c r="IX18" s="10"/>
      <c r="IY18" s="10"/>
      <c r="IZ18" s="10"/>
      <c r="JA18" s="10"/>
      <c r="JB18" s="10"/>
      <c r="JC18" s="10"/>
      <c r="JD18" s="10"/>
      <c r="JE18" s="10"/>
      <c r="JF18" s="10"/>
      <c r="JG18" s="10"/>
      <c r="JH18" s="10"/>
      <c r="JI18" s="10"/>
      <c r="JJ18" s="10"/>
      <c r="JK18" s="10"/>
      <c r="JL18" s="10"/>
      <c r="JM18" s="10"/>
      <c r="JN18" s="10"/>
      <c r="JO18" s="10"/>
      <c r="JP18" s="10"/>
      <c r="JQ18" s="10"/>
      <c r="JR18" s="10"/>
      <c r="JS18" s="10"/>
      <c r="JT18" s="10"/>
      <c r="JU18" s="10"/>
      <c r="JV18" s="10"/>
      <c r="JW18" s="10"/>
      <c r="JX18" s="10"/>
      <c r="JY18" s="10"/>
      <c r="JZ18" s="10"/>
      <c r="KA18" s="10"/>
      <c r="KB18" s="10"/>
      <c r="KC18" s="10"/>
      <c r="KD18" s="10"/>
      <c r="KE18" s="10"/>
      <c r="KF18" s="10"/>
      <c r="KG18" s="10"/>
      <c r="KH18" s="10"/>
      <c r="KI18" s="10"/>
      <c r="KJ18" s="1"/>
    </row>
    <row r="19" spans="1:296" x14ac:dyDescent="0.35">
      <c r="KJ19" s="1"/>
    </row>
    <row r="20" spans="1:296" x14ac:dyDescent="0.35">
      <c r="K20" s="19" t="s">
        <v>180</v>
      </c>
      <c r="L20" s="19"/>
      <c r="M20" s="16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"/>
    </row>
    <row r="21" spans="1:296" x14ac:dyDescent="0.35">
      <c r="KJ21" s="1"/>
    </row>
    <row r="22" spans="1:296" x14ac:dyDescent="0.35">
      <c r="L22" s="22" t="s">
        <v>162</v>
      </c>
      <c r="KJ22" s="1"/>
    </row>
    <row r="23" spans="1:296" x14ac:dyDescent="0.35">
      <c r="H23" s="13" t="s">
        <v>164</v>
      </c>
      <c r="M23" s="15" t="s">
        <v>160</v>
      </c>
      <c r="N23" s="35">
        <f>Inputs!K24</f>
        <v>41</v>
      </c>
      <c r="O23" s="35">
        <f>Inputs!L24</f>
        <v>37</v>
      </c>
      <c r="P23" s="35">
        <f>Inputs!M24</f>
        <v>51</v>
      </c>
      <c r="Q23" s="35">
        <f>Inputs!N24</f>
        <v>74</v>
      </c>
      <c r="R23" s="35">
        <f>Inputs!O24</f>
        <v>36</v>
      </c>
      <c r="S23" s="35">
        <f>Inputs!P24</f>
        <v>33</v>
      </c>
      <c r="T23" s="35">
        <f>Inputs!Q24</f>
        <v>43</v>
      </c>
      <c r="U23" s="35">
        <f>Inputs!R24</f>
        <v>48</v>
      </c>
      <c r="V23" s="35">
        <f>Inputs!S24</f>
        <v>82</v>
      </c>
      <c r="W23" s="35">
        <f>Inputs!T24</f>
        <v>85</v>
      </c>
      <c r="X23" s="35">
        <f>Inputs!U24</f>
        <v>71</v>
      </c>
      <c r="Y23" s="35">
        <f>Inputs!V24</f>
        <v>58</v>
      </c>
      <c r="Z23" s="35">
        <f>Inputs!W24</f>
        <v>25</v>
      </c>
      <c r="AA23" s="35">
        <f>Inputs!X24</f>
        <v>79</v>
      </c>
      <c r="AB23" s="35">
        <f>Inputs!Y24</f>
        <v>86</v>
      </c>
      <c r="AC23" s="35">
        <f>Inputs!Z24</f>
        <v>84</v>
      </c>
      <c r="AD23" s="35">
        <f>Inputs!AA24</f>
        <v>69</v>
      </c>
      <c r="AE23" s="35">
        <f>Inputs!AB24</f>
        <v>46</v>
      </c>
      <c r="AF23" s="35">
        <f>Inputs!AC24</f>
        <v>37</v>
      </c>
      <c r="AG23" s="35">
        <f>Inputs!AD24</f>
        <v>64</v>
      </c>
      <c r="AH23" s="35">
        <f>Inputs!AE24</f>
        <v>26</v>
      </c>
      <c r="AI23" s="35">
        <f>Inputs!AF24</f>
        <v>65</v>
      </c>
      <c r="AJ23" s="35">
        <f>Inputs!AG24</f>
        <v>29</v>
      </c>
      <c r="AK23" s="35">
        <f>Inputs!AH24</f>
        <v>62</v>
      </c>
      <c r="AL23" s="35">
        <f>Inputs!AI24</f>
        <v>31</v>
      </c>
      <c r="AM23" s="35">
        <f>Inputs!AJ24</f>
        <v>65</v>
      </c>
      <c r="AN23" s="35">
        <f>Inputs!AK24</f>
        <v>63</v>
      </c>
      <c r="AO23" s="35">
        <f>Inputs!AL24</f>
        <v>34</v>
      </c>
      <c r="AP23" s="35">
        <f>Inputs!AM24</f>
        <v>37</v>
      </c>
      <c r="AQ23" s="35">
        <f>Inputs!AN24</f>
        <v>35</v>
      </c>
      <c r="AR23" s="35">
        <f>Inputs!AO24</f>
        <v>26</v>
      </c>
      <c r="AS23" s="35">
        <f>Inputs!AP24</f>
        <v>64</v>
      </c>
      <c r="AT23" s="35">
        <f>Inputs!AQ24</f>
        <v>47</v>
      </c>
      <c r="AU23" s="35">
        <f>Inputs!AR24</f>
        <v>52</v>
      </c>
      <c r="AV23" s="35">
        <f>Inputs!AS24</f>
        <v>50</v>
      </c>
      <c r="AW23" s="35">
        <f>Inputs!AT24</f>
        <v>68</v>
      </c>
      <c r="AX23" s="35">
        <f>Inputs!AU24</f>
        <v>81</v>
      </c>
      <c r="AY23" s="35">
        <f>Inputs!AV24</f>
        <v>59</v>
      </c>
      <c r="AZ23" s="35">
        <f>Inputs!AW24</f>
        <v>76</v>
      </c>
      <c r="BA23" s="35">
        <f>Inputs!AX24</f>
        <v>64</v>
      </c>
      <c r="BB23" s="35">
        <f>Inputs!AY24</f>
        <v>87</v>
      </c>
      <c r="BC23" s="35">
        <f>Inputs!AZ24</f>
        <v>54</v>
      </c>
      <c r="BD23" s="35">
        <f>Inputs!BA24</f>
        <v>26</v>
      </c>
      <c r="BE23" s="35">
        <f>Inputs!BB24</f>
        <v>70</v>
      </c>
      <c r="BF23" s="35">
        <f>Inputs!BC24</f>
        <v>94</v>
      </c>
      <c r="BG23" s="35">
        <f>Inputs!BD24</f>
        <v>45</v>
      </c>
      <c r="BH23" s="35">
        <f>Inputs!BE24</f>
        <v>61</v>
      </c>
      <c r="BI23" s="35">
        <f>Inputs!BF24</f>
        <v>54</v>
      </c>
      <c r="BJ23" s="35">
        <f>Inputs!BG24</f>
        <v>76</v>
      </c>
      <c r="BK23" s="35">
        <f>Inputs!BH24</f>
        <v>97</v>
      </c>
      <c r="BL23" s="35">
        <f>Inputs!BI24</f>
        <v>68</v>
      </c>
      <c r="BM23" s="35">
        <f>Inputs!BJ24</f>
        <v>38</v>
      </c>
      <c r="BN23" s="35">
        <f>Inputs!BK24</f>
        <v>49</v>
      </c>
      <c r="BO23" s="35">
        <f>Inputs!BL24</f>
        <v>56</v>
      </c>
      <c r="BP23" s="35">
        <f>Inputs!BM24</f>
        <v>47</v>
      </c>
      <c r="BQ23" s="35">
        <f>Inputs!BN24</f>
        <v>63</v>
      </c>
      <c r="BR23" s="35">
        <f>Inputs!BO24</f>
        <v>72</v>
      </c>
      <c r="BS23" s="35">
        <f>Inputs!BP24</f>
        <v>36</v>
      </c>
      <c r="BT23" s="35">
        <f>Inputs!BQ24</f>
        <v>35</v>
      </c>
      <c r="BU23" s="35">
        <f>Inputs!BR24</f>
        <v>40</v>
      </c>
      <c r="BV23" s="35">
        <f>Inputs!BS24</f>
        <v>42</v>
      </c>
      <c r="BW23" s="35">
        <f>Inputs!BT24</f>
        <v>38</v>
      </c>
      <c r="BX23" s="35">
        <f>Inputs!BU24</f>
        <v>46</v>
      </c>
      <c r="BY23" s="35">
        <f>Inputs!BV24</f>
        <v>81</v>
      </c>
      <c r="BZ23" s="35">
        <f>Inputs!BW24</f>
        <v>62</v>
      </c>
      <c r="CA23" s="35">
        <f>Inputs!BX24</f>
        <v>41</v>
      </c>
      <c r="CB23" s="35">
        <f>Inputs!BY24</f>
        <v>49</v>
      </c>
      <c r="CC23" s="35">
        <f>Inputs!BZ24</f>
        <v>40</v>
      </c>
      <c r="CD23" s="35">
        <f>Inputs!CA24</f>
        <v>31</v>
      </c>
      <c r="CE23" s="35">
        <f>Inputs!CB24</f>
        <v>31</v>
      </c>
      <c r="CF23" s="35">
        <f>Inputs!CC24</f>
        <v>29</v>
      </c>
      <c r="CG23" s="35">
        <f>Inputs!CD24</f>
        <v>64</v>
      </c>
      <c r="CH23" s="35">
        <f>Inputs!CE24</f>
        <v>38</v>
      </c>
      <c r="CI23" s="35">
        <f>Inputs!CF24</f>
        <v>53</v>
      </c>
      <c r="CJ23" s="35">
        <f>Inputs!CG24</f>
        <v>92</v>
      </c>
      <c r="CK23" s="35">
        <f>Inputs!CH24</f>
        <v>63</v>
      </c>
      <c r="CL23" s="35">
        <f>Inputs!CI24</f>
        <v>63</v>
      </c>
      <c r="CM23" s="35">
        <f>Inputs!CJ24</f>
        <v>62</v>
      </c>
      <c r="CN23" s="35">
        <f>Inputs!CK24</f>
        <v>71</v>
      </c>
      <c r="CO23" s="35">
        <f>Inputs!CL24</f>
        <v>38</v>
      </c>
      <c r="CP23" s="35">
        <f>Inputs!CM24</f>
        <v>76</v>
      </c>
      <c r="CQ23" s="35">
        <f>Inputs!CN24</f>
        <v>89</v>
      </c>
      <c r="CR23" s="35">
        <f>Inputs!CO24</f>
        <v>99</v>
      </c>
      <c r="CS23" s="35">
        <f>Inputs!CP24</f>
        <v>66</v>
      </c>
      <c r="CT23" s="35">
        <f>Inputs!CQ24</f>
        <v>76</v>
      </c>
      <c r="CU23" s="35">
        <f>Inputs!CR24</f>
        <v>89</v>
      </c>
      <c r="CV23" s="35">
        <f>Inputs!CS24</f>
        <v>86</v>
      </c>
      <c r="CW23" s="35">
        <f>Inputs!CT24</f>
        <v>30</v>
      </c>
      <c r="CX23" s="35">
        <f>Inputs!CU24</f>
        <v>61</v>
      </c>
      <c r="CY23" s="35">
        <f>Inputs!CV24</f>
        <v>38</v>
      </c>
      <c r="CZ23" s="35">
        <f>Inputs!CW24</f>
        <v>76</v>
      </c>
      <c r="DA23" s="35">
        <f>Inputs!CX24</f>
        <v>41</v>
      </c>
      <c r="DB23" s="35">
        <f>Inputs!CY24</f>
        <v>25</v>
      </c>
      <c r="DC23" s="35">
        <f>Inputs!CZ24</f>
        <v>86</v>
      </c>
      <c r="DD23" s="35">
        <f>Inputs!DA24</f>
        <v>25</v>
      </c>
      <c r="DE23" s="35">
        <f>Inputs!DB24</f>
        <v>82</v>
      </c>
      <c r="DF23" s="35">
        <f>Inputs!DC24</f>
        <v>88</v>
      </c>
      <c r="DG23" s="35">
        <f>Inputs!DD24</f>
        <v>62</v>
      </c>
      <c r="DH23" s="35">
        <f>Inputs!DE24</f>
        <v>49</v>
      </c>
      <c r="DI23" s="35">
        <f>Inputs!DF24</f>
        <v>80</v>
      </c>
      <c r="DJ23" s="35">
        <f>Inputs!DG24</f>
        <v>89</v>
      </c>
      <c r="DK23" s="35">
        <f>Inputs!DH24</f>
        <v>76</v>
      </c>
      <c r="DL23" s="35">
        <f>Inputs!DI24</f>
        <v>57</v>
      </c>
      <c r="DM23" s="35">
        <f>Inputs!DJ24</f>
        <v>54</v>
      </c>
      <c r="DN23" s="35">
        <f>Inputs!DK24</f>
        <v>72</v>
      </c>
      <c r="DO23" s="35">
        <f>Inputs!DL24</f>
        <v>91</v>
      </c>
      <c r="DP23" s="35">
        <f>Inputs!DM24</f>
        <v>94</v>
      </c>
      <c r="DQ23" s="35">
        <f>Inputs!DN24</f>
        <v>75</v>
      </c>
      <c r="DR23" s="35">
        <f>Inputs!DO24</f>
        <v>61</v>
      </c>
      <c r="DS23" s="35">
        <f>Inputs!DP24</f>
        <v>99</v>
      </c>
      <c r="DT23" s="35">
        <f>Inputs!DQ24</f>
        <v>65</v>
      </c>
      <c r="DU23" s="35">
        <f>Inputs!DR24</f>
        <v>37</v>
      </c>
      <c r="DV23" s="35">
        <f>Inputs!DS24</f>
        <v>39</v>
      </c>
      <c r="DW23" s="35">
        <f>Inputs!DT24</f>
        <v>82</v>
      </c>
      <c r="DX23" s="35">
        <f>Inputs!DU24</f>
        <v>98</v>
      </c>
      <c r="DY23" s="35">
        <f>Inputs!DV24</f>
        <v>44</v>
      </c>
      <c r="DZ23" s="35">
        <f>Inputs!DW24</f>
        <v>51</v>
      </c>
      <c r="EA23" s="35">
        <f>Inputs!DX24</f>
        <v>52</v>
      </c>
      <c r="EB23" s="35">
        <f>Inputs!DY24</f>
        <v>86</v>
      </c>
      <c r="EC23" s="35">
        <f>Inputs!DZ24</f>
        <v>76</v>
      </c>
      <c r="ED23" s="35">
        <f>Inputs!EA24</f>
        <v>60</v>
      </c>
      <c r="EE23" s="35">
        <f>Inputs!EB24</f>
        <v>79</v>
      </c>
      <c r="EF23" s="35">
        <f>Inputs!EC24</f>
        <v>40</v>
      </c>
      <c r="EG23" s="35">
        <f>Inputs!ED24</f>
        <v>40</v>
      </c>
      <c r="EH23" s="35">
        <f>Inputs!EE24</f>
        <v>65</v>
      </c>
      <c r="EI23" s="35">
        <f>Inputs!EF24</f>
        <v>44</v>
      </c>
      <c r="EJ23" s="35">
        <f>Inputs!EG24</f>
        <v>31</v>
      </c>
      <c r="EK23" s="35">
        <f>Inputs!EH24</f>
        <v>42</v>
      </c>
      <c r="EL23" s="35">
        <f>Inputs!EI24</f>
        <v>61</v>
      </c>
      <c r="EM23" s="35">
        <f>Inputs!EJ24</f>
        <v>32</v>
      </c>
      <c r="EN23" s="35">
        <f>Inputs!EK24</f>
        <v>70</v>
      </c>
      <c r="EO23" s="35">
        <f>Inputs!EL24</f>
        <v>61</v>
      </c>
      <c r="EP23" s="35">
        <f>Inputs!EM24</f>
        <v>29</v>
      </c>
      <c r="EQ23" s="35">
        <f>Inputs!EN24</f>
        <v>28</v>
      </c>
      <c r="ER23" s="35">
        <f>Inputs!EO24</f>
        <v>65</v>
      </c>
      <c r="ES23" s="35">
        <f>Inputs!EP24</f>
        <v>46</v>
      </c>
      <c r="ET23" s="35">
        <f>Inputs!EQ24</f>
        <v>89</v>
      </c>
      <c r="EU23" s="35">
        <f>Inputs!ER24</f>
        <v>92</v>
      </c>
      <c r="EV23" s="35">
        <f>Inputs!ES24</f>
        <v>90</v>
      </c>
      <c r="EW23" s="35">
        <f>Inputs!ET24</f>
        <v>99</v>
      </c>
      <c r="EX23" s="35">
        <f>Inputs!EU24</f>
        <v>49</v>
      </c>
      <c r="EY23" s="35">
        <f>Inputs!EV24</f>
        <v>68</v>
      </c>
      <c r="EZ23" s="35">
        <f>Inputs!EW24</f>
        <v>56</v>
      </c>
      <c r="FA23" s="35">
        <f>Inputs!EX24</f>
        <v>94</v>
      </c>
      <c r="FB23" s="35">
        <f>Inputs!EY24</f>
        <v>31</v>
      </c>
      <c r="FC23" s="35">
        <f>Inputs!EZ24</f>
        <v>32</v>
      </c>
      <c r="FD23" s="35">
        <f>Inputs!FA24</f>
        <v>95</v>
      </c>
      <c r="FE23" s="35">
        <f>Inputs!FB24</f>
        <v>88</v>
      </c>
      <c r="FF23" s="35">
        <f>Inputs!FC24</f>
        <v>81</v>
      </c>
      <c r="FG23" s="35">
        <f>Inputs!FD24</f>
        <v>50</v>
      </c>
      <c r="FH23" s="35">
        <f>Inputs!FE24</f>
        <v>33</v>
      </c>
      <c r="FI23" s="35">
        <f>Inputs!FF24</f>
        <v>40</v>
      </c>
      <c r="FJ23" s="35">
        <f>Inputs!FG24</f>
        <v>85</v>
      </c>
      <c r="FK23" s="35">
        <f>Inputs!FH24</f>
        <v>88</v>
      </c>
      <c r="FL23" s="35">
        <f>Inputs!FI24</f>
        <v>32</v>
      </c>
      <c r="FM23" s="35">
        <f>Inputs!FJ24</f>
        <v>71</v>
      </c>
      <c r="FN23" s="35">
        <f>Inputs!FK24</f>
        <v>89</v>
      </c>
      <c r="FO23" s="35">
        <f>Inputs!FL24</f>
        <v>60</v>
      </c>
      <c r="FP23" s="35">
        <f>Inputs!FM24</f>
        <v>96</v>
      </c>
      <c r="FQ23" s="35">
        <f>Inputs!FN24</f>
        <v>67</v>
      </c>
      <c r="FR23" s="35">
        <f>Inputs!FO24</f>
        <v>58</v>
      </c>
      <c r="FS23" s="35">
        <f>Inputs!FP24</f>
        <v>85</v>
      </c>
      <c r="FT23" s="35">
        <f>Inputs!FQ24</f>
        <v>96</v>
      </c>
      <c r="FU23" s="35">
        <f>Inputs!FR24</f>
        <v>67</v>
      </c>
      <c r="FV23" s="35">
        <f>Inputs!FS24</f>
        <v>79</v>
      </c>
      <c r="FW23" s="35">
        <f>Inputs!FT24</f>
        <v>69</v>
      </c>
      <c r="FX23" s="35">
        <f>Inputs!FU24</f>
        <v>93</v>
      </c>
      <c r="FY23" s="35">
        <f>Inputs!FV24</f>
        <v>86</v>
      </c>
      <c r="FZ23" s="35">
        <f>Inputs!FW24</f>
        <v>53</v>
      </c>
      <c r="GA23" s="35">
        <f>Inputs!FX24</f>
        <v>82</v>
      </c>
      <c r="GB23" s="35">
        <f>Inputs!FY24</f>
        <v>57</v>
      </c>
      <c r="GC23" s="35">
        <f>Inputs!FZ24</f>
        <v>40</v>
      </c>
      <c r="GD23" s="35">
        <f>Inputs!GA24</f>
        <v>28</v>
      </c>
      <c r="GE23" s="35">
        <f>Inputs!GB24</f>
        <v>26</v>
      </c>
      <c r="GF23" s="35">
        <f>Inputs!GC24</f>
        <v>28</v>
      </c>
      <c r="GG23" s="35">
        <f>Inputs!GD24</f>
        <v>86</v>
      </c>
      <c r="GH23" s="35">
        <f>Inputs!GE24</f>
        <v>35</v>
      </c>
      <c r="GI23" s="35">
        <f>Inputs!GF24</f>
        <v>69</v>
      </c>
      <c r="GJ23" s="35">
        <f>Inputs!GG24</f>
        <v>38</v>
      </c>
      <c r="GK23" s="35">
        <f>Inputs!GH24</f>
        <v>51</v>
      </c>
      <c r="GL23" s="35">
        <f>Inputs!GI24</f>
        <v>53</v>
      </c>
      <c r="GM23" s="35">
        <f>Inputs!GJ24</f>
        <v>39</v>
      </c>
      <c r="GN23" s="35">
        <f>Inputs!GK24</f>
        <v>79</v>
      </c>
      <c r="GO23" s="35">
        <f>Inputs!GL24</f>
        <v>99</v>
      </c>
      <c r="GP23" s="35">
        <f>Inputs!GM24</f>
        <v>73</v>
      </c>
      <c r="GQ23" s="35">
        <f>Inputs!GN24</f>
        <v>82</v>
      </c>
      <c r="GR23" s="35">
        <f>Inputs!GO24</f>
        <v>41</v>
      </c>
      <c r="GS23" s="35">
        <f>Inputs!GP24</f>
        <v>51</v>
      </c>
      <c r="GT23" s="35">
        <f>Inputs!GQ24</f>
        <v>43</v>
      </c>
      <c r="GU23" s="35">
        <f>Inputs!GR24</f>
        <v>51</v>
      </c>
      <c r="GV23" s="35">
        <f>Inputs!GS24</f>
        <v>71</v>
      </c>
      <c r="GW23" s="35">
        <f>Inputs!GT24</f>
        <v>45</v>
      </c>
      <c r="GX23" s="35">
        <f>Inputs!GU24</f>
        <v>64</v>
      </c>
      <c r="GY23" s="35">
        <f>Inputs!GV24</f>
        <v>34</v>
      </c>
      <c r="GZ23" s="35">
        <f>Inputs!GW24</f>
        <v>33</v>
      </c>
      <c r="HA23" s="35">
        <f>Inputs!GX24</f>
        <v>46</v>
      </c>
      <c r="HB23" s="35">
        <f>Inputs!GY24</f>
        <v>86</v>
      </c>
      <c r="HC23" s="35">
        <f>Inputs!GZ24</f>
        <v>26</v>
      </c>
      <c r="HD23" s="35">
        <f>Inputs!HA24</f>
        <v>82</v>
      </c>
      <c r="HE23" s="35">
        <f>Inputs!HB24</f>
        <v>87</v>
      </c>
      <c r="HF23" s="35">
        <f>Inputs!HC24</f>
        <v>77</v>
      </c>
      <c r="HG23" s="35">
        <f>Inputs!HD24</f>
        <v>91</v>
      </c>
      <c r="HH23" s="35">
        <f>Inputs!HE24</f>
        <v>78</v>
      </c>
      <c r="HI23" s="35">
        <f>Inputs!HF24</f>
        <v>39</v>
      </c>
      <c r="HJ23" s="35">
        <f>Inputs!HG24</f>
        <v>79</v>
      </c>
      <c r="HK23" s="35">
        <f>Inputs!HH24</f>
        <v>35</v>
      </c>
      <c r="HL23" s="35">
        <f>Inputs!HI24</f>
        <v>93</v>
      </c>
      <c r="HM23" s="35">
        <f>Inputs!HJ24</f>
        <v>85</v>
      </c>
      <c r="HN23" s="35">
        <f>Inputs!HK24</f>
        <v>79</v>
      </c>
      <c r="HO23" s="35">
        <f>Inputs!HL24</f>
        <v>79</v>
      </c>
      <c r="HP23" s="35">
        <f>Inputs!HM24</f>
        <v>36</v>
      </c>
      <c r="HQ23" s="35">
        <f>Inputs!HN24</f>
        <v>86</v>
      </c>
      <c r="HR23" s="35">
        <f>Inputs!HO24</f>
        <v>44</v>
      </c>
      <c r="HS23" s="35">
        <f>Inputs!HP24</f>
        <v>29</v>
      </c>
      <c r="HT23" s="35">
        <f>Inputs!HQ24</f>
        <v>93</v>
      </c>
      <c r="HU23" s="35">
        <f>Inputs!HR24</f>
        <v>35</v>
      </c>
      <c r="HV23" s="35">
        <f>Inputs!HS24</f>
        <v>98</v>
      </c>
      <c r="HW23" s="35">
        <f>Inputs!HT24</f>
        <v>93</v>
      </c>
      <c r="HX23" s="35">
        <f>Inputs!HU24</f>
        <v>66</v>
      </c>
      <c r="HY23" s="35">
        <f>Inputs!HV24</f>
        <v>95</v>
      </c>
      <c r="HZ23" s="35">
        <f>Inputs!HW24</f>
        <v>29</v>
      </c>
      <c r="IA23" s="35">
        <f>Inputs!HX24</f>
        <v>35</v>
      </c>
      <c r="IB23" s="35">
        <f>Inputs!HY24</f>
        <v>58</v>
      </c>
      <c r="IC23" s="35">
        <f>Inputs!HZ24</f>
        <v>43</v>
      </c>
      <c r="ID23" s="35">
        <f>Inputs!IA24</f>
        <v>96</v>
      </c>
      <c r="IE23" s="35">
        <f>Inputs!IB24</f>
        <v>56</v>
      </c>
      <c r="IF23" s="35">
        <f>Inputs!IC24</f>
        <v>86</v>
      </c>
      <c r="IG23" s="35">
        <f>Inputs!ID24</f>
        <v>48</v>
      </c>
      <c r="IH23" s="35">
        <f>Inputs!IE24</f>
        <v>88</v>
      </c>
      <c r="II23" s="35">
        <f>Inputs!IF24</f>
        <v>72</v>
      </c>
      <c r="IJ23" s="35">
        <f>Inputs!IG24</f>
        <v>72</v>
      </c>
      <c r="IK23" s="35">
        <f>Inputs!IH24</f>
        <v>44</v>
      </c>
      <c r="IL23" s="35">
        <f>Inputs!II24</f>
        <v>70</v>
      </c>
      <c r="IM23" s="35">
        <f>Inputs!IJ24</f>
        <v>75</v>
      </c>
      <c r="IN23" s="35">
        <f>Inputs!IK24</f>
        <v>75</v>
      </c>
      <c r="IO23" s="35">
        <f>Inputs!IL24</f>
        <v>91</v>
      </c>
      <c r="IP23" s="35">
        <f>Inputs!IM24</f>
        <v>67</v>
      </c>
      <c r="IQ23" s="35">
        <f>Inputs!IN24</f>
        <v>50</v>
      </c>
      <c r="IR23" s="35">
        <f>Inputs!IO24</f>
        <v>61</v>
      </c>
      <c r="IS23" s="35">
        <f>Inputs!IP24</f>
        <v>51</v>
      </c>
      <c r="IT23" s="35">
        <f>Inputs!IQ24</f>
        <v>57</v>
      </c>
      <c r="IU23" s="35">
        <f>Inputs!IR24</f>
        <v>39</v>
      </c>
      <c r="IV23" s="35">
        <f>Inputs!IS24</f>
        <v>65</v>
      </c>
      <c r="IW23" s="35">
        <f>Inputs!IT24</f>
        <v>99</v>
      </c>
      <c r="IX23" s="35">
        <f>Inputs!IU24</f>
        <v>56</v>
      </c>
      <c r="IY23" s="35">
        <f>Inputs!IV24</f>
        <v>86</v>
      </c>
      <c r="IZ23" s="35">
        <f>Inputs!IW24</f>
        <v>60</v>
      </c>
      <c r="JA23" s="35">
        <f>Inputs!IX24</f>
        <v>62</v>
      </c>
      <c r="JB23" s="35">
        <f>Inputs!IY24</f>
        <v>30</v>
      </c>
      <c r="JC23" s="35">
        <f>Inputs!IZ24</f>
        <v>85</v>
      </c>
      <c r="JD23" s="35">
        <f>Inputs!JA24</f>
        <v>46</v>
      </c>
      <c r="JE23" s="35">
        <f>Inputs!JB24</f>
        <v>46</v>
      </c>
      <c r="JF23" s="35">
        <f>Inputs!JC24</f>
        <v>49</v>
      </c>
      <c r="JG23" s="35">
        <f>Inputs!JD24</f>
        <v>99</v>
      </c>
      <c r="JH23" s="35">
        <f>Inputs!JE24</f>
        <v>35</v>
      </c>
      <c r="JI23" s="35">
        <f>Inputs!JF24</f>
        <v>87</v>
      </c>
      <c r="JJ23" s="35">
        <f>Inputs!JG24</f>
        <v>38</v>
      </c>
      <c r="JK23" s="35">
        <f>Inputs!JH24</f>
        <v>33</v>
      </c>
      <c r="JL23" s="35">
        <f>Inputs!JI24</f>
        <v>70</v>
      </c>
      <c r="JM23" s="35">
        <f>Inputs!JJ24</f>
        <v>93</v>
      </c>
      <c r="JN23" s="35">
        <f>Inputs!JK24</f>
        <v>30</v>
      </c>
      <c r="JO23" s="35">
        <f>Inputs!JL24</f>
        <v>68</v>
      </c>
      <c r="JP23" s="35">
        <f>Inputs!JM24</f>
        <v>25</v>
      </c>
      <c r="JQ23" s="35">
        <f>Inputs!JN24</f>
        <v>55</v>
      </c>
      <c r="JR23" s="35">
        <f>Inputs!JO24</f>
        <v>90</v>
      </c>
      <c r="JS23" s="35">
        <f>Inputs!JP24</f>
        <v>37</v>
      </c>
      <c r="JT23" s="35">
        <f>Inputs!JQ24</f>
        <v>89</v>
      </c>
      <c r="JU23" s="35">
        <f>Inputs!JR24</f>
        <v>87</v>
      </c>
      <c r="JV23" s="35">
        <f>Inputs!JS24</f>
        <v>37</v>
      </c>
      <c r="JW23" s="35">
        <f>Inputs!JT24</f>
        <v>88</v>
      </c>
      <c r="JX23" s="35">
        <f>Inputs!JU24</f>
        <v>26</v>
      </c>
      <c r="JY23" s="35">
        <f>Inputs!JV24</f>
        <v>88</v>
      </c>
      <c r="JZ23" s="35">
        <f>Inputs!JW24</f>
        <v>57</v>
      </c>
      <c r="KA23" s="35">
        <f>Inputs!JX24</f>
        <v>33</v>
      </c>
      <c r="KB23" s="35">
        <f>Inputs!JY24</f>
        <v>34</v>
      </c>
      <c r="KC23" s="35">
        <f>Inputs!JZ24</f>
        <v>92</v>
      </c>
      <c r="KD23" s="35">
        <f>Inputs!KA24</f>
        <v>95</v>
      </c>
      <c r="KE23" s="35">
        <f>Inputs!KB24</f>
        <v>52</v>
      </c>
      <c r="KF23" s="35">
        <f>Inputs!KC24</f>
        <v>85</v>
      </c>
      <c r="KG23" s="35">
        <f>Inputs!KD24</f>
        <v>66</v>
      </c>
      <c r="KH23" s="35">
        <f>Inputs!KE24</f>
        <v>44</v>
      </c>
      <c r="KI23" s="35">
        <f>Inputs!KF24</f>
        <v>53</v>
      </c>
      <c r="KJ23" s="1"/>
    </row>
    <row r="24" spans="1:296" x14ac:dyDescent="0.35">
      <c r="H24" s="13" t="s">
        <v>166</v>
      </c>
      <c r="M24" s="15" t="s">
        <v>163</v>
      </c>
      <c r="N24" s="24">
        <f>Inputs!K40</f>
        <v>2.35</v>
      </c>
      <c r="O24" s="24">
        <f>Inputs!L40</f>
        <v>2.35</v>
      </c>
      <c r="P24" s="24">
        <f>Inputs!M40</f>
        <v>2.35</v>
      </c>
      <c r="Q24" s="24">
        <f>Inputs!N40</f>
        <v>2.35</v>
      </c>
      <c r="R24" s="24">
        <f>Inputs!O40</f>
        <v>2.35</v>
      </c>
      <c r="S24" s="24">
        <f>Inputs!P40</f>
        <v>2.35</v>
      </c>
      <c r="T24" s="24">
        <f>Inputs!Q40</f>
        <v>2.2999999999999998</v>
      </c>
      <c r="U24" s="24">
        <f>Inputs!R40</f>
        <v>2.2999999999999998</v>
      </c>
      <c r="V24" s="24">
        <f>Inputs!S40</f>
        <v>2.2999999999999998</v>
      </c>
      <c r="W24" s="24">
        <f>Inputs!T40</f>
        <v>2.2999999999999998</v>
      </c>
      <c r="X24" s="24">
        <f>Inputs!U40</f>
        <v>2.2999999999999998</v>
      </c>
      <c r="Y24" s="24">
        <f>Inputs!V40</f>
        <v>2.2999999999999998</v>
      </c>
      <c r="Z24" s="24">
        <f>Inputs!W40</f>
        <v>2.2999999999999998</v>
      </c>
      <c r="AA24" s="24">
        <f>Inputs!X40</f>
        <v>2.2999999999999998</v>
      </c>
      <c r="AB24" s="24">
        <f>Inputs!Y40</f>
        <v>2.25</v>
      </c>
      <c r="AC24" s="24">
        <f>Inputs!Z40</f>
        <v>2.25</v>
      </c>
      <c r="AD24" s="24">
        <f>Inputs!AA40</f>
        <v>2.25</v>
      </c>
      <c r="AE24" s="24">
        <f>Inputs!AB40</f>
        <v>2.25</v>
      </c>
      <c r="AF24" s="24">
        <f>Inputs!AC40</f>
        <v>2.25</v>
      </c>
      <c r="AG24" s="24">
        <f>Inputs!AD40</f>
        <v>2.25</v>
      </c>
      <c r="AH24" s="24">
        <f>Inputs!AE40</f>
        <v>2.25</v>
      </c>
      <c r="AI24" s="24">
        <f>Inputs!AF40</f>
        <v>2.25</v>
      </c>
      <c r="AJ24" s="24">
        <f>Inputs!AG40</f>
        <v>2.25</v>
      </c>
      <c r="AK24" s="24">
        <f>Inputs!AH40</f>
        <v>2.25</v>
      </c>
      <c r="AL24" s="24">
        <f>Inputs!AI40</f>
        <v>2.25</v>
      </c>
      <c r="AM24" s="24">
        <f>Inputs!AJ40</f>
        <v>2.25</v>
      </c>
      <c r="AN24" s="24">
        <f>Inputs!AK40</f>
        <v>2.25</v>
      </c>
      <c r="AO24" s="24">
        <f>Inputs!AL40</f>
        <v>2.25</v>
      </c>
      <c r="AP24" s="24">
        <f>Inputs!AM40</f>
        <v>2.25</v>
      </c>
      <c r="AQ24" s="24">
        <f>Inputs!AN40</f>
        <v>2.25</v>
      </c>
      <c r="AR24" s="24">
        <f>Inputs!AO40</f>
        <v>2.25</v>
      </c>
      <c r="AS24" s="24">
        <f>Inputs!AP40</f>
        <v>2.25</v>
      </c>
      <c r="AT24" s="24">
        <f>Inputs!AQ40</f>
        <v>2.25</v>
      </c>
      <c r="AU24" s="24">
        <f>Inputs!AR40</f>
        <v>2.25</v>
      </c>
      <c r="AV24" s="24">
        <f>Inputs!AS40</f>
        <v>2.25</v>
      </c>
      <c r="AW24" s="24">
        <f>Inputs!AT40</f>
        <v>2.25</v>
      </c>
      <c r="AX24" s="24">
        <f>Inputs!AU40</f>
        <v>2.25</v>
      </c>
      <c r="AY24" s="24">
        <f>Inputs!AV40</f>
        <v>2.25</v>
      </c>
      <c r="AZ24" s="24">
        <f>Inputs!AW40</f>
        <v>2.25</v>
      </c>
      <c r="BA24" s="24">
        <f>Inputs!AX40</f>
        <v>2.25</v>
      </c>
      <c r="BB24" s="24">
        <f>Inputs!AY40</f>
        <v>2.25</v>
      </c>
      <c r="BC24" s="24">
        <f>Inputs!AZ40</f>
        <v>2.25</v>
      </c>
      <c r="BD24" s="24">
        <f>Inputs!BA40</f>
        <v>2.25</v>
      </c>
      <c r="BE24" s="24">
        <f>Inputs!BB40</f>
        <v>2.25</v>
      </c>
      <c r="BF24" s="24">
        <f>Inputs!BC40</f>
        <v>2.25</v>
      </c>
      <c r="BG24" s="24">
        <f>Inputs!BD40</f>
        <v>2.25</v>
      </c>
      <c r="BH24" s="24">
        <f>Inputs!BE40</f>
        <v>2.25</v>
      </c>
      <c r="BI24" s="24">
        <f>Inputs!BF40</f>
        <v>2.25</v>
      </c>
      <c r="BJ24" s="24">
        <f>Inputs!BG40</f>
        <v>2.25</v>
      </c>
      <c r="BK24" s="24">
        <f>Inputs!BH40</f>
        <v>2.25</v>
      </c>
      <c r="BL24" s="24">
        <f>Inputs!BI40</f>
        <v>2.25</v>
      </c>
      <c r="BM24" s="24">
        <f>Inputs!BJ40</f>
        <v>2.25</v>
      </c>
      <c r="BN24" s="24">
        <f>Inputs!BK40</f>
        <v>2.25</v>
      </c>
      <c r="BO24" s="24">
        <f>Inputs!BL40</f>
        <v>2.25</v>
      </c>
      <c r="BP24" s="24">
        <f>Inputs!BM40</f>
        <v>2.25</v>
      </c>
      <c r="BQ24" s="24">
        <f>Inputs!BN40</f>
        <v>2.25</v>
      </c>
      <c r="BR24" s="24">
        <f>Inputs!BO40</f>
        <v>2.25</v>
      </c>
      <c r="BS24" s="24">
        <f>Inputs!BP40</f>
        <v>2.25</v>
      </c>
      <c r="BT24" s="24">
        <f>Inputs!BQ40</f>
        <v>2.25</v>
      </c>
      <c r="BU24" s="24">
        <f>Inputs!BR40</f>
        <v>2.25</v>
      </c>
      <c r="BV24" s="24">
        <f>Inputs!BS40</f>
        <v>2.25</v>
      </c>
      <c r="BW24" s="24">
        <f>Inputs!BT40</f>
        <v>2.25</v>
      </c>
      <c r="BX24" s="24">
        <f>Inputs!BU40</f>
        <v>2.25</v>
      </c>
      <c r="BY24" s="24">
        <f>Inputs!BV40</f>
        <v>2.25</v>
      </c>
      <c r="BZ24" s="24">
        <f>Inputs!BW40</f>
        <v>2.25</v>
      </c>
      <c r="CA24" s="24">
        <f>Inputs!BX40</f>
        <v>2.25</v>
      </c>
      <c r="CB24" s="24">
        <f>Inputs!BY40</f>
        <v>2.25</v>
      </c>
      <c r="CC24" s="24">
        <f>Inputs!BZ40</f>
        <v>2.25</v>
      </c>
      <c r="CD24" s="24">
        <f>Inputs!CA40</f>
        <v>2.25</v>
      </c>
      <c r="CE24" s="24">
        <f>Inputs!CB40</f>
        <v>2.25</v>
      </c>
      <c r="CF24" s="24">
        <f>Inputs!CC40</f>
        <v>2.25</v>
      </c>
      <c r="CG24" s="24">
        <f>Inputs!CD40</f>
        <v>2.25</v>
      </c>
      <c r="CH24" s="24">
        <f>Inputs!CE40</f>
        <v>2.25</v>
      </c>
      <c r="CI24" s="24">
        <f>Inputs!CF40</f>
        <v>2.25</v>
      </c>
      <c r="CJ24" s="24">
        <f>Inputs!CG40</f>
        <v>2.25</v>
      </c>
      <c r="CK24" s="24">
        <f>Inputs!CH40</f>
        <v>2.25</v>
      </c>
      <c r="CL24" s="24">
        <f>Inputs!CI40</f>
        <v>2.25</v>
      </c>
      <c r="CM24" s="24">
        <f>Inputs!CJ40</f>
        <v>2.25</v>
      </c>
      <c r="CN24" s="24">
        <f>Inputs!CK40</f>
        <v>2.25</v>
      </c>
      <c r="CO24" s="24">
        <f>Inputs!CL40</f>
        <v>2.25</v>
      </c>
      <c r="CP24" s="24">
        <f>Inputs!CM40</f>
        <v>2.25</v>
      </c>
      <c r="CQ24" s="24">
        <f>Inputs!CN40</f>
        <v>2.25</v>
      </c>
      <c r="CR24" s="24">
        <f>Inputs!CO40</f>
        <v>2.25</v>
      </c>
      <c r="CS24" s="24">
        <f>Inputs!CP40</f>
        <v>2.25</v>
      </c>
      <c r="CT24" s="24">
        <f>Inputs!CQ40</f>
        <v>2.25</v>
      </c>
      <c r="CU24" s="24">
        <f>Inputs!CR40</f>
        <v>2.25</v>
      </c>
      <c r="CV24" s="24">
        <f>Inputs!CS40</f>
        <v>2.25</v>
      </c>
      <c r="CW24" s="24">
        <f>Inputs!CT40</f>
        <v>2.25</v>
      </c>
      <c r="CX24" s="24">
        <f>Inputs!CU40</f>
        <v>2.25</v>
      </c>
      <c r="CY24" s="24">
        <f>Inputs!CV40</f>
        <v>2.25</v>
      </c>
      <c r="CZ24" s="24">
        <f>Inputs!CW40</f>
        <v>2.25</v>
      </c>
      <c r="DA24" s="24">
        <f>Inputs!CX40</f>
        <v>2.25</v>
      </c>
      <c r="DB24" s="24">
        <f>Inputs!CY40</f>
        <v>2.25</v>
      </c>
      <c r="DC24" s="24">
        <f>Inputs!CZ40</f>
        <v>2.25</v>
      </c>
      <c r="DD24" s="24">
        <f>Inputs!DA40</f>
        <v>2.25</v>
      </c>
      <c r="DE24" s="24">
        <f>Inputs!DB40</f>
        <v>2.25</v>
      </c>
      <c r="DF24" s="24">
        <f>Inputs!DC40</f>
        <v>2.25</v>
      </c>
      <c r="DG24" s="24">
        <f>Inputs!DD40</f>
        <v>2.25</v>
      </c>
      <c r="DH24" s="24">
        <f>Inputs!DE40</f>
        <v>2.25</v>
      </c>
      <c r="DI24" s="24">
        <f>Inputs!DF40</f>
        <v>2.25</v>
      </c>
      <c r="DJ24" s="24">
        <f>Inputs!DG40</f>
        <v>2.25</v>
      </c>
      <c r="DK24" s="24">
        <f>Inputs!DH40</f>
        <v>2.25</v>
      </c>
      <c r="DL24" s="24">
        <f>Inputs!DI40</f>
        <v>2.25</v>
      </c>
      <c r="DM24" s="24">
        <f>Inputs!DJ40</f>
        <v>2.25</v>
      </c>
      <c r="DN24" s="24">
        <f>Inputs!DK40</f>
        <v>2.25</v>
      </c>
      <c r="DO24" s="24">
        <f>Inputs!DL40</f>
        <v>2.25</v>
      </c>
      <c r="DP24" s="24">
        <f>Inputs!DM40</f>
        <v>2.25</v>
      </c>
      <c r="DQ24" s="24">
        <f>Inputs!DN40</f>
        <v>2.25</v>
      </c>
      <c r="DR24" s="24">
        <f>Inputs!DO40</f>
        <v>2.25</v>
      </c>
      <c r="DS24" s="24">
        <f>Inputs!DP40</f>
        <v>2.25</v>
      </c>
      <c r="DT24" s="24">
        <f>Inputs!DQ40</f>
        <v>2.25</v>
      </c>
      <c r="DU24" s="24">
        <f>Inputs!DR40</f>
        <v>2.25</v>
      </c>
      <c r="DV24" s="24">
        <f>Inputs!DS40</f>
        <v>2.25</v>
      </c>
      <c r="DW24" s="24">
        <f>Inputs!DT40</f>
        <v>2.25</v>
      </c>
      <c r="DX24" s="24">
        <f>Inputs!DU40</f>
        <v>2.25</v>
      </c>
      <c r="DY24" s="24">
        <f>Inputs!DV40</f>
        <v>2.25</v>
      </c>
      <c r="DZ24" s="24">
        <f>Inputs!DW40</f>
        <v>2.25</v>
      </c>
      <c r="EA24" s="24">
        <f>Inputs!DX40</f>
        <v>2.25</v>
      </c>
      <c r="EB24" s="24">
        <f>Inputs!DY40</f>
        <v>2.25</v>
      </c>
      <c r="EC24" s="24">
        <f>Inputs!DZ40</f>
        <v>2.25</v>
      </c>
      <c r="ED24" s="24">
        <f>Inputs!EA40</f>
        <v>2.25</v>
      </c>
      <c r="EE24" s="24">
        <f>Inputs!EB40</f>
        <v>2.25</v>
      </c>
      <c r="EF24" s="24">
        <f>Inputs!EC40</f>
        <v>2.25</v>
      </c>
      <c r="EG24" s="24">
        <f>Inputs!ED40</f>
        <v>2.25</v>
      </c>
      <c r="EH24" s="24">
        <f>Inputs!EE40</f>
        <v>2.25</v>
      </c>
      <c r="EI24" s="24">
        <f>Inputs!EF40</f>
        <v>2.25</v>
      </c>
      <c r="EJ24" s="24">
        <f>Inputs!EG40</f>
        <v>2.25</v>
      </c>
      <c r="EK24" s="24">
        <f>Inputs!EH40</f>
        <v>2.25</v>
      </c>
      <c r="EL24" s="24">
        <f>Inputs!EI40</f>
        <v>2.25</v>
      </c>
      <c r="EM24" s="24">
        <f>Inputs!EJ40</f>
        <v>2.25</v>
      </c>
      <c r="EN24" s="24">
        <f>Inputs!EK40</f>
        <v>2.25</v>
      </c>
      <c r="EO24" s="24">
        <f>Inputs!EL40</f>
        <v>2.25</v>
      </c>
      <c r="EP24" s="24">
        <f>Inputs!EM40</f>
        <v>2.25</v>
      </c>
      <c r="EQ24" s="24">
        <f>Inputs!EN40</f>
        <v>2.25</v>
      </c>
      <c r="ER24" s="24">
        <f>Inputs!EO40</f>
        <v>2.25</v>
      </c>
      <c r="ES24" s="24">
        <f>Inputs!EP40</f>
        <v>2.25</v>
      </c>
      <c r="ET24" s="24">
        <f>Inputs!EQ40</f>
        <v>2.25</v>
      </c>
      <c r="EU24" s="24">
        <f>Inputs!ER40</f>
        <v>2.25</v>
      </c>
      <c r="EV24" s="24">
        <f>Inputs!ES40</f>
        <v>2.25</v>
      </c>
      <c r="EW24" s="24">
        <f>Inputs!ET40</f>
        <v>2.25</v>
      </c>
      <c r="EX24" s="24">
        <f>Inputs!EU40</f>
        <v>2.25</v>
      </c>
      <c r="EY24" s="24">
        <f>Inputs!EV40</f>
        <v>2.25</v>
      </c>
      <c r="EZ24" s="24">
        <f>Inputs!EW40</f>
        <v>2.25</v>
      </c>
      <c r="FA24" s="24">
        <f>Inputs!EX40</f>
        <v>2.25</v>
      </c>
      <c r="FB24" s="24">
        <f>Inputs!EY40</f>
        <v>2.25</v>
      </c>
      <c r="FC24" s="24">
        <f>Inputs!EZ40</f>
        <v>2.25</v>
      </c>
      <c r="FD24" s="24">
        <f>Inputs!FA40</f>
        <v>2.25</v>
      </c>
      <c r="FE24" s="24">
        <f>Inputs!FB40</f>
        <v>2.25</v>
      </c>
      <c r="FF24" s="24">
        <f>Inputs!FC40</f>
        <v>2.25</v>
      </c>
      <c r="FG24" s="24">
        <f>Inputs!FD40</f>
        <v>2.25</v>
      </c>
      <c r="FH24" s="24">
        <f>Inputs!FE40</f>
        <v>2.25</v>
      </c>
      <c r="FI24" s="24">
        <f>Inputs!FF40</f>
        <v>2.25</v>
      </c>
      <c r="FJ24" s="24">
        <f>Inputs!FG40</f>
        <v>2.25</v>
      </c>
      <c r="FK24" s="24">
        <f>Inputs!FH40</f>
        <v>2.25</v>
      </c>
      <c r="FL24" s="24">
        <f>Inputs!FI40</f>
        <v>2.25</v>
      </c>
      <c r="FM24" s="24">
        <f>Inputs!FJ40</f>
        <v>2.25</v>
      </c>
      <c r="FN24" s="24">
        <f>Inputs!FK40</f>
        <v>2.25</v>
      </c>
      <c r="FO24" s="24">
        <f>Inputs!FL40</f>
        <v>2.25</v>
      </c>
      <c r="FP24" s="24">
        <f>Inputs!FM40</f>
        <v>2.25</v>
      </c>
      <c r="FQ24" s="24">
        <f>Inputs!FN40</f>
        <v>2.25</v>
      </c>
      <c r="FR24" s="24">
        <f>Inputs!FO40</f>
        <v>2.25</v>
      </c>
      <c r="FS24" s="24">
        <f>Inputs!FP40</f>
        <v>2.25</v>
      </c>
      <c r="FT24" s="24">
        <f>Inputs!FQ40</f>
        <v>2.25</v>
      </c>
      <c r="FU24" s="24">
        <f>Inputs!FR40</f>
        <v>2.25</v>
      </c>
      <c r="FV24" s="24">
        <f>Inputs!FS40</f>
        <v>2.25</v>
      </c>
      <c r="FW24" s="24">
        <f>Inputs!FT40</f>
        <v>2.25</v>
      </c>
      <c r="FX24" s="24">
        <f>Inputs!FU40</f>
        <v>2.25</v>
      </c>
      <c r="FY24" s="24">
        <f>Inputs!FV40</f>
        <v>2.25</v>
      </c>
      <c r="FZ24" s="24">
        <f>Inputs!FW40</f>
        <v>2.25</v>
      </c>
      <c r="GA24" s="24">
        <f>Inputs!FX40</f>
        <v>2.25</v>
      </c>
      <c r="GB24" s="24">
        <f>Inputs!FY40</f>
        <v>2.25</v>
      </c>
      <c r="GC24" s="24">
        <f>Inputs!FZ40</f>
        <v>2.25</v>
      </c>
      <c r="GD24" s="24">
        <f>Inputs!GA40</f>
        <v>2.25</v>
      </c>
      <c r="GE24" s="24">
        <f>Inputs!GB40</f>
        <v>2.25</v>
      </c>
      <c r="GF24" s="24">
        <f>Inputs!GC40</f>
        <v>2.25</v>
      </c>
      <c r="GG24" s="24">
        <f>Inputs!GD40</f>
        <v>2.25</v>
      </c>
      <c r="GH24" s="24">
        <f>Inputs!GE40</f>
        <v>2.25</v>
      </c>
      <c r="GI24" s="24">
        <f>Inputs!GF40</f>
        <v>2.25</v>
      </c>
      <c r="GJ24" s="24">
        <f>Inputs!GG40</f>
        <v>2.25</v>
      </c>
      <c r="GK24" s="24">
        <f>Inputs!GH40</f>
        <v>2.25</v>
      </c>
      <c r="GL24" s="24">
        <f>Inputs!GI40</f>
        <v>2.25</v>
      </c>
      <c r="GM24" s="24">
        <f>Inputs!GJ40</f>
        <v>2.25</v>
      </c>
      <c r="GN24" s="24">
        <f>Inputs!GK40</f>
        <v>2.25</v>
      </c>
      <c r="GO24" s="24">
        <f>Inputs!GL40</f>
        <v>2.25</v>
      </c>
      <c r="GP24" s="24">
        <f>Inputs!GM40</f>
        <v>2.25</v>
      </c>
      <c r="GQ24" s="24">
        <f>Inputs!GN40</f>
        <v>2.25</v>
      </c>
      <c r="GR24" s="24">
        <f>Inputs!GO40</f>
        <v>2.25</v>
      </c>
      <c r="GS24" s="24">
        <f>Inputs!GP40</f>
        <v>2.25</v>
      </c>
      <c r="GT24" s="24">
        <f>Inputs!GQ40</f>
        <v>2.25</v>
      </c>
      <c r="GU24" s="24">
        <f>Inputs!GR40</f>
        <v>2.25</v>
      </c>
      <c r="GV24" s="24">
        <f>Inputs!GS40</f>
        <v>2.25</v>
      </c>
      <c r="GW24" s="24">
        <f>Inputs!GT40</f>
        <v>2.25</v>
      </c>
      <c r="GX24" s="24">
        <f>Inputs!GU40</f>
        <v>2.25</v>
      </c>
      <c r="GY24" s="24">
        <f>Inputs!GV40</f>
        <v>2.25</v>
      </c>
      <c r="GZ24" s="24">
        <f>Inputs!GW40</f>
        <v>2.25</v>
      </c>
      <c r="HA24" s="24">
        <f>Inputs!GX40</f>
        <v>2.25</v>
      </c>
      <c r="HB24" s="24">
        <f>Inputs!GY40</f>
        <v>2.25</v>
      </c>
      <c r="HC24" s="24">
        <f>Inputs!GZ40</f>
        <v>2.25</v>
      </c>
      <c r="HD24" s="24">
        <f>Inputs!HA40</f>
        <v>2.25</v>
      </c>
      <c r="HE24" s="24">
        <f>Inputs!HB40</f>
        <v>2.25</v>
      </c>
      <c r="HF24" s="24">
        <f>Inputs!HC40</f>
        <v>2.25</v>
      </c>
      <c r="HG24" s="24">
        <f>Inputs!HD40</f>
        <v>2.25</v>
      </c>
      <c r="HH24" s="24">
        <f>Inputs!HE40</f>
        <v>2.25</v>
      </c>
      <c r="HI24" s="24">
        <f>Inputs!HF40</f>
        <v>2.25</v>
      </c>
      <c r="HJ24" s="24">
        <f>Inputs!HG40</f>
        <v>2.25</v>
      </c>
      <c r="HK24" s="24">
        <f>Inputs!HH40</f>
        <v>2.25</v>
      </c>
      <c r="HL24" s="24">
        <f>Inputs!HI40</f>
        <v>2.25</v>
      </c>
      <c r="HM24" s="24">
        <f>Inputs!HJ40</f>
        <v>2.25</v>
      </c>
      <c r="HN24" s="24">
        <f>Inputs!HK40</f>
        <v>2.25</v>
      </c>
      <c r="HO24" s="24">
        <f>Inputs!HL40</f>
        <v>2.25</v>
      </c>
      <c r="HP24" s="24">
        <f>Inputs!HM40</f>
        <v>2.25</v>
      </c>
      <c r="HQ24" s="24">
        <f>Inputs!HN40</f>
        <v>2.25</v>
      </c>
      <c r="HR24" s="24">
        <f>Inputs!HO40</f>
        <v>2.25</v>
      </c>
      <c r="HS24" s="24">
        <f>Inputs!HP40</f>
        <v>2.25</v>
      </c>
      <c r="HT24" s="24">
        <f>Inputs!HQ40</f>
        <v>2.25</v>
      </c>
      <c r="HU24" s="24">
        <f>Inputs!HR40</f>
        <v>2.25</v>
      </c>
      <c r="HV24" s="24">
        <f>Inputs!HS40</f>
        <v>2.25</v>
      </c>
      <c r="HW24" s="24">
        <f>Inputs!HT40</f>
        <v>2.25</v>
      </c>
      <c r="HX24" s="24">
        <f>Inputs!HU40</f>
        <v>2.25</v>
      </c>
      <c r="HY24" s="24">
        <f>Inputs!HV40</f>
        <v>2.25</v>
      </c>
      <c r="HZ24" s="24">
        <f>Inputs!HW40</f>
        <v>2.25</v>
      </c>
      <c r="IA24" s="24">
        <f>Inputs!HX40</f>
        <v>2.25</v>
      </c>
      <c r="IB24" s="24">
        <f>Inputs!HY40</f>
        <v>2.25</v>
      </c>
      <c r="IC24" s="24">
        <f>Inputs!HZ40</f>
        <v>2.25</v>
      </c>
      <c r="ID24" s="24">
        <f>Inputs!IA40</f>
        <v>2.25</v>
      </c>
      <c r="IE24" s="24">
        <f>Inputs!IB40</f>
        <v>2.25</v>
      </c>
      <c r="IF24" s="24">
        <f>Inputs!IC40</f>
        <v>2.25</v>
      </c>
      <c r="IG24" s="24">
        <f>Inputs!ID40</f>
        <v>2.25</v>
      </c>
      <c r="IH24" s="24">
        <f>Inputs!IE40</f>
        <v>2.25</v>
      </c>
      <c r="II24" s="24">
        <f>Inputs!IF40</f>
        <v>2.25</v>
      </c>
      <c r="IJ24" s="24">
        <f>Inputs!IG40</f>
        <v>2.25</v>
      </c>
      <c r="IK24" s="24">
        <f>Inputs!IH40</f>
        <v>2.25</v>
      </c>
      <c r="IL24" s="24">
        <f>Inputs!II40</f>
        <v>2.25</v>
      </c>
      <c r="IM24" s="24">
        <f>Inputs!IJ40</f>
        <v>2.25</v>
      </c>
      <c r="IN24" s="24">
        <f>Inputs!IK40</f>
        <v>2.25</v>
      </c>
      <c r="IO24" s="24">
        <f>Inputs!IL40</f>
        <v>2.25</v>
      </c>
      <c r="IP24" s="24">
        <f>Inputs!IM40</f>
        <v>2.25</v>
      </c>
      <c r="IQ24" s="24">
        <f>Inputs!IN40</f>
        <v>2.25</v>
      </c>
      <c r="IR24" s="24">
        <f>Inputs!IO40</f>
        <v>2.25</v>
      </c>
      <c r="IS24" s="24">
        <f>Inputs!IP40</f>
        <v>2.25</v>
      </c>
      <c r="IT24" s="24">
        <f>Inputs!IQ40</f>
        <v>2.25</v>
      </c>
      <c r="IU24" s="24">
        <f>Inputs!IR40</f>
        <v>2.25</v>
      </c>
      <c r="IV24" s="24">
        <f>Inputs!IS40</f>
        <v>2.25</v>
      </c>
      <c r="IW24" s="24">
        <f>Inputs!IT40</f>
        <v>2.25</v>
      </c>
      <c r="IX24" s="24">
        <f>Inputs!IU40</f>
        <v>2.25</v>
      </c>
      <c r="IY24" s="24">
        <f>Inputs!IV40</f>
        <v>2.25</v>
      </c>
      <c r="IZ24" s="24">
        <f>Inputs!IW40</f>
        <v>2.25</v>
      </c>
      <c r="JA24" s="24">
        <f>Inputs!IX40</f>
        <v>2.25</v>
      </c>
      <c r="JB24" s="24">
        <f>Inputs!IY40</f>
        <v>2.25</v>
      </c>
      <c r="JC24" s="24">
        <f>Inputs!IZ40</f>
        <v>2.25</v>
      </c>
      <c r="JD24" s="24">
        <f>Inputs!JA40</f>
        <v>2.25</v>
      </c>
      <c r="JE24" s="24">
        <f>Inputs!JB40</f>
        <v>2.25</v>
      </c>
      <c r="JF24" s="24">
        <f>Inputs!JC40</f>
        <v>2.25</v>
      </c>
      <c r="JG24" s="24">
        <f>Inputs!JD40</f>
        <v>2.25</v>
      </c>
      <c r="JH24" s="24">
        <f>Inputs!JE40</f>
        <v>2.25</v>
      </c>
      <c r="JI24" s="24">
        <f>Inputs!JF40</f>
        <v>2.25</v>
      </c>
      <c r="JJ24" s="24">
        <f>Inputs!JG40</f>
        <v>2.25</v>
      </c>
      <c r="JK24" s="24">
        <f>Inputs!JH40</f>
        <v>2.25</v>
      </c>
      <c r="JL24" s="24">
        <f>Inputs!JI40</f>
        <v>2.25</v>
      </c>
      <c r="JM24" s="24">
        <f>Inputs!JJ40</f>
        <v>2.25</v>
      </c>
      <c r="JN24" s="24">
        <f>Inputs!JK40</f>
        <v>2.25</v>
      </c>
      <c r="JO24" s="24">
        <f>Inputs!JL40</f>
        <v>2.25</v>
      </c>
      <c r="JP24" s="24">
        <f>Inputs!JM40</f>
        <v>2.25</v>
      </c>
      <c r="JQ24" s="24">
        <f>Inputs!JN40</f>
        <v>2.25</v>
      </c>
      <c r="JR24" s="24">
        <f>Inputs!JO40</f>
        <v>2.25</v>
      </c>
      <c r="JS24" s="24">
        <f>Inputs!JP40</f>
        <v>2.25</v>
      </c>
      <c r="JT24" s="24">
        <f>Inputs!JQ40</f>
        <v>2.25</v>
      </c>
      <c r="JU24" s="24">
        <f>Inputs!JR40</f>
        <v>2.25</v>
      </c>
      <c r="JV24" s="24">
        <f>Inputs!JS40</f>
        <v>2.25</v>
      </c>
      <c r="JW24" s="24">
        <f>Inputs!JT40</f>
        <v>2.25</v>
      </c>
      <c r="JX24" s="24">
        <f>Inputs!JU40</f>
        <v>2.25</v>
      </c>
      <c r="JY24" s="24">
        <f>Inputs!JV40</f>
        <v>2.25</v>
      </c>
      <c r="JZ24" s="24">
        <f>Inputs!JW40</f>
        <v>2.25</v>
      </c>
      <c r="KA24" s="24">
        <f>Inputs!JX40</f>
        <v>2.25</v>
      </c>
      <c r="KB24" s="24">
        <f>Inputs!JY40</f>
        <v>2.25</v>
      </c>
      <c r="KC24" s="24">
        <f>Inputs!JZ40</f>
        <v>2.25</v>
      </c>
      <c r="KD24" s="24">
        <f>Inputs!KA40</f>
        <v>2.25</v>
      </c>
      <c r="KE24" s="24">
        <f>Inputs!KB40</f>
        <v>2.25</v>
      </c>
      <c r="KF24" s="24">
        <f>Inputs!KC40</f>
        <v>2.25</v>
      </c>
      <c r="KG24" s="24">
        <f>Inputs!KD40</f>
        <v>2.25</v>
      </c>
      <c r="KH24" s="24">
        <f>Inputs!KE40</f>
        <v>2.25</v>
      </c>
      <c r="KI24" s="24">
        <f>Inputs!KF40</f>
        <v>2.25</v>
      </c>
      <c r="KJ24" s="1"/>
    </row>
    <row r="25" spans="1:296" x14ac:dyDescent="0.35">
      <c r="H25" s="13" t="s">
        <v>166</v>
      </c>
      <c r="M25" s="15" t="s">
        <v>165</v>
      </c>
      <c r="N25" s="24">
        <f>Inputs!K56</f>
        <v>-0.28887274168884491</v>
      </c>
      <c r="O25" s="24">
        <f>Inputs!L56</f>
        <v>-0.26384951705178378</v>
      </c>
      <c r="P25" s="24">
        <f>Inputs!M56</f>
        <v>-0.36179302278349129</v>
      </c>
      <c r="Q25" s="24">
        <f>Inputs!N56</f>
        <v>-0.51930818731908845</v>
      </c>
      <c r="R25" s="24">
        <f>Inputs!O56</f>
        <v>-0.25707948317536083</v>
      </c>
      <c r="S25" s="24">
        <f>Inputs!P56</f>
        <v>-0.23743734450263168</v>
      </c>
      <c r="T25" s="24">
        <f>Inputs!Q56</f>
        <v>-0.30209970574695794</v>
      </c>
      <c r="U25" s="24">
        <f>Inputs!R56</f>
        <v>-0.33805636750190926</v>
      </c>
      <c r="V25" s="24">
        <f>Inputs!S56</f>
        <v>-0.5798948568556257</v>
      </c>
      <c r="W25" s="24">
        <f>Inputs!T56</f>
        <v>-0.59599043508816674</v>
      </c>
      <c r="X25" s="24">
        <f>Inputs!U56</f>
        <v>-0.50382371450251917</v>
      </c>
      <c r="Y25" s="24">
        <f>Inputs!V56</f>
        <v>-0.4095828281617907</v>
      </c>
      <c r="Z25" s="24">
        <f>Inputs!W56</f>
        <v>-0.17883643694776397</v>
      </c>
      <c r="AA25" s="24">
        <f>Inputs!X56</f>
        <v>-0.55864059726548965</v>
      </c>
      <c r="AB25" s="24">
        <f>Inputs!Y56</f>
        <v>-0.60264005046482227</v>
      </c>
      <c r="AC25" s="24">
        <f>Inputs!Z56</f>
        <v>-0.59296668671094244</v>
      </c>
      <c r="AD25" s="24">
        <f>Inputs!AA56</f>
        <v>-0.48454742982087334</v>
      </c>
      <c r="AE25" s="24">
        <f>Inputs!AB56</f>
        <v>-0.32445012518989663</v>
      </c>
      <c r="AF25" s="24">
        <f>Inputs!AC56</f>
        <v>-0.26570470982102123</v>
      </c>
      <c r="AG25" s="24">
        <f>Inputs!AD56</f>
        <v>-0.45308443736616882</v>
      </c>
      <c r="AH25" s="24">
        <f>Inputs!AE56</f>
        <v>-0.18701789511152089</v>
      </c>
      <c r="AI25" s="24">
        <f>Inputs!AF56</f>
        <v>-0.45744523859599567</v>
      </c>
      <c r="AJ25" s="24">
        <f>Inputs!AG56</f>
        <v>-0.20348565121086762</v>
      </c>
      <c r="AK25" s="24">
        <f>Inputs!AH56</f>
        <v>-0.435133319541532</v>
      </c>
      <c r="AL25" s="24">
        <f>Inputs!AI56</f>
        <v>-0.22332081500123327</v>
      </c>
      <c r="AM25" s="24">
        <f>Inputs!AJ56</f>
        <v>-0.46014264126283921</v>
      </c>
      <c r="AN25" s="24">
        <f>Inputs!AK56</f>
        <v>-0.44320719271124631</v>
      </c>
      <c r="AO25" s="24">
        <f>Inputs!AL56</f>
        <v>-0.2381525384631093</v>
      </c>
      <c r="AP25" s="24">
        <f>Inputs!AM56</f>
        <v>-0.26446829404044397</v>
      </c>
      <c r="AQ25" s="24">
        <f>Inputs!AN56</f>
        <v>-0.25153117873775155</v>
      </c>
      <c r="AR25" s="24">
        <f>Inputs!AO56</f>
        <v>-0.18354415391015327</v>
      </c>
      <c r="AS25" s="24">
        <f>Inputs!AP56</f>
        <v>-0.45017666399173911</v>
      </c>
      <c r="AT25" s="24">
        <f>Inputs!AQ56</f>
        <v>-0.33118644728849206</v>
      </c>
      <c r="AU25" s="24">
        <f>Inputs!AR56</f>
        <v>-0.37044513972559395</v>
      </c>
      <c r="AV25" s="24">
        <f>Inputs!AS56</f>
        <v>-0.35051741624831112</v>
      </c>
      <c r="AW25" s="24">
        <f>Inputs!AT56</f>
        <v>-0.47713310039420093</v>
      </c>
      <c r="AX25" s="24">
        <f>Inputs!AU56</f>
        <v>-0.57240248158295404</v>
      </c>
      <c r="AY25" s="24">
        <f>Inputs!AV56</f>
        <v>-0.41371588989435987</v>
      </c>
      <c r="AZ25" s="24">
        <f>Inputs!AW56</f>
        <v>-0.53325958575261134</v>
      </c>
      <c r="BA25" s="24">
        <f>Inputs!AX56</f>
        <v>-0.44988648167862832</v>
      </c>
      <c r="BB25" s="24">
        <f>Inputs!AY56</f>
        <v>-0.61438919989112406</v>
      </c>
      <c r="BC25" s="24">
        <f>Inputs!AZ56</f>
        <v>-0.38121325711330456</v>
      </c>
      <c r="BD25" s="24">
        <f>Inputs!BA56</f>
        <v>-0.18245935031130844</v>
      </c>
      <c r="BE25" s="24">
        <f>Inputs!BB56</f>
        <v>-0.49223815779345254</v>
      </c>
      <c r="BF25" s="24">
        <f>Inputs!BC56</f>
        <v>-0.6582527804013063</v>
      </c>
      <c r="BG25" s="24">
        <f>Inputs!BD56</f>
        <v>-0.31832832054018911</v>
      </c>
      <c r="BH25" s="24">
        <f>Inputs!BE56</f>
        <v>-0.4287253882946595</v>
      </c>
      <c r="BI25" s="24">
        <f>Inputs!BF56</f>
        <v>-0.3830137490926605</v>
      </c>
      <c r="BJ25" s="24">
        <f>Inputs!BG56</f>
        <v>-0.53202876061883553</v>
      </c>
      <c r="BK25" s="24">
        <f>Inputs!BH56</f>
        <v>-0.67925754963580887</v>
      </c>
      <c r="BL25" s="24">
        <f>Inputs!BI56</f>
        <v>-0.48204536930094394</v>
      </c>
      <c r="BM25" s="24">
        <f>Inputs!BJ56</f>
        <v>-0.27096030908561231</v>
      </c>
      <c r="BN25" s="24">
        <f>Inputs!BK56</f>
        <v>-0.34557620731234684</v>
      </c>
      <c r="BO25" s="24">
        <f>Inputs!BL56</f>
        <v>-0.39410875622189501</v>
      </c>
      <c r="BP25" s="24">
        <f>Inputs!BM56</f>
        <v>-0.33056963953603313</v>
      </c>
      <c r="BQ25" s="24">
        <f>Inputs!BN56</f>
        <v>-0.44571239755410652</v>
      </c>
      <c r="BR25" s="24">
        <f>Inputs!BO56</f>
        <v>-0.5109836380423195</v>
      </c>
      <c r="BS25" s="24">
        <f>Inputs!BP56</f>
        <v>-0.25398841523708726</v>
      </c>
      <c r="BT25" s="24">
        <f>Inputs!BQ56</f>
        <v>-0.24542011551999512</v>
      </c>
      <c r="BU25" s="24">
        <f>Inputs!BR56</f>
        <v>-0.28350903825879736</v>
      </c>
      <c r="BV25" s="24">
        <f>Inputs!BS56</f>
        <v>-0.29942835745491791</v>
      </c>
      <c r="BW25" s="24">
        <f>Inputs!BT56</f>
        <v>-0.27287165320776041</v>
      </c>
      <c r="BX25" s="24">
        <f>Inputs!BU56</f>
        <v>-0.3239714205505837</v>
      </c>
      <c r="BY25" s="24">
        <f>Inputs!BV56</f>
        <v>-0.57349117738199817</v>
      </c>
      <c r="BZ25" s="24">
        <f>Inputs!BW56</f>
        <v>-0.43856310960291495</v>
      </c>
      <c r="CA25" s="24">
        <f>Inputs!BX56</f>
        <v>-0.29045850451185934</v>
      </c>
      <c r="CB25" s="24">
        <f>Inputs!BY56</f>
        <v>-0.34443932500033436</v>
      </c>
      <c r="CC25" s="24">
        <f>Inputs!BZ56</f>
        <v>-0.2867620894093732</v>
      </c>
      <c r="CD25" s="24">
        <f>Inputs!CA56</f>
        <v>-0.21765538594364472</v>
      </c>
      <c r="CE25" s="24">
        <f>Inputs!CB56</f>
        <v>-0.2194727266646358</v>
      </c>
      <c r="CF25" s="24">
        <f>Inputs!CC56</f>
        <v>-0.20327537673669963</v>
      </c>
      <c r="CG25" s="24">
        <f>Inputs!CD56</f>
        <v>-0.45231150196312525</v>
      </c>
      <c r="CH25" s="24">
        <f>Inputs!CE56</f>
        <v>-0.26901763261822009</v>
      </c>
      <c r="CI25" s="24">
        <f>Inputs!CF56</f>
        <v>-0.37299451731112837</v>
      </c>
      <c r="CJ25" s="24">
        <f>Inputs!CG56</f>
        <v>-0.64931814603453974</v>
      </c>
      <c r="CK25" s="24">
        <f>Inputs!CH56</f>
        <v>-0.44685597301863877</v>
      </c>
      <c r="CL25" s="24">
        <f>Inputs!CI56</f>
        <v>-0.44526061043540943</v>
      </c>
      <c r="CM25" s="24">
        <f>Inputs!CJ56</f>
        <v>-0.43795304100526172</v>
      </c>
      <c r="CN25" s="24">
        <f>Inputs!CK56</f>
        <v>-0.49943032104395946</v>
      </c>
      <c r="CO25" s="24">
        <f>Inputs!CL56</f>
        <v>-0.27211568332890457</v>
      </c>
      <c r="CP25" s="24">
        <f>Inputs!CM56</f>
        <v>-0.53758558720861249</v>
      </c>
      <c r="CQ25" s="24">
        <f>Inputs!CN56</f>
        <v>-0.62932156994770871</v>
      </c>
      <c r="CR25" s="24">
        <f>Inputs!CO56</f>
        <v>-0.69579649269402699</v>
      </c>
      <c r="CS25" s="24">
        <f>Inputs!CP56</f>
        <v>-0.46666423573157517</v>
      </c>
      <c r="CT25" s="24">
        <f>Inputs!CQ56</f>
        <v>-0.53533938867711439</v>
      </c>
      <c r="CU25" s="24">
        <f>Inputs!CR56</f>
        <v>-0.62884869689509404</v>
      </c>
      <c r="CV25" s="24">
        <f>Inputs!CS56</f>
        <v>-0.6054281728921217</v>
      </c>
      <c r="CW25" s="24">
        <f>Inputs!CT56</f>
        <v>-0.21052366785749899</v>
      </c>
      <c r="CX25" s="24">
        <f>Inputs!CU56</f>
        <v>-0.42737570694507893</v>
      </c>
      <c r="CY25" s="24">
        <f>Inputs!CV56</f>
        <v>-0.26874266577990402</v>
      </c>
      <c r="CZ25" s="24">
        <f>Inputs!CW56</f>
        <v>-0.53608945441427769</v>
      </c>
      <c r="DA25" s="24">
        <f>Inputs!CX56</f>
        <v>-0.29034749196198356</v>
      </c>
      <c r="DB25" s="24">
        <f>Inputs!CY56</f>
        <v>-0.17863359876491294</v>
      </c>
      <c r="DC25" s="24">
        <f>Inputs!CZ56</f>
        <v>-0.60446534869216817</v>
      </c>
      <c r="DD25" s="24">
        <f>Inputs!DA56</f>
        <v>-0.18069926753408252</v>
      </c>
      <c r="DE25" s="24">
        <f>Inputs!DB56</f>
        <v>-0.57939170821421615</v>
      </c>
      <c r="DF25" s="24">
        <f>Inputs!DC56</f>
        <v>-0.62231890446986071</v>
      </c>
      <c r="DG25" s="24">
        <f>Inputs!DD56</f>
        <v>-0.43994948892935087</v>
      </c>
      <c r="DH25" s="24">
        <f>Inputs!DE56</f>
        <v>-0.34448937480038255</v>
      </c>
      <c r="DI25" s="24">
        <f>Inputs!DF56</f>
        <v>-0.5668789617222072</v>
      </c>
      <c r="DJ25" s="24">
        <f>Inputs!DG56</f>
        <v>-0.62509211932615072</v>
      </c>
      <c r="DK25" s="24">
        <f>Inputs!DH56</f>
        <v>-0.5362279183981804</v>
      </c>
      <c r="DL25" s="24">
        <f>Inputs!DI56</f>
        <v>-0.40469017591641743</v>
      </c>
      <c r="DM25" s="24">
        <f>Inputs!DJ56</f>
        <v>-0.38058681284807955</v>
      </c>
      <c r="DN25" s="24">
        <f>Inputs!DK56</f>
        <v>-0.50765871253144934</v>
      </c>
      <c r="DO25" s="24">
        <f>Inputs!DL56</f>
        <v>-0.63971119117990172</v>
      </c>
      <c r="DP25" s="24">
        <f>Inputs!DM56</f>
        <v>-0.66043655673380153</v>
      </c>
      <c r="DQ25" s="24">
        <f>Inputs!DN56</f>
        <v>-0.52730104326315785</v>
      </c>
      <c r="DR25" s="24">
        <f>Inputs!DO56</f>
        <v>-0.43113373324746895</v>
      </c>
      <c r="DS25" s="24">
        <f>Inputs!DP56</f>
        <v>-0.69749889655743413</v>
      </c>
      <c r="DT25" s="24">
        <f>Inputs!DQ56</f>
        <v>-0.45519373941633001</v>
      </c>
      <c r="DU25" s="24">
        <f>Inputs!DR56</f>
        <v>-0.26534945484668865</v>
      </c>
      <c r="DV25" s="24">
        <f>Inputs!DS56</f>
        <v>-0.2766785353751981</v>
      </c>
      <c r="DW25" s="24">
        <f>Inputs!DT56</f>
        <v>-0.57528435231492181</v>
      </c>
      <c r="DX25" s="24">
        <f>Inputs!DU56</f>
        <v>-0.68673547364417731</v>
      </c>
      <c r="DY25" s="24">
        <f>Inputs!DV56</f>
        <v>-0.31394343907643429</v>
      </c>
      <c r="DZ25" s="24">
        <f>Inputs!DW56</f>
        <v>-0.35705893474354516</v>
      </c>
      <c r="EA25" s="24">
        <f>Inputs!DX56</f>
        <v>-0.36767069658101692</v>
      </c>
      <c r="EB25" s="24">
        <f>Inputs!DY56</f>
        <v>-0.60539270570020842</v>
      </c>
      <c r="EC25" s="24">
        <f>Inputs!DZ56</f>
        <v>-0.53358880612210147</v>
      </c>
      <c r="ED25" s="24">
        <f>Inputs!EA56</f>
        <v>-0.42258929169959097</v>
      </c>
      <c r="EE25" s="24">
        <f>Inputs!EB56</f>
        <v>-0.55537195860307653</v>
      </c>
      <c r="EF25" s="24">
        <f>Inputs!EC56</f>
        <v>-0.28389741734254947</v>
      </c>
      <c r="EG25" s="24">
        <f>Inputs!ED56</f>
        <v>-0.2800429965114315</v>
      </c>
      <c r="EH25" s="24">
        <f>Inputs!EE56</f>
        <v>-0.46065790535805973</v>
      </c>
      <c r="EI25" s="24">
        <f>Inputs!EF56</f>
        <v>-0.31189480586876117</v>
      </c>
      <c r="EJ25" s="24">
        <f>Inputs!EG56</f>
        <v>-0.22080489339378873</v>
      </c>
      <c r="EK25" s="24">
        <f>Inputs!EH56</f>
        <v>-0.29941016067238879</v>
      </c>
      <c r="EL25" s="24">
        <f>Inputs!EI56</f>
        <v>-0.43218561622266521</v>
      </c>
      <c r="EM25" s="24">
        <f>Inputs!EJ56</f>
        <v>-0.22732238829522672</v>
      </c>
      <c r="EN25" s="24">
        <f>Inputs!EK56</f>
        <v>-0.49454605828187698</v>
      </c>
      <c r="EO25" s="24">
        <f>Inputs!EL56</f>
        <v>-0.42799579869483756</v>
      </c>
      <c r="EP25" s="24">
        <f>Inputs!EM56</f>
        <v>-0.20378781300562107</v>
      </c>
      <c r="EQ25" s="24">
        <f>Inputs!EN56</f>
        <v>-0.20154887877170466</v>
      </c>
      <c r="ER25" s="24">
        <f>Inputs!EO56</f>
        <v>-0.46172988677977878</v>
      </c>
      <c r="ES25" s="24">
        <f>Inputs!EP56</f>
        <v>-0.32349766917909639</v>
      </c>
      <c r="ET25" s="24">
        <f>Inputs!EQ56</f>
        <v>-0.62912386196357228</v>
      </c>
      <c r="EU25" s="24">
        <f>Inputs!ER56</f>
        <v>-0.64400674641622246</v>
      </c>
      <c r="EV25" s="24">
        <f>Inputs!ES56</f>
        <v>-0.63011129162188995</v>
      </c>
      <c r="EW25" s="24">
        <f>Inputs!ET56</f>
        <v>-0.69905608370089789</v>
      </c>
      <c r="EX25" s="24">
        <f>Inputs!EU56</f>
        <v>-0.3478573341684712</v>
      </c>
      <c r="EY25" s="24">
        <f>Inputs!EV56</f>
        <v>-0.47612219557030128</v>
      </c>
      <c r="EZ25" s="24">
        <f>Inputs!EW56</f>
        <v>-0.39849238844088913</v>
      </c>
      <c r="FA25" s="24">
        <f>Inputs!EX56</f>
        <v>-0.65847091689243897</v>
      </c>
      <c r="FB25" s="24">
        <f>Inputs!EY56</f>
        <v>-0.22047233846132097</v>
      </c>
      <c r="FC25" s="24">
        <f>Inputs!EZ56</f>
        <v>-0.22645304344417977</v>
      </c>
      <c r="FD25" s="24">
        <f>Inputs!FA56</f>
        <v>-0.67107327221529844</v>
      </c>
      <c r="FE25" s="24">
        <f>Inputs!FB56</f>
        <v>-0.61703565008479666</v>
      </c>
      <c r="FF25" s="24">
        <f>Inputs!FC56</f>
        <v>-0.56825887483877768</v>
      </c>
      <c r="FG25" s="24">
        <f>Inputs!FD56</f>
        <v>-0.35579489767953026</v>
      </c>
      <c r="FH25" s="24">
        <f>Inputs!FE56</f>
        <v>-0.23505883681765899</v>
      </c>
      <c r="FI25" s="24">
        <f>Inputs!FF56</f>
        <v>-0.28559592387582533</v>
      </c>
      <c r="FJ25" s="24">
        <f>Inputs!FG56</f>
        <v>-0.59566547769577871</v>
      </c>
      <c r="FK25" s="24">
        <f>Inputs!FH56</f>
        <v>-0.62130415882014101</v>
      </c>
      <c r="FL25" s="24">
        <f>Inputs!FI56</f>
        <v>-0.2242811375236532</v>
      </c>
      <c r="FM25" s="24">
        <f>Inputs!FJ56</f>
        <v>-0.50233842417192454</v>
      </c>
      <c r="FN25" s="24">
        <f>Inputs!FK56</f>
        <v>-0.62722433994381088</v>
      </c>
      <c r="FO25" s="24">
        <f>Inputs!FL56</f>
        <v>-0.42535841528146201</v>
      </c>
      <c r="FP25" s="24">
        <f>Inputs!FM56</f>
        <v>-0.67746405437185042</v>
      </c>
      <c r="FQ25" s="24">
        <f>Inputs!FN56</f>
        <v>-0.47211727542470172</v>
      </c>
      <c r="FR25" s="24">
        <f>Inputs!FO56</f>
        <v>-0.40975727002009565</v>
      </c>
      <c r="FS25" s="24">
        <f>Inputs!FP56</f>
        <v>-0.60008724320146034</v>
      </c>
      <c r="FT25" s="24">
        <f>Inputs!FQ56</f>
        <v>-0.6726831124189756</v>
      </c>
      <c r="FU25" s="24">
        <f>Inputs!FR56</f>
        <v>-0.47434736466028354</v>
      </c>
      <c r="FV25" s="24">
        <f>Inputs!FS56</f>
        <v>-0.55873367339320756</v>
      </c>
      <c r="FW25" s="24">
        <f>Inputs!FT56</f>
        <v>-0.48530704398196761</v>
      </c>
      <c r="FX25" s="24">
        <f>Inputs!FU56</f>
        <v>-0.65563902141373387</v>
      </c>
      <c r="FY25" s="24">
        <f>Inputs!FV56</f>
        <v>-0.60511639666883799</v>
      </c>
      <c r="FZ25" s="24">
        <f>Inputs!FW56</f>
        <v>-0.37788166064230444</v>
      </c>
      <c r="GA25" s="24">
        <f>Inputs!FX56</f>
        <v>-0.58031581346660022</v>
      </c>
      <c r="GB25" s="24">
        <f>Inputs!FY56</f>
        <v>-0.40172066995307248</v>
      </c>
      <c r="GC25" s="24">
        <f>Inputs!FZ56</f>
        <v>-0.28322772490917331</v>
      </c>
      <c r="GD25" s="24">
        <f>Inputs!GA56</f>
        <v>-0.20013668507781265</v>
      </c>
      <c r="GE25" s="24">
        <f>Inputs!GB56</f>
        <v>-0.18332800838741592</v>
      </c>
      <c r="GF25" s="24">
        <f>Inputs!GC56</f>
        <v>-0.19697133546544132</v>
      </c>
      <c r="GG25" s="24">
        <f>Inputs!GD56</f>
        <v>-0.60596821878151996</v>
      </c>
      <c r="GH25" s="24">
        <f>Inputs!GE56</f>
        <v>-0.24947142769593558</v>
      </c>
      <c r="GI25" s="24">
        <f>Inputs!GF56</f>
        <v>-0.48725173951408757</v>
      </c>
      <c r="GJ25" s="24">
        <f>Inputs!GG56</f>
        <v>-0.27272060793348057</v>
      </c>
      <c r="GK25" s="24">
        <f>Inputs!GH56</f>
        <v>-0.35932256785932964</v>
      </c>
      <c r="GL25" s="24">
        <f>Inputs!GI56</f>
        <v>-0.37693278502032762</v>
      </c>
      <c r="GM25" s="24">
        <f>Inputs!GJ56</f>
        <v>-0.27885963003908948</v>
      </c>
      <c r="GN25" s="24">
        <f>Inputs!GK56</f>
        <v>-0.55590517888077784</v>
      </c>
      <c r="GO25" s="24">
        <f>Inputs!GL56</f>
        <v>-0.69791422214290644</v>
      </c>
      <c r="GP25" s="24">
        <f>Inputs!GM56</f>
        <v>-0.51390764202304418</v>
      </c>
      <c r="GQ25" s="24">
        <f>Inputs!GN56</f>
        <v>-0.57932408866644747</v>
      </c>
      <c r="GR25" s="24">
        <f>Inputs!GO56</f>
        <v>-0.29160493127330772</v>
      </c>
      <c r="GS25" s="24">
        <f>Inputs!GP56</f>
        <v>-0.36314524883878524</v>
      </c>
      <c r="GT25" s="24">
        <f>Inputs!GQ56</f>
        <v>-0.30516914193421568</v>
      </c>
      <c r="GU25" s="24">
        <f>Inputs!GR56</f>
        <v>-0.35770782563690184</v>
      </c>
      <c r="GV25" s="24">
        <f>Inputs!GS56</f>
        <v>-0.50282875073789968</v>
      </c>
      <c r="GW25" s="24">
        <f>Inputs!GT56</f>
        <v>-0.32169209126241854</v>
      </c>
      <c r="GX25" s="24">
        <f>Inputs!GU56</f>
        <v>-0.45311609296206912</v>
      </c>
      <c r="GY25" s="24">
        <f>Inputs!GV56</f>
        <v>-0.2387039647909949</v>
      </c>
      <c r="GZ25" s="24">
        <f>Inputs!GW56</f>
        <v>-0.23248247036801661</v>
      </c>
      <c r="HA25" s="24">
        <f>Inputs!GX56</f>
        <v>-0.32444912526603348</v>
      </c>
      <c r="HB25" s="24">
        <f>Inputs!GY56</f>
        <v>-0.6037546235597302</v>
      </c>
      <c r="HC25" s="24">
        <f>Inputs!GZ56</f>
        <v>-0.1875280592249029</v>
      </c>
      <c r="HD25" s="24">
        <f>Inputs!HA56</f>
        <v>-0.58003794012978549</v>
      </c>
      <c r="HE25" s="24">
        <f>Inputs!HB56</f>
        <v>-0.61390144505153166</v>
      </c>
      <c r="HF25" s="24">
        <f>Inputs!HC56</f>
        <v>-0.54365276629432113</v>
      </c>
      <c r="HG25" s="24">
        <f>Inputs!HD56</f>
        <v>-0.63799576849470518</v>
      </c>
      <c r="HH25" s="24">
        <f>Inputs!HE56</f>
        <v>-0.54915500693050856</v>
      </c>
      <c r="HI25" s="24">
        <f>Inputs!HF56</f>
        <v>-0.27691691138332741</v>
      </c>
      <c r="HJ25" s="24">
        <f>Inputs!HG56</f>
        <v>-0.55489970191085414</v>
      </c>
      <c r="HK25" s="24">
        <f>Inputs!HH56</f>
        <v>-0.24786478956917468</v>
      </c>
      <c r="HL25" s="24">
        <f>Inputs!HI56</f>
        <v>-0.6538379058561915</v>
      </c>
      <c r="HM25" s="24">
        <f>Inputs!HJ56</f>
        <v>-0.59733904855978925</v>
      </c>
      <c r="HN25" s="24">
        <f>Inputs!HK56</f>
        <v>-0.55680522595037163</v>
      </c>
      <c r="HO25" s="24">
        <f>Inputs!HL56</f>
        <v>-0.55894173235624589</v>
      </c>
      <c r="HP25" s="24">
        <f>Inputs!HM56</f>
        <v>-0.25759630807993639</v>
      </c>
      <c r="HQ25" s="24">
        <f>Inputs!HN56</f>
        <v>-0.60235970989555765</v>
      </c>
      <c r="HR25" s="24">
        <f>Inputs!HO56</f>
        <v>-0.31260266010520016</v>
      </c>
      <c r="HS25" s="24">
        <f>Inputs!HP56</f>
        <v>-0.20780130648477907</v>
      </c>
      <c r="HT25" s="24">
        <f>Inputs!HQ56</f>
        <v>-0.65632219245870249</v>
      </c>
      <c r="HU25" s="24">
        <f>Inputs!HR56</f>
        <v>-0.24551113416589224</v>
      </c>
      <c r="HV25" s="24">
        <f>Inputs!HS56</f>
        <v>-0.68883488406026372</v>
      </c>
      <c r="HW25" s="24">
        <f>Inputs!HT56</f>
        <v>-0.65234495859639308</v>
      </c>
      <c r="HX25" s="24">
        <f>Inputs!HU56</f>
        <v>-0.4687972446802709</v>
      </c>
      <c r="HY25" s="24">
        <f>Inputs!HV56</f>
        <v>-0.66541614612811173</v>
      </c>
      <c r="HZ25" s="24">
        <f>Inputs!HW56</f>
        <v>-0.20733366468402406</v>
      </c>
      <c r="IA25" s="24">
        <f>Inputs!HX56</f>
        <v>-0.24675667429518205</v>
      </c>
      <c r="IB25" s="24">
        <f>Inputs!HY56</f>
        <v>-0.4128754956966843</v>
      </c>
      <c r="IC25" s="24">
        <f>Inputs!HZ56</f>
        <v>-0.30354125787007197</v>
      </c>
      <c r="ID25" s="24">
        <f>Inputs!IA56</f>
        <v>-0.67257649725505331</v>
      </c>
      <c r="IE25" s="24">
        <f>Inputs!IB56</f>
        <v>-0.39700497311292471</v>
      </c>
      <c r="IF25" s="24">
        <f>Inputs!IC56</f>
        <v>-0.60302741716126329</v>
      </c>
      <c r="IG25" s="24">
        <f>Inputs!ID56</f>
        <v>-0.33740021477710497</v>
      </c>
      <c r="IH25" s="24">
        <f>Inputs!IE56</f>
        <v>-0.61633901469114238</v>
      </c>
      <c r="II25" s="24">
        <f>Inputs!IF56</f>
        <v>-0.50736149421749632</v>
      </c>
      <c r="IJ25" s="24">
        <f>Inputs!IG56</f>
        <v>-0.50415179648319763</v>
      </c>
      <c r="IK25" s="24">
        <f>Inputs!IH56</f>
        <v>-0.31449491685710174</v>
      </c>
      <c r="IL25" s="24">
        <f>Inputs!II56</f>
        <v>-0.49669813913074151</v>
      </c>
      <c r="IM25" s="24">
        <f>Inputs!IJ56</f>
        <v>-0.5266487553593735</v>
      </c>
      <c r="IN25" s="24">
        <f>Inputs!IK56</f>
        <v>-0.52839849324769661</v>
      </c>
      <c r="IO25" s="24">
        <f>Inputs!IL56</f>
        <v>-0.64349908817819657</v>
      </c>
      <c r="IP25" s="24">
        <f>Inputs!IM56</f>
        <v>-0.47424814998771991</v>
      </c>
      <c r="IQ25" s="24">
        <f>Inputs!IN56</f>
        <v>-0.35599514814691113</v>
      </c>
      <c r="IR25" s="24">
        <f>Inputs!IO56</f>
        <v>-0.4317406409497444</v>
      </c>
      <c r="IS25" s="24">
        <f>Inputs!IP56</f>
        <v>-0.36206367203800349</v>
      </c>
      <c r="IT25" s="24">
        <f>Inputs!IQ56</f>
        <v>-0.40145688089467751</v>
      </c>
      <c r="IU25" s="24">
        <f>Inputs!IR56</f>
        <v>-0.2746553973371339</v>
      </c>
      <c r="IV25" s="24">
        <f>Inputs!IS56</f>
        <v>-0.45724379770638474</v>
      </c>
      <c r="IW25" s="24">
        <f>Inputs!IT56</f>
        <v>-0.69738878608896382</v>
      </c>
      <c r="IX25" s="24">
        <f>Inputs!IU56</f>
        <v>-0.39342326766974722</v>
      </c>
      <c r="IY25" s="24">
        <f>Inputs!IV56</f>
        <v>-0.6033797519241938</v>
      </c>
      <c r="IZ25" s="24">
        <f>Inputs!IW56</f>
        <v>-0.42183777237446052</v>
      </c>
      <c r="JA25" s="24">
        <f>Inputs!IX56</f>
        <v>-0.43963568186894181</v>
      </c>
      <c r="JB25" s="24">
        <f>Inputs!IY56</f>
        <v>-0.2168798423764445</v>
      </c>
      <c r="JC25" s="24">
        <f>Inputs!IZ56</f>
        <v>-0.59528122886692825</v>
      </c>
      <c r="JD25" s="24">
        <f>Inputs!JA56</f>
        <v>-0.32201626471256306</v>
      </c>
      <c r="JE25" s="24">
        <f>Inputs!JB56</f>
        <v>-0.32677139400814481</v>
      </c>
      <c r="JF25" s="24">
        <f>Inputs!JC56</f>
        <v>-0.3453404189588255</v>
      </c>
      <c r="JG25" s="24">
        <f>Inputs!JD56</f>
        <v>-0.69594212545288814</v>
      </c>
      <c r="JH25" s="24">
        <f>Inputs!JE56</f>
        <v>-0.24515362892490369</v>
      </c>
      <c r="JI25" s="24">
        <f>Inputs!JF56</f>
        <v>-0.61423035295673156</v>
      </c>
      <c r="JJ25" s="24">
        <f>Inputs!JG56</f>
        <v>-0.2717321887817325</v>
      </c>
      <c r="JK25" s="24">
        <f>Inputs!JH56</f>
        <v>-0.23605384456950393</v>
      </c>
      <c r="JL25" s="24">
        <f>Inputs!JI56</f>
        <v>-0.49061097959324235</v>
      </c>
      <c r="JM25" s="24">
        <f>Inputs!JJ56</f>
        <v>-0.65593248722157294</v>
      </c>
      <c r="JN25" s="24">
        <f>Inputs!JK56</f>
        <v>-0.21119292407407689</v>
      </c>
      <c r="JO25" s="24">
        <f>Inputs!JL56</f>
        <v>-0.47665016801181104</v>
      </c>
      <c r="JP25" s="24">
        <f>Inputs!JM56</f>
        <v>-0.17876469902951977</v>
      </c>
      <c r="JQ25" s="24">
        <f>Inputs!JN56</f>
        <v>-0.39088882758557575</v>
      </c>
      <c r="JR25" s="24">
        <f>Inputs!JO56</f>
        <v>-0.63675515485459599</v>
      </c>
      <c r="JS25" s="24">
        <f>Inputs!JP56</f>
        <v>-0.26019118625916743</v>
      </c>
      <c r="JT25" s="24">
        <f>Inputs!JQ56</f>
        <v>-0.62317382958457013</v>
      </c>
      <c r="JU25" s="24">
        <f>Inputs!JR56</f>
        <v>-0.61166087004016356</v>
      </c>
      <c r="JV25" s="24">
        <f>Inputs!JS56</f>
        <v>-0.26416742020097128</v>
      </c>
      <c r="JW25" s="24">
        <f>Inputs!JT56</f>
        <v>-0.6217227156668419</v>
      </c>
      <c r="JX25" s="24">
        <f>Inputs!JU56</f>
        <v>-0.18695252420200933</v>
      </c>
      <c r="JY25" s="24">
        <f>Inputs!JV56</f>
        <v>-0.62027263062042559</v>
      </c>
      <c r="JZ25" s="24">
        <f>Inputs!JW56</f>
        <v>-0.40420258590506397</v>
      </c>
      <c r="KA25" s="24">
        <f>Inputs!JX56</f>
        <v>-0.23129957422019598</v>
      </c>
      <c r="KB25" s="24">
        <f>Inputs!JY56</f>
        <v>-0.24431100582618925</v>
      </c>
      <c r="KC25" s="24">
        <f>Inputs!JZ56</f>
        <v>-0.64948104689446695</v>
      </c>
      <c r="KD25" s="24">
        <f>Inputs!KA56</f>
        <v>-0.66763024146268046</v>
      </c>
      <c r="KE25" s="24">
        <f>Inputs!KB56</f>
        <v>-0.36950574693451715</v>
      </c>
      <c r="KF25" s="24">
        <f>Inputs!KC56</f>
        <v>-0.59560581040864702</v>
      </c>
      <c r="KG25" s="24">
        <f>Inputs!KD56</f>
        <v>-0.46466296849756278</v>
      </c>
      <c r="KH25" s="24">
        <f>Inputs!KE56</f>
        <v>-0.31125342918359999</v>
      </c>
      <c r="KI25" s="24">
        <f>Inputs!KF56</f>
        <v>-0.37564673389107439</v>
      </c>
      <c r="KJ25" s="1"/>
    </row>
    <row r="26" spans="1:296" x14ac:dyDescent="0.35">
      <c r="H26" s="13" t="s">
        <v>22</v>
      </c>
      <c r="M26" s="15" t="s">
        <v>167</v>
      </c>
      <c r="N26" s="24">
        <f t="shared" ref="N26:BY26" si="35">N23*N25</f>
        <v>-11.843782409242641</v>
      </c>
      <c r="O26" s="24">
        <f t="shared" si="35"/>
        <v>-9.7624321309160003</v>
      </c>
      <c r="P26" s="24">
        <f t="shared" si="35"/>
        <v>-18.451444161958054</v>
      </c>
      <c r="Q26" s="24">
        <f t="shared" si="35"/>
        <v>-38.428805861612545</v>
      </c>
      <c r="R26" s="24">
        <f t="shared" si="35"/>
        <v>-9.2548613943129894</v>
      </c>
      <c r="S26" s="24">
        <f t="shared" si="35"/>
        <v>-7.8354323685868454</v>
      </c>
      <c r="T26" s="24">
        <f t="shared" si="35"/>
        <v>-12.990287347119191</v>
      </c>
      <c r="U26" s="24">
        <f t="shared" si="35"/>
        <v>-16.226705640091645</v>
      </c>
      <c r="V26" s="24">
        <f t="shared" si="35"/>
        <v>-47.551378262161307</v>
      </c>
      <c r="W26" s="24">
        <f t="shared" si="35"/>
        <v>-50.65918698249417</v>
      </c>
      <c r="X26" s="24">
        <f t="shared" si="35"/>
        <v>-35.771483729678863</v>
      </c>
      <c r="Y26" s="24">
        <f t="shared" si="35"/>
        <v>-23.75580403338386</v>
      </c>
      <c r="Z26" s="24">
        <f t="shared" si="35"/>
        <v>-4.4709109236940989</v>
      </c>
      <c r="AA26" s="24">
        <f t="shared" si="35"/>
        <v>-44.132607183973683</v>
      </c>
      <c r="AB26" s="24">
        <f t="shared" si="35"/>
        <v>-51.827044339974712</v>
      </c>
      <c r="AC26" s="24">
        <f t="shared" si="35"/>
        <v>-49.809201683719166</v>
      </c>
      <c r="AD26" s="24">
        <f t="shared" si="35"/>
        <v>-33.433772657640262</v>
      </c>
      <c r="AE26" s="24">
        <f t="shared" si="35"/>
        <v>-14.924705758735245</v>
      </c>
      <c r="AF26" s="24">
        <f t="shared" si="35"/>
        <v>-9.8310742633777863</v>
      </c>
      <c r="AG26" s="24">
        <f t="shared" si="35"/>
        <v>-28.997403991434805</v>
      </c>
      <c r="AH26" s="24">
        <f t="shared" si="35"/>
        <v>-4.8624652728995432</v>
      </c>
      <c r="AI26" s="24">
        <f t="shared" si="35"/>
        <v>-29.733940508739718</v>
      </c>
      <c r="AJ26" s="24">
        <f t="shared" si="35"/>
        <v>-5.9010838851151606</v>
      </c>
      <c r="AK26" s="24">
        <f t="shared" si="35"/>
        <v>-26.978265811574985</v>
      </c>
      <c r="AL26" s="24">
        <f t="shared" si="35"/>
        <v>-6.9229452650382317</v>
      </c>
      <c r="AM26" s="24">
        <f t="shared" si="35"/>
        <v>-29.909271682084547</v>
      </c>
      <c r="AN26" s="24">
        <f t="shared" si="35"/>
        <v>-27.922053140808519</v>
      </c>
      <c r="AO26" s="24">
        <f t="shared" si="35"/>
        <v>-8.0971863077457158</v>
      </c>
      <c r="AP26" s="24">
        <f t="shared" si="35"/>
        <v>-9.7853268794964272</v>
      </c>
      <c r="AQ26" s="24">
        <f t="shared" si="35"/>
        <v>-8.8035912558213045</v>
      </c>
      <c r="AR26" s="24">
        <f t="shared" si="35"/>
        <v>-4.772148001663985</v>
      </c>
      <c r="AS26" s="24">
        <f t="shared" si="35"/>
        <v>-28.811306495471303</v>
      </c>
      <c r="AT26" s="24">
        <f t="shared" si="35"/>
        <v>-15.565763022559127</v>
      </c>
      <c r="AU26" s="24">
        <f t="shared" si="35"/>
        <v>-19.263147265730886</v>
      </c>
      <c r="AV26" s="24">
        <f t="shared" si="35"/>
        <v>-17.525870812415555</v>
      </c>
      <c r="AW26" s="24">
        <f t="shared" si="35"/>
        <v>-32.445050826805662</v>
      </c>
      <c r="AX26" s="24">
        <f t="shared" si="35"/>
        <v>-46.364601008219275</v>
      </c>
      <c r="AY26" s="24">
        <f t="shared" si="35"/>
        <v>-24.409237503767233</v>
      </c>
      <c r="AZ26" s="24">
        <f t="shared" si="35"/>
        <v>-40.527728517198462</v>
      </c>
      <c r="BA26" s="24">
        <f t="shared" si="35"/>
        <v>-28.792734827432213</v>
      </c>
      <c r="BB26" s="24">
        <f t="shared" si="35"/>
        <v>-53.451860390527791</v>
      </c>
      <c r="BC26" s="24">
        <f t="shared" si="35"/>
        <v>-20.585515884118447</v>
      </c>
      <c r="BD26" s="24">
        <f t="shared" si="35"/>
        <v>-4.7439431080940198</v>
      </c>
      <c r="BE26" s="24">
        <f t="shared" si="35"/>
        <v>-34.456671045541675</v>
      </c>
      <c r="BF26" s="24">
        <f t="shared" si="35"/>
        <v>-61.875761357722794</v>
      </c>
      <c r="BG26" s="24">
        <f t="shared" si="35"/>
        <v>-14.32477442430851</v>
      </c>
      <c r="BH26" s="24">
        <f t="shared" si="35"/>
        <v>-26.152248685974229</v>
      </c>
      <c r="BI26" s="24">
        <f t="shared" si="35"/>
        <v>-20.682742451003666</v>
      </c>
      <c r="BJ26" s="24">
        <f t="shared" si="35"/>
        <v>-40.434185807031497</v>
      </c>
      <c r="BK26" s="24">
        <f t="shared" si="35"/>
        <v>-65.887982314673465</v>
      </c>
      <c r="BL26" s="24">
        <f t="shared" si="35"/>
        <v>-32.779085112464188</v>
      </c>
      <c r="BM26" s="24">
        <f t="shared" si="35"/>
        <v>-10.296491745253267</v>
      </c>
      <c r="BN26" s="24">
        <f t="shared" si="35"/>
        <v>-16.933234158304995</v>
      </c>
      <c r="BO26" s="24">
        <f t="shared" si="35"/>
        <v>-22.07009034842612</v>
      </c>
      <c r="BP26" s="24">
        <f t="shared" si="35"/>
        <v>-15.536773058193557</v>
      </c>
      <c r="BQ26" s="24">
        <f t="shared" si="35"/>
        <v>-28.07988104590871</v>
      </c>
      <c r="BR26" s="24">
        <f t="shared" si="35"/>
        <v>-36.790821939047007</v>
      </c>
      <c r="BS26" s="24">
        <f t="shared" si="35"/>
        <v>-9.1435829485351405</v>
      </c>
      <c r="BT26" s="24">
        <f t="shared" si="35"/>
        <v>-8.5897040431998288</v>
      </c>
      <c r="BU26" s="24">
        <f t="shared" si="35"/>
        <v>-11.340361530351895</v>
      </c>
      <c r="BV26" s="24">
        <f t="shared" si="35"/>
        <v>-12.575991013106552</v>
      </c>
      <c r="BW26" s="24">
        <f t="shared" si="35"/>
        <v>-10.369122821894896</v>
      </c>
      <c r="BX26" s="24">
        <f t="shared" si="35"/>
        <v>-14.90268534532685</v>
      </c>
      <c r="BY26" s="24">
        <f t="shared" si="35"/>
        <v>-46.45278536794185</v>
      </c>
      <c r="BZ26" s="24">
        <f t="shared" ref="BZ26:EK26" si="36">BZ23*BZ25</f>
        <v>-27.190912795380726</v>
      </c>
      <c r="CA26" s="24">
        <f t="shared" si="36"/>
        <v>-11.908798684986232</v>
      </c>
      <c r="CB26" s="24">
        <f t="shared" si="36"/>
        <v>-16.877526925016383</v>
      </c>
      <c r="CC26" s="24">
        <f t="shared" si="36"/>
        <v>-11.470483576374928</v>
      </c>
      <c r="CD26" s="24">
        <f t="shared" si="36"/>
        <v>-6.7473169642529864</v>
      </c>
      <c r="CE26" s="24">
        <f t="shared" si="36"/>
        <v>-6.8036545266037098</v>
      </c>
      <c r="CF26" s="24">
        <f t="shared" si="36"/>
        <v>-5.8949859253642893</v>
      </c>
      <c r="CG26" s="24">
        <f t="shared" si="36"/>
        <v>-28.947936125640016</v>
      </c>
      <c r="CH26" s="24">
        <f t="shared" si="36"/>
        <v>-10.222670039492364</v>
      </c>
      <c r="CI26" s="24">
        <f t="shared" si="36"/>
        <v>-19.768709417489802</v>
      </c>
      <c r="CJ26" s="24">
        <f t="shared" si="36"/>
        <v>-59.737269435177659</v>
      </c>
      <c r="CK26" s="24">
        <f t="shared" si="36"/>
        <v>-28.151926300174242</v>
      </c>
      <c r="CL26" s="24">
        <f t="shared" si="36"/>
        <v>-28.051418457430795</v>
      </c>
      <c r="CM26" s="24">
        <f t="shared" si="36"/>
        <v>-27.153088542326227</v>
      </c>
      <c r="CN26" s="24">
        <f t="shared" si="36"/>
        <v>-35.459552794121123</v>
      </c>
      <c r="CO26" s="24">
        <f t="shared" si="36"/>
        <v>-10.340395966498374</v>
      </c>
      <c r="CP26" s="24">
        <f t="shared" si="36"/>
        <v>-40.856504627854548</v>
      </c>
      <c r="CQ26" s="24">
        <f t="shared" si="36"/>
        <v>-56.009619725346077</v>
      </c>
      <c r="CR26" s="24">
        <f t="shared" si="36"/>
        <v>-68.883852776708679</v>
      </c>
      <c r="CS26" s="24">
        <f t="shared" si="36"/>
        <v>-30.79983955828396</v>
      </c>
      <c r="CT26" s="24">
        <f t="shared" si="36"/>
        <v>-40.685793539460697</v>
      </c>
      <c r="CU26" s="24">
        <f t="shared" si="36"/>
        <v>-55.967534023663369</v>
      </c>
      <c r="CV26" s="24">
        <f t="shared" si="36"/>
        <v>-52.066822868722468</v>
      </c>
      <c r="CW26" s="24">
        <f t="shared" si="36"/>
        <v>-6.3157100357249698</v>
      </c>
      <c r="CX26" s="24">
        <f t="shared" si="36"/>
        <v>-26.069918123649813</v>
      </c>
      <c r="CY26" s="24">
        <f t="shared" si="36"/>
        <v>-10.212221299636353</v>
      </c>
      <c r="CZ26" s="24">
        <f t="shared" si="36"/>
        <v>-40.742798535485107</v>
      </c>
      <c r="DA26" s="24">
        <f t="shared" si="36"/>
        <v>-11.904247170441327</v>
      </c>
      <c r="DB26" s="24">
        <f t="shared" si="36"/>
        <v>-4.4658399691228237</v>
      </c>
      <c r="DC26" s="24">
        <f t="shared" si="36"/>
        <v>-51.984019987526466</v>
      </c>
      <c r="DD26" s="24">
        <f t="shared" si="36"/>
        <v>-4.5174816883520634</v>
      </c>
      <c r="DE26" s="24">
        <f t="shared" si="36"/>
        <v>-47.510120073565723</v>
      </c>
      <c r="DF26" s="24">
        <f t="shared" si="36"/>
        <v>-54.764063593347743</v>
      </c>
      <c r="DG26" s="24">
        <f t="shared" si="36"/>
        <v>-27.276868313619755</v>
      </c>
      <c r="DH26" s="24">
        <f t="shared" si="36"/>
        <v>-16.879979365218745</v>
      </c>
      <c r="DI26" s="24">
        <f t="shared" si="36"/>
        <v>-45.350316937776576</v>
      </c>
      <c r="DJ26" s="24">
        <f t="shared" si="36"/>
        <v>-55.633198620027414</v>
      </c>
      <c r="DK26" s="24">
        <f t="shared" si="36"/>
        <v>-40.753321798261709</v>
      </c>
      <c r="DL26" s="24">
        <f t="shared" si="36"/>
        <v>-23.067340027235794</v>
      </c>
      <c r="DM26" s="24">
        <f t="shared" si="36"/>
        <v>-20.551687893796295</v>
      </c>
      <c r="DN26" s="24">
        <f t="shared" si="36"/>
        <v>-36.551427302264351</v>
      </c>
      <c r="DO26" s="24">
        <f t="shared" si="36"/>
        <v>-58.213718397371053</v>
      </c>
      <c r="DP26" s="24">
        <f t="shared" si="36"/>
        <v>-62.081036332977341</v>
      </c>
      <c r="DQ26" s="24">
        <f t="shared" si="36"/>
        <v>-39.54757824473684</v>
      </c>
      <c r="DR26" s="24">
        <f t="shared" si="36"/>
        <v>-26.299157728095608</v>
      </c>
      <c r="DS26" s="24">
        <f t="shared" si="36"/>
        <v>-69.052390759185982</v>
      </c>
      <c r="DT26" s="24">
        <f t="shared" si="36"/>
        <v>-29.587593062061451</v>
      </c>
      <c r="DU26" s="24">
        <f t="shared" si="36"/>
        <v>-9.8179298293274808</v>
      </c>
      <c r="DV26" s="24">
        <f t="shared" si="36"/>
        <v>-10.790462879632726</v>
      </c>
      <c r="DW26" s="24">
        <f t="shared" si="36"/>
        <v>-47.173316889823589</v>
      </c>
      <c r="DX26" s="24">
        <f t="shared" si="36"/>
        <v>-67.300076417129375</v>
      </c>
      <c r="DY26" s="24">
        <f t="shared" si="36"/>
        <v>-13.813511319363108</v>
      </c>
      <c r="DZ26" s="24">
        <f t="shared" si="36"/>
        <v>-18.210005671920804</v>
      </c>
      <c r="EA26" s="24">
        <f t="shared" si="36"/>
        <v>-19.118876222212879</v>
      </c>
      <c r="EB26" s="24">
        <f t="shared" si="36"/>
        <v>-52.063772690217924</v>
      </c>
      <c r="EC26" s="24">
        <f t="shared" si="36"/>
        <v>-40.552749265279715</v>
      </c>
      <c r="ED26" s="24">
        <f t="shared" si="36"/>
        <v>-25.355357501975458</v>
      </c>
      <c r="EE26" s="24">
        <f t="shared" si="36"/>
        <v>-43.874384729643047</v>
      </c>
      <c r="EF26" s="24">
        <f t="shared" si="36"/>
        <v>-11.355896693701979</v>
      </c>
      <c r="EG26" s="24">
        <f t="shared" si="36"/>
        <v>-11.20171986045726</v>
      </c>
      <c r="EH26" s="24">
        <f t="shared" si="36"/>
        <v>-29.942763848273881</v>
      </c>
      <c r="EI26" s="24">
        <f t="shared" si="36"/>
        <v>-13.723371458225492</v>
      </c>
      <c r="EJ26" s="24">
        <f t="shared" si="36"/>
        <v>-6.8449516952074507</v>
      </c>
      <c r="EK26" s="24">
        <f t="shared" si="36"/>
        <v>-12.575226748240329</v>
      </c>
      <c r="EL26" s="24">
        <f t="shared" ref="EL26:GW26" si="37">EL23*EL25</f>
        <v>-26.363322589582577</v>
      </c>
      <c r="EM26" s="24">
        <f t="shared" si="37"/>
        <v>-7.274316425447255</v>
      </c>
      <c r="EN26" s="24">
        <f t="shared" si="37"/>
        <v>-34.618224079731391</v>
      </c>
      <c r="EO26" s="24">
        <f t="shared" si="37"/>
        <v>-26.107743720385091</v>
      </c>
      <c r="EP26" s="24">
        <f t="shared" si="37"/>
        <v>-5.9098465771630107</v>
      </c>
      <c r="EQ26" s="24">
        <f t="shared" si="37"/>
        <v>-5.6433686056077308</v>
      </c>
      <c r="ER26" s="24">
        <f t="shared" si="37"/>
        <v>-30.01244264068562</v>
      </c>
      <c r="ES26" s="24">
        <f t="shared" si="37"/>
        <v>-14.880892782238433</v>
      </c>
      <c r="ET26" s="24">
        <f t="shared" si="37"/>
        <v>-55.992023714757934</v>
      </c>
      <c r="EU26" s="24">
        <f t="shared" si="37"/>
        <v>-59.248620670292468</v>
      </c>
      <c r="EV26" s="24">
        <f t="shared" si="37"/>
        <v>-56.710016245970095</v>
      </c>
      <c r="EW26" s="24">
        <f t="shared" si="37"/>
        <v>-69.206552286388884</v>
      </c>
      <c r="EX26" s="24">
        <f t="shared" si="37"/>
        <v>-17.045009374255088</v>
      </c>
      <c r="EY26" s="24">
        <f t="shared" si="37"/>
        <v>-32.376309298780484</v>
      </c>
      <c r="EZ26" s="24">
        <f t="shared" si="37"/>
        <v>-22.31557375268979</v>
      </c>
      <c r="FA26" s="24">
        <f t="shared" si="37"/>
        <v>-61.89626618788926</v>
      </c>
      <c r="FB26" s="24">
        <f t="shared" si="37"/>
        <v>-6.8346424923009499</v>
      </c>
      <c r="FC26" s="24">
        <f t="shared" si="37"/>
        <v>-7.2464973902137526</v>
      </c>
      <c r="FD26" s="24">
        <f t="shared" si="37"/>
        <v>-63.751960860453352</v>
      </c>
      <c r="FE26" s="24">
        <f t="shared" si="37"/>
        <v>-54.29913720746211</v>
      </c>
      <c r="FF26" s="24">
        <f t="shared" si="37"/>
        <v>-46.028968861940996</v>
      </c>
      <c r="FG26" s="24">
        <f t="shared" si="37"/>
        <v>-17.789744883976514</v>
      </c>
      <c r="FH26" s="24">
        <f t="shared" si="37"/>
        <v>-7.7569416149827468</v>
      </c>
      <c r="FI26" s="24">
        <f t="shared" si="37"/>
        <v>-11.423836955033014</v>
      </c>
      <c r="FJ26" s="24">
        <f t="shared" si="37"/>
        <v>-50.631565604141187</v>
      </c>
      <c r="FK26" s="24">
        <f t="shared" si="37"/>
        <v>-54.674765976172409</v>
      </c>
      <c r="FL26" s="24">
        <f t="shared" si="37"/>
        <v>-7.1769964007569023</v>
      </c>
      <c r="FM26" s="24">
        <f t="shared" si="37"/>
        <v>-35.66602811620664</v>
      </c>
      <c r="FN26" s="24">
        <f t="shared" si="37"/>
        <v>-55.822966254999166</v>
      </c>
      <c r="FO26" s="24">
        <f t="shared" si="37"/>
        <v>-25.521504916887721</v>
      </c>
      <c r="FP26" s="24">
        <f t="shared" si="37"/>
        <v>-65.036549219697633</v>
      </c>
      <c r="FQ26" s="24">
        <f t="shared" si="37"/>
        <v>-31.631857453455016</v>
      </c>
      <c r="FR26" s="24">
        <f t="shared" si="37"/>
        <v>-23.765921661165549</v>
      </c>
      <c r="FS26" s="24">
        <f t="shared" si="37"/>
        <v>-51.007415672124132</v>
      </c>
      <c r="FT26" s="24">
        <f t="shared" si="37"/>
        <v>-64.577578792221658</v>
      </c>
      <c r="FU26" s="24">
        <f t="shared" si="37"/>
        <v>-31.781273432238997</v>
      </c>
      <c r="FV26" s="24">
        <f t="shared" si="37"/>
        <v>-44.139960198063399</v>
      </c>
      <c r="FW26" s="24">
        <f t="shared" si="37"/>
        <v>-33.486186034755768</v>
      </c>
      <c r="FX26" s="24">
        <f t="shared" si="37"/>
        <v>-60.974428991477247</v>
      </c>
      <c r="FY26" s="24">
        <f t="shared" si="37"/>
        <v>-52.040010113520069</v>
      </c>
      <c r="FZ26" s="24">
        <f t="shared" si="37"/>
        <v>-20.027728014042136</v>
      </c>
      <c r="GA26" s="24">
        <f t="shared" si="37"/>
        <v>-47.585896704261216</v>
      </c>
      <c r="GB26" s="24">
        <f t="shared" si="37"/>
        <v>-22.898078187325133</v>
      </c>
      <c r="GC26" s="24">
        <f t="shared" si="37"/>
        <v>-11.329108996366932</v>
      </c>
      <c r="GD26" s="24">
        <f t="shared" si="37"/>
        <v>-5.6038271821787546</v>
      </c>
      <c r="GE26" s="24">
        <f t="shared" si="37"/>
        <v>-4.7665282180728141</v>
      </c>
      <c r="GF26" s="24">
        <f t="shared" si="37"/>
        <v>-5.5151973930323575</v>
      </c>
      <c r="GG26" s="24">
        <f t="shared" si="37"/>
        <v>-52.113266815210714</v>
      </c>
      <c r="GH26" s="24">
        <f t="shared" si="37"/>
        <v>-8.7314999693577455</v>
      </c>
      <c r="GI26" s="24">
        <f t="shared" si="37"/>
        <v>-33.620370026472045</v>
      </c>
      <c r="GJ26" s="24">
        <f t="shared" si="37"/>
        <v>-10.363383101472262</v>
      </c>
      <c r="GK26" s="24">
        <f t="shared" si="37"/>
        <v>-18.325450960825812</v>
      </c>
      <c r="GL26" s="24">
        <f t="shared" si="37"/>
        <v>-19.977437606077363</v>
      </c>
      <c r="GM26" s="24">
        <f t="shared" si="37"/>
        <v>-10.87552557152449</v>
      </c>
      <c r="GN26" s="24">
        <f t="shared" si="37"/>
        <v>-43.916509131581449</v>
      </c>
      <c r="GO26" s="24">
        <f t="shared" si="37"/>
        <v>-69.093507992147735</v>
      </c>
      <c r="GP26" s="24">
        <f t="shared" si="37"/>
        <v>-37.515257867682223</v>
      </c>
      <c r="GQ26" s="24">
        <f t="shared" si="37"/>
        <v>-47.504575270648694</v>
      </c>
      <c r="GR26" s="24">
        <f t="shared" si="37"/>
        <v>-11.955802182205616</v>
      </c>
      <c r="GS26" s="24">
        <f t="shared" si="37"/>
        <v>-18.520407690778047</v>
      </c>
      <c r="GT26" s="24">
        <f t="shared" si="37"/>
        <v>-13.122273103171274</v>
      </c>
      <c r="GU26" s="24">
        <f t="shared" si="37"/>
        <v>-18.243099107481996</v>
      </c>
      <c r="GV26" s="24">
        <f t="shared" si="37"/>
        <v>-35.700841302390877</v>
      </c>
      <c r="GW26" s="24">
        <f t="shared" si="37"/>
        <v>-14.476144106808835</v>
      </c>
      <c r="GX26" s="24">
        <f t="shared" ref="GX26:JI26" si="38">GX23*GX25</f>
        <v>-28.999429949572423</v>
      </c>
      <c r="GY26" s="24">
        <f t="shared" si="38"/>
        <v>-8.1159348028938272</v>
      </c>
      <c r="GZ26" s="24">
        <f t="shared" si="38"/>
        <v>-7.6719215221445483</v>
      </c>
      <c r="HA26" s="24">
        <f t="shared" si="38"/>
        <v>-14.924659762237541</v>
      </c>
      <c r="HB26" s="24">
        <f t="shared" si="38"/>
        <v>-51.922897626136795</v>
      </c>
      <c r="HC26" s="24">
        <f t="shared" si="38"/>
        <v>-4.8757295398474749</v>
      </c>
      <c r="HD26" s="24">
        <f t="shared" si="38"/>
        <v>-47.563111090642408</v>
      </c>
      <c r="HE26" s="24">
        <f t="shared" si="38"/>
        <v>-53.409425719483252</v>
      </c>
      <c r="HF26" s="24">
        <f t="shared" si="38"/>
        <v>-41.861263004662725</v>
      </c>
      <c r="HG26" s="24">
        <f t="shared" si="38"/>
        <v>-58.057614933018172</v>
      </c>
      <c r="HH26" s="24">
        <f t="shared" si="38"/>
        <v>-42.834090540579666</v>
      </c>
      <c r="HI26" s="24">
        <f t="shared" si="38"/>
        <v>-10.799759543949769</v>
      </c>
      <c r="HJ26" s="24">
        <f t="shared" si="38"/>
        <v>-43.837076450957476</v>
      </c>
      <c r="HK26" s="24">
        <f t="shared" si="38"/>
        <v>-8.6752676349211146</v>
      </c>
      <c r="HL26" s="24">
        <f t="shared" si="38"/>
        <v>-60.806925244625809</v>
      </c>
      <c r="HM26" s="24">
        <f t="shared" si="38"/>
        <v>-50.773819127582087</v>
      </c>
      <c r="HN26" s="24">
        <f t="shared" si="38"/>
        <v>-43.987612850079358</v>
      </c>
      <c r="HO26" s="24">
        <f t="shared" si="38"/>
        <v>-44.156396856143424</v>
      </c>
      <c r="HP26" s="24">
        <f t="shared" si="38"/>
        <v>-9.273467090877709</v>
      </c>
      <c r="HQ26" s="24">
        <f t="shared" si="38"/>
        <v>-51.802935051017961</v>
      </c>
      <c r="HR26" s="24">
        <f t="shared" si="38"/>
        <v>-13.754517044628807</v>
      </c>
      <c r="HS26" s="24">
        <f t="shared" si="38"/>
        <v>-6.026237888058593</v>
      </c>
      <c r="HT26" s="24">
        <f t="shared" si="38"/>
        <v>-61.037963898659335</v>
      </c>
      <c r="HU26" s="24">
        <f t="shared" si="38"/>
        <v>-8.5928896958062282</v>
      </c>
      <c r="HV26" s="24">
        <f t="shared" si="38"/>
        <v>-67.505818637905847</v>
      </c>
      <c r="HW26" s="24">
        <f t="shared" si="38"/>
        <v>-60.668081149464555</v>
      </c>
      <c r="HX26" s="24">
        <f t="shared" si="38"/>
        <v>-30.94061814889788</v>
      </c>
      <c r="HY26" s="24">
        <f t="shared" si="38"/>
        <v>-63.214533882170613</v>
      </c>
      <c r="HZ26" s="24">
        <f t="shared" si="38"/>
        <v>-6.0126762758366974</v>
      </c>
      <c r="IA26" s="24">
        <f t="shared" si="38"/>
        <v>-8.6364836003313723</v>
      </c>
      <c r="IB26" s="24">
        <f t="shared" si="38"/>
        <v>-23.946778750407688</v>
      </c>
      <c r="IC26" s="24">
        <f t="shared" si="38"/>
        <v>-13.052274088413094</v>
      </c>
      <c r="ID26" s="24">
        <f t="shared" si="38"/>
        <v>-64.567343736485114</v>
      </c>
      <c r="IE26" s="24">
        <f t="shared" si="38"/>
        <v>-22.232278494323783</v>
      </c>
      <c r="IF26" s="24">
        <f t="shared" si="38"/>
        <v>-51.860357875868644</v>
      </c>
      <c r="IG26" s="24">
        <f t="shared" si="38"/>
        <v>-16.195210309301039</v>
      </c>
      <c r="IH26" s="24">
        <f t="shared" si="38"/>
        <v>-54.237833292820532</v>
      </c>
      <c r="II26" s="24">
        <f t="shared" si="38"/>
        <v>-36.530027583659738</v>
      </c>
      <c r="IJ26" s="24">
        <f t="shared" si="38"/>
        <v>-36.298929346790231</v>
      </c>
      <c r="IK26" s="24">
        <f t="shared" si="38"/>
        <v>-13.837776341712477</v>
      </c>
      <c r="IL26" s="24">
        <f t="shared" si="38"/>
        <v>-34.768869739151903</v>
      </c>
      <c r="IM26" s="24">
        <f t="shared" si="38"/>
        <v>-39.498656651953013</v>
      </c>
      <c r="IN26" s="24">
        <f t="shared" si="38"/>
        <v>-39.629886993577244</v>
      </c>
      <c r="IO26" s="24">
        <f t="shared" si="38"/>
        <v>-58.558417024215885</v>
      </c>
      <c r="IP26" s="24">
        <f t="shared" si="38"/>
        <v>-31.774626049177233</v>
      </c>
      <c r="IQ26" s="24">
        <f t="shared" si="38"/>
        <v>-17.799757407345556</v>
      </c>
      <c r="IR26" s="24">
        <f t="shared" si="38"/>
        <v>-26.336179097934409</v>
      </c>
      <c r="IS26" s="24">
        <f t="shared" si="38"/>
        <v>-18.465247273938179</v>
      </c>
      <c r="IT26" s="24">
        <f t="shared" si="38"/>
        <v>-22.883042210996617</v>
      </c>
      <c r="IU26" s="24">
        <f t="shared" si="38"/>
        <v>-10.711560496148222</v>
      </c>
      <c r="IV26" s="24">
        <f t="shared" si="38"/>
        <v>-29.720846850915009</v>
      </c>
      <c r="IW26" s="24">
        <f t="shared" si="38"/>
        <v>-69.041489822807421</v>
      </c>
      <c r="IX26" s="24">
        <f t="shared" si="38"/>
        <v>-22.031702989505845</v>
      </c>
      <c r="IY26" s="24">
        <f t="shared" si="38"/>
        <v>-51.890658665480665</v>
      </c>
      <c r="IZ26" s="24">
        <f t="shared" si="38"/>
        <v>-25.310266342467632</v>
      </c>
      <c r="JA26" s="24">
        <f t="shared" si="38"/>
        <v>-27.25741227587439</v>
      </c>
      <c r="JB26" s="24">
        <f t="shared" si="38"/>
        <v>-6.5063952712933348</v>
      </c>
      <c r="JC26" s="24">
        <f t="shared" si="38"/>
        <v>-50.598904453688903</v>
      </c>
      <c r="JD26" s="24">
        <f t="shared" si="38"/>
        <v>-14.812748176777902</v>
      </c>
      <c r="JE26" s="24">
        <f t="shared" si="38"/>
        <v>-15.031484124374661</v>
      </c>
      <c r="JF26" s="24">
        <f t="shared" si="38"/>
        <v>-16.921680528982449</v>
      </c>
      <c r="JG26" s="24">
        <f t="shared" si="38"/>
        <v>-68.898270419835924</v>
      </c>
      <c r="JH26" s="24">
        <f t="shared" si="38"/>
        <v>-8.5803770123716294</v>
      </c>
      <c r="JI26" s="24">
        <f t="shared" si="38"/>
        <v>-53.438040707235643</v>
      </c>
      <c r="JJ26" s="24">
        <f t="shared" ref="JJ26:KI26" si="39">JJ23*JJ25</f>
        <v>-10.325823173705835</v>
      </c>
      <c r="JK26" s="24">
        <f t="shared" si="39"/>
        <v>-7.7897768707936299</v>
      </c>
      <c r="JL26" s="24">
        <f t="shared" si="39"/>
        <v>-34.342768571526967</v>
      </c>
      <c r="JM26" s="24">
        <f t="shared" si="39"/>
        <v>-61.001721311606282</v>
      </c>
      <c r="JN26" s="24">
        <f t="shared" si="39"/>
        <v>-6.3357877222223067</v>
      </c>
      <c r="JO26" s="24">
        <f t="shared" si="39"/>
        <v>-32.412211424803154</v>
      </c>
      <c r="JP26" s="24">
        <f t="shared" si="39"/>
        <v>-4.4691174757379946</v>
      </c>
      <c r="JQ26" s="24">
        <f t="shared" si="39"/>
        <v>-21.498885517206666</v>
      </c>
      <c r="JR26" s="24">
        <f t="shared" si="39"/>
        <v>-57.307963936913637</v>
      </c>
      <c r="JS26" s="24">
        <f t="shared" si="39"/>
        <v>-9.6270738915891947</v>
      </c>
      <c r="JT26" s="24">
        <f t="shared" si="39"/>
        <v>-55.462470833026742</v>
      </c>
      <c r="JU26" s="24">
        <f t="shared" si="39"/>
        <v>-53.214495693494229</v>
      </c>
      <c r="JV26" s="24">
        <f t="shared" si="39"/>
        <v>-9.774194547435938</v>
      </c>
      <c r="JW26" s="24">
        <f t="shared" si="39"/>
        <v>-54.71159897868209</v>
      </c>
      <c r="JX26" s="24">
        <f t="shared" si="39"/>
        <v>-4.860765629252243</v>
      </c>
      <c r="JY26" s="24">
        <f t="shared" si="39"/>
        <v>-54.583991494597456</v>
      </c>
      <c r="JZ26" s="24">
        <f t="shared" si="39"/>
        <v>-23.039547396588645</v>
      </c>
      <c r="KA26" s="24">
        <f t="shared" si="39"/>
        <v>-7.6328859492664671</v>
      </c>
      <c r="KB26" s="24">
        <f t="shared" si="39"/>
        <v>-8.3065741980904342</v>
      </c>
      <c r="KC26" s="24">
        <f t="shared" si="39"/>
        <v>-59.75225631429096</v>
      </c>
      <c r="KD26" s="24">
        <f t="shared" si="39"/>
        <v>-63.424872938954643</v>
      </c>
      <c r="KE26" s="24">
        <f t="shared" si="39"/>
        <v>-19.214298840594893</v>
      </c>
      <c r="KF26" s="24">
        <f t="shared" si="39"/>
        <v>-50.626493884734998</v>
      </c>
      <c r="KG26" s="24">
        <f t="shared" si="39"/>
        <v>-30.667755920839145</v>
      </c>
      <c r="KH26" s="24">
        <f t="shared" si="39"/>
        <v>-13.6951508840784</v>
      </c>
      <c r="KI26" s="24">
        <f t="shared" si="39"/>
        <v>-19.909276896226942</v>
      </c>
      <c r="KJ26" s="1"/>
    </row>
    <row r="27" spans="1:296" x14ac:dyDescent="0.35">
      <c r="H27" s="13" t="s">
        <v>22</v>
      </c>
      <c r="M27" s="15" t="s">
        <v>168</v>
      </c>
      <c r="N27" s="24">
        <f>Inputs!K72</f>
        <v>-2.5</v>
      </c>
      <c r="O27" s="24">
        <f>Inputs!L72</f>
        <v>-2.5</v>
      </c>
      <c r="P27" s="24">
        <f>Inputs!M72</f>
        <v>-2.5</v>
      </c>
      <c r="Q27" s="24">
        <f>Inputs!N72</f>
        <v>-2.5</v>
      </c>
      <c r="R27" s="24">
        <f>Inputs!O72</f>
        <v>-2.5</v>
      </c>
      <c r="S27" s="24">
        <f>Inputs!P72</f>
        <v>-2.5</v>
      </c>
      <c r="T27" s="24">
        <f>Inputs!Q72</f>
        <v>-2.5</v>
      </c>
      <c r="U27" s="24">
        <f>Inputs!R72</f>
        <v>-2.5</v>
      </c>
      <c r="V27" s="24">
        <f>Inputs!S72</f>
        <v>-2.5</v>
      </c>
      <c r="W27" s="24">
        <f>Inputs!T72</f>
        <v>-2.5</v>
      </c>
      <c r="X27" s="24">
        <f>Inputs!U72</f>
        <v>-2.5</v>
      </c>
      <c r="Y27" s="24">
        <f>Inputs!V72</f>
        <v>-2.5</v>
      </c>
      <c r="Z27" s="24">
        <f>Inputs!W72</f>
        <v>-2.5</v>
      </c>
      <c r="AA27" s="24">
        <f>Inputs!X72</f>
        <v>-2.5</v>
      </c>
      <c r="AB27" s="24">
        <f>Inputs!Y72</f>
        <v>-2.5</v>
      </c>
      <c r="AC27" s="24">
        <f>Inputs!Z72</f>
        <v>-2.5</v>
      </c>
      <c r="AD27" s="24">
        <f>Inputs!AA72</f>
        <v>-2.5</v>
      </c>
      <c r="AE27" s="24">
        <f>Inputs!AB72</f>
        <v>-2.5</v>
      </c>
      <c r="AF27" s="24">
        <f>Inputs!AC72</f>
        <v>-2.5</v>
      </c>
      <c r="AG27" s="24">
        <f>Inputs!AD72</f>
        <v>-2.5</v>
      </c>
      <c r="AH27" s="24">
        <f>Inputs!AE72</f>
        <v>-2.5</v>
      </c>
      <c r="AI27" s="24">
        <f>Inputs!AF72</f>
        <v>-2.5</v>
      </c>
      <c r="AJ27" s="24">
        <f>Inputs!AG72</f>
        <v>-2.5</v>
      </c>
      <c r="AK27" s="24">
        <f>Inputs!AH72</f>
        <v>-2.5</v>
      </c>
      <c r="AL27" s="24">
        <f>Inputs!AI72</f>
        <v>-2.5</v>
      </c>
      <c r="AM27" s="24">
        <f>Inputs!AJ72</f>
        <v>-2.5</v>
      </c>
      <c r="AN27" s="24">
        <f>Inputs!AK72</f>
        <v>-2.5</v>
      </c>
      <c r="AO27" s="24">
        <f>Inputs!AL72</f>
        <v>-2.5</v>
      </c>
      <c r="AP27" s="24">
        <f>Inputs!AM72</f>
        <v>-2.5</v>
      </c>
      <c r="AQ27" s="24">
        <f>Inputs!AN72</f>
        <v>-2.5</v>
      </c>
      <c r="AR27" s="24">
        <f>Inputs!AO72</f>
        <v>-2.5</v>
      </c>
      <c r="AS27" s="24">
        <f>Inputs!AP72</f>
        <v>-2.5</v>
      </c>
      <c r="AT27" s="24">
        <f>Inputs!AQ72</f>
        <v>-2.5</v>
      </c>
      <c r="AU27" s="24">
        <f>Inputs!AR72</f>
        <v>-2.5</v>
      </c>
      <c r="AV27" s="24">
        <f>Inputs!AS72</f>
        <v>-2.5</v>
      </c>
      <c r="AW27" s="24">
        <f>Inputs!AT72</f>
        <v>-2.5</v>
      </c>
      <c r="AX27" s="24">
        <f>Inputs!AU72</f>
        <v>-2.5</v>
      </c>
      <c r="AY27" s="24">
        <f>Inputs!AV72</f>
        <v>-2.5</v>
      </c>
      <c r="AZ27" s="24">
        <f>Inputs!AW72</f>
        <v>-2.5</v>
      </c>
      <c r="BA27" s="24">
        <f>Inputs!AX72</f>
        <v>-2.5</v>
      </c>
      <c r="BB27" s="24">
        <f>Inputs!AY72</f>
        <v>-2.5</v>
      </c>
      <c r="BC27" s="24">
        <f>Inputs!AZ72</f>
        <v>-2.5</v>
      </c>
      <c r="BD27" s="24">
        <f>Inputs!BA72</f>
        <v>-2.5</v>
      </c>
      <c r="BE27" s="24">
        <f>Inputs!BB72</f>
        <v>-2.5</v>
      </c>
      <c r="BF27" s="24">
        <f>Inputs!BC72</f>
        <v>-2.5</v>
      </c>
      <c r="BG27" s="24">
        <f>Inputs!BD72</f>
        <v>-2.5</v>
      </c>
      <c r="BH27" s="24">
        <f>Inputs!BE72</f>
        <v>-2.5</v>
      </c>
      <c r="BI27" s="24">
        <f>Inputs!BF72</f>
        <v>-2.5</v>
      </c>
      <c r="BJ27" s="24">
        <f>Inputs!BG72</f>
        <v>-2.5</v>
      </c>
      <c r="BK27" s="24">
        <f>Inputs!BH72</f>
        <v>-2.5</v>
      </c>
      <c r="BL27" s="24">
        <f>Inputs!BI72</f>
        <v>-2.5</v>
      </c>
      <c r="BM27" s="24">
        <f>Inputs!BJ72</f>
        <v>-2.5</v>
      </c>
      <c r="BN27" s="24">
        <f>Inputs!BK72</f>
        <v>-2.5</v>
      </c>
      <c r="BO27" s="24">
        <f>Inputs!BL72</f>
        <v>-2.5</v>
      </c>
      <c r="BP27" s="24">
        <f>Inputs!BM72</f>
        <v>-2.5</v>
      </c>
      <c r="BQ27" s="24">
        <f>Inputs!BN72</f>
        <v>-2.5</v>
      </c>
      <c r="BR27" s="24">
        <f>Inputs!BO72</f>
        <v>-2.5</v>
      </c>
      <c r="BS27" s="24">
        <f>Inputs!BP72</f>
        <v>-2.5</v>
      </c>
      <c r="BT27" s="24">
        <f>Inputs!BQ72</f>
        <v>-2.5</v>
      </c>
      <c r="BU27" s="24">
        <f>Inputs!BR72</f>
        <v>-2.5</v>
      </c>
      <c r="BV27" s="24">
        <f>Inputs!BS72</f>
        <v>-2.5</v>
      </c>
      <c r="BW27" s="24">
        <f>Inputs!BT72</f>
        <v>-2.5</v>
      </c>
      <c r="BX27" s="24">
        <f>Inputs!BU72</f>
        <v>-2.5</v>
      </c>
      <c r="BY27" s="24">
        <f>Inputs!BV72</f>
        <v>-2.5</v>
      </c>
      <c r="BZ27" s="24">
        <f>Inputs!BW72</f>
        <v>-2.5</v>
      </c>
      <c r="CA27" s="24">
        <f>Inputs!BX72</f>
        <v>-2.5</v>
      </c>
      <c r="CB27" s="24">
        <f>Inputs!BY72</f>
        <v>-2.5</v>
      </c>
      <c r="CC27" s="24">
        <f>Inputs!BZ72</f>
        <v>-2.5</v>
      </c>
      <c r="CD27" s="24">
        <f>Inputs!CA72</f>
        <v>-2.5</v>
      </c>
      <c r="CE27" s="24">
        <f>Inputs!CB72</f>
        <v>-2.5</v>
      </c>
      <c r="CF27" s="24">
        <f>Inputs!CC72</f>
        <v>-2.5</v>
      </c>
      <c r="CG27" s="24">
        <f>Inputs!CD72</f>
        <v>-2.5</v>
      </c>
      <c r="CH27" s="24">
        <f>Inputs!CE72</f>
        <v>-2.5</v>
      </c>
      <c r="CI27" s="24">
        <f>Inputs!CF72</f>
        <v>-2.5</v>
      </c>
      <c r="CJ27" s="24">
        <f>Inputs!CG72</f>
        <v>-2.5</v>
      </c>
      <c r="CK27" s="24">
        <f>Inputs!CH72</f>
        <v>-2.5</v>
      </c>
      <c r="CL27" s="24">
        <f>Inputs!CI72</f>
        <v>-2.5</v>
      </c>
      <c r="CM27" s="24">
        <f>Inputs!CJ72</f>
        <v>-2.5</v>
      </c>
      <c r="CN27" s="24">
        <f>Inputs!CK72</f>
        <v>-2.5</v>
      </c>
      <c r="CO27" s="24">
        <f>Inputs!CL72</f>
        <v>-2.5</v>
      </c>
      <c r="CP27" s="24">
        <f>Inputs!CM72</f>
        <v>-2.5</v>
      </c>
      <c r="CQ27" s="24">
        <f>Inputs!CN72</f>
        <v>-2.5</v>
      </c>
      <c r="CR27" s="24">
        <f>Inputs!CO72</f>
        <v>-2.5</v>
      </c>
      <c r="CS27" s="24">
        <f>Inputs!CP72</f>
        <v>-2.5</v>
      </c>
      <c r="CT27" s="24">
        <f>Inputs!CQ72</f>
        <v>-2.5</v>
      </c>
      <c r="CU27" s="24">
        <f>Inputs!CR72</f>
        <v>-2.5</v>
      </c>
      <c r="CV27" s="24">
        <f>Inputs!CS72</f>
        <v>-2.5</v>
      </c>
      <c r="CW27" s="24">
        <f>Inputs!CT72</f>
        <v>-2.5</v>
      </c>
      <c r="CX27" s="24">
        <f>Inputs!CU72</f>
        <v>-2.5</v>
      </c>
      <c r="CY27" s="24">
        <f>Inputs!CV72</f>
        <v>-2.5</v>
      </c>
      <c r="CZ27" s="24">
        <f>Inputs!CW72</f>
        <v>-2.5</v>
      </c>
      <c r="DA27" s="24">
        <f>Inputs!CX72</f>
        <v>-2.5</v>
      </c>
      <c r="DB27" s="24">
        <f>Inputs!CY72</f>
        <v>-2.5</v>
      </c>
      <c r="DC27" s="24">
        <f>Inputs!CZ72</f>
        <v>-2.5</v>
      </c>
      <c r="DD27" s="24">
        <f>Inputs!DA72</f>
        <v>-2.5</v>
      </c>
      <c r="DE27" s="24">
        <f>Inputs!DB72</f>
        <v>-2.5</v>
      </c>
      <c r="DF27" s="24">
        <f>Inputs!DC72</f>
        <v>-2.5</v>
      </c>
      <c r="DG27" s="24">
        <f>Inputs!DD72</f>
        <v>-2.5</v>
      </c>
      <c r="DH27" s="24">
        <f>Inputs!DE72</f>
        <v>-2.5</v>
      </c>
      <c r="DI27" s="24">
        <f>Inputs!DF72</f>
        <v>-2.5</v>
      </c>
      <c r="DJ27" s="24">
        <f>Inputs!DG72</f>
        <v>-2.5</v>
      </c>
      <c r="DK27" s="24">
        <f>Inputs!DH72</f>
        <v>-2.5</v>
      </c>
      <c r="DL27" s="24">
        <f>Inputs!DI72</f>
        <v>-2.5</v>
      </c>
      <c r="DM27" s="24">
        <f>Inputs!DJ72</f>
        <v>-2.5</v>
      </c>
      <c r="DN27" s="24">
        <f>Inputs!DK72</f>
        <v>-2.5</v>
      </c>
      <c r="DO27" s="24">
        <f>Inputs!DL72</f>
        <v>-2.5</v>
      </c>
      <c r="DP27" s="24">
        <f>Inputs!DM72</f>
        <v>-2.5</v>
      </c>
      <c r="DQ27" s="24">
        <f>Inputs!DN72</f>
        <v>-2.5</v>
      </c>
      <c r="DR27" s="24">
        <f>Inputs!DO72</f>
        <v>-2.5</v>
      </c>
      <c r="DS27" s="24">
        <f>Inputs!DP72</f>
        <v>-2.5</v>
      </c>
      <c r="DT27" s="24">
        <f>Inputs!DQ72</f>
        <v>-2.5</v>
      </c>
      <c r="DU27" s="24">
        <f>Inputs!DR72</f>
        <v>-2.5</v>
      </c>
      <c r="DV27" s="24">
        <f>Inputs!DS72</f>
        <v>-2.5</v>
      </c>
      <c r="DW27" s="24">
        <f>Inputs!DT72</f>
        <v>-2.5</v>
      </c>
      <c r="DX27" s="24">
        <f>Inputs!DU72</f>
        <v>-2.5</v>
      </c>
      <c r="DY27" s="24">
        <f>Inputs!DV72</f>
        <v>-2.5</v>
      </c>
      <c r="DZ27" s="24">
        <f>Inputs!DW72</f>
        <v>-2.5</v>
      </c>
      <c r="EA27" s="24">
        <f>Inputs!DX72</f>
        <v>-2.5</v>
      </c>
      <c r="EB27" s="24">
        <f>Inputs!DY72</f>
        <v>-2.5</v>
      </c>
      <c r="EC27" s="24">
        <f>Inputs!DZ72</f>
        <v>-2.5</v>
      </c>
      <c r="ED27" s="24">
        <f>Inputs!EA72</f>
        <v>-2.5</v>
      </c>
      <c r="EE27" s="24">
        <f>Inputs!EB72</f>
        <v>-2.5</v>
      </c>
      <c r="EF27" s="24">
        <f>Inputs!EC72</f>
        <v>-2.5</v>
      </c>
      <c r="EG27" s="24">
        <f>Inputs!ED72</f>
        <v>-2.5</v>
      </c>
      <c r="EH27" s="24">
        <f>Inputs!EE72</f>
        <v>-2.5</v>
      </c>
      <c r="EI27" s="24">
        <f>Inputs!EF72</f>
        <v>-2.5</v>
      </c>
      <c r="EJ27" s="24">
        <f>Inputs!EG72</f>
        <v>-2.5</v>
      </c>
      <c r="EK27" s="24">
        <f>Inputs!EH72</f>
        <v>-2.5</v>
      </c>
      <c r="EL27" s="24">
        <f>Inputs!EI72</f>
        <v>-2.5</v>
      </c>
      <c r="EM27" s="24">
        <f>Inputs!EJ72</f>
        <v>-2.5</v>
      </c>
      <c r="EN27" s="24">
        <f>Inputs!EK72</f>
        <v>-2.5</v>
      </c>
      <c r="EO27" s="24">
        <f>Inputs!EL72</f>
        <v>-2.5</v>
      </c>
      <c r="EP27" s="24">
        <f>Inputs!EM72</f>
        <v>-2.5</v>
      </c>
      <c r="EQ27" s="24">
        <f>Inputs!EN72</f>
        <v>-2.5</v>
      </c>
      <c r="ER27" s="24">
        <f>Inputs!EO72</f>
        <v>-2.5</v>
      </c>
      <c r="ES27" s="24">
        <f>Inputs!EP72</f>
        <v>-2.5</v>
      </c>
      <c r="ET27" s="24">
        <f>Inputs!EQ72</f>
        <v>-2.5</v>
      </c>
      <c r="EU27" s="24">
        <f>Inputs!ER72</f>
        <v>-2.5</v>
      </c>
      <c r="EV27" s="24">
        <f>Inputs!ES72</f>
        <v>-2.5</v>
      </c>
      <c r="EW27" s="24">
        <f>Inputs!ET72</f>
        <v>-2.5</v>
      </c>
      <c r="EX27" s="24">
        <f>Inputs!EU72</f>
        <v>-2.5</v>
      </c>
      <c r="EY27" s="24">
        <f>Inputs!EV72</f>
        <v>-2.5</v>
      </c>
      <c r="EZ27" s="24">
        <f>Inputs!EW72</f>
        <v>-2.5</v>
      </c>
      <c r="FA27" s="24">
        <f>Inputs!EX72</f>
        <v>-2.5</v>
      </c>
      <c r="FB27" s="24">
        <f>Inputs!EY72</f>
        <v>-2.5</v>
      </c>
      <c r="FC27" s="24">
        <f>Inputs!EZ72</f>
        <v>-2.5</v>
      </c>
      <c r="FD27" s="24">
        <f>Inputs!FA72</f>
        <v>-2.5</v>
      </c>
      <c r="FE27" s="24">
        <f>Inputs!FB72</f>
        <v>-2.5</v>
      </c>
      <c r="FF27" s="24">
        <f>Inputs!FC72</f>
        <v>-2.5</v>
      </c>
      <c r="FG27" s="24">
        <f>Inputs!FD72</f>
        <v>-2.5</v>
      </c>
      <c r="FH27" s="24">
        <f>Inputs!FE72</f>
        <v>-2.5</v>
      </c>
      <c r="FI27" s="24">
        <f>Inputs!FF72</f>
        <v>-2.5</v>
      </c>
      <c r="FJ27" s="24">
        <f>Inputs!FG72</f>
        <v>-2.5</v>
      </c>
      <c r="FK27" s="24">
        <f>Inputs!FH72</f>
        <v>-2.5</v>
      </c>
      <c r="FL27" s="24">
        <f>Inputs!FI72</f>
        <v>-2.5</v>
      </c>
      <c r="FM27" s="24">
        <f>Inputs!FJ72</f>
        <v>-2.5</v>
      </c>
      <c r="FN27" s="24">
        <f>Inputs!FK72</f>
        <v>-2.5</v>
      </c>
      <c r="FO27" s="24">
        <f>Inputs!FL72</f>
        <v>-2.5</v>
      </c>
      <c r="FP27" s="24">
        <f>Inputs!FM72</f>
        <v>-2.5</v>
      </c>
      <c r="FQ27" s="24">
        <f>Inputs!FN72</f>
        <v>-2.5</v>
      </c>
      <c r="FR27" s="24">
        <f>Inputs!FO72</f>
        <v>-2.5</v>
      </c>
      <c r="FS27" s="24">
        <f>Inputs!FP72</f>
        <v>-2.5</v>
      </c>
      <c r="FT27" s="24">
        <f>Inputs!FQ72</f>
        <v>-2.5</v>
      </c>
      <c r="FU27" s="24">
        <f>Inputs!FR72</f>
        <v>-2.5</v>
      </c>
      <c r="FV27" s="24">
        <f>Inputs!FS72</f>
        <v>-2.5</v>
      </c>
      <c r="FW27" s="24">
        <f>Inputs!FT72</f>
        <v>-2.5</v>
      </c>
      <c r="FX27" s="24">
        <f>Inputs!FU72</f>
        <v>-2.5</v>
      </c>
      <c r="FY27" s="24">
        <f>Inputs!FV72</f>
        <v>-2.5</v>
      </c>
      <c r="FZ27" s="24">
        <f>Inputs!FW72</f>
        <v>-2.5</v>
      </c>
      <c r="GA27" s="24">
        <f>Inputs!FX72</f>
        <v>-2.5</v>
      </c>
      <c r="GB27" s="24">
        <f>Inputs!FY72</f>
        <v>-2.5</v>
      </c>
      <c r="GC27" s="24">
        <f>Inputs!FZ72</f>
        <v>-2.5</v>
      </c>
      <c r="GD27" s="24">
        <f>Inputs!GA72</f>
        <v>-2.5</v>
      </c>
      <c r="GE27" s="24">
        <f>Inputs!GB72</f>
        <v>-2.5</v>
      </c>
      <c r="GF27" s="24">
        <f>Inputs!GC72</f>
        <v>-2.5</v>
      </c>
      <c r="GG27" s="24">
        <f>Inputs!GD72</f>
        <v>-2.5</v>
      </c>
      <c r="GH27" s="24">
        <f>Inputs!GE72</f>
        <v>-2.5</v>
      </c>
      <c r="GI27" s="24">
        <f>Inputs!GF72</f>
        <v>-2.5</v>
      </c>
      <c r="GJ27" s="24">
        <f>Inputs!GG72</f>
        <v>-2.5</v>
      </c>
      <c r="GK27" s="24">
        <f>Inputs!GH72</f>
        <v>-2.5</v>
      </c>
      <c r="GL27" s="24">
        <f>Inputs!GI72</f>
        <v>-2.5</v>
      </c>
      <c r="GM27" s="24">
        <f>Inputs!GJ72</f>
        <v>-2.5</v>
      </c>
      <c r="GN27" s="24">
        <f>Inputs!GK72</f>
        <v>-2.5</v>
      </c>
      <c r="GO27" s="24">
        <f>Inputs!GL72</f>
        <v>-2.5</v>
      </c>
      <c r="GP27" s="24">
        <f>Inputs!GM72</f>
        <v>-2.5</v>
      </c>
      <c r="GQ27" s="24">
        <f>Inputs!GN72</f>
        <v>-2.5</v>
      </c>
      <c r="GR27" s="24">
        <f>Inputs!GO72</f>
        <v>-2.5</v>
      </c>
      <c r="GS27" s="24">
        <f>Inputs!GP72</f>
        <v>-2.5</v>
      </c>
      <c r="GT27" s="24">
        <f>Inputs!GQ72</f>
        <v>-2.5</v>
      </c>
      <c r="GU27" s="24">
        <f>Inputs!GR72</f>
        <v>-2.5</v>
      </c>
      <c r="GV27" s="24">
        <f>Inputs!GS72</f>
        <v>-2.5</v>
      </c>
      <c r="GW27" s="24">
        <f>Inputs!GT72</f>
        <v>-2.5</v>
      </c>
      <c r="GX27" s="24">
        <f>Inputs!GU72</f>
        <v>-2.5</v>
      </c>
      <c r="GY27" s="24">
        <f>Inputs!GV72</f>
        <v>-2.5</v>
      </c>
      <c r="GZ27" s="24">
        <f>Inputs!GW72</f>
        <v>-2.5</v>
      </c>
      <c r="HA27" s="24">
        <f>Inputs!GX72</f>
        <v>-2.5</v>
      </c>
      <c r="HB27" s="24">
        <f>Inputs!GY72</f>
        <v>-2.5</v>
      </c>
      <c r="HC27" s="24">
        <f>Inputs!GZ72</f>
        <v>-2.5</v>
      </c>
      <c r="HD27" s="24">
        <f>Inputs!HA72</f>
        <v>-2.5</v>
      </c>
      <c r="HE27" s="24">
        <f>Inputs!HB72</f>
        <v>-2.5</v>
      </c>
      <c r="HF27" s="24">
        <f>Inputs!HC72</f>
        <v>-2.5</v>
      </c>
      <c r="HG27" s="24">
        <f>Inputs!HD72</f>
        <v>-2.5</v>
      </c>
      <c r="HH27" s="24">
        <f>Inputs!HE72</f>
        <v>-2.5</v>
      </c>
      <c r="HI27" s="24">
        <f>Inputs!HF72</f>
        <v>-2.5</v>
      </c>
      <c r="HJ27" s="24">
        <f>Inputs!HG72</f>
        <v>-2.5</v>
      </c>
      <c r="HK27" s="24">
        <f>Inputs!HH72</f>
        <v>-2.5</v>
      </c>
      <c r="HL27" s="24">
        <f>Inputs!HI72</f>
        <v>-2.5</v>
      </c>
      <c r="HM27" s="24">
        <f>Inputs!HJ72</f>
        <v>-2.5</v>
      </c>
      <c r="HN27" s="24">
        <f>Inputs!HK72</f>
        <v>-2.5</v>
      </c>
      <c r="HO27" s="24">
        <f>Inputs!HL72</f>
        <v>-2.5</v>
      </c>
      <c r="HP27" s="24">
        <f>Inputs!HM72</f>
        <v>-2.5</v>
      </c>
      <c r="HQ27" s="24">
        <f>Inputs!HN72</f>
        <v>-2.5</v>
      </c>
      <c r="HR27" s="24">
        <f>Inputs!HO72</f>
        <v>-2.5</v>
      </c>
      <c r="HS27" s="24">
        <f>Inputs!HP72</f>
        <v>-2.5</v>
      </c>
      <c r="HT27" s="24">
        <f>Inputs!HQ72</f>
        <v>-2.5</v>
      </c>
      <c r="HU27" s="24">
        <f>Inputs!HR72</f>
        <v>-2.5</v>
      </c>
      <c r="HV27" s="24">
        <f>Inputs!HS72</f>
        <v>-2.5</v>
      </c>
      <c r="HW27" s="24">
        <f>Inputs!HT72</f>
        <v>-2.5</v>
      </c>
      <c r="HX27" s="24">
        <f>Inputs!HU72</f>
        <v>-2.5</v>
      </c>
      <c r="HY27" s="24">
        <f>Inputs!HV72</f>
        <v>-2.5</v>
      </c>
      <c r="HZ27" s="24">
        <f>Inputs!HW72</f>
        <v>-2.5</v>
      </c>
      <c r="IA27" s="24">
        <f>Inputs!HX72</f>
        <v>-2.5</v>
      </c>
      <c r="IB27" s="24">
        <f>Inputs!HY72</f>
        <v>-2.5</v>
      </c>
      <c r="IC27" s="24">
        <f>Inputs!HZ72</f>
        <v>-2.5</v>
      </c>
      <c r="ID27" s="24">
        <f>Inputs!IA72</f>
        <v>-2.5</v>
      </c>
      <c r="IE27" s="24">
        <f>Inputs!IB72</f>
        <v>-2.5</v>
      </c>
      <c r="IF27" s="24">
        <f>Inputs!IC72</f>
        <v>-2.5</v>
      </c>
      <c r="IG27" s="24">
        <f>Inputs!ID72</f>
        <v>-2.5</v>
      </c>
      <c r="IH27" s="24">
        <f>Inputs!IE72</f>
        <v>-2.5</v>
      </c>
      <c r="II27" s="24">
        <f>Inputs!IF72</f>
        <v>-2.5</v>
      </c>
      <c r="IJ27" s="24">
        <f>Inputs!IG72</f>
        <v>-2.5</v>
      </c>
      <c r="IK27" s="24">
        <f>Inputs!IH72</f>
        <v>-2.5</v>
      </c>
      <c r="IL27" s="24">
        <f>Inputs!II72</f>
        <v>-2.5</v>
      </c>
      <c r="IM27" s="24">
        <f>Inputs!IJ72</f>
        <v>-2.5</v>
      </c>
      <c r="IN27" s="24">
        <f>Inputs!IK72</f>
        <v>-2.5</v>
      </c>
      <c r="IO27" s="24">
        <f>Inputs!IL72</f>
        <v>-2.5</v>
      </c>
      <c r="IP27" s="24">
        <f>Inputs!IM72</f>
        <v>-2.5</v>
      </c>
      <c r="IQ27" s="24">
        <f>Inputs!IN72</f>
        <v>-2.5</v>
      </c>
      <c r="IR27" s="24">
        <f>Inputs!IO72</f>
        <v>-2.5</v>
      </c>
      <c r="IS27" s="24">
        <f>Inputs!IP72</f>
        <v>-2.5</v>
      </c>
      <c r="IT27" s="24">
        <f>Inputs!IQ72</f>
        <v>-2.5</v>
      </c>
      <c r="IU27" s="24">
        <f>Inputs!IR72</f>
        <v>-2.5</v>
      </c>
      <c r="IV27" s="24">
        <f>Inputs!IS72</f>
        <v>-2.5</v>
      </c>
      <c r="IW27" s="24">
        <f>Inputs!IT72</f>
        <v>-2.5</v>
      </c>
      <c r="IX27" s="24">
        <f>Inputs!IU72</f>
        <v>-2.5</v>
      </c>
      <c r="IY27" s="24">
        <f>Inputs!IV72</f>
        <v>-2.5</v>
      </c>
      <c r="IZ27" s="24">
        <f>Inputs!IW72</f>
        <v>-2.5</v>
      </c>
      <c r="JA27" s="24">
        <f>Inputs!IX72</f>
        <v>-2.5</v>
      </c>
      <c r="JB27" s="24">
        <f>Inputs!IY72</f>
        <v>-2.5</v>
      </c>
      <c r="JC27" s="24">
        <f>Inputs!IZ72</f>
        <v>-2.5</v>
      </c>
      <c r="JD27" s="24">
        <f>Inputs!JA72</f>
        <v>-2.5</v>
      </c>
      <c r="JE27" s="24">
        <f>Inputs!JB72</f>
        <v>-2.5</v>
      </c>
      <c r="JF27" s="24">
        <f>Inputs!JC72</f>
        <v>-2.5</v>
      </c>
      <c r="JG27" s="24">
        <f>Inputs!JD72</f>
        <v>-2.5</v>
      </c>
      <c r="JH27" s="24">
        <f>Inputs!JE72</f>
        <v>-2.5</v>
      </c>
      <c r="JI27" s="24">
        <f>Inputs!JF72</f>
        <v>-2.5</v>
      </c>
      <c r="JJ27" s="24">
        <f>Inputs!JG72</f>
        <v>-2.5</v>
      </c>
      <c r="JK27" s="24">
        <f>Inputs!JH72</f>
        <v>-2.5</v>
      </c>
      <c r="JL27" s="24">
        <f>Inputs!JI72</f>
        <v>-2.5</v>
      </c>
      <c r="JM27" s="24">
        <f>Inputs!JJ72</f>
        <v>-2.5</v>
      </c>
      <c r="JN27" s="24">
        <f>Inputs!JK72</f>
        <v>-2.5</v>
      </c>
      <c r="JO27" s="24">
        <f>Inputs!JL72</f>
        <v>-2.5</v>
      </c>
      <c r="JP27" s="24">
        <f>Inputs!JM72</f>
        <v>-2.5</v>
      </c>
      <c r="JQ27" s="24">
        <f>Inputs!JN72</f>
        <v>-2.5</v>
      </c>
      <c r="JR27" s="24">
        <f>Inputs!JO72</f>
        <v>-2.5</v>
      </c>
      <c r="JS27" s="24">
        <f>Inputs!JP72</f>
        <v>-2.5</v>
      </c>
      <c r="JT27" s="24">
        <f>Inputs!JQ72</f>
        <v>-2.5</v>
      </c>
      <c r="JU27" s="24">
        <f>Inputs!JR72</f>
        <v>-2.5</v>
      </c>
      <c r="JV27" s="24">
        <f>Inputs!JS72</f>
        <v>-2.5</v>
      </c>
      <c r="JW27" s="24">
        <f>Inputs!JT72</f>
        <v>-2.5</v>
      </c>
      <c r="JX27" s="24">
        <f>Inputs!JU72</f>
        <v>-2.5</v>
      </c>
      <c r="JY27" s="24">
        <f>Inputs!JV72</f>
        <v>-2.5</v>
      </c>
      <c r="JZ27" s="24">
        <f>Inputs!JW72</f>
        <v>-2.5</v>
      </c>
      <c r="KA27" s="24">
        <f>Inputs!JX72</f>
        <v>-2.5</v>
      </c>
      <c r="KB27" s="24">
        <f>Inputs!JY72</f>
        <v>-2.5</v>
      </c>
      <c r="KC27" s="24">
        <f>Inputs!JZ72</f>
        <v>-2.5</v>
      </c>
      <c r="KD27" s="24">
        <f>Inputs!KA72</f>
        <v>-2.5</v>
      </c>
      <c r="KE27" s="24">
        <f>Inputs!KB72</f>
        <v>-2.5</v>
      </c>
      <c r="KF27" s="24">
        <f>Inputs!KC72</f>
        <v>-2.5</v>
      </c>
      <c r="KG27" s="24">
        <f>Inputs!KD72</f>
        <v>-2.5</v>
      </c>
      <c r="KH27" s="24">
        <f>Inputs!KE72</f>
        <v>-2.5</v>
      </c>
      <c r="KI27" s="24">
        <f>Inputs!KF72</f>
        <v>-2.5</v>
      </c>
      <c r="KJ27" s="1"/>
    </row>
    <row r="28" spans="1:296" x14ac:dyDescent="0.35">
      <c r="KJ28" s="1"/>
    </row>
    <row r="29" spans="1:296" x14ac:dyDescent="0.35">
      <c r="K29" s="19" t="s">
        <v>181</v>
      </c>
      <c r="L29" s="19"/>
      <c r="M29" s="16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7"/>
      <c r="DP29" s="17"/>
      <c r="DQ29" s="17"/>
      <c r="DR29" s="17"/>
      <c r="DS29" s="17"/>
      <c r="DT29" s="17"/>
      <c r="DU29" s="17"/>
      <c r="DV29" s="17"/>
      <c r="DW29" s="17"/>
      <c r="DX29" s="17"/>
      <c r="DY29" s="17"/>
      <c r="DZ29" s="17"/>
      <c r="EA29" s="17"/>
      <c r="EB29" s="17"/>
      <c r="EC29" s="17"/>
      <c r="ED29" s="17"/>
      <c r="EE29" s="17"/>
      <c r="EF29" s="17"/>
      <c r="EG29" s="17"/>
      <c r="EH29" s="17"/>
      <c r="EI29" s="17"/>
      <c r="EJ29" s="17"/>
      <c r="EK29" s="17"/>
      <c r="EL29" s="17"/>
      <c r="EM29" s="17"/>
      <c r="EN29" s="17"/>
      <c r="EO29" s="17"/>
      <c r="EP29" s="17"/>
      <c r="EQ29" s="17"/>
      <c r="ER29" s="17"/>
      <c r="ES29" s="17"/>
      <c r="ET29" s="17"/>
      <c r="EU29" s="17"/>
      <c r="EV29" s="17"/>
      <c r="EW29" s="17"/>
      <c r="EX29" s="17"/>
      <c r="EY29" s="17"/>
      <c r="EZ29" s="17"/>
      <c r="FA29" s="17"/>
      <c r="FB29" s="17"/>
      <c r="FC29" s="17"/>
      <c r="FD29" s="17"/>
      <c r="FE29" s="17"/>
      <c r="FF29" s="17"/>
      <c r="FG29" s="17"/>
      <c r="FH29" s="17"/>
      <c r="FI29" s="17"/>
      <c r="FJ29" s="17"/>
      <c r="FK29" s="17"/>
      <c r="FL29" s="17"/>
      <c r="FM29" s="17"/>
      <c r="FN29" s="17"/>
      <c r="FO29" s="17"/>
      <c r="FP29" s="17"/>
      <c r="FQ29" s="17"/>
      <c r="FR29" s="17"/>
      <c r="FS29" s="17"/>
      <c r="FT29" s="17"/>
      <c r="FU29" s="17"/>
      <c r="FV29" s="17"/>
      <c r="FW29" s="17"/>
      <c r="FX29" s="17"/>
      <c r="FY29" s="17"/>
      <c r="FZ29" s="17"/>
      <c r="GA29" s="17"/>
      <c r="GB29" s="17"/>
      <c r="GC29" s="17"/>
      <c r="GD29" s="17"/>
      <c r="GE29" s="17"/>
      <c r="GF29" s="17"/>
      <c r="GG29" s="17"/>
      <c r="GH29" s="17"/>
      <c r="GI29" s="17"/>
      <c r="GJ29" s="17"/>
      <c r="GK29" s="17"/>
      <c r="GL29" s="17"/>
      <c r="GM29" s="17"/>
      <c r="GN29" s="17"/>
      <c r="GO29" s="17"/>
      <c r="GP29" s="17"/>
      <c r="GQ29" s="17"/>
      <c r="GR29" s="17"/>
      <c r="GS29" s="17"/>
      <c r="GT29" s="17"/>
      <c r="GU29" s="17"/>
      <c r="GV29" s="17"/>
      <c r="GW29" s="17"/>
      <c r="GX29" s="17"/>
      <c r="GY29" s="17"/>
      <c r="GZ29" s="17"/>
      <c r="HA29" s="17"/>
      <c r="HB29" s="17"/>
      <c r="HC29" s="17"/>
      <c r="HD29" s="17"/>
      <c r="HE29" s="17"/>
      <c r="HF29" s="17"/>
      <c r="HG29" s="17"/>
      <c r="HH29" s="17"/>
      <c r="HI29" s="17"/>
      <c r="HJ29" s="17"/>
      <c r="HK29" s="17"/>
      <c r="HL29" s="17"/>
      <c r="HM29" s="17"/>
      <c r="HN29" s="17"/>
      <c r="HO29" s="17"/>
      <c r="HP29" s="17"/>
      <c r="HQ29" s="17"/>
      <c r="HR29" s="17"/>
      <c r="HS29" s="17"/>
      <c r="HT29" s="17"/>
      <c r="HU29" s="17"/>
      <c r="HV29" s="17"/>
      <c r="HW29" s="17"/>
      <c r="HX29" s="17"/>
      <c r="HY29" s="17"/>
      <c r="HZ29" s="17"/>
      <c r="IA29" s="17"/>
      <c r="IB29" s="17"/>
      <c r="IC29" s="17"/>
      <c r="ID29" s="17"/>
      <c r="IE29" s="17"/>
      <c r="IF29" s="17"/>
      <c r="IG29" s="17"/>
      <c r="IH29" s="17"/>
      <c r="II29" s="17"/>
      <c r="IJ29" s="17"/>
      <c r="IK29" s="17"/>
      <c r="IL29" s="17"/>
      <c r="IM29" s="17"/>
      <c r="IN29" s="17"/>
      <c r="IO29" s="17"/>
      <c r="IP29" s="17"/>
      <c r="IQ29" s="17"/>
      <c r="IR29" s="17"/>
      <c r="IS29" s="17"/>
      <c r="IT29" s="17"/>
      <c r="IU29" s="17"/>
      <c r="IV29" s="17"/>
      <c r="IW29" s="17"/>
      <c r="IX29" s="17"/>
      <c r="IY29" s="17"/>
      <c r="IZ29" s="17"/>
      <c r="JA29" s="17"/>
      <c r="JB29" s="17"/>
      <c r="JC29" s="17"/>
      <c r="JD29" s="17"/>
      <c r="JE29" s="17"/>
      <c r="JF29" s="17"/>
      <c r="JG29" s="17"/>
      <c r="JH29" s="17"/>
      <c r="JI29" s="17"/>
      <c r="JJ29" s="17"/>
      <c r="JK29" s="17"/>
      <c r="JL29" s="17"/>
      <c r="JM29" s="17"/>
      <c r="JN29" s="17"/>
      <c r="JO29" s="17"/>
      <c r="JP29" s="17"/>
      <c r="JQ29" s="17"/>
      <c r="JR29" s="17"/>
      <c r="JS29" s="17"/>
      <c r="JT29" s="17"/>
      <c r="JU29" s="17"/>
      <c r="JV29" s="17"/>
      <c r="JW29" s="17"/>
      <c r="JX29" s="17"/>
      <c r="JY29" s="17"/>
      <c r="JZ29" s="17"/>
      <c r="KA29" s="17"/>
      <c r="KB29" s="17"/>
      <c r="KC29" s="17"/>
      <c r="KD29" s="17"/>
      <c r="KE29" s="17"/>
      <c r="KF29" s="17"/>
      <c r="KG29" s="17"/>
      <c r="KH29" s="17"/>
      <c r="KI29" s="17"/>
      <c r="KJ29" s="1"/>
    </row>
    <row r="30" spans="1:296" x14ac:dyDescent="0.35">
      <c r="KJ30" s="1"/>
    </row>
    <row r="31" spans="1:296" x14ac:dyDescent="0.35">
      <c r="H31" s="1"/>
      <c r="I31" s="1"/>
      <c r="J31" s="1"/>
      <c r="K31" s="1"/>
      <c r="L31" s="22" t="s">
        <v>172</v>
      </c>
      <c r="M31" s="25"/>
      <c r="KJ31" s="1"/>
    </row>
    <row r="32" spans="1:296" x14ac:dyDescent="0.35">
      <c r="H32" s="13" t="s">
        <v>22</v>
      </c>
      <c r="I32" s="1"/>
      <c r="J32" s="1"/>
      <c r="K32" s="1"/>
      <c r="M32" s="15" t="s">
        <v>19</v>
      </c>
      <c r="N32" s="24">
        <f>N23*N24</f>
        <v>96.350000000000009</v>
      </c>
      <c r="O32" s="24">
        <f t="shared" ref="O32:BZ32" si="40">O23*O24</f>
        <v>86.95</v>
      </c>
      <c r="P32" s="24">
        <f t="shared" si="40"/>
        <v>119.85000000000001</v>
      </c>
      <c r="Q32" s="24">
        <f t="shared" si="40"/>
        <v>173.9</v>
      </c>
      <c r="R32" s="24">
        <f t="shared" si="40"/>
        <v>84.600000000000009</v>
      </c>
      <c r="S32" s="24">
        <f t="shared" si="40"/>
        <v>77.55</v>
      </c>
      <c r="T32" s="24">
        <f t="shared" si="40"/>
        <v>98.899999999999991</v>
      </c>
      <c r="U32" s="24">
        <f t="shared" si="40"/>
        <v>110.39999999999999</v>
      </c>
      <c r="V32" s="24">
        <f t="shared" si="40"/>
        <v>188.6</v>
      </c>
      <c r="W32" s="24">
        <f t="shared" si="40"/>
        <v>195.49999999999997</v>
      </c>
      <c r="X32" s="24">
        <f t="shared" si="40"/>
        <v>163.29999999999998</v>
      </c>
      <c r="Y32" s="24">
        <f t="shared" si="40"/>
        <v>133.39999999999998</v>
      </c>
      <c r="Z32" s="24">
        <f t="shared" si="40"/>
        <v>57.499999999999993</v>
      </c>
      <c r="AA32" s="24">
        <f t="shared" si="40"/>
        <v>181.7</v>
      </c>
      <c r="AB32" s="24">
        <f t="shared" si="40"/>
        <v>193.5</v>
      </c>
      <c r="AC32" s="24">
        <f t="shared" si="40"/>
        <v>189</v>
      </c>
      <c r="AD32" s="24">
        <f t="shared" si="40"/>
        <v>155.25</v>
      </c>
      <c r="AE32" s="24">
        <f t="shared" si="40"/>
        <v>103.5</v>
      </c>
      <c r="AF32" s="24">
        <f t="shared" si="40"/>
        <v>83.25</v>
      </c>
      <c r="AG32" s="24">
        <f t="shared" si="40"/>
        <v>144</v>
      </c>
      <c r="AH32" s="24">
        <f t="shared" si="40"/>
        <v>58.5</v>
      </c>
      <c r="AI32" s="24">
        <f t="shared" si="40"/>
        <v>146.25</v>
      </c>
      <c r="AJ32" s="24">
        <f t="shared" si="40"/>
        <v>65.25</v>
      </c>
      <c r="AK32" s="24">
        <f t="shared" si="40"/>
        <v>139.5</v>
      </c>
      <c r="AL32" s="24">
        <f t="shared" si="40"/>
        <v>69.75</v>
      </c>
      <c r="AM32" s="24">
        <f t="shared" si="40"/>
        <v>146.25</v>
      </c>
      <c r="AN32" s="24">
        <f t="shared" si="40"/>
        <v>141.75</v>
      </c>
      <c r="AO32" s="24">
        <f t="shared" si="40"/>
        <v>76.5</v>
      </c>
      <c r="AP32" s="24">
        <f t="shared" si="40"/>
        <v>83.25</v>
      </c>
      <c r="AQ32" s="24">
        <f t="shared" si="40"/>
        <v>78.75</v>
      </c>
      <c r="AR32" s="24">
        <f t="shared" si="40"/>
        <v>58.5</v>
      </c>
      <c r="AS32" s="24">
        <f t="shared" si="40"/>
        <v>144</v>
      </c>
      <c r="AT32" s="24">
        <f t="shared" si="40"/>
        <v>105.75</v>
      </c>
      <c r="AU32" s="24">
        <f t="shared" si="40"/>
        <v>117</v>
      </c>
      <c r="AV32" s="24">
        <f t="shared" si="40"/>
        <v>112.5</v>
      </c>
      <c r="AW32" s="24">
        <f t="shared" si="40"/>
        <v>153</v>
      </c>
      <c r="AX32" s="24">
        <f t="shared" si="40"/>
        <v>182.25</v>
      </c>
      <c r="AY32" s="24">
        <f t="shared" si="40"/>
        <v>132.75</v>
      </c>
      <c r="AZ32" s="24">
        <f t="shared" si="40"/>
        <v>171</v>
      </c>
      <c r="BA32" s="24">
        <f t="shared" si="40"/>
        <v>144</v>
      </c>
      <c r="BB32" s="24">
        <f t="shared" si="40"/>
        <v>195.75</v>
      </c>
      <c r="BC32" s="24">
        <f t="shared" si="40"/>
        <v>121.5</v>
      </c>
      <c r="BD32" s="24">
        <f t="shared" si="40"/>
        <v>58.5</v>
      </c>
      <c r="BE32" s="24">
        <f t="shared" si="40"/>
        <v>157.5</v>
      </c>
      <c r="BF32" s="24">
        <f t="shared" si="40"/>
        <v>211.5</v>
      </c>
      <c r="BG32" s="24">
        <f t="shared" si="40"/>
        <v>101.25</v>
      </c>
      <c r="BH32" s="24">
        <f t="shared" si="40"/>
        <v>137.25</v>
      </c>
      <c r="BI32" s="24">
        <f t="shared" si="40"/>
        <v>121.5</v>
      </c>
      <c r="BJ32" s="24">
        <f t="shared" si="40"/>
        <v>171</v>
      </c>
      <c r="BK32" s="24">
        <f t="shared" si="40"/>
        <v>218.25</v>
      </c>
      <c r="BL32" s="24">
        <f t="shared" si="40"/>
        <v>153</v>
      </c>
      <c r="BM32" s="24">
        <f t="shared" si="40"/>
        <v>85.5</v>
      </c>
      <c r="BN32" s="24">
        <f t="shared" si="40"/>
        <v>110.25</v>
      </c>
      <c r="BO32" s="24">
        <f t="shared" si="40"/>
        <v>126</v>
      </c>
      <c r="BP32" s="24">
        <f t="shared" si="40"/>
        <v>105.75</v>
      </c>
      <c r="BQ32" s="24">
        <f t="shared" si="40"/>
        <v>141.75</v>
      </c>
      <c r="BR32" s="24">
        <f t="shared" si="40"/>
        <v>162</v>
      </c>
      <c r="BS32" s="24">
        <f t="shared" si="40"/>
        <v>81</v>
      </c>
      <c r="BT32" s="24">
        <f t="shared" si="40"/>
        <v>78.75</v>
      </c>
      <c r="BU32" s="24">
        <f t="shared" si="40"/>
        <v>90</v>
      </c>
      <c r="BV32" s="24">
        <f t="shared" si="40"/>
        <v>94.5</v>
      </c>
      <c r="BW32" s="24">
        <f t="shared" si="40"/>
        <v>85.5</v>
      </c>
      <c r="BX32" s="24">
        <f t="shared" si="40"/>
        <v>103.5</v>
      </c>
      <c r="BY32" s="24">
        <f t="shared" si="40"/>
        <v>182.25</v>
      </c>
      <c r="BZ32" s="24">
        <f t="shared" si="40"/>
        <v>139.5</v>
      </c>
      <c r="CA32" s="24">
        <f t="shared" ref="CA32:EL32" si="41">CA23*CA24</f>
        <v>92.25</v>
      </c>
      <c r="CB32" s="24">
        <f t="shared" si="41"/>
        <v>110.25</v>
      </c>
      <c r="CC32" s="24">
        <f t="shared" si="41"/>
        <v>90</v>
      </c>
      <c r="CD32" s="24">
        <f t="shared" si="41"/>
        <v>69.75</v>
      </c>
      <c r="CE32" s="24">
        <f t="shared" si="41"/>
        <v>69.75</v>
      </c>
      <c r="CF32" s="24">
        <f t="shared" si="41"/>
        <v>65.25</v>
      </c>
      <c r="CG32" s="24">
        <f t="shared" si="41"/>
        <v>144</v>
      </c>
      <c r="CH32" s="24">
        <f t="shared" si="41"/>
        <v>85.5</v>
      </c>
      <c r="CI32" s="24">
        <f t="shared" si="41"/>
        <v>119.25</v>
      </c>
      <c r="CJ32" s="24">
        <f t="shared" si="41"/>
        <v>207</v>
      </c>
      <c r="CK32" s="24">
        <f t="shared" si="41"/>
        <v>141.75</v>
      </c>
      <c r="CL32" s="24">
        <f t="shared" si="41"/>
        <v>141.75</v>
      </c>
      <c r="CM32" s="24">
        <f t="shared" si="41"/>
        <v>139.5</v>
      </c>
      <c r="CN32" s="24">
        <f t="shared" si="41"/>
        <v>159.75</v>
      </c>
      <c r="CO32" s="24">
        <f t="shared" si="41"/>
        <v>85.5</v>
      </c>
      <c r="CP32" s="24">
        <f t="shared" si="41"/>
        <v>171</v>
      </c>
      <c r="CQ32" s="24">
        <f t="shared" si="41"/>
        <v>200.25</v>
      </c>
      <c r="CR32" s="24">
        <f t="shared" si="41"/>
        <v>222.75</v>
      </c>
      <c r="CS32" s="24">
        <f t="shared" si="41"/>
        <v>148.5</v>
      </c>
      <c r="CT32" s="24">
        <f t="shared" si="41"/>
        <v>171</v>
      </c>
      <c r="CU32" s="24">
        <f t="shared" si="41"/>
        <v>200.25</v>
      </c>
      <c r="CV32" s="24">
        <f t="shared" si="41"/>
        <v>193.5</v>
      </c>
      <c r="CW32" s="24">
        <f t="shared" si="41"/>
        <v>67.5</v>
      </c>
      <c r="CX32" s="24">
        <f t="shared" si="41"/>
        <v>137.25</v>
      </c>
      <c r="CY32" s="24">
        <f t="shared" si="41"/>
        <v>85.5</v>
      </c>
      <c r="CZ32" s="24">
        <f t="shared" si="41"/>
        <v>171</v>
      </c>
      <c r="DA32" s="24">
        <f t="shared" si="41"/>
        <v>92.25</v>
      </c>
      <c r="DB32" s="24">
        <f t="shared" si="41"/>
        <v>56.25</v>
      </c>
      <c r="DC32" s="24">
        <f t="shared" si="41"/>
        <v>193.5</v>
      </c>
      <c r="DD32" s="24">
        <f t="shared" si="41"/>
        <v>56.25</v>
      </c>
      <c r="DE32" s="24">
        <f t="shared" si="41"/>
        <v>184.5</v>
      </c>
      <c r="DF32" s="24">
        <f t="shared" si="41"/>
        <v>198</v>
      </c>
      <c r="DG32" s="24">
        <f t="shared" si="41"/>
        <v>139.5</v>
      </c>
      <c r="DH32" s="24">
        <f t="shared" si="41"/>
        <v>110.25</v>
      </c>
      <c r="DI32" s="24">
        <f t="shared" si="41"/>
        <v>180</v>
      </c>
      <c r="DJ32" s="24">
        <f t="shared" si="41"/>
        <v>200.25</v>
      </c>
      <c r="DK32" s="24">
        <f t="shared" si="41"/>
        <v>171</v>
      </c>
      <c r="DL32" s="24">
        <f t="shared" si="41"/>
        <v>128.25</v>
      </c>
      <c r="DM32" s="24">
        <f t="shared" si="41"/>
        <v>121.5</v>
      </c>
      <c r="DN32" s="24">
        <f t="shared" si="41"/>
        <v>162</v>
      </c>
      <c r="DO32" s="24">
        <f t="shared" si="41"/>
        <v>204.75</v>
      </c>
      <c r="DP32" s="24">
        <f t="shared" si="41"/>
        <v>211.5</v>
      </c>
      <c r="DQ32" s="24">
        <f t="shared" si="41"/>
        <v>168.75</v>
      </c>
      <c r="DR32" s="24">
        <f t="shared" si="41"/>
        <v>137.25</v>
      </c>
      <c r="DS32" s="24">
        <f t="shared" si="41"/>
        <v>222.75</v>
      </c>
      <c r="DT32" s="24">
        <f t="shared" si="41"/>
        <v>146.25</v>
      </c>
      <c r="DU32" s="24">
        <f t="shared" si="41"/>
        <v>83.25</v>
      </c>
      <c r="DV32" s="24">
        <f t="shared" si="41"/>
        <v>87.75</v>
      </c>
      <c r="DW32" s="24">
        <f t="shared" si="41"/>
        <v>184.5</v>
      </c>
      <c r="DX32" s="24">
        <f t="shared" si="41"/>
        <v>220.5</v>
      </c>
      <c r="DY32" s="24">
        <f t="shared" si="41"/>
        <v>99</v>
      </c>
      <c r="DZ32" s="24">
        <f t="shared" si="41"/>
        <v>114.75</v>
      </c>
      <c r="EA32" s="24">
        <f t="shared" si="41"/>
        <v>117</v>
      </c>
      <c r="EB32" s="24">
        <f t="shared" si="41"/>
        <v>193.5</v>
      </c>
      <c r="EC32" s="24">
        <f t="shared" si="41"/>
        <v>171</v>
      </c>
      <c r="ED32" s="24">
        <f t="shared" si="41"/>
        <v>135</v>
      </c>
      <c r="EE32" s="24">
        <f t="shared" si="41"/>
        <v>177.75</v>
      </c>
      <c r="EF32" s="24">
        <f t="shared" si="41"/>
        <v>90</v>
      </c>
      <c r="EG32" s="24">
        <f t="shared" si="41"/>
        <v>90</v>
      </c>
      <c r="EH32" s="24">
        <f t="shared" si="41"/>
        <v>146.25</v>
      </c>
      <c r="EI32" s="24">
        <f t="shared" si="41"/>
        <v>99</v>
      </c>
      <c r="EJ32" s="24">
        <f t="shared" si="41"/>
        <v>69.75</v>
      </c>
      <c r="EK32" s="24">
        <f t="shared" si="41"/>
        <v>94.5</v>
      </c>
      <c r="EL32" s="24">
        <f t="shared" si="41"/>
        <v>137.25</v>
      </c>
      <c r="EM32" s="24">
        <f t="shared" ref="EM32:GX32" si="42">EM23*EM24</f>
        <v>72</v>
      </c>
      <c r="EN32" s="24">
        <f t="shared" si="42"/>
        <v>157.5</v>
      </c>
      <c r="EO32" s="24">
        <f t="shared" si="42"/>
        <v>137.25</v>
      </c>
      <c r="EP32" s="24">
        <f t="shared" si="42"/>
        <v>65.25</v>
      </c>
      <c r="EQ32" s="24">
        <f t="shared" si="42"/>
        <v>63</v>
      </c>
      <c r="ER32" s="24">
        <f t="shared" si="42"/>
        <v>146.25</v>
      </c>
      <c r="ES32" s="24">
        <f t="shared" si="42"/>
        <v>103.5</v>
      </c>
      <c r="ET32" s="24">
        <f t="shared" si="42"/>
        <v>200.25</v>
      </c>
      <c r="EU32" s="24">
        <f t="shared" si="42"/>
        <v>207</v>
      </c>
      <c r="EV32" s="24">
        <f t="shared" si="42"/>
        <v>202.5</v>
      </c>
      <c r="EW32" s="24">
        <f t="shared" si="42"/>
        <v>222.75</v>
      </c>
      <c r="EX32" s="24">
        <f t="shared" si="42"/>
        <v>110.25</v>
      </c>
      <c r="EY32" s="24">
        <f t="shared" si="42"/>
        <v>153</v>
      </c>
      <c r="EZ32" s="24">
        <f t="shared" si="42"/>
        <v>126</v>
      </c>
      <c r="FA32" s="24">
        <f t="shared" si="42"/>
        <v>211.5</v>
      </c>
      <c r="FB32" s="24">
        <f t="shared" si="42"/>
        <v>69.75</v>
      </c>
      <c r="FC32" s="24">
        <f t="shared" si="42"/>
        <v>72</v>
      </c>
      <c r="FD32" s="24">
        <f t="shared" si="42"/>
        <v>213.75</v>
      </c>
      <c r="FE32" s="24">
        <f t="shared" si="42"/>
        <v>198</v>
      </c>
      <c r="FF32" s="24">
        <f t="shared" si="42"/>
        <v>182.25</v>
      </c>
      <c r="FG32" s="24">
        <f t="shared" si="42"/>
        <v>112.5</v>
      </c>
      <c r="FH32" s="24">
        <f t="shared" si="42"/>
        <v>74.25</v>
      </c>
      <c r="FI32" s="24">
        <f t="shared" si="42"/>
        <v>90</v>
      </c>
      <c r="FJ32" s="24">
        <f t="shared" si="42"/>
        <v>191.25</v>
      </c>
      <c r="FK32" s="24">
        <f t="shared" si="42"/>
        <v>198</v>
      </c>
      <c r="FL32" s="24">
        <f t="shared" si="42"/>
        <v>72</v>
      </c>
      <c r="FM32" s="24">
        <f t="shared" si="42"/>
        <v>159.75</v>
      </c>
      <c r="FN32" s="24">
        <f t="shared" si="42"/>
        <v>200.25</v>
      </c>
      <c r="FO32" s="24">
        <f t="shared" si="42"/>
        <v>135</v>
      </c>
      <c r="FP32" s="24">
        <f t="shared" si="42"/>
        <v>216</v>
      </c>
      <c r="FQ32" s="24">
        <f t="shared" si="42"/>
        <v>150.75</v>
      </c>
      <c r="FR32" s="24">
        <f t="shared" si="42"/>
        <v>130.5</v>
      </c>
      <c r="FS32" s="24">
        <f t="shared" si="42"/>
        <v>191.25</v>
      </c>
      <c r="FT32" s="24">
        <f t="shared" si="42"/>
        <v>216</v>
      </c>
      <c r="FU32" s="24">
        <f t="shared" si="42"/>
        <v>150.75</v>
      </c>
      <c r="FV32" s="24">
        <f t="shared" si="42"/>
        <v>177.75</v>
      </c>
      <c r="FW32" s="24">
        <f t="shared" si="42"/>
        <v>155.25</v>
      </c>
      <c r="FX32" s="24">
        <f t="shared" si="42"/>
        <v>209.25</v>
      </c>
      <c r="FY32" s="24">
        <f t="shared" si="42"/>
        <v>193.5</v>
      </c>
      <c r="FZ32" s="24">
        <f t="shared" si="42"/>
        <v>119.25</v>
      </c>
      <c r="GA32" s="24">
        <f t="shared" si="42"/>
        <v>184.5</v>
      </c>
      <c r="GB32" s="24">
        <f t="shared" si="42"/>
        <v>128.25</v>
      </c>
      <c r="GC32" s="24">
        <f t="shared" si="42"/>
        <v>90</v>
      </c>
      <c r="GD32" s="24">
        <f t="shared" si="42"/>
        <v>63</v>
      </c>
      <c r="GE32" s="24">
        <f t="shared" si="42"/>
        <v>58.5</v>
      </c>
      <c r="GF32" s="24">
        <f t="shared" si="42"/>
        <v>63</v>
      </c>
      <c r="GG32" s="24">
        <f t="shared" si="42"/>
        <v>193.5</v>
      </c>
      <c r="GH32" s="24">
        <f t="shared" si="42"/>
        <v>78.75</v>
      </c>
      <c r="GI32" s="24">
        <f t="shared" si="42"/>
        <v>155.25</v>
      </c>
      <c r="GJ32" s="24">
        <f t="shared" si="42"/>
        <v>85.5</v>
      </c>
      <c r="GK32" s="24">
        <f t="shared" si="42"/>
        <v>114.75</v>
      </c>
      <c r="GL32" s="24">
        <f t="shared" si="42"/>
        <v>119.25</v>
      </c>
      <c r="GM32" s="24">
        <f t="shared" si="42"/>
        <v>87.75</v>
      </c>
      <c r="GN32" s="24">
        <f t="shared" si="42"/>
        <v>177.75</v>
      </c>
      <c r="GO32" s="24">
        <f t="shared" si="42"/>
        <v>222.75</v>
      </c>
      <c r="GP32" s="24">
        <f t="shared" si="42"/>
        <v>164.25</v>
      </c>
      <c r="GQ32" s="24">
        <f t="shared" si="42"/>
        <v>184.5</v>
      </c>
      <c r="GR32" s="24">
        <f t="shared" si="42"/>
        <v>92.25</v>
      </c>
      <c r="GS32" s="24">
        <f t="shared" si="42"/>
        <v>114.75</v>
      </c>
      <c r="GT32" s="24">
        <f t="shared" si="42"/>
        <v>96.75</v>
      </c>
      <c r="GU32" s="24">
        <f t="shared" si="42"/>
        <v>114.75</v>
      </c>
      <c r="GV32" s="24">
        <f t="shared" si="42"/>
        <v>159.75</v>
      </c>
      <c r="GW32" s="24">
        <f t="shared" si="42"/>
        <v>101.25</v>
      </c>
      <c r="GX32" s="24">
        <f t="shared" si="42"/>
        <v>144</v>
      </c>
      <c r="GY32" s="24">
        <f t="shared" ref="GY32:JJ32" si="43">GY23*GY24</f>
        <v>76.5</v>
      </c>
      <c r="GZ32" s="24">
        <f t="shared" si="43"/>
        <v>74.25</v>
      </c>
      <c r="HA32" s="24">
        <f t="shared" si="43"/>
        <v>103.5</v>
      </c>
      <c r="HB32" s="24">
        <f t="shared" si="43"/>
        <v>193.5</v>
      </c>
      <c r="HC32" s="24">
        <f t="shared" si="43"/>
        <v>58.5</v>
      </c>
      <c r="HD32" s="24">
        <f t="shared" si="43"/>
        <v>184.5</v>
      </c>
      <c r="HE32" s="24">
        <f t="shared" si="43"/>
        <v>195.75</v>
      </c>
      <c r="HF32" s="24">
        <f t="shared" si="43"/>
        <v>173.25</v>
      </c>
      <c r="HG32" s="24">
        <f t="shared" si="43"/>
        <v>204.75</v>
      </c>
      <c r="HH32" s="24">
        <f t="shared" si="43"/>
        <v>175.5</v>
      </c>
      <c r="HI32" s="24">
        <f t="shared" si="43"/>
        <v>87.75</v>
      </c>
      <c r="HJ32" s="24">
        <f t="shared" si="43"/>
        <v>177.75</v>
      </c>
      <c r="HK32" s="24">
        <f t="shared" si="43"/>
        <v>78.75</v>
      </c>
      <c r="HL32" s="24">
        <f t="shared" si="43"/>
        <v>209.25</v>
      </c>
      <c r="HM32" s="24">
        <f t="shared" si="43"/>
        <v>191.25</v>
      </c>
      <c r="HN32" s="24">
        <f t="shared" si="43"/>
        <v>177.75</v>
      </c>
      <c r="HO32" s="24">
        <f t="shared" si="43"/>
        <v>177.75</v>
      </c>
      <c r="HP32" s="24">
        <f t="shared" si="43"/>
        <v>81</v>
      </c>
      <c r="HQ32" s="24">
        <f t="shared" si="43"/>
        <v>193.5</v>
      </c>
      <c r="HR32" s="24">
        <f t="shared" si="43"/>
        <v>99</v>
      </c>
      <c r="HS32" s="24">
        <f t="shared" si="43"/>
        <v>65.25</v>
      </c>
      <c r="HT32" s="24">
        <f t="shared" si="43"/>
        <v>209.25</v>
      </c>
      <c r="HU32" s="24">
        <f t="shared" si="43"/>
        <v>78.75</v>
      </c>
      <c r="HV32" s="24">
        <f t="shared" si="43"/>
        <v>220.5</v>
      </c>
      <c r="HW32" s="24">
        <f t="shared" si="43"/>
        <v>209.25</v>
      </c>
      <c r="HX32" s="24">
        <f t="shared" si="43"/>
        <v>148.5</v>
      </c>
      <c r="HY32" s="24">
        <f t="shared" si="43"/>
        <v>213.75</v>
      </c>
      <c r="HZ32" s="24">
        <f t="shared" si="43"/>
        <v>65.25</v>
      </c>
      <c r="IA32" s="24">
        <f t="shared" si="43"/>
        <v>78.75</v>
      </c>
      <c r="IB32" s="24">
        <f t="shared" si="43"/>
        <v>130.5</v>
      </c>
      <c r="IC32" s="24">
        <f t="shared" si="43"/>
        <v>96.75</v>
      </c>
      <c r="ID32" s="24">
        <f t="shared" si="43"/>
        <v>216</v>
      </c>
      <c r="IE32" s="24">
        <f t="shared" si="43"/>
        <v>126</v>
      </c>
      <c r="IF32" s="24">
        <f t="shared" si="43"/>
        <v>193.5</v>
      </c>
      <c r="IG32" s="24">
        <f t="shared" si="43"/>
        <v>108</v>
      </c>
      <c r="IH32" s="24">
        <f t="shared" si="43"/>
        <v>198</v>
      </c>
      <c r="II32" s="24">
        <f t="shared" si="43"/>
        <v>162</v>
      </c>
      <c r="IJ32" s="24">
        <f t="shared" si="43"/>
        <v>162</v>
      </c>
      <c r="IK32" s="24">
        <f t="shared" si="43"/>
        <v>99</v>
      </c>
      <c r="IL32" s="24">
        <f t="shared" si="43"/>
        <v>157.5</v>
      </c>
      <c r="IM32" s="24">
        <f t="shared" si="43"/>
        <v>168.75</v>
      </c>
      <c r="IN32" s="24">
        <f t="shared" si="43"/>
        <v>168.75</v>
      </c>
      <c r="IO32" s="24">
        <f t="shared" si="43"/>
        <v>204.75</v>
      </c>
      <c r="IP32" s="24">
        <f t="shared" si="43"/>
        <v>150.75</v>
      </c>
      <c r="IQ32" s="24">
        <f t="shared" si="43"/>
        <v>112.5</v>
      </c>
      <c r="IR32" s="24">
        <f t="shared" si="43"/>
        <v>137.25</v>
      </c>
      <c r="IS32" s="24">
        <f t="shared" si="43"/>
        <v>114.75</v>
      </c>
      <c r="IT32" s="24">
        <f t="shared" si="43"/>
        <v>128.25</v>
      </c>
      <c r="IU32" s="24">
        <f t="shared" si="43"/>
        <v>87.75</v>
      </c>
      <c r="IV32" s="24">
        <f t="shared" si="43"/>
        <v>146.25</v>
      </c>
      <c r="IW32" s="24">
        <f t="shared" si="43"/>
        <v>222.75</v>
      </c>
      <c r="IX32" s="24">
        <f t="shared" si="43"/>
        <v>126</v>
      </c>
      <c r="IY32" s="24">
        <f t="shared" si="43"/>
        <v>193.5</v>
      </c>
      <c r="IZ32" s="24">
        <f t="shared" si="43"/>
        <v>135</v>
      </c>
      <c r="JA32" s="24">
        <f t="shared" si="43"/>
        <v>139.5</v>
      </c>
      <c r="JB32" s="24">
        <f t="shared" si="43"/>
        <v>67.5</v>
      </c>
      <c r="JC32" s="24">
        <f t="shared" si="43"/>
        <v>191.25</v>
      </c>
      <c r="JD32" s="24">
        <f t="shared" si="43"/>
        <v>103.5</v>
      </c>
      <c r="JE32" s="24">
        <f t="shared" si="43"/>
        <v>103.5</v>
      </c>
      <c r="JF32" s="24">
        <f t="shared" si="43"/>
        <v>110.25</v>
      </c>
      <c r="JG32" s="24">
        <f t="shared" si="43"/>
        <v>222.75</v>
      </c>
      <c r="JH32" s="24">
        <f t="shared" si="43"/>
        <v>78.75</v>
      </c>
      <c r="JI32" s="24">
        <f t="shared" si="43"/>
        <v>195.75</v>
      </c>
      <c r="JJ32" s="24">
        <f t="shared" si="43"/>
        <v>85.5</v>
      </c>
      <c r="JK32" s="24">
        <f t="shared" ref="JK32:KI32" si="44">JK23*JK24</f>
        <v>74.25</v>
      </c>
      <c r="JL32" s="24">
        <f t="shared" si="44"/>
        <v>157.5</v>
      </c>
      <c r="JM32" s="24">
        <f t="shared" si="44"/>
        <v>209.25</v>
      </c>
      <c r="JN32" s="24">
        <f t="shared" si="44"/>
        <v>67.5</v>
      </c>
      <c r="JO32" s="24">
        <f t="shared" si="44"/>
        <v>153</v>
      </c>
      <c r="JP32" s="24">
        <f t="shared" si="44"/>
        <v>56.25</v>
      </c>
      <c r="JQ32" s="24">
        <f t="shared" si="44"/>
        <v>123.75</v>
      </c>
      <c r="JR32" s="24">
        <f t="shared" si="44"/>
        <v>202.5</v>
      </c>
      <c r="JS32" s="24">
        <f t="shared" si="44"/>
        <v>83.25</v>
      </c>
      <c r="JT32" s="24">
        <f t="shared" si="44"/>
        <v>200.25</v>
      </c>
      <c r="JU32" s="24">
        <f t="shared" si="44"/>
        <v>195.75</v>
      </c>
      <c r="JV32" s="24">
        <f t="shared" si="44"/>
        <v>83.25</v>
      </c>
      <c r="JW32" s="24">
        <f t="shared" si="44"/>
        <v>198</v>
      </c>
      <c r="JX32" s="24">
        <f t="shared" si="44"/>
        <v>58.5</v>
      </c>
      <c r="JY32" s="24">
        <f t="shared" si="44"/>
        <v>198</v>
      </c>
      <c r="JZ32" s="24">
        <f t="shared" si="44"/>
        <v>128.25</v>
      </c>
      <c r="KA32" s="24">
        <f t="shared" si="44"/>
        <v>74.25</v>
      </c>
      <c r="KB32" s="24">
        <f t="shared" si="44"/>
        <v>76.5</v>
      </c>
      <c r="KC32" s="24">
        <f t="shared" si="44"/>
        <v>207</v>
      </c>
      <c r="KD32" s="24">
        <f t="shared" si="44"/>
        <v>213.75</v>
      </c>
      <c r="KE32" s="24">
        <f t="shared" si="44"/>
        <v>117</v>
      </c>
      <c r="KF32" s="24">
        <f t="shared" si="44"/>
        <v>191.25</v>
      </c>
      <c r="KG32" s="24">
        <f t="shared" si="44"/>
        <v>148.5</v>
      </c>
      <c r="KH32" s="24">
        <f t="shared" si="44"/>
        <v>99</v>
      </c>
      <c r="KI32" s="24">
        <f t="shared" si="44"/>
        <v>119.25</v>
      </c>
      <c r="KJ32" s="1"/>
    </row>
    <row r="33" spans="7:296" collapsed="1" x14ac:dyDescent="0.35">
      <c r="H33" s="13" t="s">
        <v>22</v>
      </c>
      <c r="I33" s="1"/>
      <c r="J33" s="1"/>
      <c r="K33" s="1"/>
      <c r="M33" s="15" t="s">
        <v>169</v>
      </c>
      <c r="N33" s="24">
        <f t="shared" ref="N33:BY33" si="45">SUM(N26:N27)</f>
        <v>-14.343782409242641</v>
      </c>
      <c r="O33" s="24">
        <f t="shared" si="45"/>
        <v>-12.262432130916</v>
      </c>
      <c r="P33" s="24">
        <f t="shared" si="45"/>
        <v>-20.951444161958054</v>
      </c>
      <c r="Q33" s="24">
        <f t="shared" si="45"/>
        <v>-40.928805861612545</v>
      </c>
      <c r="R33" s="24">
        <f t="shared" si="45"/>
        <v>-11.754861394312989</v>
      </c>
      <c r="S33" s="24">
        <f t="shared" si="45"/>
        <v>-10.335432368586845</v>
      </c>
      <c r="T33" s="24">
        <f t="shared" si="45"/>
        <v>-15.490287347119191</v>
      </c>
      <c r="U33" s="24">
        <f t="shared" si="45"/>
        <v>-18.726705640091645</v>
      </c>
      <c r="V33" s="24">
        <f t="shared" si="45"/>
        <v>-50.051378262161307</v>
      </c>
      <c r="W33" s="24">
        <f t="shared" si="45"/>
        <v>-53.15918698249417</v>
      </c>
      <c r="X33" s="24">
        <f t="shared" si="45"/>
        <v>-38.271483729678863</v>
      </c>
      <c r="Y33" s="24">
        <f t="shared" si="45"/>
        <v>-26.25580403338386</v>
      </c>
      <c r="Z33" s="24">
        <f t="shared" si="45"/>
        <v>-6.9709109236940989</v>
      </c>
      <c r="AA33" s="24">
        <f t="shared" si="45"/>
        <v>-46.632607183973683</v>
      </c>
      <c r="AB33" s="24">
        <f t="shared" si="45"/>
        <v>-54.327044339974712</v>
      </c>
      <c r="AC33" s="24">
        <f t="shared" si="45"/>
        <v>-52.309201683719166</v>
      </c>
      <c r="AD33" s="24">
        <f t="shared" si="45"/>
        <v>-35.933772657640262</v>
      </c>
      <c r="AE33" s="24">
        <f t="shared" si="45"/>
        <v>-17.424705758735243</v>
      </c>
      <c r="AF33" s="24">
        <f t="shared" si="45"/>
        <v>-12.331074263377786</v>
      </c>
      <c r="AG33" s="24">
        <f t="shared" si="45"/>
        <v>-31.497403991434805</v>
      </c>
      <c r="AH33" s="24">
        <f t="shared" si="45"/>
        <v>-7.3624652728995432</v>
      </c>
      <c r="AI33" s="24">
        <f t="shared" si="45"/>
        <v>-32.233940508739721</v>
      </c>
      <c r="AJ33" s="24">
        <f t="shared" si="45"/>
        <v>-8.4010838851151597</v>
      </c>
      <c r="AK33" s="24">
        <f t="shared" si="45"/>
        <v>-29.478265811574985</v>
      </c>
      <c r="AL33" s="24">
        <f t="shared" si="45"/>
        <v>-9.4229452650382317</v>
      </c>
      <c r="AM33" s="24">
        <f t="shared" si="45"/>
        <v>-32.409271682084551</v>
      </c>
      <c r="AN33" s="24">
        <f t="shared" si="45"/>
        <v>-30.422053140808519</v>
      </c>
      <c r="AO33" s="24">
        <f t="shared" si="45"/>
        <v>-10.597186307745716</v>
      </c>
      <c r="AP33" s="24">
        <f t="shared" si="45"/>
        <v>-12.285326879496427</v>
      </c>
      <c r="AQ33" s="24">
        <f t="shared" si="45"/>
        <v>-11.303591255821305</v>
      </c>
      <c r="AR33" s="24">
        <f t="shared" si="45"/>
        <v>-7.272148001663985</v>
      </c>
      <c r="AS33" s="24">
        <f t="shared" si="45"/>
        <v>-31.311306495471303</v>
      </c>
      <c r="AT33" s="24">
        <f t="shared" si="45"/>
        <v>-18.065763022559125</v>
      </c>
      <c r="AU33" s="24">
        <f t="shared" si="45"/>
        <v>-21.763147265730886</v>
      </c>
      <c r="AV33" s="24">
        <f t="shared" si="45"/>
        <v>-20.025870812415555</v>
      </c>
      <c r="AW33" s="24">
        <f t="shared" si="45"/>
        <v>-34.945050826805662</v>
      </c>
      <c r="AX33" s="24">
        <f t="shared" si="45"/>
        <v>-48.864601008219275</v>
      </c>
      <c r="AY33" s="24">
        <f t="shared" si="45"/>
        <v>-26.909237503767233</v>
      </c>
      <c r="AZ33" s="24">
        <f t="shared" si="45"/>
        <v>-43.027728517198462</v>
      </c>
      <c r="BA33" s="24">
        <f t="shared" si="45"/>
        <v>-31.292734827432213</v>
      </c>
      <c r="BB33" s="24">
        <f t="shared" si="45"/>
        <v>-55.951860390527791</v>
      </c>
      <c r="BC33" s="24">
        <f t="shared" si="45"/>
        <v>-23.085515884118447</v>
      </c>
      <c r="BD33" s="24">
        <f t="shared" si="45"/>
        <v>-7.2439431080940198</v>
      </c>
      <c r="BE33" s="24">
        <f t="shared" si="45"/>
        <v>-36.956671045541675</v>
      </c>
      <c r="BF33" s="24">
        <f t="shared" si="45"/>
        <v>-64.375761357722794</v>
      </c>
      <c r="BG33" s="24">
        <f t="shared" si="45"/>
        <v>-16.824774424308508</v>
      </c>
      <c r="BH33" s="24">
        <f t="shared" si="45"/>
        <v>-28.652248685974229</v>
      </c>
      <c r="BI33" s="24">
        <f t="shared" si="45"/>
        <v>-23.182742451003666</v>
      </c>
      <c r="BJ33" s="24">
        <f t="shared" si="45"/>
        <v>-42.934185807031497</v>
      </c>
      <c r="BK33" s="24">
        <f t="shared" si="45"/>
        <v>-68.387982314673465</v>
      </c>
      <c r="BL33" s="24">
        <f t="shared" si="45"/>
        <v>-35.279085112464188</v>
      </c>
      <c r="BM33" s="24">
        <f t="shared" si="45"/>
        <v>-12.796491745253267</v>
      </c>
      <c r="BN33" s="24">
        <f t="shared" si="45"/>
        <v>-19.433234158304995</v>
      </c>
      <c r="BO33" s="24">
        <f t="shared" si="45"/>
        <v>-24.57009034842612</v>
      </c>
      <c r="BP33" s="24">
        <f t="shared" si="45"/>
        <v>-18.036773058193557</v>
      </c>
      <c r="BQ33" s="24">
        <f t="shared" si="45"/>
        <v>-30.57988104590871</v>
      </c>
      <c r="BR33" s="24">
        <f t="shared" si="45"/>
        <v>-39.290821939047007</v>
      </c>
      <c r="BS33" s="24">
        <f t="shared" si="45"/>
        <v>-11.643582948535141</v>
      </c>
      <c r="BT33" s="24">
        <f t="shared" si="45"/>
        <v>-11.089704043199829</v>
      </c>
      <c r="BU33" s="24">
        <f t="shared" si="45"/>
        <v>-13.840361530351895</v>
      </c>
      <c r="BV33" s="24">
        <f t="shared" si="45"/>
        <v>-15.075991013106552</v>
      </c>
      <c r="BW33" s="24">
        <f t="shared" si="45"/>
        <v>-12.869122821894896</v>
      </c>
      <c r="BX33" s="24">
        <f t="shared" si="45"/>
        <v>-17.402685345326852</v>
      </c>
      <c r="BY33" s="24">
        <f t="shared" si="45"/>
        <v>-48.95278536794185</v>
      </c>
      <c r="BZ33" s="24">
        <f t="shared" ref="BZ33:EK33" si="46">SUM(BZ26:BZ27)</f>
        <v>-29.690912795380726</v>
      </c>
      <c r="CA33" s="24">
        <f t="shared" si="46"/>
        <v>-14.408798684986232</v>
      </c>
      <c r="CB33" s="24">
        <f t="shared" si="46"/>
        <v>-19.377526925016383</v>
      </c>
      <c r="CC33" s="24">
        <f t="shared" si="46"/>
        <v>-13.970483576374928</v>
      </c>
      <c r="CD33" s="24">
        <f t="shared" si="46"/>
        <v>-9.2473169642529864</v>
      </c>
      <c r="CE33" s="24">
        <f t="shared" si="46"/>
        <v>-9.3036545266037098</v>
      </c>
      <c r="CF33" s="24">
        <f t="shared" si="46"/>
        <v>-8.3949859253642884</v>
      </c>
      <c r="CG33" s="24">
        <f t="shared" si="46"/>
        <v>-31.447936125640016</v>
      </c>
      <c r="CH33" s="24">
        <f t="shared" si="46"/>
        <v>-12.722670039492364</v>
      </c>
      <c r="CI33" s="24">
        <f t="shared" si="46"/>
        <v>-22.268709417489802</v>
      </c>
      <c r="CJ33" s="24">
        <f t="shared" si="46"/>
        <v>-62.237269435177659</v>
      </c>
      <c r="CK33" s="24">
        <f t="shared" si="46"/>
        <v>-30.651926300174242</v>
      </c>
      <c r="CL33" s="24">
        <f t="shared" si="46"/>
        <v>-30.551418457430795</v>
      </c>
      <c r="CM33" s="24">
        <f t="shared" si="46"/>
        <v>-29.653088542326227</v>
      </c>
      <c r="CN33" s="24">
        <f t="shared" si="46"/>
        <v>-37.959552794121123</v>
      </c>
      <c r="CO33" s="24">
        <f t="shared" si="46"/>
        <v>-12.840395966498374</v>
      </c>
      <c r="CP33" s="24">
        <f t="shared" si="46"/>
        <v>-43.356504627854548</v>
      </c>
      <c r="CQ33" s="24">
        <f t="shared" si="46"/>
        <v>-58.509619725346077</v>
      </c>
      <c r="CR33" s="24">
        <f t="shared" si="46"/>
        <v>-71.383852776708679</v>
      </c>
      <c r="CS33" s="24">
        <f t="shared" si="46"/>
        <v>-33.299839558283963</v>
      </c>
      <c r="CT33" s="24">
        <f t="shared" si="46"/>
        <v>-43.185793539460697</v>
      </c>
      <c r="CU33" s="24">
        <f t="shared" si="46"/>
        <v>-58.467534023663369</v>
      </c>
      <c r="CV33" s="24">
        <f t="shared" si="46"/>
        <v>-54.566822868722468</v>
      </c>
      <c r="CW33" s="24">
        <f t="shared" si="46"/>
        <v>-8.8157100357249689</v>
      </c>
      <c r="CX33" s="24">
        <f t="shared" si="46"/>
        <v>-28.569918123649813</v>
      </c>
      <c r="CY33" s="24">
        <f t="shared" si="46"/>
        <v>-12.712221299636353</v>
      </c>
      <c r="CZ33" s="24">
        <f t="shared" si="46"/>
        <v>-43.242798535485107</v>
      </c>
      <c r="DA33" s="24">
        <f t="shared" si="46"/>
        <v>-14.404247170441327</v>
      </c>
      <c r="DB33" s="24">
        <f t="shared" si="46"/>
        <v>-6.9658399691228237</v>
      </c>
      <c r="DC33" s="24">
        <f t="shared" si="46"/>
        <v>-54.484019987526466</v>
      </c>
      <c r="DD33" s="24">
        <f t="shared" si="46"/>
        <v>-7.0174816883520634</v>
      </c>
      <c r="DE33" s="24">
        <f t="shared" si="46"/>
        <v>-50.010120073565723</v>
      </c>
      <c r="DF33" s="24">
        <f t="shared" si="46"/>
        <v>-57.264063593347743</v>
      </c>
      <c r="DG33" s="24">
        <f t="shared" si="46"/>
        <v>-29.776868313619755</v>
      </c>
      <c r="DH33" s="24">
        <f t="shared" si="46"/>
        <v>-19.379979365218745</v>
      </c>
      <c r="DI33" s="24">
        <f t="shared" si="46"/>
        <v>-47.850316937776576</v>
      </c>
      <c r="DJ33" s="24">
        <f t="shared" si="46"/>
        <v>-58.133198620027414</v>
      </c>
      <c r="DK33" s="24">
        <f t="shared" si="46"/>
        <v>-43.253321798261709</v>
      </c>
      <c r="DL33" s="24">
        <f t="shared" si="46"/>
        <v>-25.567340027235794</v>
      </c>
      <c r="DM33" s="24">
        <f t="shared" si="46"/>
        <v>-23.051687893796295</v>
      </c>
      <c r="DN33" s="24">
        <f t="shared" si="46"/>
        <v>-39.051427302264351</v>
      </c>
      <c r="DO33" s="24">
        <f t="shared" si="46"/>
        <v>-60.713718397371053</v>
      </c>
      <c r="DP33" s="24">
        <f t="shared" si="46"/>
        <v>-64.581036332977334</v>
      </c>
      <c r="DQ33" s="24">
        <f t="shared" si="46"/>
        <v>-42.04757824473684</v>
      </c>
      <c r="DR33" s="24">
        <f t="shared" si="46"/>
        <v>-28.799157728095608</v>
      </c>
      <c r="DS33" s="24">
        <f t="shared" si="46"/>
        <v>-71.552390759185982</v>
      </c>
      <c r="DT33" s="24">
        <f t="shared" si="46"/>
        <v>-32.087593062061451</v>
      </c>
      <c r="DU33" s="24">
        <f t="shared" si="46"/>
        <v>-12.317929829327481</v>
      </c>
      <c r="DV33" s="24">
        <f t="shared" si="46"/>
        <v>-13.290462879632726</v>
      </c>
      <c r="DW33" s="24">
        <f t="shared" si="46"/>
        <v>-49.673316889823589</v>
      </c>
      <c r="DX33" s="24">
        <f t="shared" si="46"/>
        <v>-69.800076417129375</v>
      </c>
      <c r="DY33" s="24">
        <f t="shared" si="46"/>
        <v>-16.313511319363108</v>
      </c>
      <c r="DZ33" s="24">
        <f t="shared" si="46"/>
        <v>-20.710005671920804</v>
      </c>
      <c r="EA33" s="24">
        <f t="shared" si="46"/>
        <v>-21.618876222212879</v>
      </c>
      <c r="EB33" s="24">
        <f t="shared" si="46"/>
        <v>-54.563772690217924</v>
      </c>
      <c r="EC33" s="24">
        <f t="shared" si="46"/>
        <v>-43.052749265279715</v>
      </c>
      <c r="ED33" s="24">
        <f t="shared" si="46"/>
        <v>-27.855357501975458</v>
      </c>
      <c r="EE33" s="24">
        <f t="shared" si="46"/>
        <v>-46.374384729643047</v>
      </c>
      <c r="EF33" s="24">
        <f t="shared" si="46"/>
        <v>-13.855896693701979</v>
      </c>
      <c r="EG33" s="24">
        <f t="shared" si="46"/>
        <v>-13.70171986045726</v>
      </c>
      <c r="EH33" s="24">
        <f t="shared" si="46"/>
        <v>-32.442763848273884</v>
      </c>
      <c r="EI33" s="24">
        <f t="shared" si="46"/>
        <v>-16.223371458225493</v>
      </c>
      <c r="EJ33" s="24">
        <f t="shared" si="46"/>
        <v>-9.3449516952074507</v>
      </c>
      <c r="EK33" s="24">
        <f t="shared" si="46"/>
        <v>-15.075226748240329</v>
      </c>
      <c r="EL33" s="24">
        <f t="shared" ref="EL33:GW33" si="47">SUM(EL26:EL27)</f>
        <v>-28.863322589582577</v>
      </c>
      <c r="EM33" s="24">
        <f t="shared" si="47"/>
        <v>-9.774316425447255</v>
      </c>
      <c r="EN33" s="24">
        <f t="shared" si="47"/>
        <v>-37.118224079731391</v>
      </c>
      <c r="EO33" s="24">
        <f t="shared" si="47"/>
        <v>-28.607743720385091</v>
      </c>
      <c r="EP33" s="24">
        <f t="shared" si="47"/>
        <v>-8.4098465771630107</v>
      </c>
      <c r="EQ33" s="24">
        <f t="shared" si="47"/>
        <v>-8.1433686056077299</v>
      </c>
      <c r="ER33" s="24">
        <f t="shared" si="47"/>
        <v>-32.51244264068562</v>
      </c>
      <c r="ES33" s="24">
        <f t="shared" si="47"/>
        <v>-17.380892782238433</v>
      </c>
      <c r="ET33" s="24">
        <f t="shared" si="47"/>
        <v>-58.492023714757934</v>
      </c>
      <c r="EU33" s="24">
        <f t="shared" si="47"/>
        <v>-61.748620670292468</v>
      </c>
      <c r="EV33" s="24">
        <f t="shared" si="47"/>
        <v>-59.210016245970095</v>
      </c>
      <c r="EW33" s="24">
        <f t="shared" si="47"/>
        <v>-71.706552286388884</v>
      </c>
      <c r="EX33" s="24">
        <f t="shared" si="47"/>
        <v>-19.545009374255088</v>
      </c>
      <c r="EY33" s="24">
        <f t="shared" si="47"/>
        <v>-34.876309298780484</v>
      </c>
      <c r="EZ33" s="24">
        <f t="shared" si="47"/>
        <v>-24.81557375268979</v>
      </c>
      <c r="FA33" s="24">
        <f t="shared" si="47"/>
        <v>-64.396266187889267</v>
      </c>
      <c r="FB33" s="24">
        <f t="shared" si="47"/>
        <v>-9.3346424923009508</v>
      </c>
      <c r="FC33" s="24">
        <f t="shared" si="47"/>
        <v>-9.7464973902137526</v>
      </c>
      <c r="FD33" s="24">
        <f t="shared" si="47"/>
        <v>-66.251960860453352</v>
      </c>
      <c r="FE33" s="24">
        <f t="shared" si="47"/>
        <v>-56.79913720746211</v>
      </c>
      <c r="FF33" s="24">
        <f t="shared" si="47"/>
        <v>-48.528968861940996</v>
      </c>
      <c r="FG33" s="24">
        <f t="shared" si="47"/>
        <v>-20.289744883976514</v>
      </c>
      <c r="FH33" s="24">
        <f t="shared" si="47"/>
        <v>-10.256941614982747</v>
      </c>
      <c r="FI33" s="24">
        <f t="shared" si="47"/>
        <v>-13.923836955033014</v>
      </c>
      <c r="FJ33" s="24">
        <f t="shared" si="47"/>
        <v>-53.131565604141187</v>
      </c>
      <c r="FK33" s="24">
        <f t="shared" si="47"/>
        <v>-57.174765976172409</v>
      </c>
      <c r="FL33" s="24">
        <f t="shared" si="47"/>
        <v>-9.6769964007569023</v>
      </c>
      <c r="FM33" s="24">
        <f t="shared" si="47"/>
        <v>-38.16602811620664</v>
      </c>
      <c r="FN33" s="24">
        <f t="shared" si="47"/>
        <v>-58.322966254999166</v>
      </c>
      <c r="FO33" s="24">
        <f t="shared" si="47"/>
        <v>-28.021504916887721</v>
      </c>
      <c r="FP33" s="24">
        <f t="shared" si="47"/>
        <v>-67.536549219697633</v>
      </c>
      <c r="FQ33" s="24">
        <f t="shared" si="47"/>
        <v>-34.131857453455012</v>
      </c>
      <c r="FR33" s="24">
        <f t="shared" si="47"/>
        <v>-26.265921661165549</v>
      </c>
      <c r="FS33" s="24">
        <f t="shared" si="47"/>
        <v>-53.507415672124132</v>
      </c>
      <c r="FT33" s="24">
        <f t="shared" si="47"/>
        <v>-67.077578792221658</v>
      </c>
      <c r="FU33" s="24">
        <f t="shared" si="47"/>
        <v>-34.281273432238997</v>
      </c>
      <c r="FV33" s="24">
        <f t="shared" si="47"/>
        <v>-46.639960198063399</v>
      </c>
      <c r="FW33" s="24">
        <f t="shared" si="47"/>
        <v>-35.986186034755768</v>
      </c>
      <c r="FX33" s="24">
        <f t="shared" si="47"/>
        <v>-63.474428991477247</v>
      </c>
      <c r="FY33" s="24">
        <f t="shared" si="47"/>
        <v>-54.540010113520069</v>
      </c>
      <c r="FZ33" s="24">
        <f t="shared" si="47"/>
        <v>-22.527728014042136</v>
      </c>
      <c r="GA33" s="24">
        <f t="shared" si="47"/>
        <v>-50.085896704261216</v>
      </c>
      <c r="GB33" s="24">
        <f t="shared" si="47"/>
        <v>-25.398078187325133</v>
      </c>
      <c r="GC33" s="24">
        <f t="shared" si="47"/>
        <v>-13.829108996366932</v>
      </c>
      <c r="GD33" s="24">
        <f t="shared" si="47"/>
        <v>-8.1038271821787546</v>
      </c>
      <c r="GE33" s="24">
        <f t="shared" si="47"/>
        <v>-7.2665282180728141</v>
      </c>
      <c r="GF33" s="24">
        <f t="shared" si="47"/>
        <v>-8.0151973930323575</v>
      </c>
      <c r="GG33" s="24">
        <f t="shared" si="47"/>
        <v>-54.613266815210714</v>
      </c>
      <c r="GH33" s="24">
        <f t="shared" si="47"/>
        <v>-11.231499969357746</v>
      </c>
      <c r="GI33" s="24">
        <f t="shared" si="47"/>
        <v>-36.120370026472045</v>
      </c>
      <c r="GJ33" s="24">
        <f t="shared" si="47"/>
        <v>-12.863383101472262</v>
      </c>
      <c r="GK33" s="24">
        <f t="shared" si="47"/>
        <v>-20.825450960825812</v>
      </c>
      <c r="GL33" s="24">
        <f t="shared" si="47"/>
        <v>-22.477437606077363</v>
      </c>
      <c r="GM33" s="24">
        <f t="shared" si="47"/>
        <v>-13.37552557152449</v>
      </c>
      <c r="GN33" s="24">
        <f t="shared" si="47"/>
        <v>-46.416509131581449</v>
      </c>
      <c r="GO33" s="24">
        <f t="shared" si="47"/>
        <v>-71.593507992147735</v>
      </c>
      <c r="GP33" s="24">
        <f t="shared" si="47"/>
        <v>-40.015257867682223</v>
      </c>
      <c r="GQ33" s="24">
        <f t="shared" si="47"/>
        <v>-50.004575270648694</v>
      </c>
      <c r="GR33" s="24">
        <f t="shared" si="47"/>
        <v>-14.455802182205616</v>
      </c>
      <c r="GS33" s="24">
        <f t="shared" si="47"/>
        <v>-21.020407690778047</v>
      </c>
      <c r="GT33" s="24">
        <f t="shared" si="47"/>
        <v>-15.622273103171274</v>
      </c>
      <c r="GU33" s="24">
        <f t="shared" si="47"/>
        <v>-20.743099107481996</v>
      </c>
      <c r="GV33" s="24">
        <f t="shared" si="47"/>
        <v>-38.200841302390877</v>
      </c>
      <c r="GW33" s="24">
        <f t="shared" si="47"/>
        <v>-16.976144106808835</v>
      </c>
      <c r="GX33" s="24">
        <f t="shared" ref="GX33:JI33" si="48">SUM(GX26:GX27)</f>
        <v>-31.499429949572423</v>
      </c>
      <c r="GY33" s="24">
        <f t="shared" si="48"/>
        <v>-10.615934802893827</v>
      </c>
      <c r="GZ33" s="24">
        <f t="shared" si="48"/>
        <v>-10.171921522144547</v>
      </c>
      <c r="HA33" s="24">
        <f t="shared" si="48"/>
        <v>-17.424659762237539</v>
      </c>
      <c r="HB33" s="24">
        <f t="shared" si="48"/>
        <v>-54.422897626136795</v>
      </c>
      <c r="HC33" s="24">
        <f t="shared" si="48"/>
        <v>-7.3757295398474749</v>
      </c>
      <c r="HD33" s="24">
        <f t="shared" si="48"/>
        <v>-50.063111090642408</v>
      </c>
      <c r="HE33" s="24">
        <f t="shared" si="48"/>
        <v>-55.909425719483252</v>
      </c>
      <c r="HF33" s="24">
        <f t="shared" si="48"/>
        <v>-44.361263004662725</v>
      </c>
      <c r="HG33" s="24">
        <f t="shared" si="48"/>
        <v>-60.557614933018172</v>
      </c>
      <c r="HH33" s="24">
        <f t="shared" si="48"/>
        <v>-45.334090540579666</v>
      </c>
      <c r="HI33" s="24">
        <f t="shared" si="48"/>
        <v>-13.299759543949769</v>
      </c>
      <c r="HJ33" s="24">
        <f t="shared" si="48"/>
        <v>-46.337076450957476</v>
      </c>
      <c r="HK33" s="24">
        <f t="shared" si="48"/>
        <v>-11.175267634921115</v>
      </c>
      <c r="HL33" s="24">
        <f t="shared" si="48"/>
        <v>-63.306925244625809</v>
      </c>
      <c r="HM33" s="24">
        <f t="shared" si="48"/>
        <v>-53.273819127582087</v>
      </c>
      <c r="HN33" s="24">
        <f t="shared" si="48"/>
        <v>-46.487612850079358</v>
      </c>
      <c r="HO33" s="24">
        <f t="shared" si="48"/>
        <v>-46.656396856143424</v>
      </c>
      <c r="HP33" s="24">
        <f t="shared" si="48"/>
        <v>-11.773467090877709</v>
      </c>
      <c r="HQ33" s="24">
        <f t="shared" si="48"/>
        <v>-54.302935051017961</v>
      </c>
      <c r="HR33" s="24">
        <f t="shared" si="48"/>
        <v>-16.254517044628805</v>
      </c>
      <c r="HS33" s="24">
        <f t="shared" si="48"/>
        <v>-8.5262378880585921</v>
      </c>
      <c r="HT33" s="24">
        <f t="shared" si="48"/>
        <v>-63.537963898659335</v>
      </c>
      <c r="HU33" s="24">
        <f t="shared" si="48"/>
        <v>-11.092889695806228</v>
      </c>
      <c r="HV33" s="24">
        <f t="shared" si="48"/>
        <v>-70.005818637905847</v>
      </c>
      <c r="HW33" s="24">
        <f t="shared" si="48"/>
        <v>-63.168081149464555</v>
      </c>
      <c r="HX33" s="24">
        <f t="shared" si="48"/>
        <v>-33.440618148897883</v>
      </c>
      <c r="HY33" s="24">
        <f t="shared" si="48"/>
        <v>-65.714533882170613</v>
      </c>
      <c r="HZ33" s="24">
        <f t="shared" si="48"/>
        <v>-8.5126762758366965</v>
      </c>
      <c r="IA33" s="24">
        <f t="shared" si="48"/>
        <v>-11.136483600331372</v>
      </c>
      <c r="IB33" s="24">
        <f t="shared" si="48"/>
        <v>-26.446778750407688</v>
      </c>
      <c r="IC33" s="24">
        <f t="shared" si="48"/>
        <v>-15.552274088413094</v>
      </c>
      <c r="ID33" s="24">
        <f t="shared" si="48"/>
        <v>-67.067343736485114</v>
      </c>
      <c r="IE33" s="24">
        <f t="shared" si="48"/>
        <v>-24.732278494323783</v>
      </c>
      <c r="IF33" s="24">
        <f t="shared" si="48"/>
        <v>-54.360357875868644</v>
      </c>
      <c r="IG33" s="24">
        <f t="shared" si="48"/>
        <v>-18.695210309301039</v>
      </c>
      <c r="IH33" s="24">
        <f t="shared" si="48"/>
        <v>-56.737833292820532</v>
      </c>
      <c r="II33" s="24">
        <f t="shared" si="48"/>
        <v>-39.030027583659738</v>
      </c>
      <c r="IJ33" s="24">
        <f t="shared" si="48"/>
        <v>-38.798929346790231</v>
      </c>
      <c r="IK33" s="24">
        <f t="shared" si="48"/>
        <v>-16.337776341712477</v>
      </c>
      <c r="IL33" s="24">
        <f t="shared" si="48"/>
        <v>-37.268869739151903</v>
      </c>
      <c r="IM33" s="24">
        <f t="shared" si="48"/>
        <v>-41.998656651953013</v>
      </c>
      <c r="IN33" s="24">
        <f t="shared" si="48"/>
        <v>-42.129886993577244</v>
      </c>
      <c r="IO33" s="24">
        <f t="shared" si="48"/>
        <v>-61.058417024215885</v>
      </c>
      <c r="IP33" s="24">
        <f t="shared" si="48"/>
        <v>-34.274626049177229</v>
      </c>
      <c r="IQ33" s="24">
        <f t="shared" si="48"/>
        <v>-20.299757407345556</v>
      </c>
      <c r="IR33" s="24">
        <f t="shared" si="48"/>
        <v>-28.836179097934409</v>
      </c>
      <c r="IS33" s="24">
        <f t="shared" si="48"/>
        <v>-20.965247273938179</v>
      </c>
      <c r="IT33" s="24">
        <f t="shared" si="48"/>
        <v>-25.383042210996617</v>
      </c>
      <c r="IU33" s="24">
        <f t="shared" si="48"/>
        <v>-13.211560496148222</v>
      </c>
      <c r="IV33" s="24">
        <f t="shared" si="48"/>
        <v>-32.220846850915009</v>
      </c>
      <c r="IW33" s="24">
        <f t="shared" si="48"/>
        <v>-71.541489822807421</v>
      </c>
      <c r="IX33" s="24">
        <f t="shared" si="48"/>
        <v>-24.531702989505845</v>
      </c>
      <c r="IY33" s="24">
        <f t="shared" si="48"/>
        <v>-54.390658665480665</v>
      </c>
      <c r="IZ33" s="24">
        <f t="shared" si="48"/>
        <v>-27.810266342467632</v>
      </c>
      <c r="JA33" s="24">
        <f t="shared" si="48"/>
        <v>-29.75741227587439</v>
      </c>
      <c r="JB33" s="24">
        <f t="shared" si="48"/>
        <v>-9.0063952712933357</v>
      </c>
      <c r="JC33" s="24">
        <f t="shared" si="48"/>
        <v>-53.098904453688903</v>
      </c>
      <c r="JD33" s="24">
        <f t="shared" si="48"/>
        <v>-17.312748176777902</v>
      </c>
      <c r="JE33" s="24">
        <f t="shared" si="48"/>
        <v>-17.531484124374661</v>
      </c>
      <c r="JF33" s="24">
        <f t="shared" si="48"/>
        <v>-19.421680528982449</v>
      </c>
      <c r="JG33" s="24">
        <f t="shared" si="48"/>
        <v>-71.398270419835924</v>
      </c>
      <c r="JH33" s="24">
        <f t="shared" si="48"/>
        <v>-11.080377012371629</v>
      </c>
      <c r="JI33" s="24">
        <f t="shared" si="48"/>
        <v>-55.938040707235643</v>
      </c>
      <c r="JJ33" s="24">
        <f t="shared" ref="JJ33:KI33" si="49">SUM(JJ26:JJ27)</f>
        <v>-12.825823173705835</v>
      </c>
      <c r="JK33" s="24">
        <f t="shared" si="49"/>
        <v>-10.289776870793631</v>
      </c>
      <c r="JL33" s="24">
        <f t="shared" si="49"/>
        <v>-36.842768571526967</v>
      </c>
      <c r="JM33" s="24">
        <f t="shared" si="49"/>
        <v>-63.501721311606282</v>
      </c>
      <c r="JN33" s="24">
        <f t="shared" si="49"/>
        <v>-8.8357877222223067</v>
      </c>
      <c r="JO33" s="24">
        <f t="shared" si="49"/>
        <v>-34.912211424803154</v>
      </c>
      <c r="JP33" s="24">
        <f t="shared" si="49"/>
        <v>-6.9691174757379946</v>
      </c>
      <c r="JQ33" s="24">
        <f t="shared" si="49"/>
        <v>-23.998885517206666</v>
      </c>
      <c r="JR33" s="24">
        <f t="shared" si="49"/>
        <v>-59.807963936913637</v>
      </c>
      <c r="JS33" s="24">
        <f t="shared" si="49"/>
        <v>-12.127073891589195</v>
      </c>
      <c r="JT33" s="24">
        <f t="shared" si="49"/>
        <v>-57.962470833026742</v>
      </c>
      <c r="JU33" s="24">
        <f t="shared" si="49"/>
        <v>-55.714495693494229</v>
      </c>
      <c r="JV33" s="24">
        <f t="shared" si="49"/>
        <v>-12.274194547435938</v>
      </c>
      <c r="JW33" s="24">
        <f t="shared" si="49"/>
        <v>-57.21159897868209</v>
      </c>
      <c r="JX33" s="24">
        <f t="shared" si="49"/>
        <v>-7.360765629252243</v>
      </c>
      <c r="JY33" s="24">
        <f t="shared" si="49"/>
        <v>-57.083991494597456</v>
      </c>
      <c r="JZ33" s="24">
        <f t="shared" si="49"/>
        <v>-25.539547396588645</v>
      </c>
      <c r="KA33" s="24">
        <f t="shared" si="49"/>
        <v>-10.132885949266466</v>
      </c>
      <c r="KB33" s="24">
        <f t="shared" si="49"/>
        <v>-10.806574198090434</v>
      </c>
      <c r="KC33" s="24">
        <f t="shared" si="49"/>
        <v>-62.25225631429096</v>
      </c>
      <c r="KD33" s="24">
        <f t="shared" si="49"/>
        <v>-65.92487293895465</v>
      </c>
      <c r="KE33" s="24">
        <f t="shared" si="49"/>
        <v>-21.714298840594893</v>
      </c>
      <c r="KF33" s="24">
        <f t="shared" si="49"/>
        <v>-53.126493884734998</v>
      </c>
      <c r="KG33" s="24">
        <f t="shared" si="49"/>
        <v>-33.167755920839141</v>
      </c>
      <c r="KH33" s="24">
        <f t="shared" si="49"/>
        <v>-16.195150884078402</v>
      </c>
      <c r="KI33" s="24">
        <f t="shared" si="49"/>
        <v>-22.409276896226942</v>
      </c>
      <c r="KJ33" s="1"/>
    </row>
    <row r="34" spans="7:296" x14ac:dyDescent="0.35">
      <c r="H34" s="13" t="s">
        <v>22</v>
      </c>
      <c r="I34" s="1"/>
      <c r="J34" s="1"/>
      <c r="K34" s="1"/>
      <c r="M34" s="29" t="s">
        <v>136</v>
      </c>
      <c r="N34" s="30">
        <f>SUM(N32:N33)</f>
        <v>82.006217590757373</v>
      </c>
      <c r="O34" s="30">
        <f t="shared" ref="O34:BZ34" si="50">SUM(O32:O33)</f>
        <v>74.687567869084006</v>
      </c>
      <c r="P34" s="30">
        <f t="shared" si="50"/>
        <v>98.898555838041958</v>
      </c>
      <c r="Q34" s="30">
        <f t="shared" si="50"/>
        <v>132.97119413838746</v>
      </c>
      <c r="R34" s="30">
        <f t="shared" si="50"/>
        <v>72.845138605687026</v>
      </c>
      <c r="S34" s="30">
        <f t="shared" si="50"/>
        <v>67.214567631413146</v>
      </c>
      <c r="T34" s="30">
        <f t="shared" si="50"/>
        <v>83.409712652880799</v>
      </c>
      <c r="U34" s="30">
        <f t="shared" si="50"/>
        <v>91.67329435990834</v>
      </c>
      <c r="V34" s="30">
        <f t="shared" si="50"/>
        <v>138.54862173783869</v>
      </c>
      <c r="W34" s="30">
        <f t="shared" si="50"/>
        <v>142.34081301750581</v>
      </c>
      <c r="X34" s="30">
        <f t="shared" si="50"/>
        <v>125.02851627032112</v>
      </c>
      <c r="Y34" s="30">
        <f t="shared" si="50"/>
        <v>107.14419596661611</v>
      </c>
      <c r="Z34" s="30">
        <f t="shared" si="50"/>
        <v>50.529089076305894</v>
      </c>
      <c r="AA34" s="30">
        <f t="shared" si="50"/>
        <v>135.06739281602631</v>
      </c>
      <c r="AB34" s="30">
        <f t="shared" si="50"/>
        <v>139.17295566002528</v>
      </c>
      <c r="AC34" s="30">
        <f t="shared" si="50"/>
        <v>136.69079831628085</v>
      </c>
      <c r="AD34" s="30">
        <f t="shared" si="50"/>
        <v>119.31622734235974</v>
      </c>
      <c r="AE34" s="30">
        <f t="shared" si="50"/>
        <v>86.075294241264757</v>
      </c>
      <c r="AF34" s="30">
        <f t="shared" si="50"/>
        <v>70.918925736622214</v>
      </c>
      <c r="AG34" s="30">
        <f t="shared" si="50"/>
        <v>112.50259600856519</v>
      </c>
      <c r="AH34" s="30">
        <f t="shared" si="50"/>
        <v>51.137534727100459</v>
      </c>
      <c r="AI34" s="30">
        <f t="shared" si="50"/>
        <v>114.01605949126028</v>
      </c>
      <c r="AJ34" s="30">
        <f t="shared" si="50"/>
        <v>56.848916114884844</v>
      </c>
      <c r="AK34" s="30">
        <f t="shared" si="50"/>
        <v>110.02173418842501</v>
      </c>
      <c r="AL34" s="30">
        <f t="shared" si="50"/>
        <v>60.32705473496177</v>
      </c>
      <c r="AM34" s="30">
        <f t="shared" si="50"/>
        <v>113.84072831791545</v>
      </c>
      <c r="AN34" s="30">
        <f t="shared" si="50"/>
        <v>111.32794685919148</v>
      </c>
      <c r="AO34" s="30">
        <f t="shared" si="50"/>
        <v>65.902813692254284</v>
      </c>
      <c r="AP34" s="30">
        <f t="shared" si="50"/>
        <v>70.964673120503576</v>
      </c>
      <c r="AQ34" s="30">
        <f t="shared" si="50"/>
        <v>67.446408744178697</v>
      </c>
      <c r="AR34" s="30">
        <f t="shared" si="50"/>
        <v>51.227851998336014</v>
      </c>
      <c r="AS34" s="30">
        <f t="shared" si="50"/>
        <v>112.6886935045287</v>
      </c>
      <c r="AT34" s="30">
        <f t="shared" si="50"/>
        <v>87.684236977440875</v>
      </c>
      <c r="AU34" s="30">
        <f t="shared" si="50"/>
        <v>95.236852734269121</v>
      </c>
      <c r="AV34" s="30">
        <f t="shared" si="50"/>
        <v>92.474129187584452</v>
      </c>
      <c r="AW34" s="30">
        <f t="shared" si="50"/>
        <v>118.05494917319433</v>
      </c>
      <c r="AX34" s="30">
        <f t="shared" si="50"/>
        <v>133.38539899178073</v>
      </c>
      <c r="AY34" s="30">
        <f t="shared" si="50"/>
        <v>105.84076249623277</v>
      </c>
      <c r="AZ34" s="30">
        <f t="shared" si="50"/>
        <v>127.97227148280155</v>
      </c>
      <c r="BA34" s="30">
        <f t="shared" si="50"/>
        <v>112.70726517256779</v>
      </c>
      <c r="BB34" s="30">
        <f t="shared" si="50"/>
        <v>139.7981396094722</v>
      </c>
      <c r="BC34" s="30">
        <f t="shared" si="50"/>
        <v>98.41448411588155</v>
      </c>
      <c r="BD34" s="30">
        <f t="shared" si="50"/>
        <v>51.256056891905978</v>
      </c>
      <c r="BE34" s="30">
        <f t="shared" si="50"/>
        <v>120.54332895445833</v>
      </c>
      <c r="BF34" s="30">
        <f t="shared" si="50"/>
        <v>147.12423864227719</v>
      </c>
      <c r="BG34" s="30">
        <f t="shared" si="50"/>
        <v>84.425225575691485</v>
      </c>
      <c r="BH34" s="30">
        <f t="shared" si="50"/>
        <v>108.59775131402577</v>
      </c>
      <c r="BI34" s="30">
        <f t="shared" si="50"/>
        <v>98.317257548996338</v>
      </c>
      <c r="BJ34" s="30">
        <f t="shared" si="50"/>
        <v>128.0658141929685</v>
      </c>
      <c r="BK34" s="30">
        <f t="shared" si="50"/>
        <v>149.86201768532652</v>
      </c>
      <c r="BL34" s="30">
        <f t="shared" si="50"/>
        <v>117.72091488753581</v>
      </c>
      <c r="BM34" s="30">
        <f t="shared" si="50"/>
        <v>72.703508254746737</v>
      </c>
      <c r="BN34" s="30">
        <f t="shared" si="50"/>
        <v>90.816765841695002</v>
      </c>
      <c r="BO34" s="30">
        <f t="shared" si="50"/>
        <v>101.42990965157388</v>
      </c>
      <c r="BP34" s="30">
        <f t="shared" si="50"/>
        <v>87.71322694180644</v>
      </c>
      <c r="BQ34" s="30">
        <f t="shared" si="50"/>
        <v>111.17011895409129</v>
      </c>
      <c r="BR34" s="30">
        <f t="shared" si="50"/>
        <v>122.70917806095299</v>
      </c>
      <c r="BS34" s="30">
        <f t="shared" si="50"/>
        <v>69.356417051464859</v>
      </c>
      <c r="BT34" s="30">
        <f t="shared" si="50"/>
        <v>67.660295956800169</v>
      </c>
      <c r="BU34" s="30">
        <f t="shared" si="50"/>
        <v>76.159638469648101</v>
      </c>
      <c r="BV34" s="30">
        <f t="shared" si="50"/>
        <v>79.424008986893455</v>
      </c>
      <c r="BW34" s="30">
        <f t="shared" si="50"/>
        <v>72.630877178105109</v>
      </c>
      <c r="BX34" s="30">
        <f t="shared" si="50"/>
        <v>86.097314654673141</v>
      </c>
      <c r="BY34" s="30">
        <f t="shared" si="50"/>
        <v>133.29721463205814</v>
      </c>
      <c r="BZ34" s="30">
        <f t="shared" si="50"/>
        <v>109.80908720461927</v>
      </c>
      <c r="CA34" s="30">
        <f t="shared" ref="CA34:EL34" si="51">SUM(CA32:CA33)</f>
        <v>77.841201315013762</v>
      </c>
      <c r="CB34" s="30">
        <f t="shared" si="51"/>
        <v>90.872473074983617</v>
      </c>
      <c r="CC34" s="30">
        <f t="shared" si="51"/>
        <v>76.029516423625068</v>
      </c>
      <c r="CD34" s="30">
        <f t="shared" si="51"/>
        <v>60.502683035747012</v>
      </c>
      <c r="CE34" s="30">
        <f t="shared" si="51"/>
        <v>60.446345473396292</v>
      </c>
      <c r="CF34" s="30">
        <f t="shared" si="51"/>
        <v>56.855014074635712</v>
      </c>
      <c r="CG34" s="30">
        <f t="shared" si="51"/>
        <v>112.55206387435999</v>
      </c>
      <c r="CH34" s="30">
        <f t="shared" si="51"/>
        <v>72.777329960507643</v>
      </c>
      <c r="CI34" s="30">
        <f t="shared" si="51"/>
        <v>96.981290582510198</v>
      </c>
      <c r="CJ34" s="30">
        <f t="shared" si="51"/>
        <v>144.76273056482233</v>
      </c>
      <c r="CK34" s="30">
        <f t="shared" si="51"/>
        <v>111.09807369982576</v>
      </c>
      <c r="CL34" s="30">
        <f t="shared" si="51"/>
        <v>111.1985815425692</v>
      </c>
      <c r="CM34" s="30">
        <f t="shared" si="51"/>
        <v>109.84691145767377</v>
      </c>
      <c r="CN34" s="30">
        <f t="shared" si="51"/>
        <v>121.79044720587888</v>
      </c>
      <c r="CO34" s="30">
        <f t="shared" si="51"/>
        <v>72.659604033501623</v>
      </c>
      <c r="CP34" s="30">
        <f t="shared" si="51"/>
        <v>127.64349537214545</v>
      </c>
      <c r="CQ34" s="30">
        <f t="shared" si="51"/>
        <v>141.74038027465392</v>
      </c>
      <c r="CR34" s="30">
        <f t="shared" si="51"/>
        <v>151.36614722329131</v>
      </c>
      <c r="CS34" s="30">
        <f t="shared" si="51"/>
        <v>115.20016044171604</v>
      </c>
      <c r="CT34" s="30">
        <f t="shared" si="51"/>
        <v>127.81420646053931</v>
      </c>
      <c r="CU34" s="30">
        <f t="shared" si="51"/>
        <v>141.78246597633662</v>
      </c>
      <c r="CV34" s="30">
        <f t="shared" si="51"/>
        <v>138.93317713127755</v>
      </c>
      <c r="CW34" s="30">
        <f t="shared" si="51"/>
        <v>58.684289964275031</v>
      </c>
      <c r="CX34" s="30">
        <f t="shared" si="51"/>
        <v>108.68008187635019</v>
      </c>
      <c r="CY34" s="30">
        <f t="shared" si="51"/>
        <v>72.787778700363646</v>
      </c>
      <c r="CZ34" s="30">
        <f t="shared" si="51"/>
        <v>127.75720146451489</v>
      </c>
      <c r="DA34" s="30">
        <f t="shared" si="51"/>
        <v>77.845752829558677</v>
      </c>
      <c r="DB34" s="30">
        <f t="shared" si="51"/>
        <v>49.284160030877175</v>
      </c>
      <c r="DC34" s="30">
        <f t="shared" si="51"/>
        <v>139.01598001247353</v>
      </c>
      <c r="DD34" s="30">
        <f t="shared" si="51"/>
        <v>49.232518311647937</v>
      </c>
      <c r="DE34" s="30">
        <f t="shared" si="51"/>
        <v>134.48987992643427</v>
      </c>
      <c r="DF34" s="30">
        <f t="shared" si="51"/>
        <v>140.73593640665226</v>
      </c>
      <c r="DG34" s="30">
        <f t="shared" si="51"/>
        <v>109.72313168638024</v>
      </c>
      <c r="DH34" s="30">
        <f t="shared" si="51"/>
        <v>90.870020634781255</v>
      </c>
      <c r="DI34" s="30">
        <f t="shared" si="51"/>
        <v>132.14968306222343</v>
      </c>
      <c r="DJ34" s="30">
        <f t="shared" si="51"/>
        <v>142.11680137997257</v>
      </c>
      <c r="DK34" s="30">
        <f t="shared" si="51"/>
        <v>127.74667820173829</v>
      </c>
      <c r="DL34" s="30">
        <f t="shared" si="51"/>
        <v>102.68265997276421</v>
      </c>
      <c r="DM34" s="30">
        <f t="shared" si="51"/>
        <v>98.448312106203701</v>
      </c>
      <c r="DN34" s="30">
        <f t="shared" si="51"/>
        <v>122.94857269773564</v>
      </c>
      <c r="DO34" s="30">
        <f t="shared" si="51"/>
        <v>144.03628160262895</v>
      </c>
      <c r="DP34" s="30">
        <f t="shared" si="51"/>
        <v>146.91896366702267</v>
      </c>
      <c r="DQ34" s="30">
        <f t="shared" si="51"/>
        <v>126.70242175526316</v>
      </c>
      <c r="DR34" s="30">
        <f t="shared" si="51"/>
        <v>108.45084227190439</v>
      </c>
      <c r="DS34" s="30">
        <f t="shared" si="51"/>
        <v>151.19760924081402</v>
      </c>
      <c r="DT34" s="30">
        <f t="shared" si="51"/>
        <v>114.16240693793856</v>
      </c>
      <c r="DU34" s="30">
        <f t="shared" si="51"/>
        <v>70.932070170672517</v>
      </c>
      <c r="DV34" s="30">
        <f t="shared" si="51"/>
        <v>74.459537120367273</v>
      </c>
      <c r="DW34" s="30">
        <f t="shared" si="51"/>
        <v>134.82668311017642</v>
      </c>
      <c r="DX34" s="30">
        <f t="shared" si="51"/>
        <v>150.69992358287061</v>
      </c>
      <c r="DY34" s="30">
        <f t="shared" si="51"/>
        <v>82.686488680636899</v>
      </c>
      <c r="DZ34" s="30">
        <f t="shared" si="51"/>
        <v>94.039994328079189</v>
      </c>
      <c r="EA34" s="30">
        <f t="shared" si="51"/>
        <v>95.381123777787124</v>
      </c>
      <c r="EB34" s="30">
        <f t="shared" si="51"/>
        <v>138.93622730978208</v>
      </c>
      <c r="EC34" s="30">
        <f t="shared" si="51"/>
        <v>127.94725073472028</v>
      </c>
      <c r="ED34" s="30">
        <f t="shared" si="51"/>
        <v>107.14464249802454</v>
      </c>
      <c r="EE34" s="30">
        <f t="shared" si="51"/>
        <v>131.37561527035695</v>
      </c>
      <c r="EF34" s="30">
        <f t="shared" si="51"/>
        <v>76.144103306298021</v>
      </c>
      <c r="EG34" s="30">
        <f t="shared" si="51"/>
        <v>76.29828013954274</v>
      </c>
      <c r="EH34" s="30">
        <f t="shared" si="51"/>
        <v>113.80723615172612</v>
      </c>
      <c r="EI34" s="30">
        <f t="shared" si="51"/>
        <v>82.7766285417745</v>
      </c>
      <c r="EJ34" s="30">
        <f t="shared" si="51"/>
        <v>60.405048304792551</v>
      </c>
      <c r="EK34" s="30">
        <f t="shared" si="51"/>
        <v>79.424773251759675</v>
      </c>
      <c r="EL34" s="30">
        <f t="shared" si="51"/>
        <v>108.38667741041742</v>
      </c>
      <c r="EM34" s="30">
        <f t="shared" ref="EM34:GX34" si="52">SUM(EM32:EM33)</f>
        <v>62.225683574552747</v>
      </c>
      <c r="EN34" s="30">
        <f t="shared" si="52"/>
        <v>120.38177592026861</v>
      </c>
      <c r="EO34" s="30">
        <f t="shared" si="52"/>
        <v>108.64225627961491</v>
      </c>
      <c r="EP34" s="30">
        <f t="shared" si="52"/>
        <v>56.840153422836991</v>
      </c>
      <c r="EQ34" s="30">
        <f t="shared" si="52"/>
        <v>54.856631394392267</v>
      </c>
      <c r="ER34" s="30">
        <f t="shared" si="52"/>
        <v>113.73755735931438</v>
      </c>
      <c r="ES34" s="30">
        <f t="shared" si="52"/>
        <v>86.119107217761567</v>
      </c>
      <c r="ET34" s="30">
        <f t="shared" si="52"/>
        <v>141.75797628524208</v>
      </c>
      <c r="EU34" s="30">
        <f t="shared" si="52"/>
        <v>145.25137932970753</v>
      </c>
      <c r="EV34" s="30">
        <f t="shared" si="52"/>
        <v>143.28998375402989</v>
      </c>
      <c r="EW34" s="30">
        <f t="shared" si="52"/>
        <v>151.0434477136111</v>
      </c>
      <c r="EX34" s="30">
        <f t="shared" si="52"/>
        <v>90.704990625744912</v>
      </c>
      <c r="EY34" s="30">
        <f t="shared" si="52"/>
        <v>118.12369070121952</v>
      </c>
      <c r="EZ34" s="30">
        <f t="shared" si="52"/>
        <v>101.18442624731021</v>
      </c>
      <c r="FA34" s="30">
        <f t="shared" si="52"/>
        <v>147.10373381211073</v>
      </c>
      <c r="FB34" s="30">
        <f t="shared" si="52"/>
        <v>60.415357507699049</v>
      </c>
      <c r="FC34" s="30">
        <f t="shared" si="52"/>
        <v>62.253502609786246</v>
      </c>
      <c r="FD34" s="30">
        <f t="shared" si="52"/>
        <v>147.49803913954665</v>
      </c>
      <c r="FE34" s="30">
        <f t="shared" si="52"/>
        <v>141.20086279253789</v>
      </c>
      <c r="FF34" s="30">
        <f t="shared" si="52"/>
        <v>133.721031138059</v>
      </c>
      <c r="FG34" s="30">
        <f t="shared" si="52"/>
        <v>92.21025511602349</v>
      </c>
      <c r="FH34" s="30">
        <f t="shared" si="52"/>
        <v>63.99305838501725</v>
      </c>
      <c r="FI34" s="30">
        <f t="shared" si="52"/>
        <v>76.076163044966989</v>
      </c>
      <c r="FJ34" s="30">
        <f t="shared" si="52"/>
        <v>138.1184343958588</v>
      </c>
      <c r="FK34" s="30">
        <f t="shared" si="52"/>
        <v>140.82523402382759</v>
      </c>
      <c r="FL34" s="30">
        <f t="shared" si="52"/>
        <v>62.323003599243094</v>
      </c>
      <c r="FM34" s="30">
        <f t="shared" si="52"/>
        <v>121.58397188379337</v>
      </c>
      <c r="FN34" s="30">
        <f t="shared" si="52"/>
        <v>141.92703374500084</v>
      </c>
      <c r="FO34" s="30">
        <f t="shared" si="52"/>
        <v>106.97849508311228</v>
      </c>
      <c r="FP34" s="30">
        <f t="shared" si="52"/>
        <v>148.46345078030237</v>
      </c>
      <c r="FQ34" s="30">
        <f t="shared" si="52"/>
        <v>116.61814254654499</v>
      </c>
      <c r="FR34" s="30">
        <f t="shared" si="52"/>
        <v>104.23407833883445</v>
      </c>
      <c r="FS34" s="30">
        <f t="shared" si="52"/>
        <v>137.74258432787587</v>
      </c>
      <c r="FT34" s="30">
        <f t="shared" si="52"/>
        <v>148.92242120777834</v>
      </c>
      <c r="FU34" s="30">
        <f t="shared" si="52"/>
        <v>116.468726567761</v>
      </c>
      <c r="FV34" s="30">
        <f t="shared" si="52"/>
        <v>131.11003980193661</v>
      </c>
      <c r="FW34" s="30">
        <f t="shared" si="52"/>
        <v>119.26381396524422</v>
      </c>
      <c r="FX34" s="30">
        <f t="shared" si="52"/>
        <v>145.77557100852275</v>
      </c>
      <c r="FY34" s="30">
        <f t="shared" si="52"/>
        <v>138.95998988647995</v>
      </c>
      <c r="FZ34" s="30">
        <f t="shared" si="52"/>
        <v>96.72227198595786</v>
      </c>
      <c r="GA34" s="30">
        <f t="shared" si="52"/>
        <v>134.41410329573878</v>
      </c>
      <c r="GB34" s="30">
        <f t="shared" si="52"/>
        <v>102.85192181267487</v>
      </c>
      <c r="GC34" s="30">
        <f t="shared" si="52"/>
        <v>76.170891003633074</v>
      </c>
      <c r="GD34" s="30">
        <f t="shared" si="52"/>
        <v>54.896172817821245</v>
      </c>
      <c r="GE34" s="30">
        <f t="shared" si="52"/>
        <v>51.233471781927186</v>
      </c>
      <c r="GF34" s="30">
        <f t="shared" si="52"/>
        <v>54.984802606967641</v>
      </c>
      <c r="GG34" s="30">
        <f t="shared" si="52"/>
        <v>138.88673318478928</v>
      </c>
      <c r="GH34" s="30">
        <f t="shared" si="52"/>
        <v>67.518500030642258</v>
      </c>
      <c r="GI34" s="30">
        <f t="shared" si="52"/>
        <v>119.12962997352795</v>
      </c>
      <c r="GJ34" s="30">
        <f t="shared" si="52"/>
        <v>72.636616898527734</v>
      </c>
      <c r="GK34" s="30">
        <f t="shared" si="52"/>
        <v>93.924549039174195</v>
      </c>
      <c r="GL34" s="30">
        <f t="shared" si="52"/>
        <v>96.772562393922641</v>
      </c>
      <c r="GM34" s="30">
        <f t="shared" si="52"/>
        <v>74.374474428475509</v>
      </c>
      <c r="GN34" s="30">
        <f t="shared" si="52"/>
        <v>131.33349086841855</v>
      </c>
      <c r="GO34" s="30">
        <f t="shared" si="52"/>
        <v>151.15649200785225</v>
      </c>
      <c r="GP34" s="30">
        <f t="shared" si="52"/>
        <v>124.23474213231778</v>
      </c>
      <c r="GQ34" s="30">
        <f t="shared" si="52"/>
        <v>134.4954247293513</v>
      </c>
      <c r="GR34" s="30">
        <f t="shared" si="52"/>
        <v>77.794197817794384</v>
      </c>
      <c r="GS34" s="30">
        <f t="shared" si="52"/>
        <v>93.729592309221957</v>
      </c>
      <c r="GT34" s="30">
        <f t="shared" si="52"/>
        <v>81.127726896828733</v>
      </c>
      <c r="GU34" s="30">
        <f t="shared" si="52"/>
        <v>94.006900892518004</v>
      </c>
      <c r="GV34" s="30">
        <f t="shared" si="52"/>
        <v>121.54915869760913</v>
      </c>
      <c r="GW34" s="30">
        <f t="shared" si="52"/>
        <v>84.273855893191168</v>
      </c>
      <c r="GX34" s="30">
        <f t="shared" si="52"/>
        <v>112.50057005042757</v>
      </c>
      <c r="GY34" s="30">
        <f t="shared" ref="GY34:JJ34" si="53">SUM(GY32:GY33)</f>
        <v>65.884065197106167</v>
      </c>
      <c r="GZ34" s="30">
        <f t="shared" si="53"/>
        <v>64.078078477855456</v>
      </c>
      <c r="HA34" s="30">
        <f t="shared" si="53"/>
        <v>86.075340237762461</v>
      </c>
      <c r="HB34" s="30">
        <f t="shared" si="53"/>
        <v>139.0771023738632</v>
      </c>
      <c r="HC34" s="30">
        <f t="shared" si="53"/>
        <v>51.124270460152523</v>
      </c>
      <c r="HD34" s="30">
        <f t="shared" si="53"/>
        <v>134.43688890935761</v>
      </c>
      <c r="HE34" s="30">
        <f t="shared" si="53"/>
        <v>139.84057428051676</v>
      </c>
      <c r="HF34" s="30">
        <f t="shared" si="53"/>
        <v>128.88873699533727</v>
      </c>
      <c r="HG34" s="30">
        <f t="shared" si="53"/>
        <v>144.19238506698184</v>
      </c>
      <c r="HH34" s="30">
        <f t="shared" si="53"/>
        <v>130.16590945942033</v>
      </c>
      <c r="HI34" s="30">
        <f t="shared" si="53"/>
        <v>74.450240456050238</v>
      </c>
      <c r="HJ34" s="30">
        <f t="shared" si="53"/>
        <v>131.41292354904252</v>
      </c>
      <c r="HK34" s="30">
        <f t="shared" si="53"/>
        <v>67.574732365078887</v>
      </c>
      <c r="HL34" s="30">
        <f t="shared" si="53"/>
        <v>145.9430747553742</v>
      </c>
      <c r="HM34" s="30">
        <f t="shared" si="53"/>
        <v>137.9761808724179</v>
      </c>
      <c r="HN34" s="30">
        <f t="shared" si="53"/>
        <v>131.26238714992064</v>
      </c>
      <c r="HO34" s="30">
        <f t="shared" si="53"/>
        <v>131.09360314385657</v>
      </c>
      <c r="HP34" s="30">
        <f t="shared" si="53"/>
        <v>69.226532909122284</v>
      </c>
      <c r="HQ34" s="30">
        <f t="shared" si="53"/>
        <v>139.19706494898205</v>
      </c>
      <c r="HR34" s="30">
        <f t="shared" si="53"/>
        <v>82.745482955371187</v>
      </c>
      <c r="HS34" s="30">
        <f t="shared" si="53"/>
        <v>56.723762111941411</v>
      </c>
      <c r="HT34" s="30">
        <f t="shared" si="53"/>
        <v>145.71203610134066</v>
      </c>
      <c r="HU34" s="30">
        <f t="shared" si="53"/>
        <v>67.657110304193765</v>
      </c>
      <c r="HV34" s="30">
        <f t="shared" si="53"/>
        <v>150.49418136209414</v>
      </c>
      <c r="HW34" s="30">
        <f t="shared" si="53"/>
        <v>146.08191885053543</v>
      </c>
      <c r="HX34" s="30">
        <f t="shared" si="53"/>
        <v>115.05938185110212</v>
      </c>
      <c r="HY34" s="30">
        <f t="shared" si="53"/>
        <v>148.0354661178294</v>
      </c>
      <c r="HZ34" s="30">
        <f t="shared" si="53"/>
        <v>56.737323724163303</v>
      </c>
      <c r="IA34" s="30">
        <f t="shared" si="53"/>
        <v>67.613516399668626</v>
      </c>
      <c r="IB34" s="30">
        <f t="shared" si="53"/>
        <v>104.05322124959231</v>
      </c>
      <c r="IC34" s="30">
        <f t="shared" si="53"/>
        <v>81.1977259115869</v>
      </c>
      <c r="ID34" s="30">
        <f t="shared" si="53"/>
        <v>148.9326562635149</v>
      </c>
      <c r="IE34" s="30">
        <f t="shared" si="53"/>
        <v>101.26772150567622</v>
      </c>
      <c r="IF34" s="30">
        <f t="shared" si="53"/>
        <v>139.13964212413134</v>
      </c>
      <c r="IG34" s="30">
        <f t="shared" si="53"/>
        <v>89.304789690698954</v>
      </c>
      <c r="IH34" s="30">
        <f t="shared" si="53"/>
        <v>141.26216670717946</v>
      </c>
      <c r="II34" s="30">
        <f t="shared" si="53"/>
        <v>122.96997241634025</v>
      </c>
      <c r="IJ34" s="30">
        <f t="shared" si="53"/>
        <v>123.20107065320977</v>
      </c>
      <c r="IK34" s="30">
        <f t="shared" si="53"/>
        <v>82.66222365828753</v>
      </c>
      <c r="IL34" s="30">
        <f t="shared" si="53"/>
        <v>120.23113026084809</v>
      </c>
      <c r="IM34" s="30">
        <f t="shared" si="53"/>
        <v>126.75134334804699</v>
      </c>
      <c r="IN34" s="30">
        <f t="shared" si="53"/>
        <v>126.62011300642276</v>
      </c>
      <c r="IO34" s="30">
        <f t="shared" si="53"/>
        <v>143.69158297578412</v>
      </c>
      <c r="IP34" s="30">
        <f t="shared" si="53"/>
        <v>116.47537395082277</v>
      </c>
      <c r="IQ34" s="30">
        <f t="shared" si="53"/>
        <v>92.200242592654448</v>
      </c>
      <c r="IR34" s="30">
        <f t="shared" si="53"/>
        <v>108.41382090206559</v>
      </c>
      <c r="IS34" s="30">
        <f t="shared" si="53"/>
        <v>93.784752726061825</v>
      </c>
      <c r="IT34" s="30">
        <f t="shared" si="53"/>
        <v>102.86695778900338</v>
      </c>
      <c r="IU34" s="30">
        <f t="shared" si="53"/>
        <v>74.538439503851777</v>
      </c>
      <c r="IV34" s="30">
        <f t="shared" si="53"/>
        <v>114.02915314908499</v>
      </c>
      <c r="IW34" s="30">
        <f t="shared" si="53"/>
        <v>151.20851017719258</v>
      </c>
      <c r="IX34" s="30">
        <f t="shared" si="53"/>
        <v>101.46829701049415</v>
      </c>
      <c r="IY34" s="30">
        <f t="shared" si="53"/>
        <v>139.10934133451934</v>
      </c>
      <c r="IZ34" s="30">
        <f t="shared" si="53"/>
        <v>107.18973365753237</v>
      </c>
      <c r="JA34" s="30">
        <f t="shared" si="53"/>
        <v>109.74258772412561</v>
      </c>
      <c r="JB34" s="30">
        <f t="shared" si="53"/>
        <v>58.493604728706664</v>
      </c>
      <c r="JC34" s="30">
        <f t="shared" si="53"/>
        <v>138.1510955463111</v>
      </c>
      <c r="JD34" s="30">
        <f t="shared" si="53"/>
        <v>86.187251823222098</v>
      </c>
      <c r="JE34" s="30">
        <f t="shared" si="53"/>
        <v>85.968515875625343</v>
      </c>
      <c r="JF34" s="30">
        <f t="shared" si="53"/>
        <v>90.828319471017551</v>
      </c>
      <c r="JG34" s="30">
        <f t="shared" si="53"/>
        <v>151.35172958016409</v>
      </c>
      <c r="JH34" s="30">
        <f t="shared" si="53"/>
        <v>67.669622987628372</v>
      </c>
      <c r="JI34" s="30">
        <f t="shared" si="53"/>
        <v>139.81195929276436</v>
      </c>
      <c r="JJ34" s="30">
        <f t="shared" si="53"/>
        <v>72.674176826294172</v>
      </c>
      <c r="JK34" s="30">
        <f t="shared" ref="JK34:KI34" si="54">SUM(JK32:JK33)</f>
        <v>63.960223129206369</v>
      </c>
      <c r="JL34" s="30">
        <f t="shared" si="54"/>
        <v>120.65723142847304</v>
      </c>
      <c r="JM34" s="30">
        <f t="shared" si="54"/>
        <v>145.74827868839373</v>
      </c>
      <c r="JN34" s="30">
        <f t="shared" si="54"/>
        <v>58.664212277777693</v>
      </c>
      <c r="JO34" s="30">
        <f t="shared" si="54"/>
        <v>118.08778857519684</v>
      </c>
      <c r="JP34" s="30">
        <f t="shared" si="54"/>
        <v>49.280882524262005</v>
      </c>
      <c r="JQ34" s="30">
        <f t="shared" si="54"/>
        <v>99.751114482793326</v>
      </c>
      <c r="JR34" s="30">
        <f t="shared" si="54"/>
        <v>142.69203606308636</v>
      </c>
      <c r="JS34" s="30">
        <f t="shared" si="54"/>
        <v>71.122926108410809</v>
      </c>
      <c r="JT34" s="30">
        <f t="shared" si="54"/>
        <v>142.28752916697326</v>
      </c>
      <c r="JU34" s="30">
        <f t="shared" si="54"/>
        <v>140.03550430650577</v>
      </c>
      <c r="JV34" s="30">
        <f t="shared" si="54"/>
        <v>70.97580545256406</v>
      </c>
      <c r="JW34" s="30">
        <f t="shared" si="54"/>
        <v>140.7884010213179</v>
      </c>
      <c r="JX34" s="30">
        <f t="shared" si="54"/>
        <v>51.139234370747758</v>
      </c>
      <c r="JY34" s="30">
        <f t="shared" si="54"/>
        <v>140.91600850540254</v>
      </c>
      <c r="JZ34" s="30">
        <f t="shared" si="54"/>
        <v>102.71045260341135</v>
      </c>
      <c r="KA34" s="30">
        <f t="shared" si="54"/>
        <v>64.117114050733534</v>
      </c>
      <c r="KB34" s="30">
        <f t="shared" si="54"/>
        <v>65.693425801909569</v>
      </c>
      <c r="KC34" s="30">
        <f t="shared" si="54"/>
        <v>144.74774368570905</v>
      </c>
      <c r="KD34" s="30">
        <f t="shared" si="54"/>
        <v>147.82512706104535</v>
      </c>
      <c r="KE34" s="30">
        <f t="shared" si="54"/>
        <v>95.285701159405107</v>
      </c>
      <c r="KF34" s="30">
        <f t="shared" si="54"/>
        <v>138.123506115265</v>
      </c>
      <c r="KG34" s="30">
        <f t="shared" si="54"/>
        <v>115.33224407916086</v>
      </c>
      <c r="KH34" s="30">
        <f t="shared" si="54"/>
        <v>82.804849115921598</v>
      </c>
      <c r="KI34" s="30">
        <f t="shared" si="54"/>
        <v>96.840723103773058</v>
      </c>
      <c r="KJ34" s="1"/>
    </row>
    <row r="35" spans="7:296" x14ac:dyDescent="0.35">
      <c r="H35" s="13" t="s">
        <v>22</v>
      </c>
      <c r="I35" s="1"/>
      <c r="J35" s="1"/>
      <c r="K35" s="1"/>
      <c r="M35" s="15" t="s">
        <v>171</v>
      </c>
      <c r="N35" s="24">
        <f>Inputs!K88</f>
        <v>-2.625</v>
      </c>
      <c r="O35" s="24">
        <f>Inputs!L88</f>
        <v>-2.625</v>
      </c>
      <c r="P35" s="24">
        <f>Inputs!M88</f>
        <v>-2.625</v>
      </c>
      <c r="Q35" s="24">
        <f>Inputs!N88</f>
        <v>-2.625</v>
      </c>
      <c r="R35" s="24">
        <f>Inputs!O88</f>
        <v>-2.625</v>
      </c>
      <c r="S35" s="24">
        <f>Inputs!P88</f>
        <v>-2.625</v>
      </c>
      <c r="T35" s="24">
        <f>Inputs!Q88</f>
        <v>-2.625</v>
      </c>
      <c r="U35" s="24">
        <f>Inputs!R88</f>
        <v>-2.625</v>
      </c>
      <c r="V35" s="24">
        <f>Inputs!S88</f>
        <v>-2.625</v>
      </c>
      <c r="W35" s="24">
        <f>Inputs!T88</f>
        <v>-2.625</v>
      </c>
      <c r="X35" s="24">
        <f>Inputs!U88</f>
        <v>-2.625</v>
      </c>
      <c r="Y35" s="24">
        <f>Inputs!V88</f>
        <v>-2.625</v>
      </c>
      <c r="Z35" s="24">
        <f>Inputs!W88</f>
        <v>-2.625</v>
      </c>
      <c r="AA35" s="24">
        <f>Inputs!X88</f>
        <v>-2.625</v>
      </c>
      <c r="AB35" s="24">
        <f>Inputs!Y88</f>
        <v>-2.625</v>
      </c>
      <c r="AC35" s="24">
        <f>Inputs!Z88</f>
        <v>-2.625</v>
      </c>
      <c r="AD35" s="24">
        <f>Inputs!AA88</f>
        <v>-2.625</v>
      </c>
      <c r="AE35" s="24">
        <f>Inputs!AB88</f>
        <v>-2.625</v>
      </c>
      <c r="AF35" s="24">
        <f>Inputs!AC88</f>
        <v>-2.625</v>
      </c>
      <c r="AG35" s="24">
        <f>Inputs!AD88</f>
        <v>-2.625</v>
      </c>
      <c r="AH35" s="24">
        <f>Inputs!AE88</f>
        <v>-2.625</v>
      </c>
      <c r="AI35" s="24">
        <f>Inputs!AF88</f>
        <v>-2.625</v>
      </c>
      <c r="AJ35" s="24">
        <f>Inputs!AG88</f>
        <v>-2.625</v>
      </c>
      <c r="AK35" s="24">
        <f>Inputs!AH88</f>
        <v>-2.625</v>
      </c>
      <c r="AL35" s="24">
        <f>Inputs!AI88</f>
        <v>-2.625</v>
      </c>
      <c r="AM35" s="24">
        <f>Inputs!AJ88</f>
        <v>-2.625</v>
      </c>
      <c r="AN35" s="24">
        <f>Inputs!AK88</f>
        <v>-2.625</v>
      </c>
      <c r="AO35" s="24">
        <f>Inputs!AL88</f>
        <v>-2.625</v>
      </c>
      <c r="AP35" s="24">
        <f>Inputs!AM88</f>
        <v>-2.625</v>
      </c>
      <c r="AQ35" s="24">
        <f>Inputs!AN88</f>
        <v>-2.625</v>
      </c>
      <c r="AR35" s="24">
        <f>Inputs!AO88</f>
        <v>-2.625</v>
      </c>
      <c r="AS35" s="24">
        <f>Inputs!AP88</f>
        <v>-2.625</v>
      </c>
      <c r="AT35" s="24">
        <f>Inputs!AQ88</f>
        <v>-2.625</v>
      </c>
      <c r="AU35" s="24">
        <f>Inputs!AR88</f>
        <v>-2.625</v>
      </c>
      <c r="AV35" s="24">
        <f>Inputs!AS88</f>
        <v>-2.625</v>
      </c>
      <c r="AW35" s="24">
        <f>Inputs!AT88</f>
        <v>-2.625</v>
      </c>
      <c r="AX35" s="24">
        <f>Inputs!AU88</f>
        <v>-2.625</v>
      </c>
      <c r="AY35" s="24">
        <f>Inputs!AV88</f>
        <v>-2.625</v>
      </c>
      <c r="AZ35" s="24">
        <f>Inputs!AW88</f>
        <v>-2.625</v>
      </c>
      <c r="BA35" s="24">
        <f>Inputs!AX88</f>
        <v>-2.625</v>
      </c>
      <c r="BB35" s="24">
        <f>Inputs!AY88</f>
        <v>-2.625</v>
      </c>
      <c r="BC35" s="24">
        <f>Inputs!AZ88</f>
        <v>-2.625</v>
      </c>
      <c r="BD35" s="24">
        <f>Inputs!BA88</f>
        <v>-2.625</v>
      </c>
      <c r="BE35" s="24">
        <f>Inputs!BB88</f>
        <v>-2.625</v>
      </c>
      <c r="BF35" s="24">
        <f>Inputs!BC88</f>
        <v>-2.625</v>
      </c>
      <c r="BG35" s="24">
        <f>Inputs!BD88</f>
        <v>-2.625</v>
      </c>
      <c r="BH35" s="24">
        <f>Inputs!BE88</f>
        <v>-2.625</v>
      </c>
      <c r="BI35" s="24">
        <f>Inputs!BF88</f>
        <v>-2.625</v>
      </c>
      <c r="BJ35" s="24">
        <f>Inputs!BG88</f>
        <v>-2.625</v>
      </c>
      <c r="BK35" s="24">
        <f>Inputs!BH88</f>
        <v>-2.625</v>
      </c>
      <c r="BL35" s="24">
        <f>Inputs!BI88</f>
        <v>-2.625</v>
      </c>
      <c r="BM35" s="24">
        <f>Inputs!BJ88</f>
        <v>-2.625</v>
      </c>
      <c r="BN35" s="24">
        <f>Inputs!BK88</f>
        <v>-2.625</v>
      </c>
      <c r="BO35" s="24">
        <f>Inputs!BL88</f>
        <v>-2.625</v>
      </c>
      <c r="BP35" s="24">
        <f>Inputs!BM88</f>
        <v>-2.625</v>
      </c>
      <c r="BQ35" s="24">
        <f>Inputs!BN88</f>
        <v>-2.625</v>
      </c>
      <c r="BR35" s="24">
        <f>Inputs!BO88</f>
        <v>-2.625</v>
      </c>
      <c r="BS35" s="24">
        <f>Inputs!BP88</f>
        <v>-2.625</v>
      </c>
      <c r="BT35" s="24">
        <f>Inputs!BQ88</f>
        <v>-2.625</v>
      </c>
      <c r="BU35" s="24">
        <f>Inputs!BR88</f>
        <v>-2.625</v>
      </c>
      <c r="BV35" s="24">
        <f>Inputs!BS88</f>
        <v>-2.625</v>
      </c>
      <c r="BW35" s="24">
        <f>Inputs!BT88</f>
        <v>-2.625</v>
      </c>
      <c r="BX35" s="24">
        <f>Inputs!BU88</f>
        <v>-2.625</v>
      </c>
      <c r="BY35" s="24">
        <f>Inputs!BV88</f>
        <v>-2.625</v>
      </c>
      <c r="BZ35" s="24">
        <f>Inputs!BW88</f>
        <v>-2.625</v>
      </c>
      <c r="CA35" s="24">
        <f>Inputs!BX88</f>
        <v>-2.625</v>
      </c>
      <c r="CB35" s="24">
        <f>Inputs!BY88</f>
        <v>-2.625</v>
      </c>
      <c r="CC35" s="24">
        <f>Inputs!BZ88</f>
        <v>-2.625</v>
      </c>
      <c r="CD35" s="24">
        <f>Inputs!CA88</f>
        <v>-2.625</v>
      </c>
      <c r="CE35" s="24">
        <f>Inputs!CB88</f>
        <v>-2.625</v>
      </c>
      <c r="CF35" s="24">
        <f>Inputs!CC88</f>
        <v>-2.625</v>
      </c>
      <c r="CG35" s="24">
        <f>Inputs!CD88</f>
        <v>-2.625</v>
      </c>
      <c r="CH35" s="24">
        <f>Inputs!CE88</f>
        <v>-2.625</v>
      </c>
      <c r="CI35" s="24">
        <f>Inputs!CF88</f>
        <v>-2.625</v>
      </c>
      <c r="CJ35" s="24">
        <f>Inputs!CG88</f>
        <v>-2.625</v>
      </c>
      <c r="CK35" s="24">
        <f>Inputs!CH88</f>
        <v>-2.625</v>
      </c>
      <c r="CL35" s="24">
        <f>Inputs!CI88</f>
        <v>-2.625</v>
      </c>
      <c r="CM35" s="24">
        <f>Inputs!CJ88</f>
        <v>-2.625</v>
      </c>
      <c r="CN35" s="24">
        <f>Inputs!CK88</f>
        <v>-2.625</v>
      </c>
      <c r="CO35" s="24">
        <f>Inputs!CL88</f>
        <v>-2.625</v>
      </c>
      <c r="CP35" s="24">
        <f>Inputs!CM88</f>
        <v>-2.625</v>
      </c>
      <c r="CQ35" s="24">
        <f>Inputs!CN88</f>
        <v>-2.625</v>
      </c>
      <c r="CR35" s="24">
        <f>Inputs!CO88</f>
        <v>-2.625</v>
      </c>
      <c r="CS35" s="24">
        <f>Inputs!CP88</f>
        <v>-2.625</v>
      </c>
      <c r="CT35" s="24">
        <f>Inputs!CQ88</f>
        <v>-2.625</v>
      </c>
      <c r="CU35" s="24">
        <f>Inputs!CR88</f>
        <v>-2.625</v>
      </c>
      <c r="CV35" s="24">
        <f>Inputs!CS88</f>
        <v>-2.625</v>
      </c>
      <c r="CW35" s="24">
        <f>Inputs!CT88</f>
        <v>-2.625</v>
      </c>
      <c r="CX35" s="24">
        <f>Inputs!CU88</f>
        <v>-2.625</v>
      </c>
      <c r="CY35" s="24">
        <f>Inputs!CV88</f>
        <v>-2.625</v>
      </c>
      <c r="CZ35" s="24">
        <f>Inputs!CW88</f>
        <v>-2.625</v>
      </c>
      <c r="DA35" s="24">
        <f>Inputs!CX88</f>
        <v>-2.625</v>
      </c>
      <c r="DB35" s="24">
        <f>Inputs!CY88</f>
        <v>-2.625</v>
      </c>
      <c r="DC35" s="24">
        <f>Inputs!CZ88</f>
        <v>-2.625</v>
      </c>
      <c r="DD35" s="24">
        <f>Inputs!DA88</f>
        <v>-2.625</v>
      </c>
      <c r="DE35" s="24">
        <f>Inputs!DB88</f>
        <v>-2.625</v>
      </c>
      <c r="DF35" s="24">
        <f>Inputs!DC88</f>
        <v>-2.625</v>
      </c>
      <c r="DG35" s="24">
        <f>Inputs!DD88</f>
        <v>-2.625</v>
      </c>
      <c r="DH35" s="24">
        <f>Inputs!DE88</f>
        <v>-2.625</v>
      </c>
      <c r="DI35" s="24">
        <f>Inputs!DF88</f>
        <v>-2.625</v>
      </c>
      <c r="DJ35" s="24">
        <f>Inputs!DG88</f>
        <v>-2.625</v>
      </c>
      <c r="DK35" s="24">
        <f>Inputs!DH88</f>
        <v>-2.625</v>
      </c>
      <c r="DL35" s="24">
        <f>Inputs!DI88</f>
        <v>-2.625</v>
      </c>
      <c r="DM35" s="24">
        <f>Inputs!DJ88</f>
        <v>-2.625</v>
      </c>
      <c r="DN35" s="24">
        <f>Inputs!DK88</f>
        <v>-2.625</v>
      </c>
      <c r="DO35" s="24">
        <f>Inputs!DL88</f>
        <v>-2.625</v>
      </c>
      <c r="DP35" s="24">
        <f>Inputs!DM88</f>
        <v>-2.625</v>
      </c>
      <c r="DQ35" s="24">
        <f>Inputs!DN88</f>
        <v>-2.625</v>
      </c>
      <c r="DR35" s="24">
        <f>Inputs!DO88</f>
        <v>-2.625</v>
      </c>
      <c r="DS35" s="24">
        <f>Inputs!DP88</f>
        <v>-2.625</v>
      </c>
      <c r="DT35" s="24">
        <f>Inputs!DQ88</f>
        <v>-2.625</v>
      </c>
      <c r="DU35" s="24">
        <f>Inputs!DR88</f>
        <v>-2.625</v>
      </c>
      <c r="DV35" s="24">
        <f>Inputs!DS88</f>
        <v>-2.625</v>
      </c>
      <c r="DW35" s="24">
        <f>Inputs!DT88</f>
        <v>-2.625</v>
      </c>
      <c r="DX35" s="24">
        <f>Inputs!DU88</f>
        <v>-2.625</v>
      </c>
      <c r="DY35" s="24">
        <f>Inputs!DV88</f>
        <v>-2.625</v>
      </c>
      <c r="DZ35" s="24">
        <f>Inputs!DW88</f>
        <v>-2.625</v>
      </c>
      <c r="EA35" s="24">
        <f>Inputs!DX88</f>
        <v>-2.625</v>
      </c>
      <c r="EB35" s="24">
        <f>Inputs!DY88</f>
        <v>-2.625</v>
      </c>
      <c r="EC35" s="24">
        <f>Inputs!DZ88</f>
        <v>-2.625</v>
      </c>
      <c r="ED35" s="24">
        <f>Inputs!EA88</f>
        <v>-2.625</v>
      </c>
      <c r="EE35" s="24">
        <f>Inputs!EB88</f>
        <v>-2.625</v>
      </c>
      <c r="EF35" s="24">
        <f>Inputs!EC88</f>
        <v>-2.625</v>
      </c>
      <c r="EG35" s="24">
        <f>Inputs!ED88</f>
        <v>-2.625</v>
      </c>
      <c r="EH35" s="24">
        <f>Inputs!EE88</f>
        <v>-2.625</v>
      </c>
      <c r="EI35" s="24">
        <f>Inputs!EF88</f>
        <v>-2.625</v>
      </c>
      <c r="EJ35" s="24">
        <f>Inputs!EG88</f>
        <v>-2.625</v>
      </c>
      <c r="EK35" s="24">
        <f>Inputs!EH88</f>
        <v>-2.625</v>
      </c>
      <c r="EL35" s="24">
        <f>Inputs!EI88</f>
        <v>-2.625</v>
      </c>
      <c r="EM35" s="24">
        <f>Inputs!EJ88</f>
        <v>-2.625</v>
      </c>
      <c r="EN35" s="24">
        <f>Inputs!EK88</f>
        <v>-2.625</v>
      </c>
      <c r="EO35" s="24">
        <f>Inputs!EL88</f>
        <v>-2.625</v>
      </c>
      <c r="EP35" s="24">
        <f>Inputs!EM88</f>
        <v>-2.625</v>
      </c>
      <c r="EQ35" s="24">
        <f>Inputs!EN88</f>
        <v>-2.625</v>
      </c>
      <c r="ER35" s="24">
        <f>Inputs!EO88</f>
        <v>-2.625</v>
      </c>
      <c r="ES35" s="24">
        <f>Inputs!EP88</f>
        <v>-2.625</v>
      </c>
      <c r="ET35" s="24">
        <f>Inputs!EQ88</f>
        <v>-2.625</v>
      </c>
      <c r="EU35" s="24">
        <f>Inputs!ER88</f>
        <v>-2.625</v>
      </c>
      <c r="EV35" s="24">
        <f>Inputs!ES88</f>
        <v>-2.625</v>
      </c>
      <c r="EW35" s="24">
        <f>Inputs!ET88</f>
        <v>-2.625</v>
      </c>
      <c r="EX35" s="24">
        <f>Inputs!EU88</f>
        <v>-2.625</v>
      </c>
      <c r="EY35" s="24">
        <f>Inputs!EV88</f>
        <v>-2.625</v>
      </c>
      <c r="EZ35" s="24">
        <f>Inputs!EW88</f>
        <v>-2.625</v>
      </c>
      <c r="FA35" s="24">
        <f>Inputs!EX88</f>
        <v>-2.625</v>
      </c>
      <c r="FB35" s="24">
        <f>Inputs!EY88</f>
        <v>-2.625</v>
      </c>
      <c r="FC35" s="24">
        <f>Inputs!EZ88</f>
        <v>-2.625</v>
      </c>
      <c r="FD35" s="24">
        <f>Inputs!FA88</f>
        <v>-2.625</v>
      </c>
      <c r="FE35" s="24">
        <f>Inputs!FB88</f>
        <v>-2.625</v>
      </c>
      <c r="FF35" s="24">
        <f>Inputs!FC88</f>
        <v>-2.625</v>
      </c>
      <c r="FG35" s="24">
        <f>Inputs!FD88</f>
        <v>-2.625</v>
      </c>
      <c r="FH35" s="24">
        <f>Inputs!FE88</f>
        <v>-2.625</v>
      </c>
      <c r="FI35" s="24">
        <f>Inputs!FF88</f>
        <v>-2.625</v>
      </c>
      <c r="FJ35" s="24">
        <f>Inputs!FG88</f>
        <v>-2.625</v>
      </c>
      <c r="FK35" s="24">
        <f>Inputs!FH88</f>
        <v>-2.625</v>
      </c>
      <c r="FL35" s="24">
        <f>Inputs!FI88</f>
        <v>-2.625</v>
      </c>
      <c r="FM35" s="24">
        <f>Inputs!FJ88</f>
        <v>-2.625</v>
      </c>
      <c r="FN35" s="24">
        <f>Inputs!FK88</f>
        <v>-2.625</v>
      </c>
      <c r="FO35" s="24">
        <f>Inputs!FL88</f>
        <v>-2.625</v>
      </c>
      <c r="FP35" s="24">
        <f>Inputs!FM88</f>
        <v>-2.625</v>
      </c>
      <c r="FQ35" s="24">
        <f>Inputs!FN88</f>
        <v>-2.625</v>
      </c>
      <c r="FR35" s="24">
        <f>Inputs!FO88</f>
        <v>-2.625</v>
      </c>
      <c r="FS35" s="24">
        <f>Inputs!FP88</f>
        <v>-2.625</v>
      </c>
      <c r="FT35" s="24">
        <f>Inputs!FQ88</f>
        <v>-2.625</v>
      </c>
      <c r="FU35" s="24">
        <f>Inputs!FR88</f>
        <v>-2.625</v>
      </c>
      <c r="FV35" s="24">
        <f>Inputs!FS88</f>
        <v>-2.625</v>
      </c>
      <c r="FW35" s="24">
        <f>Inputs!FT88</f>
        <v>-2.625</v>
      </c>
      <c r="FX35" s="24">
        <f>Inputs!FU88</f>
        <v>-2.625</v>
      </c>
      <c r="FY35" s="24">
        <f>Inputs!FV88</f>
        <v>-2.625</v>
      </c>
      <c r="FZ35" s="24">
        <f>Inputs!FW88</f>
        <v>-2.625</v>
      </c>
      <c r="GA35" s="24">
        <f>Inputs!FX88</f>
        <v>-2.625</v>
      </c>
      <c r="GB35" s="24">
        <f>Inputs!FY88</f>
        <v>-2.625</v>
      </c>
      <c r="GC35" s="24">
        <f>Inputs!FZ88</f>
        <v>-2.625</v>
      </c>
      <c r="GD35" s="24">
        <f>Inputs!GA88</f>
        <v>-2.625</v>
      </c>
      <c r="GE35" s="24">
        <f>Inputs!GB88</f>
        <v>-2.625</v>
      </c>
      <c r="GF35" s="24">
        <f>Inputs!GC88</f>
        <v>-2.625</v>
      </c>
      <c r="GG35" s="24">
        <f>Inputs!GD88</f>
        <v>-2.625</v>
      </c>
      <c r="GH35" s="24">
        <f>Inputs!GE88</f>
        <v>-2.625</v>
      </c>
      <c r="GI35" s="24">
        <f>Inputs!GF88</f>
        <v>-2.625</v>
      </c>
      <c r="GJ35" s="24">
        <f>Inputs!GG88</f>
        <v>-2.625</v>
      </c>
      <c r="GK35" s="24">
        <f>Inputs!GH88</f>
        <v>-2.625</v>
      </c>
      <c r="GL35" s="24">
        <f>Inputs!GI88</f>
        <v>-2.625</v>
      </c>
      <c r="GM35" s="24">
        <f>Inputs!GJ88</f>
        <v>-2.625</v>
      </c>
      <c r="GN35" s="24">
        <f>Inputs!GK88</f>
        <v>-2.625</v>
      </c>
      <c r="GO35" s="24">
        <f>Inputs!GL88</f>
        <v>-2.625</v>
      </c>
      <c r="GP35" s="24">
        <f>Inputs!GM88</f>
        <v>-2.625</v>
      </c>
      <c r="GQ35" s="24">
        <f>Inputs!GN88</f>
        <v>-2.625</v>
      </c>
      <c r="GR35" s="24">
        <f>Inputs!GO88</f>
        <v>-2.625</v>
      </c>
      <c r="GS35" s="24">
        <f>Inputs!GP88</f>
        <v>-2.625</v>
      </c>
      <c r="GT35" s="24">
        <f>Inputs!GQ88</f>
        <v>-2.625</v>
      </c>
      <c r="GU35" s="24">
        <f>Inputs!GR88</f>
        <v>-2.625</v>
      </c>
      <c r="GV35" s="24">
        <f>Inputs!GS88</f>
        <v>-2.625</v>
      </c>
      <c r="GW35" s="24">
        <f>Inputs!GT88</f>
        <v>-2.625</v>
      </c>
      <c r="GX35" s="24">
        <f>Inputs!GU88</f>
        <v>-2.625</v>
      </c>
      <c r="GY35" s="24">
        <f>Inputs!GV88</f>
        <v>-2.625</v>
      </c>
      <c r="GZ35" s="24">
        <f>Inputs!GW88</f>
        <v>-2.625</v>
      </c>
      <c r="HA35" s="24">
        <f>Inputs!GX88</f>
        <v>-2.625</v>
      </c>
      <c r="HB35" s="24">
        <f>Inputs!GY88</f>
        <v>-2.625</v>
      </c>
      <c r="HC35" s="24">
        <f>Inputs!GZ88</f>
        <v>-2.625</v>
      </c>
      <c r="HD35" s="24">
        <f>Inputs!HA88</f>
        <v>-2.625</v>
      </c>
      <c r="HE35" s="24">
        <f>Inputs!HB88</f>
        <v>-2.625</v>
      </c>
      <c r="HF35" s="24">
        <f>Inputs!HC88</f>
        <v>-2.625</v>
      </c>
      <c r="HG35" s="24">
        <f>Inputs!HD88</f>
        <v>-2.625</v>
      </c>
      <c r="HH35" s="24">
        <f>Inputs!HE88</f>
        <v>-2.625</v>
      </c>
      <c r="HI35" s="24">
        <f>Inputs!HF88</f>
        <v>-2.625</v>
      </c>
      <c r="HJ35" s="24">
        <f>Inputs!HG88</f>
        <v>-2.625</v>
      </c>
      <c r="HK35" s="24">
        <f>Inputs!HH88</f>
        <v>-2.625</v>
      </c>
      <c r="HL35" s="24">
        <f>Inputs!HI88</f>
        <v>-2.625</v>
      </c>
      <c r="HM35" s="24">
        <f>Inputs!HJ88</f>
        <v>-2.625</v>
      </c>
      <c r="HN35" s="24">
        <f>Inputs!HK88</f>
        <v>-2.625</v>
      </c>
      <c r="HO35" s="24">
        <f>Inputs!HL88</f>
        <v>-2.625</v>
      </c>
      <c r="HP35" s="24">
        <f>Inputs!HM88</f>
        <v>-2.625</v>
      </c>
      <c r="HQ35" s="24">
        <f>Inputs!HN88</f>
        <v>-2.625</v>
      </c>
      <c r="HR35" s="24">
        <f>Inputs!HO88</f>
        <v>-2.625</v>
      </c>
      <c r="HS35" s="24">
        <f>Inputs!HP88</f>
        <v>-2.625</v>
      </c>
      <c r="HT35" s="24">
        <f>Inputs!HQ88</f>
        <v>-2.625</v>
      </c>
      <c r="HU35" s="24">
        <f>Inputs!HR88</f>
        <v>-2.625</v>
      </c>
      <c r="HV35" s="24">
        <f>Inputs!HS88</f>
        <v>-2.625</v>
      </c>
      <c r="HW35" s="24">
        <f>Inputs!HT88</f>
        <v>-2.625</v>
      </c>
      <c r="HX35" s="24">
        <f>Inputs!HU88</f>
        <v>-2.625</v>
      </c>
      <c r="HY35" s="24">
        <f>Inputs!HV88</f>
        <v>-2.625</v>
      </c>
      <c r="HZ35" s="24">
        <f>Inputs!HW88</f>
        <v>-2.625</v>
      </c>
      <c r="IA35" s="24">
        <f>Inputs!HX88</f>
        <v>-2.625</v>
      </c>
      <c r="IB35" s="24">
        <f>Inputs!HY88</f>
        <v>-2.625</v>
      </c>
      <c r="IC35" s="24">
        <f>Inputs!HZ88</f>
        <v>-2.625</v>
      </c>
      <c r="ID35" s="24">
        <f>Inputs!IA88</f>
        <v>-2.625</v>
      </c>
      <c r="IE35" s="24">
        <f>Inputs!IB88</f>
        <v>-2.625</v>
      </c>
      <c r="IF35" s="24">
        <f>Inputs!IC88</f>
        <v>-2.625</v>
      </c>
      <c r="IG35" s="24">
        <f>Inputs!ID88</f>
        <v>-2.625</v>
      </c>
      <c r="IH35" s="24">
        <f>Inputs!IE88</f>
        <v>-2.625</v>
      </c>
      <c r="II35" s="24">
        <f>Inputs!IF88</f>
        <v>-2.625</v>
      </c>
      <c r="IJ35" s="24">
        <f>Inputs!IG88</f>
        <v>-2.625</v>
      </c>
      <c r="IK35" s="24">
        <f>Inputs!IH88</f>
        <v>-2.625</v>
      </c>
      <c r="IL35" s="24">
        <f>Inputs!II88</f>
        <v>-2.625</v>
      </c>
      <c r="IM35" s="24">
        <f>Inputs!IJ88</f>
        <v>-2.625</v>
      </c>
      <c r="IN35" s="24">
        <f>Inputs!IK88</f>
        <v>-2.625</v>
      </c>
      <c r="IO35" s="24">
        <f>Inputs!IL88</f>
        <v>-2.625</v>
      </c>
      <c r="IP35" s="24">
        <f>Inputs!IM88</f>
        <v>-2.625</v>
      </c>
      <c r="IQ35" s="24">
        <f>Inputs!IN88</f>
        <v>-2.625</v>
      </c>
      <c r="IR35" s="24">
        <f>Inputs!IO88</f>
        <v>-2.625</v>
      </c>
      <c r="IS35" s="24">
        <f>Inputs!IP88</f>
        <v>-2.625</v>
      </c>
      <c r="IT35" s="24">
        <f>Inputs!IQ88</f>
        <v>-2.625</v>
      </c>
      <c r="IU35" s="24">
        <f>Inputs!IR88</f>
        <v>-2.625</v>
      </c>
      <c r="IV35" s="24">
        <f>Inputs!IS88</f>
        <v>-2.625</v>
      </c>
      <c r="IW35" s="24">
        <f>Inputs!IT88</f>
        <v>-2.625</v>
      </c>
      <c r="IX35" s="24">
        <f>Inputs!IU88</f>
        <v>-2.625</v>
      </c>
      <c r="IY35" s="24">
        <f>Inputs!IV88</f>
        <v>-2.625</v>
      </c>
      <c r="IZ35" s="24">
        <f>Inputs!IW88</f>
        <v>-2.625</v>
      </c>
      <c r="JA35" s="24">
        <f>Inputs!IX88</f>
        <v>-2.625</v>
      </c>
      <c r="JB35" s="24">
        <f>Inputs!IY88</f>
        <v>-2.625</v>
      </c>
      <c r="JC35" s="24">
        <f>Inputs!IZ88</f>
        <v>-2.625</v>
      </c>
      <c r="JD35" s="24">
        <f>Inputs!JA88</f>
        <v>-2.625</v>
      </c>
      <c r="JE35" s="24">
        <f>Inputs!JB88</f>
        <v>-2.625</v>
      </c>
      <c r="JF35" s="24">
        <f>Inputs!JC88</f>
        <v>-2.625</v>
      </c>
      <c r="JG35" s="24">
        <f>Inputs!JD88</f>
        <v>-2.625</v>
      </c>
      <c r="JH35" s="24">
        <f>Inputs!JE88</f>
        <v>-2.625</v>
      </c>
      <c r="JI35" s="24">
        <f>Inputs!JF88</f>
        <v>-2.625</v>
      </c>
      <c r="JJ35" s="24">
        <f>Inputs!JG88</f>
        <v>-2.625</v>
      </c>
      <c r="JK35" s="24">
        <f>Inputs!JH88</f>
        <v>-2.625</v>
      </c>
      <c r="JL35" s="24">
        <f>Inputs!JI88</f>
        <v>-2.625</v>
      </c>
      <c r="JM35" s="24">
        <f>Inputs!JJ88</f>
        <v>-2.625</v>
      </c>
      <c r="JN35" s="24">
        <f>Inputs!JK88</f>
        <v>-2.625</v>
      </c>
      <c r="JO35" s="24">
        <f>Inputs!JL88</f>
        <v>-2.625</v>
      </c>
      <c r="JP35" s="24">
        <f>Inputs!JM88</f>
        <v>-2.625</v>
      </c>
      <c r="JQ35" s="24">
        <f>Inputs!JN88</f>
        <v>-2.625</v>
      </c>
      <c r="JR35" s="24">
        <f>Inputs!JO88</f>
        <v>-2.625</v>
      </c>
      <c r="JS35" s="24">
        <f>Inputs!JP88</f>
        <v>-2.625</v>
      </c>
      <c r="JT35" s="24">
        <f>Inputs!JQ88</f>
        <v>-2.625</v>
      </c>
      <c r="JU35" s="24">
        <f>Inputs!JR88</f>
        <v>-2.625</v>
      </c>
      <c r="JV35" s="24">
        <f>Inputs!JS88</f>
        <v>-2.625</v>
      </c>
      <c r="JW35" s="24">
        <f>Inputs!JT88</f>
        <v>-2.625</v>
      </c>
      <c r="JX35" s="24">
        <f>Inputs!JU88</f>
        <v>-2.625</v>
      </c>
      <c r="JY35" s="24">
        <f>Inputs!JV88</f>
        <v>-2.625</v>
      </c>
      <c r="JZ35" s="24">
        <f>Inputs!JW88</f>
        <v>-2.625</v>
      </c>
      <c r="KA35" s="24">
        <f>Inputs!JX88</f>
        <v>-2.625</v>
      </c>
      <c r="KB35" s="24">
        <f>Inputs!JY88</f>
        <v>-2.625</v>
      </c>
      <c r="KC35" s="24">
        <f>Inputs!JZ88</f>
        <v>-2.625</v>
      </c>
      <c r="KD35" s="24">
        <f>Inputs!KA88</f>
        <v>-2.625</v>
      </c>
      <c r="KE35" s="24">
        <f>Inputs!KB88</f>
        <v>-2.625</v>
      </c>
      <c r="KF35" s="24">
        <f>Inputs!KC88</f>
        <v>-2.625</v>
      </c>
      <c r="KG35" s="24">
        <f>Inputs!KD88</f>
        <v>-2.625</v>
      </c>
      <c r="KH35" s="24">
        <f>Inputs!KE88</f>
        <v>-2.625</v>
      </c>
      <c r="KI35" s="24">
        <f>Inputs!KF88</f>
        <v>-2.625</v>
      </c>
      <c r="KJ35" s="1"/>
    </row>
    <row r="36" spans="7:296" x14ac:dyDescent="0.35">
      <c r="H36" s="13" t="s">
        <v>22</v>
      </c>
      <c r="I36" s="1"/>
      <c r="J36" s="1"/>
      <c r="K36" s="1"/>
      <c r="M36" s="15" t="s">
        <v>145</v>
      </c>
      <c r="N36" s="24">
        <f>Inputs!K104</f>
        <v>-2.1</v>
      </c>
      <c r="O36" s="24">
        <f>Inputs!L104</f>
        <v>-2.1</v>
      </c>
      <c r="P36" s="24">
        <f>Inputs!M104</f>
        <v>-2.1</v>
      </c>
      <c r="Q36" s="24">
        <f>Inputs!N104</f>
        <v>-2.1</v>
      </c>
      <c r="R36" s="24">
        <f>Inputs!O104</f>
        <v>-2.1</v>
      </c>
      <c r="S36" s="24">
        <f>Inputs!P104</f>
        <v>-2.1</v>
      </c>
      <c r="T36" s="24">
        <f>Inputs!Q104</f>
        <v>-2.1</v>
      </c>
      <c r="U36" s="24">
        <f>Inputs!R104</f>
        <v>-2.1</v>
      </c>
      <c r="V36" s="24">
        <f>Inputs!S104</f>
        <v>-2.1</v>
      </c>
      <c r="W36" s="24">
        <f>Inputs!T104</f>
        <v>-2.1</v>
      </c>
      <c r="X36" s="24">
        <f>Inputs!U104</f>
        <v>-2.1</v>
      </c>
      <c r="Y36" s="24">
        <f>Inputs!V104</f>
        <v>-2.1</v>
      </c>
      <c r="Z36" s="24">
        <f>Inputs!W104</f>
        <v>-2.1</v>
      </c>
      <c r="AA36" s="24">
        <f>Inputs!X104</f>
        <v>-2.1</v>
      </c>
      <c r="AB36" s="24">
        <f>Inputs!Y104</f>
        <v>-2.1</v>
      </c>
      <c r="AC36" s="24">
        <f>Inputs!Z104</f>
        <v>-2.1</v>
      </c>
      <c r="AD36" s="24">
        <f>Inputs!AA104</f>
        <v>-2.1</v>
      </c>
      <c r="AE36" s="24">
        <f>Inputs!AB104</f>
        <v>-2.1</v>
      </c>
      <c r="AF36" s="24">
        <f>Inputs!AC104</f>
        <v>-2.1</v>
      </c>
      <c r="AG36" s="24">
        <f>Inputs!AD104</f>
        <v>-2.1</v>
      </c>
      <c r="AH36" s="24">
        <f>Inputs!AE104</f>
        <v>-2.1</v>
      </c>
      <c r="AI36" s="24">
        <f>Inputs!AF104</f>
        <v>-2.1</v>
      </c>
      <c r="AJ36" s="24">
        <f>Inputs!AG104</f>
        <v>-2.1</v>
      </c>
      <c r="AK36" s="24">
        <f>Inputs!AH104</f>
        <v>-2.1</v>
      </c>
      <c r="AL36" s="24">
        <f>Inputs!AI104</f>
        <v>-2.1</v>
      </c>
      <c r="AM36" s="24">
        <f>Inputs!AJ104</f>
        <v>-2.1</v>
      </c>
      <c r="AN36" s="24">
        <f>Inputs!AK104</f>
        <v>-2.1</v>
      </c>
      <c r="AO36" s="24">
        <f>Inputs!AL104</f>
        <v>-2.1</v>
      </c>
      <c r="AP36" s="24">
        <f>Inputs!AM104</f>
        <v>-2.1</v>
      </c>
      <c r="AQ36" s="24">
        <f>Inputs!AN104</f>
        <v>-2.1</v>
      </c>
      <c r="AR36" s="24">
        <f>Inputs!AO104</f>
        <v>-2.1</v>
      </c>
      <c r="AS36" s="24">
        <f>Inputs!AP104</f>
        <v>-2.1</v>
      </c>
      <c r="AT36" s="24">
        <f>Inputs!AQ104</f>
        <v>-2.1</v>
      </c>
      <c r="AU36" s="24">
        <f>Inputs!AR104</f>
        <v>-2.1</v>
      </c>
      <c r="AV36" s="24">
        <f>Inputs!AS104</f>
        <v>-2.1</v>
      </c>
      <c r="AW36" s="24">
        <f>Inputs!AT104</f>
        <v>-2.1</v>
      </c>
      <c r="AX36" s="24">
        <f>Inputs!AU104</f>
        <v>-2.1</v>
      </c>
      <c r="AY36" s="24">
        <f>Inputs!AV104</f>
        <v>-2.1</v>
      </c>
      <c r="AZ36" s="24">
        <f>Inputs!AW104</f>
        <v>-2.1</v>
      </c>
      <c r="BA36" s="24">
        <f>Inputs!AX104</f>
        <v>-2.1</v>
      </c>
      <c r="BB36" s="24">
        <f>Inputs!AY104</f>
        <v>-2.1</v>
      </c>
      <c r="BC36" s="24">
        <f>Inputs!AZ104</f>
        <v>-2.1</v>
      </c>
      <c r="BD36" s="24">
        <f>Inputs!BA104</f>
        <v>-2.1</v>
      </c>
      <c r="BE36" s="24">
        <f>Inputs!BB104</f>
        <v>-2.1</v>
      </c>
      <c r="BF36" s="24">
        <f>Inputs!BC104</f>
        <v>-2.1</v>
      </c>
      <c r="BG36" s="24">
        <f>Inputs!BD104</f>
        <v>-2.1</v>
      </c>
      <c r="BH36" s="24">
        <f>Inputs!BE104</f>
        <v>-2.1</v>
      </c>
      <c r="BI36" s="24">
        <f>Inputs!BF104</f>
        <v>-2.1</v>
      </c>
      <c r="BJ36" s="24">
        <f>Inputs!BG104</f>
        <v>-2.1</v>
      </c>
      <c r="BK36" s="24">
        <f>Inputs!BH104</f>
        <v>-2.1</v>
      </c>
      <c r="BL36" s="24">
        <f>Inputs!BI104</f>
        <v>-2.1</v>
      </c>
      <c r="BM36" s="24">
        <f>Inputs!BJ104</f>
        <v>-2.1</v>
      </c>
      <c r="BN36" s="24">
        <f>Inputs!BK104</f>
        <v>-2.1</v>
      </c>
      <c r="BO36" s="24">
        <f>Inputs!BL104</f>
        <v>-2.1</v>
      </c>
      <c r="BP36" s="24">
        <f>Inputs!BM104</f>
        <v>-2.1</v>
      </c>
      <c r="BQ36" s="24">
        <f>Inputs!BN104</f>
        <v>-2.1</v>
      </c>
      <c r="BR36" s="24">
        <f>Inputs!BO104</f>
        <v>-2.1</v>
      </c>
      <c r="BS36" s="24">
        <f>Inputs!BP104</f>
        <v>-2.1</v>
      </c>
      <c r="BT36" s="24">
        <f>Inputs!BQ104</f>
        <v>-2.1</v>
      </c>
      <c r="BU36" s="24">
        <f>Inputs!BR104</f>
        <v>-2.1</v>
      </c>
      <c r="BV36" s="24">
        <f>Inputs!BS104</f>
        <v>-2.1</v>
      </c>
      <c r="BW36" s="24">
        <f>Inputs!BT104</f>
        <v>-2.1</v>
      </c>
      <c r="BX36" s="24">
        <f>Inputs!BU104</f>
        <v>-2.1</v>
      </c>
      <c r="BY36" s="24">
        <f>Inputs!BV104</f>
        <v>-2.1</v>
      </c>
      <c r="BZ36" s="24">
        <f>Inputs!BW104</f>
        <v>-2.1</v>
      </c>
      <c r="CA36" s="24">
        <f>Inputs!BX104</f>
        <v>-2.1</v>
      </c>
      <c r="CB36" s="24">
        <f>Inputs!BY104</f>
        <v>-2.1</v>
      </c>
      <c r="CC36" s="24">
        <f>Inputs!BZ104</f>
        <v>-2.1</v>
      </c>
      <c r="CD36" s="24">
        <f>Inputs!CA104</f>
        <v>-2.1</v>
      </c>
      <c r="CE36" s="24">
        <f>Inputs!CB104</f>
        <v>-2.1</v>
      </c>
      <c r="CF36" s="24">
        <f>Inputs!CC104</f>
        <v>-2.1</v>
      </c>
      <c r="CG36" s="24">
        <f>Inputs!CD104</f>
        <v>-2.1</v>
      </c>
      <c r="CH36" s="24">
        <f>Inputs!CE104</f>
        <v>-2.1</v>
      </c>
      <c r="CI36" s="24">
        <f>Inputs!CF104</f>
        <v>-2.1</v>
      </c>
      <c r="CJ36" s="24">
        <f>Inputs!CG104</f>
        <v>-2.1</v>
      </c>
      <c r="CK36" s="24">
        <f>Inputs!CH104</f>
        <v>-2.1</v>
      </c>
      <c r="CL36" s="24">
        <f>Inputs!CI104</f>
        <v>-2.1</v>
      </c>
      <c r="CM36" s="24">
        <f>Inputs!CJ104</f>
        <v>-2.1</v>
      </c>
      <c r="CN36" s="24">
        <f>Inputs!CK104</f>
        <v>-2.1</v>
      </c>
      <c r="CO36" s="24">
        <f>Inputs!CL104</f>
        <v>-2.1</v>
      </c>
      <c r="CP36" s="24">
        <f>Inputs!CM104</f>
        <v>-2.1</v>
      </c>
      <c r="CQ36" s="24">
        <f>Inputs!CN104</f>
        <v>-2.1</v>
      </c>
      <c r="CR36" s="24">
        <f>Inputs!CO104</f>
        <v>-2.1</v>
      </c>
      <c r="CS36" s="24">
        <f>Inputs!CP104</f>
        <v>-2.1</v>
      </c>
      <c r="CT36" s="24">
        <f>Inputs!CQ104</f>
        <v>-2.1</v>
      </c>
      <c r="CU36" s="24">
        <f>Inputs!CR104</f>
        <v>-2.1</v>
      </c>
      <c r="CV36" s="24">
        <f>Inputs!CS104</f>
        <v>-2.1</v>
      </c>
      <c r="CW36" s="24">
        <f>Inputs!CT104</f>
        <v>-2.1</v>
      </c>
      <c r="CX36" s="24">
        <f>Inputs!CU104</f>
        <v>-2.1</v>
      </c>
      <c r="CY36" s="24">
        <f>Inputs!CV104</f>
        <v>-2.1</v>
      </c>
      <c r="CZ36" s="24">
        <f>Inputs!CW104</f>
        <v>-2.1</v>
      </c>
      <c r="DA36" s="24">
        <f>Inputs!CX104</f>
        <v>-2.1</v>
      </c>
      <c r="DB36" s="24">
        <f>Inputs!CY104</f>
        <v>-2.1</v>
      </c>
      <c r="DC36" s="24">
        <f>Inputs!CZ104</f>
        <v>-2.1</v>
      </c>
      <c r="DD36" s="24">
        <f>Inputs!DA104</f>
        <v>-2.1</v>
      </c>
      <c r="DE36" s="24">
        <f>Inputs!DB104</f>
        <v>-2.1</v>
      </c>
      <c r="DF36" s="24">
        <f>Inputs!DC104</f>
        <v>-2.1</v>
      </c>
      <c r="DG36" s="24">
        <f>Inputs!DD104</f>
        <v>-2.1</v>
      </c>
      <c r="DH36" s="24">
        <f>Inputs!DE104</f>
        <v>-2.1</v>
      </c>
      <c r="DI36" s="24">
        <f>Inputs!DF104</f>
        <v>-2.1</v>
      </c>
      <c r="DJ36" s="24">
        <f>Inputs!DG104</f>
        <v>-2.1</v>
      </c>
      <c r="DK36" s="24">
        <f>Inputs!DH104</f>
        <v>-2.1</v>
      </c>
      <c r="DL36" s="24">
        <f>Inputs!DI104</f>
        <v>-2.1</v>
      </c>
      <c r="DM36" s="24">
        <f>Inputs!DJ104</f>
        <v>-2.1</v>
      </c>
      <c r="DN36" s="24">
        <f>Inputs!DK104</f>
        <v>-2.1</v>
      </c>
      <c r="DO36" s="24">
        <f>Inputs!DL104</f>
        <v>-2.1</v>
      </c>
      <c r="DP36" s="24">
        <f>Inputs!DM104</f>
        <v>-2.1</v>
      </c>
      <c r="DQ36" s="24">
        <f>Inputs!DN104</f>
        <v>-2.1</v>
      </c>
      <c r="DR36" s="24">
        <f>Inputs!DO104</f>
        <v>-2.1</v>
      </c>
      <c r="DS36" s="24">
        <f>Inputs!DP104</f>
        <v>-2.1</v>
      </c>
      <c r="DT36" s="24">
        <f>Inputs!DQ104</f>
        <v>-2.1</v>
      </c>
      <c r="DU36" s="24">
        <f>Inputs!DR104</f>
        <v>-2.1</v>
      </c>
      <c r="DV36" s="24">
        <f>Inputs!DS104</f>
        <v>-2.1</v>
      </c>
      <c r="DW36" s="24">
        <f>Inputs!DT104</f>
        <v>-2.1</v>
      </c>
      <c r="DX36" s="24">
        <f>Inputs!DU104</f>
        <v>-2.1</v>
      </c>
      <c r="DY36" s="24">
        <f>Inputs!DV104</f>
        <v>-2.1</v>
      </c>
      <c r="DZ36" s="24">
        <f>Inputs!DW104</f>
        <v>-2.1</v>
      </c>
      <c r="EA36" s="24">
        <f>Inputs!DX104</f>
        <v>-2.1</v>
      </c>
      <c r="EB36" s="24">
        <f>Inputs!DY104</f>
        <v>-2.1</v>
      </c>
      <c r="EC36" s="24">
        <f>Inputs!DZ104</f>
        <v>-2.1</v>
      </c>
      <c r="ED36" s="24">
        <f>Inputs!EA104</f>
        <v>-2.1</v>
      </c>
      <c r="EE36" s="24">
        <f>Inputs!EB104</f>
        <v>-2.1</v>
      </c>
      <c r="EF36" s="24">
        <f>Inputs!EC104</f>
        <v>-2.1</v>
      </c>
      <c r="EG36" s="24">
        <f>Inputs!ED104</f>
        <v>-2.1</v>
      </c>
      <c r="EH36" s="24">
        <f>Inputs!EE104</f>
        <v>-2.1</v>
      </c>
      <c r="EI36" s="24">
        <f>Inputs!EF104</f>
        <v>-2.1</v>
      </c>
      <c r="EJ36" s="24">
        <f>Inputs!EG104</f>
        <v>-2.1</v>
      </c>
      <c r="EK36" s="24">
        <f>Inputs!EH104</f>
        <v>-2.1</v>
      </c>
      <c r="EL36" s="24">
        <f>Inputs!EI104</f>
        <v>-2.1</v>
      </c>
      <c r="EM36" s="24">
        <f>Inputs!EJ104</f>
        <v>-2.1</v>
      </c>
      <c r="EN36" s="24">
        <f>Inputs!EK104</f>
        <v>-2.1</v>
      </c>
      <c r="EO36" s="24">
        <f>Inputs!EL104</f>
        <v>-2.1</v>
      </c>
      <c r="EP36" s="24">
        <f>Inputs!EM104</f>
        <v>-2.1</v>
      </c>
      <c r="EQ36" s="24">
        <f>Inputs!EN104</f>
        <v>-2.1</v>
      </c>
      <c r="ER36" s="24">
        <f>Inputs!EO104</f>
        <v>-2.1</v>
      </c>
      <c r="ES36" s="24">
        <f>Inputs!EP104</f>
        <v>-2.1</v>
      </c>
      <c r="ET36" s="24">
        <f>Inputs!EQ104</f>
        <v>-2.1</v>
      </c>
      <c r="EU36" s="24">
        <f>Inputs!ER104</f>
        <v>-2.1</v>
      </c>
      <c r="EV36" s="24">
        <f>Inputs!ES104</f>
        <v>-2.1</v>
      </c>
      <c r="EW36" s="24">
        <f>Inputs!ET104</f>
        <v>-2.1</v>
      </c>
      <c r="EX36" s="24">
        <f>Inputs!EU104</f>
        <v>-2.1</v>
      </c>
      <c r="EY36" s="24">
        <f>Inputs!EV104</f>
        <v>-2.1</v>
      </c>
      <c r="EZ36" s="24">
        <f>Inputs!EW104</f>
        <v>-2.1</v>
      </c>
      <c r="FA36" s="24">
        <f>Inputs!EX104</f>
        <v>-2.1</v>
      </c>
      <c r="FB36" s="24">
        <f>Inputs!EY104</f>
        <v>-2.1</v>
      </c>
      <c r="FC36" s="24">
        <f>Inputs!EZ104</f>
        <v>-2.1</v>
      </c>
      <c r="FD36" s="24">
        <f>Inputs!FA104</f>
        <v>-2.1</v>
      </c>
      <c r="FE36" s="24">
        <f>Inputs!FB104</f>
        <v>-2.1</v>
      </c>
      <c r="FF36" s="24">
        <f>Inputs!FC104</f>
        <v>-2.1</v>
      </c>
      <c r="FG36" s="24">
        <f>Inputs!FD104</f>
        <v>-2.1</v>
      </c>
      <c r="FH36" s="24">
        <f>Inputs!FE104</f>
        <v>-2.1</v>
      </c>
      <c r="FI36" s="24">
        <f>Inputs!FF104</f>
        <v>-2.1</v>
      </c>
      <c r="FJ36" s="24">
        <f>Inputs!FG104</f>
        <v>-2.1</v>
      </c>
      <c r="FK36" s="24">
        <f>Inputs!FH104</f>
        <v>-2.1</v>
      </c>
      <c r="FL36" s="24">
        <f>Inputs!FI104</f>
        <v>-2.1</v>
      </c>
      <c r="FM36" s="24">
        <f>Inputs!FJ104</f>
        <v>-2.1</v>
      </c>
      <c r="FN36" s="24">
        <f>Inputs!FK104</f>
        <v>-2.1</v>
      </c>
      <c r="FO36" s="24">
        <f>Inputs!FL104</f>
        <v>-2.1</v>
      </c>
      <c r="FP36" s="24">
        <f>Inputs!FM104</f>
        <v>-2.1</v>
      </c>
      <c r="FQ36" s="24">
        <f>Inputs!FN104</f>
        <v>-2.1</v>
      </c>
      <c r="FR36" s="24">
        <f>Inputs!FO104</f>
        <v>-2.1</v>
      </c>
      <c r="FS36" s="24">
        <f>Inputs!FP104</f>
        <v>-2.1</v>
      </c>
      <c r="FT36" s="24">
        <f>Inputs!FQ104</f>
        <v>-2.1</v>
      </c>
      <c r="FU36" s="24">
        <f>Inputs!FR104</f>
        <v>-2.1</v>
      </c>
      <c r="FV36" s="24">
        <f>Inputs!FS104</f>
        <v>-2.1</v>
      </c>
      <c r="FW36" s="24">
        <f>Inputs!FT104</f>
        <v>-2.1</v>
      </c>
      <c r="FX36" s="24">
        <f>Inputs!FU104</f>
        <v>-2.1</v>
      </c>
      <c r="FY36" s="24">
        <f>Inputs!FV104</f>
        <v>-2.1</v>
      </c>
      <c r="FZ36" s="24">
        <f>Inputs!FW104</f>
        <v>-2.1</v>
      </c>
      <c r="GA36" s="24">
        <f>Inputs!FX104</f>
        <v>-2.1</v>
      </c>
      <c r="GB36" s="24">
        <f>Inputs!FY104</f>
        <v>-2.1</v>
      </c>
      <c r="GC36" s="24">
        <f>Inputs!FZ104</f>
        <v>-2.1</v>
      </c>
      <c r="GD36" s="24">
        <f>Inputs!GA104</f>
        <v>-2.1</v>
      </c>
      <c r="GE36" s="24">
        <f>Inputs!GB104</f>
        <v>-2.1</v>
      </c>
      <c r="GF36" s="24">
        <f>Inputs!GC104</f>
        <v>-2.1</v>
      </c>
      <c r="GG36" s="24">
        <f>Inputs!GD104</f>
        <v>-2.1</v>
      </c>
      <c r="GH36" s="24">
        <f>Inputs!GE104</f>
        <v>-2.1</v>
      </c>
      <c r="GI36" s="24">
        <f>Inputs!GF104</f>
        <v>-2.1</v>
      </c>
      <c r="GJ36" s="24">
        <f>Inputs!GG104</f>
        <v>-2.1</v>
      </c>
      <c r="GK36" s="24">
        <f>Inputs!GH104</f>
        <v>-2.1</v>
      </c>
      <c r="GL36" s="24">
        <f>Inputs!GI104</f>
        <v>-2.1</v>
      </c>
      <c r="GM36" s="24">
        <f>Inputs!GJ104</f>
        <v>-2.1</v>
      </c>
      <c r="GN36" s="24">
        <f>Inputs!GK104</f>
        <v>-2.1</v>
      </c>
      <c r="GO36" s="24">
        <f>Inputs!GL104</f>
        <v>-2.1</v>
      </c>
      <c r="GP36" s="24">
        <f>Inputs!GM104</f>
        <v>-2.1</v>
      </c>
      <c r="GQ36" s="24">
        <f>Inputs!GN104</f>
        <v>-2.1</v>
      </c>
      <c r="GR36" s="24">
        <f>Inputs!GO104</f>
        <v>-2.1</v>
      </c>
      <c r="GS36" s="24">
        <f>Inputs!GP104</f>
        <v>-2.1</v>
      </c>
      <c r="GT36" s="24">
        <f>Inputs!GQ104</f>
        <v>-2.1</v>
      </c>
      <c r="GU36" s="24">
        <f>Inputs!GR104</f>
        <v>-2.1</v>
      </c>
      <c r="GV36" s="24">
        <f>Inputs!GS104</f>
        <v>-2.1</v>
      </c>
      <c r="GW36" s="24">
        <f>Inputs!GT104</f>
        <v>-2.1</v>
      </c>
      <c r="GX36" s="24">
        <f>Inputs!GU104</f>
        <v>-2.1</v>
      </c>
      <c r="GY36" s="24">
        <f>Inputs!GV104</f>
        <v>-2.1</v>
      </c>
      <c r="GZ36" s="24">
        <f>Inputs!GW104</f>
        <v>-2.1</v>
      </c>
      <c r="HA36" s="24">
        <f>Inputs!GX104</f>
        <v>-2.1</v>
      </c>
      <c r="HB36" s="24">
        <f>Inputs!GY104</f>
        <v>-2.1</v>
      </c>
      <c r="HC36" s="24">
        <f>Inputs!GZ104</f>
        <v>-2.1</v>
      </c>
      <c r="HD36" s="24">
        <f>Inputs!HA104</f>
        <v>-2.1</v>
      </c>
      <c r="HE36" s="24">
        <f>Inputs!HB104</f>
        <v>-2.1</v>
      </c>
      <c r="HF36" s="24">
        <f>Inputs!HC104</f>
        <v>-2.1</v>
      </c>
      <c r="HG36" s="24">
        <f>Inputs!HD104</f>
        <v>-2.1</v>
      </c>
      <c r="HH36" s="24">
        <f>Inputs!HE104</f>
        <v>-2.1</v>
      </c>
      <c r="HI36" s="24">
        <f>Inputs!HF104</f>
        <v>-2.1</v>
      </c>
      <c r="HJ36" s="24">
        <f>Inputs!HG104</f>
        <v>-2.1</v>
      </c>
      <c r="HK36" s="24">
        <f>Inputs!HH104</f>
        <v>-2.1</v>
      </c>
      <c r="HL36" s="24">
        <f>Inputs!HI104</f>
        <v>-2.1</v>
      </c>
      <c r="HM36" s="24">
        <f>Inputs!HJ104</f>
        <v>-2.1</v>
      </c>
      <c r="HN36" s="24">
        <f>Inputs!HK104</f>
        <v>-2.1</v>
      </c>
      <c r="HO36" s="24">
        <f>Inputs!HL104</f>
        <v>-2.1</v>
      </c>
      <c r="HP36" s="24">
        <f>Inputs!HM104</f>
        <v>-2.1</v>
      </c>
      <c r="HQ36" s="24">
        <f>Inputs!HN104</f>
        <v>-2.1</v>
      </c>
      <c r="HR36" s="24">
        <f>Inputs!HO104</f>
        <v>-2.1</v>
      </c>
      <c r="HS36" s="24">
        <f>Inputs!HP104</f>
        <v>-2.1</v>
      </c>
      <c r="HT36" s="24">
        <f>Inputs!HQ104</f>
        <v>-2.1</v>
      </c>
      <c r="HU36" s="24">
        <f>Inputs!HR104</f>
        <v>-2.1</v>
      </c>
      <c r="HV36" s="24">
        <f>Inputs!HS104</f>
        <v>-2.1</v>
      </c>
      <c r="HW36" s="24">
        <f>Inputs!HT104</f>
        <v>-2.1</v>
      </c>
      <c r="HX36" s="24">
        <f>Inputs!HU104</f>
        <v>-2.1</v>
      </c>
      <c r="HY36" s="24">
        <f>Inputs!HV104</f>
        <v>-2.1</v>
      </c>
      <c r="HZ36" s="24">
        <f>Inputs!HW104</f>
        <v>-2.1</v>
      </c>
      <c r="IA36" s="24">
        <f>Inputs!HX104</f>
        <v>-2.1</v>
      </c>
      <c r="IB36" s="24">
        <f>Inputs!HY104</f>
        <v>-2.1</v>
      </c>
      <c r="IC36" s="24">
        <f>Inputs!HZ104</f>
        <v>-2.1</v>
      </c>
      <c r="ID36" s="24">
        <f>Inputs!IA104</f>
        <v>-2.1</v>
      </c>
      <c r="IE36" s="24">
        <f>Inputs!IB104</f>
        <v>-2.1</v>
      </c>
      <c r="IF36" s="24">
        <f>Inputs!IC104</f>
        <v>-2.1</v>
      </c>
      <c r="IG36" s="24">
        <f>Inputs!ID104</f>
        <v>-2.1</v>
      </c>
      <c r="IH36" s="24">
        <f>Inputs!IE104</f>
        <v>-2.1</v>
      </c>
      <c r="II36" s="24">
        <f>Inputs!IF104</f>
        <v>-2.1</v>
      </c>
      <c r="IJ36" s="24">
        <f>Inputs!IG104</f>
        <v>-2.1</v>
      </c>
      <c r="IK36" s="24">
        <f>Inputs!IH104</f>
        <v>-2.1</v>
      </c>
      <c r="IL36" s="24">
        <f>Inputs!II104</f>
        <v>-2.1</v>
      </c>
      <c r="IM36" s="24">
        <f>Inputs!IJ104</f>
        <v>-2.1</v>
      </c>
      <c r="IN36" s="24">
        <f>Inputs!IK104</f>
        <v>-2.1</v>
      </c>
      <c r="IO36" s="24">
        <f>Inputs!IL104</f>
        <v>-2.1</v>
      </c>
      <c r="IP36" s="24">
        <f>Inputs!IM104</f>
        <v>-2.1</v>
      </c>
      <c r="IQ36" s="24">
        <f>Inputs!IN104</f>
        <v>-2.1</v>
      </c>
      <c r="IR36" s="24">
        <f>Inputs!IO104</f>
        <v>-2.1</v>
      </c>
      <c r="IS36" s="24">
        <f>Inputs!IP104</f>
        <v>-2.1</v>
      </c>
      <c r="IT36" s="24">
        <f>Inputs!IQ104</f>
        <v>-2.1</v>
      </c>
      <c r="IU36" s="24">
        <f>Inputs!IR104</f>
        <v>-2.1</v>
      </c>
      <c r="IV36" s="24">
        <f>Inputs!IS104</f>
        <v>-2.1</v>
      </c>
      <c r="IW36" s="24">
        <f>Inputs!IT104</f>
        <v>-2.1</v>
      </c>
      <c r="IX36" s="24">
        <f>Inputs!IU104</f>
        <v>-2.1</v>
      </c>
      <c r="IY36" s="24">
        <f>Inputs!IV104</f>
        <v>-2.1</v>
      </c>
      <c r="IZ36" s="24">
        <f>Inputs!IW104</f>
        <v>-2.1</v>
      </c>
      <c r="JA36" s="24">
        <f>Inputs!IX104</f>
        <v>-2.1</v>
      </c>
      <c r="JB36" s="24">
        <f>Inputs!IY104</f>
        <v>-2.1</v>
      </c>
      <c r="JC36" s="24">
        <f>Inputs!IZ104</f>
        <v>-2.1</v>
      </c>
      <c r="JD36" s="24">
        <f>Inputs!JA104</f>
        <v>-2.1</v>
      </c>
      <c r="JE36" s="24">
        <f>Inputs!JB104</f>
        <v>-2.1</v>
      </c>
      <c r="JF36" s="24">
        <f>Inputs!JC104</f>
        <v>-2.1</v>
      </c>
      <c r="JG36" s="24">
        <f>Inputs!JD104</f>
        <v>-2.1</v>
      </c>
      <c r="JH36" s="24">
        <f>Inputs!JE104</f>
        <v>-2.1</v>
      </c>
      <c r="JI36" s="24">
        <f>Inputs!JF104</f>
        <v>-2.1</v>
      </c>
      <c r="JJ36" s="24">
        <f>Inputs!JG104</f>
        <v>-2.1</v>
      </c>
      <c r="JK36" s="24">
        <f>Inputs!JH104</f>
        <v>-2.1</v>
      </c>
      <c r="JL36" s="24">
        <f>Inputs!JI104</f>
        <v>-2.1</v>
      </c>
      <c r="JM36" s="24">
        <f>Inputs!JJ104</f>
        <v>-2.1</v>
      </c>
      <c r="JN36" s="24">
        <f>Inputs!JK104</f>
        <v>-2.1</v>
      </c>
      <c r="JO36" s="24">
        <f>Inputs!JL104</f>
        <v>-2.1</v>
      </c>
      <c r="JP36" s="24">
        <f>Inputs!JM104</f>
        <v>-2.1</v>
      </c>
      <c r="JQ36" s="24">
        <f>Inputs!JN104</f>
        <v>-2.1</v>
      </c>
      <c r="JR36" s="24">
        <f>Inputs!JO104</f>
        <v>-2.1</v>
      </c>
      <c r="JS36" s="24">
        <f>Inputs!JP104</f>
        <v>-2.1</v>
      </c>
      <c r="JT36" s="24">
        <f>Inputs!JQ104</f>
        <v>-2.1</v>
      </c>
      <c r="JU36" s="24">
        <f>Inputs!JR104</f>
        <v>-2.1</v>
      </c>
      <c r="JV36" s="24">
        <f>Inputs!JS104</f>
        <v>-2.1</v>
      </c>
      <c r="JW36" s="24">
        <f>Inputs!JT104</f>
        <v>-2.1</v>
      </c>
      <c r="JX36" s="24">
        <f>Inputs!JU104</f>
        <v>-2.1</v>
      </c>
      <c r="JY36" s="24">
        <f>Inputs!JV104</f>
        <v>-2.1</v>
      </c>
      <c r="JZ36" s="24">
        <f>Inputs!JW104</f>
        <v>-2.1</v>
      </c>
      <c r="KA36" s="24">
        <f>Inputs!JX104</f>
        <v>-2.1</v>
      </c>
      <c r="KB36" s="24">
        <f>Inputs!JY104</f>
        <v>-2.1</v>
      </c>
      <c r="KC36" s="24">
        <f>Inputs!JZ104</f>
        <v>-2.1</v>
      </c>
      <c r="KD36" s="24">
        <f>Inputs!KA104</f>
        <v>-2.1</v>
      </c>
      <c r="KE36" s="24">
        <f>Inputs!KB104</f>
        <v>-2.1</v>
      </c>
      <c r="KF36" s="24">
        <f>Inputs!KC104</f>
        <v>-2.1</v>
      </c>
      <c r="KG36" s="24">
        <f>Inputs!KD104</f>
        <v>-2.1</v>
      </c>
      <c r="KH36" s="24">
        <f>Inputs!KE104</f>
        <v>-2.1</v>
      </c>
      <c r="KI36" s="24">
        <f>Inputs!KF104</f>
        <v>-2.1</v>
      </c>
      <c r="KJ36" s="1"/>
    </row>
    <row r="37" spans="7:296" x14ac:dyDescent="0.35">
      <c r="H37" s="13" t="s">
        <v>22</v>
      </c>
      <c r="I37" s="1"/>
      <c r="J37" s="1"/>
      <c r="K37" s="1"/>
      <c r="L37" s="1"/>
      <c r="M37" s="29" t="s">
        <v>20</v>
      </c>
      <c r="N37" s="30">
        <f>SUM(N34:N36)</f>
        <v>77.281217590757379</v>
      </c>
      <c r="O37" s="30">
        <f t="shared" ref="O37:BZ37" si="55">SUM(O34:O36)</f>
        <v>69.962567869084012</v>
      </c>
      <c r="P37" s="30">
        <f t="shared" si="55"/>
        <v>94.173555838041963</v>
      </c>
      <c r="Q37" s="30">
        <f t="shared" si="55"/>
        <v>128.24619413838747</v>
      </c>
      <c r="R37" s="30">
        <f t="shared" si="55"/>
        <v>68.120138605687032</v>
      </c>
      <c r="S37" s="30">
        <f t="shared" si="55"/>
        <v>62.489567631413145</v>
      </c>
      <c r="T37" s="30">
        <f t="shared" si="55"/>
        <v>78.684712652880805</v>
      </c>
      <c r="U37" s="30">
        <f t="shared" si="55"/>
        <v>86.948294359908346</v>
      </c>
      <c r="V37" s="30">
        <f t="shared" si="55"/>
        <v>133.82362173783869</v>
      </c>
      <c r="W37" s="30">
        <f t="shared" si="55"/>
        <v>137.61581301750581</v>
      </c>
      <c r="X37" s="30">
        <f t="shared" si="55"/>
        <v>120.30351627032113</v>
      </c>
      <c r="Y37" s="30">
        <f t="shared" si="55"/>
        <v>102.41919596661612</v>
      </c>
      <c r="Z37" s="30">
        <f t="shared" si="55"/>
        <v>45.804089076305893</v>
      </c>
      <c r="AA37" s="30">
        <f t="shared" si="55"/>
        <v>130.34239281602632</v>
      </c>
      <c r="AB37" s="30">
        <f t="shared" si="55"/>
        <v>134.44795566002529</v>
      </c>
      <c r="AC37" s="30">
        <f t="shared" si="55"/>
        <v>131.96579831628085</v>
      </c>
      <c r="AD37" s="30">
        <f t="shared" si="55"/>
        <v>114.59122734235974</v>
      </c>
      <c r="AE37" s="30">
        <f t="shared" si="55"/>
        <v>81.350294241264763</v>
      </c>
      <c r="AF37" s="30">
        <f t="shared" si="55"/>
        <v>66.193925736622219</v>
      </c>
      <c r="AG37" s="30">
        <f t="shared" si="55"/>
        <v>107.7775960085652</v>
      </c>
      <c r="AH37" s="30">
        <f t="shared" si="55"/>
        <v>46.412534727100457</v>
      </c>
      <c r="AI37" s="30">
        <f t="shared" si="55"/>
        <v>109.29105949126028</v>
      </c>
      <c r="AJ37" s="30">
        <f t="shared" si="55"/>
        <v>52.123916114884842</v>
      </c>
      <c r="AK37" s="30">
        <f t="shared" si="55"/>
        <v>105.29673418842502</v>
      </c>
      <c r="AL37" s="30">
        <f t="shared" si="55"/>
        <v>55.602054734961769</v>
      </c>
      <c r="AM37" s="30">
        <f t="shared" si="55"/>
        <v>109.11572831791545</v>
      </c>
      <c r="AN37" s="30">
        <f t="shared" si="55"/>
        <v>106.60294685919149</v>
      </c>
      <c r="AO37" s="30">
        <f t="shared" si="55"/>
        <v>61.177813692254283</v>
      </c>
      <c r="AP37" s="30">
        <f t="shared" si="55"/>
        <v>66.239673120503582</v>
      </c>
      <c r="AQ37" s="30">
        <f t="shared" si="55"/>
        <v>62.721408744178696</v>
      </c>
      <c r="AR37" s="30">
        <f t="shared" si="55"/>
        <v>46.502851998336013</v>
      </c>
      <c r="AS37" s="30">
        <f t="shared" si="55"/>
        <v>107.96369350452871</v>
      </c>
      <c r="AT37" s="30">
        <f t="shared" si="55"/>
        <v>82.959236977440881</v>
      </c>
      <c r="AU37" s="30">
        <f t="shared" si="55"/>
        <v>90.511852734269127</v>
      </c>
      <c r="AV37" s="30">
        <f t="shared" si="55"/>
        <v>87.749129187584458</v>
      </c>
      <c r="AW37" s="30">
        <f t="shared" si="55"/>
        <v>113.32994917319434</v>
      </c>
      <c r="AX37" s="30">
        <f t="shared" si="55"/>
        <v>128.66039899178074</v>
      </c>
      <c r="AY37" s="30">
        <f t="shared" si="55"/>
        <v>101.11576249623278</v>
      </c>
      <c r="AZ37" s="30">
        <f t="shared" si="55"/>
        <v>123.24727148280155</v>
      </c>
      <c r="BA37" s="30">
        <f t="shared" si="55"/>
        <v>107.98226517256779</v>
      </c>
      <c r="BB37" s="30">
        <f t="shared" si="55"/>
        <v>135.07313960947221</v>
      </c>
      <c r="BC37" s="30">
        <f t="shared" si="55"/>
        <v>93.689484115881555</v>
      </c>
      <c r="BD37" s="30">
        <f t="shared" si="55"/>
        <v>46.531056891905976</v>
      </c>
      <c r="BE37" s="30">
        <f t="shared" si="55"/>
        <v>115.81832895445834</v>
      </c>
      <c r="BF37" s="30">
        <f t="shared" si="55"/>
        <v>142.3992386422772</v>
      </c>
      <c r="BG37" s="30">
        <f t="shared" si="55"/>
        <v>79.700225575691491</v>
      </c>
      <c r="BH37" s="30">
        <f t="shared" si="55"/>
        <v>103.87275131402578</v>
      </c>
      <c r="BI37" s="30">
        <f t="shared" si="55"/>
        <v>93.592257548996344</v>
      </c>
      <c r="BJ37" s="30">
        <f t="shared" si="55"/>
        <v>123.34081419296851</v>
      </c>
      <c r="BK37" s="30">
        <f t="shared" si="55"/>
        <v>145.13701768532653</v>
      </c>
      <c r="BL37" s="30">
        <f t="shared" si="55"/>
        <v>112.99591488753582</v>
      </c>
      <c r="BM37" s="30">
        <f t="shared" si="55"/>
        <v>67.978508254746743</v>
      </c>
      <c r="BN37" s="30">
        <f t="shared" si="55"/>
        <v>86.091765841695008</v>
      </c>
      <c r="BO37" s="30">
        <f t="shared" si="55"/>
        <v>96.704909651573885</v>
      </c>
      <c r="BP37" s="30">
        <f t="shared" si="55"/>
        <v>82.988226941806445</v>
      </c>
      <c r="BQ37" s="30">
        <f t="shared" si="55"/>
        <v>106.4451189540913</v>
      </c>
      <c r="BR37" s="30">
        <f t="shared" si="55"/>
        <v>117.984178060953</v>
      </c>
      <c r="BS37" s="30">
        <f t="shared" si="55"/>
        <v>64.631417051464865</v>
      </c>
      <c r="BT37" s="30">
        <f t="shared" si="55"/>
        <v>62.935295956800168</v>
      </c>
      <c r="BU37" s="30">
        <f t="shared" si="55"/>
        <v>71.434638469648107</v>
      </c>
      <c r="BV37" s="30">
        <f t="shared" si="55"/>
        <v>74.69900898689346</v>
      </c>
      <c r="BW37" s="30">
        <f t="shared" si="55"/>
        <v>67.905877178105115</v>
      </c>
      <c r="BX37" s="30">
        <f t="shared" si="55"/>
        <v>81.372314654673147</v>
      </c>
      <c r="BY37" s="30">
        <f t="shared" si="55"/>
        <v>128.57221463205815</v>
      </c>
      <c r="BZ37" s="30">
        <f t="shared" si="55"/>
        <v>105.08408720461928</v>
      </c>
      <c r="CA37" s="30">
        <f t="shared" ref="CA37:EL37" si="56">SUM(CA34:CA36)</f>
        <v>73.116201315013768</v>
      </c>
      <c r="CB37" s="30">
        <f t="shared" si="56"/>
        <v>86.147473074983623</v>
      </c>
      <c r="CC37" s="30">
        <f t="shared" si="56"/>
        <v>71.304516423625074</v>
      </c>
      <c r="CD37" s="30">
        <f t="shared" si="56"/>
        <v>55.77768303574701</v>
      </c>
      <c r="CE37" s="30">
        <f t="shared" si="56"/>
        <v>55.721345473396291</v>
      </c>
      <c r="CF37" s="30">
        <f t="shared" si="56"/>
        <v>52.13001407463571</v>
      </c>
      <c r="CG37" s="30">
        <f t="shared" si="56"/>
        <v>107.82706387435999</v>
      </c>
      <c r="CH37" s="30">
        <f t="shared" si="56"/>
        <v>68.052329960507649</v>
      </c>
      <c r="CI37" s="30">
        <f t="shared" si="56"/>
        <v>92.256290582510204</v>
      </c>
      <c r="CJ37" s="30">
        <f t="shared" si="56"/>
        <v>140.03773056482234</v>
      </c>
      <c r="CK37" s="30">
        <f t="shared" si="56"/>
        <v>106.37307369982577</v>
      </c>
      <c r="CL37" s="30">
        <f t="shared" si="56"/>
        <v>106.47358154256921</v>
      </c>
      <c r="CM37" s="30">
        <f t="shared" si="56"/>
        <v>105.12191145767378</v>
      </c>
      <c r="CN37" s="30">
        <f t="shared" si="56"/>
        <v>117.06544720587888</v>
      </c>
      <c r="CO37" s="30">
        <f t="shared" si="56"/>
        <v>67.934604033501628</v>
      </c>
      <c r="CP37" s="30">
        <f t="shared" si="56"/>
        <v>122.91849537214546</v>
      </c>
      <c r="CQ37" s="30">
        <f t="shared" si="56"/>
        <v>137.01538027465392</v>
      </c>
      <c r="CR37" s="30">
        <f t="shared" si="56"/>
        <v>146.64114722329131</v>
      </c>
      <c r="CS37" s="30">
        <f t="shared" si="56"/>
        <v>110.47516044171604</v>
      </c>
      <c r="CT37" s="30">
        <f t="shared" si="56"/>
        <v>123.08920646053932</v>
      </c>
      <c r="CU37" s="30">
        <f t="shared" si="56"/>
        <v>137.05746597633663</v>
      </c>
      <c r="CV37" s="30">
        <f t="shared" si="56"/>
        <v>134.20817713127755</v>
      </c>
      <c r="CW37" s="30">
        <f t="shared" si="56"/>
        <v>53.95928996427503</v>
      </c>
      <c r="CX37" s="30">
        <f t="shared" si="56"/>
        <v>103.95508187635019</v>
      </c>
      <c r="CY37" s="30">
        <f t="shared" si="56"/>
        <v>68.062778700363651</v>
      </c>
      <c r="CZ37" s="30">
        <f t="shared" si="56"/>
        <v>123.0322014645149</v>
      </c>
      <c r="DA37" s="30">
        <f t="shared" si="56"/>
        <v>73.120752829558683</v>
      </c>
      <c r="DB37" s="30">
        <f t="shared" si="56"/>
        <v>44.559160030877173</v>
      </c>
      <c r="DC37" s="30">
        <f t="shared" si="56"/>
        <v>134.29098001247354</v>
      </c>
      <c r="DD37" s="30">
        <f t="shared" si="56"/>
        <v>44.507518311647935</v>
      </c>
      <c r="DE37" s="30">
        <f t="shared" si="56"/>
        <v>129.76487992643428</v>
      </c>
      <c r="DF37" s="30">
        <f t="shared" si="56"/>
        <v>136.01093640665226</v>
      </c>
      <c r="DG37" s="30">
        <f t="shared" si="56"/>
        <v>104.99813168638025</v>
      </c>
      <c r="DH37" s="30">
        <f t="shared" si="56"/>
        <v>86.145020634781261</v>
      </c>
      <c r="DI37" s="30">
        <f t="shared" si="56"/>
        <v>127.42468306222344</v>
      </c>
      <c r="DJ37" s="30">
        <f t="shared" si="56"/>
        <v>137.39180137997258</v>
      </c>
      <c r="DK37" s="30">
        <f t="shared" si="56"/>
        <v>123.0216782017383</v>
      </c>
      <c r="DL37" s="30">
        <f t="shared" si="56"/>
        <v>97.957659972764219</v>
      </c>
      <c r="DM37" s="30">
        <f t="shared" si="56"/>
        <v>93.723312106203707</v>
      </c>
      <c r="DN37" s="30">
        <f t="shared" si="56"/>
        <v>118.22357269773565</v>
      </c>
      <c r="DO37" s="30">
        <f t="shared" si="56"/>
        <v>139.31128160262895</v>
      </c>
      <c r="DP37" s="30">
        <f t="shared" si="56"/>
        <v>142.19396366702267</v>
      </c>
      <c r="DQ37" s="30">
        <f t="shared" si="56"/>
        <v>121.97742175526317</v>
      </c>
      <c r="DR37" s="30">
        <f t="shared" si="56"/>
        <v>103.7258422719044</v>
      </c>
      <c r="DS37" s="30">
        <f t="shared" si="56"/>
        <v>146.47260924081402</v>
      </c>
      <c r="DT37" s="30">
        <f t="shared" si="56"/>
        <v>109.43740693793856</v>
      </c>
      <c r="DU37" s="30">
        <f t="shared" si="56"/>
        <v>66.207070170672523</v>
      </c>
      <c r="DV37" s="30">
        <f t="shared" si="56"/>
        <v>69.734537120367278</v>
      </c>
      <c r="DW37" s="30">
        <f t="shared" si="56"/>
        <v>130.10168311017642</v>
      </c>
      <c r="DX37" s="30">
        <f t="shared" si="56"/>
        <v>145.97492358287062</v>
      </c>
      <c r="DY37" s="30">
        <f t="shared" si="56"/>
        <v>77.961488680636904</v>
      </c>
      <c r="DZ37" s="30">
        <f t="shared" si="56"/>
        <v>89.314994328079194</v>
      </c>
      <c r="EA37" s="30">
        <f t="shared" si="56"/>
        <v>90.65612377778713</v>
      </c>
      <c r="EB37" s="30">
        <f t="shared" si="56"/>
        <v>134.21122730978209</v>
      </c>
      <c r="EC37" s="30">
        <f t="shared" si="56"/>
        <v>123.22225073472029</v>
      </c>
      <c r="ED37" s="30">
        <f t="shared" si="56"/>
        <v>102.41964249802454</v>
      </c>
      <c r="EE37" s="30">
        <f t="shared" si="56"/>
        <v>126.65061527035695</v>
      </c>
      <c r="EF37" s="30">
        <f t="shared" si="56"/>
        <v>71.419103306298027</v>
      </c>
      <c r="EG37" s="30">
        <f t="shared" si="56"/>
        <v>71.573280139542746</v>
      </c>
      <c r="EH37" s="30">
        <f t="shared" si="56"/>
        <v>109.08223615172612</v>
      </c>
      <c r="EI37" s="30">
        <f t="shared" si="56"/>
        <v>78.051628541774505</v>
      </c>
      <c r="EJ37" s="30">
        <f t="shared" si="56"/>
        <v>55.68004830479255</v>
      </c>
      <c r="EK37" s="30">
        <f t="shared" si="56"/>
        <v>74.69977325175968</v>
      </c>
      <c r="EL37" s="30">
        <f t="shared" si="56"/>
        <v>103.66167741041743</v>
      </c>
      <c r="EM37" s="30">
        <f t="shared" ref="EM37:GX37" si="57">SUM(EM34:EM36)</f>
        <v>57.500683574552745</v>
      </c>
      <c r="EN37" s="30">
        <f t="shared" si="57"/>
        <v>115.65677592026861</v>
      </c>
      <c r="EO37" s="30">
        <f t="shared" si="57"/>
        <v>103.91725627961492</v>
      </c>
      <c r="EP37" s="30">
        <f t="shared" si="57"/>
        <v>52.11515342283699</v>
      </c>
      <c r="EQ37" s="30">
        <f t="shared" si="57"/>
        <v>50.131631394392265</v>
      </c>
      <c r="ER37" s="30">
        <f t="shared" si="57"/>
        <v>109.01255735931439</v>
      </c>
      <c r="ES37" s="30">
        <f t="shared" si="57"/>
        <v>81.394107217761572</v>
      </c>
      <c r="ET37" s="30">
        <f t="shared" si="57"/>
        <v>137.03297628524209</v>
      </c>
      <c r="EU37" s="30">
        <f t="shared" si="57"/>
        <v>140.52637932970754</v>
      </c>
      <c r="EV37" s="30">
        <f t="shared" si="57"/>
        <v>138.5649837540299</v>
      </c>
      <c r="EW37" s="30">
        <f t="shared" si="57"/>
        <v>146.31844771361111</v>
      </c>
      <c r="EX37" s="30">
        <f t="shared" si="57"/>
        <v>85.979990625744918</v>
      </c>
      <c r="EY37" s="30">
        <f t="shared" si="57"/>
        <v>113.39869070121952</v>
      </c>
      <c r="EZ37" s="30">
        <f t="shared" si="57"/>
        <v>96.459426247310219</v>
      </c>
      <c r="FA37" s="30">
        <f t="shared" si="57"/>
        <v>142.37873381211074</v>
      </c>
      <c r="FB37" s="30">
        <f t="shared" si="57"/>
        <v>55.690357507699048</v>
      </c>
      <c r="FC37" s="30">
        <f t="shared" si="57"/>
        <v>57.528502609786244</v>
      </c>
      <c r="FD37" s="30">
        <f t="shared" si="57"/>
        <v>142.77303913954665</v>
      </c>
      <c r="FE37" s="30">
        <f t="shared" si="57"/>
        <v>136.4758627925379</v>
      </c>
      <c r="FF37" s="30">
        <f t="shared" si="57"/>
        <v>128.99603113805901</v>
      </c>
      <c r="FG37" s="30">
        <f t="shared" si="57"/>
        <v>87.485255116023495</v>
      </c>
      <c r="FH37" s="30">
        <f t="shared" si="57"/>
        <v>59.268058385017248</v>
      </c>
      <c r="FI37" s="30">
        <f t="shared" si="57"/>
        <v>71.351163044966995</v>
      </c>
      <c r="FJ37" s="30">
        <f t="shared" si="57"/>
        <v>133.3934343958588</v>
      </c>
      <c r="FK37" s="30">
        <f t="shared" si="57"/>
        <v>136.1002340238276</v>
      </c>
      <c r="FL37" s="30">
        <f t="shared" si="57"/>
        <v>57.598003599243093</v>
      </c>
      <c r="FM37" s="30">
        <f t="shared" si="57"/>
        <v>116.85897188379337</v>
      </c>
      <c r="FN37" s="30">
        <f t="shared" si="57"/>
        <v>137.20203374500085</v>
      </c>
      <c r="FO37" s="30">
        <f t="shared" si="57"/>
        <v>102.25349508311228</v>
      </c>
      <c r="FP37" s="30">
        <f t="shared" si="57"/>
        <v>143.73845078030237</v>
      </c>
      <c r="FQ37" s="30">
        <f t="shared" si="57"/>
        <v>111.89314254654499</v>
      </c>
      <c r="FR37" s="30">
        <f t="shared" si="57"/>
        <v>99.509078338834456</v>
      </c>
      <c r="FS37" s="30">
        <f t="shared" si="57"/>
        <v>133.01758432787588</v>
      </c>
      <c r="FT37" s="30">
        <f t="shared" si="57"/>
        <v>144.19742120777835</v>
      </c>
      <c r="FU37" s="30">
        <f t="shared" si="57"/>
        <v>111.743726567761</v>
      </c>
      <c r="FV37" s="30">
        <f t="shared" si="57"/>
        <v>126.38503980193661</v>
      </c>
      <c r="FW37" s="30">
        <f t="shared" si="57"/>
        <v>114.53881396524423</v>
      </c>
      <c r="FX37" s="30">
        <f t="shared" si="57"/>
        <v>141.05057100852275</v>
      </c>
      <c r="FY37" s="30">
        <f t="shared" si="57"/>
        <v>134.23498988647995</v>
      </c>
      <c r="FZ37" s="30">
        <f t="shared" si="57"/>
        <v>91.997271985957866</v>
      </c>
      <c r="GA37" s="30">
        <f t="shared" si="57"/>
        <v>129.68910329573879</v>
      </c>
      <c r="GB37" s="30">
        <f t="shared" si="57"/>
        <v>98.12692181267488</v>
      </c>
      <c r="GC37" s="30">
        <f t="shared" si="57"/>
        <v>71.445891003633079</v>
      </c>
      <c r="GD37" s="30">
        <f t="shared" si="57"/>
        <v>50.171172817821244</v>
      </c>
      <c r="GE37" s="30">
        <f t="shared" si="57"/>
        <v>46.508471781927184</v>
      </c>
      <c r="GF37" s="30">
        <f t="shared" si="57"/>
        <v>50.259802606967639</v>
      </c>
      <c r="GG37" s="30">
        <f t="shared" si="57"/>
        <v>134.16173318478928</v>
      </c>
      <c r="GH37" s="30">
        <f t="shared" si="57"/>
        <v>62.793500030642257</v>
      </c>
      <c r="GI37" s="30">
        <f t="shared" si="57"/>
        <v>114.40462997352796</v>
      </c>
      <c r="GJ37" s="30">
        <f t="shared" si="57"/>
        <v>67.91161689852774</v>
      </c>
      <c r="GK37" s="30">
        <f t="shared" si="57"/>
        <v>89.199549039174201</v>
      </c>
      <c r="GL37" s="30">
        <f t="shared" si="57"/>
        <v>92.047562393922647</v>
      </c>
      <c r="GM37" s="30">
        <f t="shared" si="57"/>
        <v>69.649474428475514</v>
      </c>
      <c r="GN37" s="30">
        <f t="shared" si="57"/>
        <v>126.60849086841856</v>
      </c>
      <c r="GO37" s="30">
        <f t="shared" si="57"/>
        <v>146.43149200785226</v>
      </c>
      <c r="GP37" s="30">
        <f t="shared" si="57"/>
        <v>119.50974213231778</v>
      </c>
      <c r="GQ37" s="30">
        <f t="shared" si="57"/>
        <v>129.7704247293513</v>
      </c>
      <c r="GR37" s="30">
        <f t="shared" si="57"/>
        <v>73.069197817794389</v>
      </c>
      <c r="GS37" s="30">
        <f t="shared" si="57"/>
        <v>89.004592309221962</v>
      </c>
      <c r="GT37" s="30">
        <f t="shared" si="57"/>
        <v>76.402726896828739</v>
      </c>
      <c r="GU37" s="30">
        <f t="shared" si="57"/>
        <v>89.28190089251801</v>
      </c>
      <c r="GV37" s="30">
        <f t="shared" si="57"/>
        <v>116.82415869760914</v>
      </c>
      <c r="GW37" s="30">
        <f t="shared" si="57"/>
        <v>79.548855893191174</v>
      </c>
      <c r="GX37" s="30">
        <f t="shared" si="57"/>
        <v>107.77557005042758</v>
      </c>
      <c r="GY37" s="30">
        <f t="shared" ref="GY37:JJ37" si="58">SUM(GY34:GY36)</f>
        <v>61.159065197106166</v>
      </c>
      <c r="GZ37" s="30">
        <f t="shared" si="58"/>
        <v>59.353078477855455</v>
      </c>
      <c r="HA37" s="30">
        <f t="shared" si="58"/>
        <v>81.350340237762467</v>
      </c>
      <c r="HB37" s="30">
        <f t="shared" si="58"/>
        <v>134.3521023738632</v>
      </c>
      <c r="HC37" s="30">
        <f t="shared" si="58"/>
        <v>46.399270460152522</v>
      </c>
      <c r="HD37" s="30">
        <f t="shared" si="58"/>
        <v>129.71188890935761</v>
      </c>
      <c r="HE37" s="30">
        <f t="shared" si="58"/>
        <v>135.11557428051677</v>
      </c>
      <c r="HF37" s="30">
        <f t="shared" si="58"/>
        <v>124.16373699533727</v>
      </c>
      <c r="HG37" s="30">
        <f t="shared" si="58"/>
        <v>139.46738506698185</v>
      </c>
      <c r="HH37" s="30">
        <f t="shared" si="58"/>
        <v>125.44090945942034</v>
      </c>
      <c r="HI37" s="30">
        <f t="shared" si="58"/>
        <v>69.725240456050244</v>
      </c>
      <c r="HJ37" s="30">
        <f t="shared" si="58"/>
        <v>126.68792354904252</v>
      </c>
      <c r="HK37" s="30">
        <f t="shared" si="58"/>
        <v>62.849732365078886</v>
      </c>
      <c r="HL37" s="30">
        <f t="shared" si="58"/>
        <v>141.2180747553742</v>
      </c>
      <c r="HM37" s="30">
        <f t="shared" si="58"/>
        <v>133.2511808724179</v>
      </c>
      <c r="HN37" s="30">
        <f t="shared" si="58"/>
        <v>126.53738714992065</v>
      </c>
      <c r="HO37" s="30">
        <f t="shared" si="58"/>
        <v>126.36860314385657</v>
      </c>
      <c r="HP37" s="30">
        <f t="shared" si="58"/>
        <v>64.50153290912229</v>
      </c>
      <c r="HQ37" s="30">
        <f t="shared" si="58"/>
        <v>134.47206494898205</v>
      </c>
      <c r="HR37" s="30">
        <f t="shared" si="58"/>
        <v>78.020482955371193</v>
      </c>
      <c r="HS37" s="30">
        <f t="shared" si="58"/>
        <v>51.99876211194141</v>
      </c>
      <c r="HT37" s="30">
        <f t="shared" si="58"/>
        <v>140.98703610134066</v>
      </c>
      <c r="HU37" s="30">
        <f t="shared" si="58"/>
        <v>62.932110304193763</v>
      </c>
      <c r="HV37" s="30">
        <f t="shared" si="58"/>
        <v>145.76918136209414</v>
      </c>
      <c r="HW37" s="30">
        <f t="shared" si="58"/>
        <v>141.35691885053544</v>
      </c>
      <c r="HX37" s="30">
        <f t="shared" si="58"/>
        <v>110.33438185110212</v>
      </c>
      <c r="HY37" s="30">
        <f t="shared" si="58"/>
        <v>143.31046611782941</v>
      </c>
      <c r="HZ37" s="30">
        <f t="shared" si="58"/>
        <v>52.012323724163302</v>
      </c>
      <c r="IA37" s="30">
        <f t="shared" si="58"/>
        <v>62.888516399668625</v>
      </c>
      <c r="IB37" s="30">
        <f t="shared" si="58"/>
        <v>99.328221249592318</v>
      </c>
      <c r="IC37" s="30">
        <f t="shared" si="58"/>
        <v>76.472725911586906</v>
      </c>
      <c r="ID37" s="30">
        <f t="shared" si="58"/>
        <v>144.20765626351491</v>
      </c>
      <c r="IE37" s="30">
        <f t="shared" si="58"/>
        <v>96.542721505676226</v>
      </c>
      <c r="IF37" s="30">
        <f t="shared" si="58"/>
        <v>134.41464212413135</v>
      </c>
      <c r="IG37" s="30">
        <f t="shared" si="58"/>
        <v>84.579789690698959</v>
      </c>
      <c r="IH37" s="30">
        <f t="shared" si="58"/>
        <v>136.53716670717947</v>
      </c>
      <c r="II37" s="30">
        <f t="shared" si="58"/>
        <v>118.24497241634026</v>
      </c>
      <c r="IJ37" s="30">
        <f t="shared" si="58"/>
        <v>118.47607065320977</v>
      </c>
      <c r="IK37" s="30">
        <f t="shared" si="58"/>
        <v>77.937223658287536</v>
      </c>
      <c r="IL37" s="30">
        <f t="shared" si="58"/>
        <v>115.5061302608481</v>
      </c>
      <c r="IM37" s="30">
        <f t="shared" si="58"/>
        <v>122.02634334804699</v>
      </c>
      <c r="IN37" s="30">
        <f t="shared" si="58"/>
        <v>121.89511300642276</v>
      </c>
      <c r="IO37" s="30">
        <f t="shared" si="58"/>
        <v>138.96658297578412</v>
      </c>
      <c r="IP37" s="30">
        <f t="shared" si="58"/>
        <v>111.75037395082278</v>
      </c>
      <c r="IQ37" s="30">
        <f t="shared" si="58"/>
        <v>87.475242592654453</v>
      </c>
      <c r="IR37" s="30">
        <f t="shared" si="58"/>
        <v>103.6888209020656</v>
      </c>
      <c r="IS37" s="30">
        <f t="shared" si="58"/>
        <v>89.059752726061831</v>
      </c>
      <c r="IT37" s="30">
        <f t="shared" si="58"/>
        <v>98.141957789003385</v>
      </c>
      <c r="IU37" s="30">
        <f t="shared" si="58"/>
        <v>69.813439503851782</v>
      </c>
      <c r="IV37" s="30">
        <f t="shared" si="58"/>
        <v>109.304153149085</v>
      </c>
      <c r="IW37" s="30">
        <f t="shared" si="58"/>
        <v>146.48351017719258</v>
      </c>
      <c r="IX37" s="30">
        <f t="shared" si="58"/>
        <v>96.74329701049416</v>
      </c>
      <c r="IY37" s="30">
        <f t="shared" si="58"/>
        <v>134.38434133451935</v>
      </c>
      <c r="IZ37" s="30">
        <f t="shared" si="58"/>
        <v>102.46473365753238</v>
      </c>
      <c r="JA37" s="30">
        <f t="shared" si="58"/>
        <v>105.01758772412562</v>
      </c>
      <c r="JB37" s="30">
        <f t="shared" si="58"/>
        <v>53.768604728706663</v>
      </c>
      <c r="JC37" s="30">
        <f t="shared" si="58"/>
        <v>133.4260955463111</v>
      </c>
      <c r="JD37" s="30">
        <f t="shared" si="58"/>
        <v>81.462251823222104</v>
      </c>
      <c r="JE37" s="30">
        <f t="shared" si="58"/>
        <v>81.243515875625349</v>
      </c>
      <c r="JF37" s="30">
        <f t="shared" si="58"/>
        <v>86.103319471017556</v>
      </c>
      <c r="JG37" s="30">
        <f t="shared" si="58"/>
        <v>146.6267295801641</v>
      </c>
      <c r="JH37" s="30">
        <f t="shared" si="58"/>
        <v>62.944622987628371</v>
      </c>
      <c r="JI37" s="30">
        <f t="shared" si="58"/>
        <v>135.08695929276436</v>
      </c>
      <c r="JJ37" s="30">
        <f t="shared" si="58"/>
        <v>67.949176826294178</v>
      </c>
      <c r="JK37" s="30">
        <f t="shared" ref="JK37:KI37" si="59">SUM(JK34:JK36)</f>
        <v>59.235223129206368</v>
      </c>
      <c r="JL37" s="30">
        <f t="shared" si="59"/>
        <v>115.93223142847305</v>
      </c>
      <c r="JM37" s="30">
        <f t="shared" si="59"/>
        <v>141.02327868839373</v>
      </c>
      <c r="JN37" s="30">
        <f t="shared" si="59"/>
        <v>53.939212277777692</v>
      </c>
      <c r="JO37" s="30">
        <f t="shared" si="59"/>
        <v>113.36278857519684</v>
      </c>
      <c r="JP37" s="30">
        <f t="shared" si="59"/>
        <v>44.555882524262003</v>
      </c>
      <c r="JQ37" s="30">
        <f t="shared" si="59"/>
        <v>95.026114482793332</v>
      </c>
      <c r="JR37" s="30">
        <f t="shared" si="59"/>
        <v>137.96703606308637</v>
      </c>
      <c r="JS37" s="30">
        <f t="shared" si="59"/>
        <v>66.397926108410815</v>
      </c>
      <c r="JT37" s="30">
        <f t="shared" si="59"/>
        <v>137.56252916697326</v>
      </c>
      <c r="JU37" s="30">
        <f t="shared" si="59"/>
        <v>135.31050430650578</v>
      </c>
      <c r="JV37" s="30">
        <f t="shared" si="59"/>
        <v>66.250805452564066</v>
      </c>
      <c r="JW37" s="30">
        <f t="shared" si="59"/>
        <v>136.0634010213179</v>
      </c>
      <c r="JX37" s="30">
        <f t="shared" si="59"/>
        <v>46.414234370747756</v>
      </c>
      <c r="JY37" s="30">
        <f t="shared" si="59"/>
        <v>136.19100850540255</v>
      </c>
      <c r="JZ37" s="30">
        <f t="shared" si="59"/>
        <v>97.98545260341136</v>
      </c>
      <c r="KA37" s="30">
        <f t="shared" si="59"/>
        <v>59.392114050733532</v>
      </c>
      <c r="KB37" s="30">
        <f t="shared" si="59"/>
        <v>60.968425801909568</v>
      </c>
      <c r="KC37" s="30">
        <f t="shared" si="59"/>
        <v>140.02274368570906</v>
      </c>
      <c r="KD37" s="30">
        <f t="shared" si="59"/>
        <v>143.10012706104536</v>
      </c>
      <c r="KE37" s="30">
        <f t="shared" si="59"/>
        <v>90.560701159405113</v>
      </c>
      <c r="KF37" s="30">
        <f t="shared" si="59"/>
        <v>133.39850611526501</v>
      </c>
      <c r="KG37" s="30">
        <f t="shared" si="59"/>
        <v>110.60724407916086</v>
      </c>
      <c r="KH37" s="30">
        <f t="shared" si="59"/>
        <v>78.079849115921604</v>
      </c>
      <c r="KI37" s="30">
        <f t="shared" si="59"/>
        <v>92.115723103773064</v>
      </c>
      <c r="KJ37" s="1"/>
    </row>
    <row r="38" spans="7:296" x14ac:dyDescent="0.35">
      <c r="H38" s="13" t="s">
        <v>22</v>
      </c>
      <c r="M38" s="15" t="s">
        <v>23</v>
      </c>
      <c r="N38" s="24">
        <f>-Inputs!K120</f>
        <v>-1</v>
      </c>
      <c r="O38" s="24">
        <f>-Inputs!L120</f>
        <v>-1</v>
      </c>
      <c r="P38" s="24">
        <f>-Inputs!M120</f>
        <v>-1</v>
      </c>
      <c r="Q38" s="24">
        <f>-Inputs!N120</f>
        <v>-1</v>
      </c>
      <c r="R38" s="24">
        <f>-Inputs!O120</f>
        <v>-1</v>
      </c>
      <c r="S38" s="24">
        <f>-Inputs!P120</f>
        <v>-1</v>
      </c>
      <c r="T38" s="24">
        <f>-Inputs!Q120</f>
        <v>-1</v>
      </c>
      <c r="U38" s="24">
        <f>-Inputs!R120</f>
        <v>-1</v>
      </c>
      <c r="V38" s="24">
        <f>-Inputs!S120</f>
        <v>-1</v>
      </c>
      <c r="W38" s="24">
        <f>-Inputs!T120</f>
        <v>-1</v>
      </c>
      <c r="X38" s="24">
        <f>-Inputs!U120</f>
        <v>-1</v>
      </c>
      <c r="Y38" s="24">
        <f>-Inputs!V120</f>
        <v>-1</v>
      </c>
      <c r="Z38" s="24">
        <f>-Inputs!W120</f>
        <v>-1</v>
      </c>
      <c r="AA38" s="24">
        <f>-Inputs!X120</f>
        <v>-1</v>
      </c>
      <c r="AB38" s="24">
        <f>-Inputs!Y120</f>
        <v>-1</v>
      </c>
      <c r="AC38" s="24">
        <f>-Inputs!Z120</f>
        <v>-1</v>
      </c>
      <c r="AD38" s="24">
        <f>-Inputs!AA120</f>
        <v>-1</v>
      </c>
      <c r="AE38" s="24">
        <f>-Inputs!AB120</f>
        <v>-1</v>
      </c>
      <c r="AF38" s="24">
        <f>-Inputs!AC120</f>
        <v>-1</v>
      </c>
      <c r="AG38" s="24">
        <f>-Inputs!AD120</f>
        <v>-1</v>
      </c>
      <c r="AH38" s="24">
        <f>-Inputs!AE120</f>
        <v>-1</v>
      </c>
      <c r="AI38" s="24">
        <f>-Inputs!AF120</f>
        <v>-1</v>
      </c>
      <c r="AJ38" s="24">
        <f>-Inputs!AG120</f>
        <v>-1</v>
      </c>
      <c r="AK38" s="24">
        <f>-Inputs!AH120</f>
        <v>-1</v>
      </c>
      <c r="AL38" s="24">
        <f>-Inputs!AI120</f>
        <v>-1</v>
      </c>
      <c r="AM38" s="24">
        <f>-Inputs!AJ120</f>
        <v>-1</v>
      </c>
      <c r="AN38" s="24">
        <f>-Inputs!AK120</f>
        <v>-1</v>
      </c>
      <c r="AO38" s="24">
        <f>-Inputs!AL120</f>
        <v>-1</v>
      </c>
      <c r="AP38" s="24">
        <f>-Inputs!AM120</f>
        <v>-1</v>
      </c>
      <c r="AQ38" s="24">
        <f>-Inputs!AN120</f>
        <v>-1</v>
      </c>
      <c r="AR38" s="24">
        <f>-Inputs!AO120</f>
        <v>-1</v>
      </c>
      <c r="AS38" s="24">
        <f>-Inputs!AP120</f>
        <v>-1</v>
      </c>
      <c r="AT38" s="24">
        <f>-Inputs!AQ120</f>
        <v>-1</v>
      </c>
      <c r="AU38" s="24">
        <f>-Inputs!AR120</f>
        <v>-1</v>
      </c>
      <c r="AV38" s="24">
        <f>-Inputs!AS120</f>
        <v>-1</v>
      </c>
      <c r="AW38" s="24">
        <f>-Inputs!AT120</f>
        <v>-1</v>
      </c>
      <c r="AX38" s="24">
        <f>-Inputs!AU120</f>
        <v>-1</v>
      </c>
      <c r="AY38" s="24">
        <f>-Inputs!AV120</f>
        <v>-1</v>
      </c>
      <c r="AZ38" s="24">
        <f>-Inputs!AW120</f>
        <v>-1</v>
      </c>
      <c r="BA38" s="24">
        <f>-Inputs!AX120</f>
        <v>-1</v>
      </c>
      <c r="BB38" s="24">
        <f>-Inputs!AY120</f>
        <v>-1</v>
      </c>
      <c r="BC38" s="24">
        <f>-Inputs!AZ120</f>
        <v>-1</v>
      </c>
      <c r="BD38" s="24">
        <f>-Inputs!BA120</f>
        <v>-1</v>
      </c>
      <c r="BE38" s="24">
        <f>-Inputs!BB120</f>
        <v>-1</v>
      </c>
      <c r="BF38" s="24">
        <f>-Inputs!BC120</f>
        <v>-1</v>
      </c>
      <c r="BG38" s="24">
        <f>-Inputs!BD120</f>
        <v>-1</v>
      </c>
      <c r="BH38" s="24">
        <f>-Inputs!BE120</f>
        <v>-1</v>
      </c>
      <c r="BI38" s="24">
        <f>-Inputs!BF120</f>
        <v>-1</v>
      </c>
      <c r="BJ38" s="24">
        <f>-Inputs!BG120</f>
        <v>-1</v>
      </c>
      <c r="BK38" s="24">
        <f>-Inputs!BH120</f>
        <v>-1</v>
      </c>
      <c r="BL38" s="24">
        <f>-Inputs!BI120</f>
        <v>-1</v>
      </c>
      <c r="BM38" s="24">
        <f>-Inputs!BJ120</f>
        <v>-1</v>
      </c>
      <c r="BN38" s="24">
        <f>-Inputs!BK120</f>
        <v>-1</v>
      </c>
      <c r="BO38" s="24">
        <f>-Inputs!BL120</f>
        <v>-1</v>
      </c>
      <c r="BP38" s="24">
        <f>-Inputs!BM120</f>
        <v>-1</v>
      </c>
      <c r="BQ38" s="24">
        <f>-Inputs!BN120</f>
        <v>-1</v>
      </c>
      <c r="BR38" s="24">
        <f>-Inputs!BO120</f>
        <v>-1</v>
      </c>
      <c r="BS38" s="24">
        <f>-Inputs!BP120</f>
        <v>-1</v>
      </c>
      <c r="BT38" s="24">
        <f>-Inputs!BQ120</f>
        <v>-1</v>
      </c>
      <c r="BU38" s="24">
        <f>-Inputs!BR120</f>
        <v>-1</v>
      </c>
      <c r="BV38" s="24">
        <f>-Inputs!BS120</f>
        <v>-1</v>
      </c>
      <c r="BW38" s="24">
        <f>-Inputs!BT120</f>
        <v>-1</v>
      </c>
      <c r="BX38" s="24">
        <f>-Inputs!BU120</f>
        <v>-1</v>
      </c>
      <c r="BY38" s="24">
        <f>-Inputs!BV120</f>
        <v>-1</v>
      </c>
      <c r="BZ38" s="24">
        <f>-Inputs!BW120</f>
        <v>-1</v>
      </c>
      <c r="CA38" s="24">
        <f>-Inputs!BX120</f>
        <v>-1</v>
      </c>
      <c r="CB38" s="24">
        <f>-Inputs!BY120</f>
        <v>-1</v>
      </c>
      <c r="CC38" s="24">
        <f>-Inputs!BZ120</f>
        <v>-1</v>
      </c>
      <c r="CD38" s="24">
        <f>-Inputs!CA120</f>
        <v>-1</v>
      </c>
      <c r="CE38" s="24">
        <f>-Inputs!CB120</f>
        <v>-1</v>
      </c>
      <c r="CF38" s="24">
        <f>-Inputs!CC120</f>
        <v>-1</v>
      </c>
      <c r="CG38" s="24">
        <f>-Inputs!CD120</f>
        <v>-1</v>
      </c>
      <c r="CH38" s="24">
        <f>-Inputs!CE120</f>
        <v>-1</v>
      </c>
      <c r="CI38" s="24">
        <f>-Inputs!CF120</f>
        <v>-1</v>
      </c>
      <c r="CJ38" s="24">
        <f>-Inputs!CG120</f>
        <v>-1</v>
      </c>
      <c r="CK38" s="24">
        <f>-Inputs!CH120</f>
        <v>-1</v>
      </c>
      <c r="CL38" s="24">
        <f>-Inputs!CI120</f>
        <v>-1</v>
      </c>
      <c r="CM38" s="24">
        <f>-Inputs!CJ120</f>
        <v>-1</v>
      </c>
      <c r="CN38" s="24">
        <f>-Inputs!CK120</f>
        <v>-1</v>
      </c>
      <c r="CO38" s="24">
        <f>-Inputs!CL120</f>
        <v>-1</v>
      </c>
      <c r="CP38" s="24">
        <f>-Inputs!CM120</f>
        <v>-1</v>
      </c>
      <c r="CQ38" s="24">
        <f>-Inputs!CN120</f>
        <v>-1</v>
      </c>
      <c r="CR38" s="24">
        <f>-Inputs!CO120</f>
        <v>-1</v>
      </c>
      <c r="CS38" s="24">
        <f>-Inputs!CP120</f>
        <v>-1</v>
      </c>
      <c r="CT38" s="24">
        <f>-Inputs!CQ120</f>
        <v>-1</v>
      </c>
      <c r="CU38" s="24">
        <f>-Inputs!CR120</f>
        <v>-1</v>
      </c>
      <c r="CV38" s="24">
        <f>-Inputs!CS120</f>
        <v>-1</v>
      </c>
      <c r="CW38" s="24">
        <f>-Inputs!CT120</f>
        <v>-1</v>
      </c>
      <c r="CX38" s="24">
        <f>-Inputs!CU120</f>
        <v>-1</v>
      </c>
      <c r="CY38" s="24">
        <f>-Inputs!CV120</f>
        <v>-1</v>
      </c>
      <c r="CZ38" s="24">
        <f>-Inputs!CW120</f>
        <v>-1</v>
      </c>
      <c r="DA38" s="24">
        <f>-Inputs!CX120</f>
        <v>-1</v>
      </c>
      <c r="DB38" s="24">
        <f>-Inputs!CY120</f>
        <v>-1</v>
      </c>
      <c r="DC38" s="24">
        <f>-Inputs!CZ120</f>
        <v>-1</v>
      </c>
      <c r="DD38" s="24">
        <f>-Inputs!DA120</f>
        <v>-1</v>
      </c>
      <c r="DE38" s="24">
        <f>-Inputs!DB120</f>
        <v>-1</v>
      </c>
      <c r="DF38" s="24">
        <f>-Inputs!DC120</f>
        <v>-1</v>
      </c>
      <c r="DG38" s="24">
        <f>-Inputs!DD120</f>
        <v>-1</v>
      </c>
      <c r="DH38" s="24">
        <f>-Inputs!DE120</f>
        <v>-1</v>
      </c>
      <c r="DI38" s="24">
        <f>-Inputs!DF120</f>
        <v>-1</v>
      </c>
      <c r="DJ38" s="24">
        <f>-Inputs!DG120</f>
        <v>-1</v>
      </c>
      <c r="DK38" s="24">
        <f>-Inputs!DH120</f>
        <v>-1</v>
      </c>
      <c r="DL38" s="24">
        <f>-Inputs!DI120</f>
        <v>-1</v>
      </c>
      <c r="DM38" s="24">
        <f>-Inputs!DJ120</f>
        <v>-1</v>
      </c>
      <c r="DN38" s="24">
        <f>-Inputs!DK120</f>
        <v>-1</v>
      </c>
      <c r="DO38" s="24">
        <f>-Inputs!DL120</f>
        <v>-1</v>
      </c>
      <c r="DP38" s="24">
        <f>-Inputs!DM120</f>
        <v>-1</v>
      </c>
      <c r="DQ38" s="24">
        <f>-Inputs!DN120</f>
        <v>-1</v>
      </c>
      <c r="DR38" s="24">
        <f>-Inputs!DO120</f>
        <v>-1</v>
      </c>
      <c r="DS38" s="24">
        <f>-Inputs!DP120</f>
        <v>-1</v>
      </c>
      <c r="DT38" s="24">
        <f>-Inputs!DQ120</f>
        <v>-1</v>
      </c>
      <c r="DU38" s="24">
        <f>-Inputs!DR120</f>
        <v>-1</v>
      </c>
      <c r="DV38" s="24">
        <f>-Inputs!DS120</f>
        <v>-1</v>
      </c>
      <c r="DW38" s="24">
        <f>-Inputs!DT120</f>
        <v>-1</v>
      </c>
      <c r="DX38" s="24">
        <f>-Inputs!DU120</f>
        <v>-1</v>
      </c>
      <c r="DY38" s="24">
        <f>-Inputs!DV120</f>
        <v>-1</v>
      </c>
      <c r="DZ38" s="24">
        <f>-Inputs!DW120</f>
        <v>-1</v>
      </c>
      <c r="EA38" s="24">
        <f>-Inputs!DX120</f>
        <v>-1</v>
      </c>
      <c r="EB38" s="24">
        <f>-Inputs!DY120</f>
        <v>-1</v>
      </c>
      <c r="EC38" s="24">
        <f>-Inputs!DZ120</f>
        <v>-1</v>
      </c>
      <c r="ED38" s="24">
        <f>-Inputs!EA120</f>
        <v>-1</v>
      </c>
      <c r="EE38" s="24">
        <f>-Inputs!EB120</f>
        <v>-1</v>
      </c>
      <c r="EF38" s="24">
        <f>-Inputs!EC120</f>
        <v>-1</v>
      </c>
      <c r="EG38" s="24">
        <f>-Inputs!ED120</f>
        <v>-1</v>
      </c>
      <c r="EH38" s="24">
        <f>-Inputs!EE120</f>
        <v>-1</v>
      </c>
      <c r="EI38" s="24">
        <f>-Inputs!EF120</f>
        <v>-1</v>
      </c>
      <c r="EJ38" s="24">
        <f>-Inputs!EG120</f>
        <v>-1</v>
      </c>
      <c r="EK38" s="24">
        <f>-Inputs!EH120</f>
        <v>-1</v>
      </c>
      <c r="EL38" s="24">
        <f>-Inputs!EI120</f>
        <v>-1</v>
      </c>
      <c r="EM38" s="24">
        <f>-Inputs!EJ120</f>
        <v>-1</v>
      </c>
      <c r="EN38" s="24">
        <f>-Inputs!EK120</f>
        <v>-1</v>
      </c>
      <c r="EO38" s="24">
        <f>-Inputs!EL120</f>
        <v>-1</v>
      </c>
      <c r="EP38" s="24">
        <f>-Inputs!EM120</f>
        <v>-1</v>
      </c>
      <c r="EQ38" s="24">
        <f>-Inputs!EN120</f>
        <v>-1</v>
      </c>
      <c r="ER38" s="24">
        <f>-Inputs!EO120</f>
        <v>-1</v>
      </c>
      <c r="ES38" s="24">
        <f>-Inputs!EP120</f>
        <v>-1</v>
      </c>
      <c r="ET38" s="24">
        <f>-Inputs!EQ120</f>
        <v>-1</v>
      </c>
      <c r="EU38" s="24">
        <f>-Inputs!ER120</f>
        <v>-1</v>
      </c>
      <c r="EV38" s="24">
        <f>-Inputs!ES120</f>
        <v>-1</v>
      </c>
      <c r="EW38" s="24">
        <f>-Inputs!ET120</f>
        <v>-1</v>
      </c>
      <c r="EX38" s="24">
        <f>-Inputs!EU120</f>
        <v>-1</v>
      </c>
      <c r="EY38" s="24">
        <f>-Inputs!EV120</f>
        <v>-1</v>
      </c>
      <c r="EZ38" s="24">
        <f>-Inputs!EW120</f>
        <v>-1</v>
      </c>
      <c r="FA38" s="24">
        <f>-Inputs!EX120</f>
        <v>-1</v>
      </c>
      <c r="FB38" s="24">
        <f>-Inputs!EY120</f>
        <v>-1</v>
      </c>
      <c r="FC38" s="24">
        <f>-Inputs!EZ120</f>
        <v>-1</v>
      </c>
      <c r="FD38" s="24">
        <f>-Inputs!FA120</f>
        <v>-1</v>
      </c>
      <c r="FE38" s="24">
        <f>-Inputs!FB120</f>
        <v>-1</v>
      </c>
      <c r="FF38" s="24">
        <f>-Inputs!FC120</f>
        <v>-1</v>
      </c>
      <c r="FG38" s="24">
        <f>-Inputs!FD120</f>
        <v>-1</v>
      </c>
      <c r="FH38" s="24">
        <f>-Inputs!FE120</f>
        <v>-1</v>
      </c>
      <c r="FI38" s="24">
        <f>-Inputs!FF120</f>
        <v>-1</v>
      </c>
      <c r="FJ38" s="24">
        <f>-Inputs!FG120</f>
        <v>-1</v>
      </c>
      <c r="FK38" s="24">
        <f>-Inputs!FH120</f>
        <v>-1</v>
      </c>
      <c r="FL38" s="24">
        <f>-Inputs!FI120</f>
        <v>-1</v>
      </c>
      <c r="FM38" s="24">
        <f>-Inputs!FJ120</f>
        <v>-1</v>
      </c>
      <c r="FN38" s="24">
        <f>-Inputs!FK120</f>
        <v>-1</v>
      </c>
      <c r="FO38" s="24">
        <f>-Inputs!FL120</f>
        <v>-1</v>
      </c>
      <c r="FP38" s="24">
        <f>-Inputs!FM120</f>
        <v>-1</v>
      </c>
      <c r="FQ38" s="24">
        <f>-Inputs!FN120</f>
        <v>-1</v>
      </c>
      <c r="FR38" s="24">
        <f>-Inputs!FO120</f>
        <v>-1</v>
      </c>
      <c r="FS38" s="24">
        <f>-Inputs!FP120</f>
        <v>-1</v>
      </c>
      <c r="FT38" s="24">
        <f>-Inputs!FQ120</f>
        <v>-1</v>
      </c>
      <c r="FU38" s="24">
        <f>-Inputs!FR120</f>
        <v>-1</v>
      </c>
      <c r="FV38" s="24">
        <f>-Inputs!FS120</f>
        <v>-1</v>
      </c>
      <c r="FW38" s="24">
        <f>-Inputs!FT120</f>
        <v>-1</v>
      </c>
      <c r="FX38" s="24">
        <f>-Inputs!FU120</f>
        <v>-1</v>
      </c>
      <c r="FY38" s="24">
        <f>-Inputs!FV120</f>
        <v>-1</v>
      </c>
      <c r="FZ38" s="24">
        <f>-Inputs!FW120</f>
        <v>-1</v>
      </c>
      <c r="GA38" s="24">
        <f>-Inputs!FX120</f>
        <v>-1</v>
      </c>
      <c r="GB38" s="24">
        <f>-Inputs!FY120</f>
        <v>-1</v>
      </c>
      <c r="GC38" s="24">
        <f>-Inputs!FZ120</f>
        <v>-1</v>
      </c>
      <c r="GD38" s="24">
        <f>-Inputs!GA120</f>
        <v>-1</v>
      </c>
      <c r="GE38" s="24">
        <f>-Inputs!GB120</f>
        <v>-1</v>
      </c>
      <c r="GF38" s="24">
        <f>-Inputs!GC120</f>
        <v>-1</v>
      </c>
      <c r="GG38" s="24">
        <f>-Inputs!GD120</f>
        <v>-1</v>
      </c>
      <c r="GH38" s="24">
        <f>-Inputs!GE120</f>
        <v>-1</v>
      </c>
      <c r="GI38" s="24">
        <f>-Inputs!GF120</f>
        <v>-1</v>
      </c>
      <c r="GJ38" s="24">
        <f>-Inputs!GG120</f>
        <v>-1</v>
      </c>
      <c r="GK38" s="24">
        <f>-Inputs!GH120</f>
        <v>-1</v>
      </c>
      <c r="GL38" s="24">
        <f>-Inputs!GI120</f>
        <v>-1</v>
      </c>
      <c r="GM38" s="24">
        <f>-Inputs!GJ120</f>
        <v>-1</v>
      </c>
      <c r="GN38" s="24">
        <f>-Inputs!GK120</f>
        <v>-1</v>
      </c>
      <c r="GO38" s="24">
        <f>-Inputs!GL120</f>
        <v>-1</v>
      </c>
      <c r="GP38" s="24">
        <f>-Inputs!GM120</f>
        <v>-1</v>
      </c>
      <c r="GQ38" s="24">
        <f>-Inputs!GN120</f>
        <v>-1</v>
      </c>
      <c r="GR38" s="24">
        <f>-Inputs!GO120</f>
        <v>-1</v>
      </c>
      <c r="GS38" s="24">
        <f>-Inputs!GP120</f>
        <v>-1</v>
      </c>
      <c r="GT38" s="24">
        <f>-Inputs!GQ120</f>
        <v>-1</v>
      </c>
      <c r="GU38" s="24">
        <f>-Inputs!GR120</f>
        <v>-1</v>
      </c>
      <c r="GV38" s="24">
        <f>-Inputs!GS120</f>
        <v>-1</v>
      </c>
      <c r="GW38" s="24">
        <f>-Inputs!GT120</f>
        <v>-1</v>
      </c>
      <c r="GX38" s="24">
        <f>-Inputs!GU120</f>
        <v>-1</v>
      </c>
      <c r="GY38" s="24">
        <f>-Inputs!GV120</f>
        <v>-1</v>
      </c>
      <c r="GZ38" s="24">
        <f>-Inputs!GW120</f>
        <v>-1</v>
      </c>
      <c r="HA38" s="24">
        <f>-Inputs!GX120</f>
        <v>-1</v>
      </c>
      <c r="HB38" s="24">
        <f>-Inputs!GY120</f>
        <v>-1</v>
      </c>
      <c r="HC38" s="24">
        <f>-Inputs!GZ120</f>
        <v>-1</v>
      </c>
      <c r="HD38" s="24">
        <f>-Inputs!HA120</f>
        <v>-1</v>
      </c>
      <c r="HE38" s="24">
        <f>-Inputs!HB120</f>
        <v>-1</v>
      </c>
      <c r="HF38" s="24">
        <f>-Inputs!HC120</f>
        <v>-1</v>
      </c>
      <c r="HG38" s="24">
        <f>-Inputs!HD120</f>
        <v>-1</v>
      </c>
      <c r="HH38" s="24">
        <f>-Inputs!HE120</f>
        <v>-1</v>
      </c>
      <c r="HI38" s="24">
        <f>-Inputs!HF120</f>
        <v>-1</v>
      </c>
      <c r="HJ38" s="24">
        <f>-Inputs!HG120</f>
        <v>-1</v>
      </c>
      <c r="HK38" s="24">
        <f>-Inputs!HH120</f>
        <v>-1</v>
      </c>
      <c r="HL38" s="24">
        <f>-Inputs!HI120</f>
        <v>-1</v>
      </c>
      <c r="HM38" s="24">
        <f>-Inputs!HJ120</f>
        <v>-1</v>
      </c>
      <c r="HN38" s="24">
        <f>-Inputs!HK120</f>
        <v>-1</v>
      </c>
      <c r="HO38" s="24">
        <f>-Inputs!HL120</f>
        <v>-1</v>
      </c>
      <c r="HP38" s="24">
        <f>-Inputs!HM120</f>
        <v>-1</v>
      </c>
      <c r="HQ38" s="24">
        <f>-Inputs!HN120</f>
        <v>-1</v>
      </c>
      <c r="HR38" s="24">
        <f>-Inputs!HO120</f>
        <v>-1</v>
      </c>
      <c r="HS38" s="24">
        <f>-Inputs!HP120</f>
        <v>-1</v>
      </c>
      <c r="HT38" s="24">
        <f>-Inputs!HQ120</f>
        <v>-1</v>
      </c>
      <c r="HU38" s="24">
        <f>-Inputs!HR120</f>
        <v>-1</v>
      </c>
      <c r="HV38" s="24">
        <f>-Inputs!HS120</f>
        <v>-1</v>
      </c>
      <c r="HW38" s="24">
        <f>-Inputs!HT120</f>
        <v>-1</v>
      </c>
      <c r="HX38" s="24">
        <f>-Inputs!HU120</f>
        <v>-1</v>
      </c>
      <c r="HY38" s="24">
        <f>-Inputs!HV120</f>
        <v>-1</v>
      </c>
      <c r="HZ38" s="24">
        <f>-Inputs!HW120</f>
        <v>-1</v>
      </c>
      <c r="IA38" s="24">
        <f>-Inputs!HX120</f>
        <v>-1</v>
      </c>
      <c r="IB38" s="24">
        <f>-Inputs!HY120</f>
        <v>-1</v>
      </c>
      <c r="IC38" s="24">
        <f>-Inputs!HZ120</f>
        <v>-1</v>
      </c>
      <c r="ID38" s="24">
        <f>-Inputs!IA120</f>
        <v>-1</v>
      </c>
      <c r="IE38" s="24">
        <f>-Inputs!IB120</f>
        <v>-1</v>
      </c>
      <c r="IF38" s="24">
        <f>-Inputs!IC120</f>
        <v>-1</v>
      </c>
      <c r="IG38" s="24">
        <f>-Inputs!ID120</f>
        <v>-1</v>
      </c>
      <c r="IH38" s="24">
        <f>-Inputs!IE120</f>
        <v>-1</v>
      </c>
      <c r="II38" s="24">
        <f>-Inputs!IF120</f>
        <v>-1</v>
      </c>
      <c r="IJ38" s="24">
        <f>-Inputs!IG120</f>
        <v>-1</v>
      </c>
      <c r="IK38" s="24">
        <f>-Inputs!IH120</f>
        <v>-1</v>
      </c>
      <c r="IL38" s="24">
        <f>-Inputs!II120</f>
        <v>-1</v>
      </c>
      <c r="IM38" s="24">
        <f>-Inputs!IJ120</f>
        <v>-1</v>
      </c>
      <c r="IN38" s="24">
        <f>-Inputs!IK120</f>
        <v>-1</v>
      </c>
      <c r="IO38" s="24">
        <f>-Inputs!IL120</f>
        <v>-1</v>
      </c>
      <c r="IP38" s="24">
        <f>-Inputs!IM120</f>
        <v>-1</v>
      </c>
      <c r="IQ38" s="24">
        <f>-Inputs!IN120</f>
        <v>-1</v>
      </c>
      <c r="IR38" s="24">
        <f>-Inputs!IO120</f>
        <v>-1</v>
      </c>
      <c r="IS38" s="24">
        <f>-Inputs!IP120</f>
        <v>-1</v>
      </c>
      <c r="IT38" s="24">
        <f>-Inputs!IQ120</f>
        <v>-1</v>
      </c>
      <c r="IU38" s="24">
        <f>-Inputs!IR120</f>
        <v>-1</v>
      </c>
      <c r="IV38" s="24">
        <f>-Inputs!IS120</f>
        <v>-1</v>
      </c>
      <c r="IW38" s="24">
        <f>-Inputs!IT120</f>
        <v>-1</v>
      </c>
      <c r="IX38" s="24">
        <f>-Inputs!IU120</f>
        <v>-1</v>
      </c>
      <c r="IY38" s="24">
        <f>-Inputs!IV120</f>
        <v>-1</v>
      </c>
      <c r="IZ38" s="24">
        <f>-Inputs!IW120</f>
        <v>-1</v>
      </c>
      <c r="JA38" s="24">
        <f>-Inputs!IX120</f>
        <v>-1</v>
      </c>
      <c r="JB38" s="24">
        <f>-Inputs!IY120</f>
        <v>-1</v>
      </c>
      <c r="JC38" s="24">
        <f>-Inputs!IZ120</f>
        <v>-1</v>
      </c>
      <c r="JD38" s="24">
        <f>-Inputs!JA120</f>
        <v>-1</v>
      </c>
      <c r="JE38" s="24">
        <f>-Inputs!JB120</f>
        <v>-1</v>
      </c>
      <c r="JF38" s="24">
        <f>-Inputs!JC120</f>
        <v>-1</v>
      </c>
      <c r="JG38" s="24">
        <f>-Inputs!JD120</f>
        <v>-1</v>
      </c>
      <c r="JH38" s="24">
        <f>-Inputs!JE120</f>
        <v>-1</v>
      </c>
      <c r="JI38" s="24">
        <f>-Inputs!JF120</f>
        <v>-1</v>
      </c>
      <c r="JJ38" s="24">
        <f>-Inputs!JG120</f>
        <v>-1</v>
      </c>
      <c r="JK38" s="24">
        <f>-Inputs!JH120</f>
        <v>-1</v>
      </c>
      <c r="JL38" s="24">
        <f>-Inputs!JI120</f>
        <v>-1</v>
      </c>
      <c r="JM38" s="24">
        <f>-Inputs!JJ120</f>
        <v>-1</v>
      </c>
      <c r="JN38" s="24">
        <f>-Inputs!JK120</f>
        <v>-1</v>
      </c>
      <c r="JO38" s="24">
        <f>-Inputs!JL120</f>
        <v>-1</v>
      </c>
      <c r="JP38" s="24">
        <f>-Inputs!JM120</f>
        <v>-1</v>
      </c>
      <c r="JQ38" s="24">
        <f>-Inputs!JN120</f>
        <v>-1</v>
      </c>
      <c r="JR38" s="24">
        <f>-Inputs!JO120</f>
        <v>-1</v>
      </c>
      <c r="JS38" s="24">
        <f>-Inputs!JP120</f>
        <v>-1</v>
      </c>
      <c r="JT38" s="24">
        <f>-Inputs!JQ120</f>
        <v>-1</v>
      </c>
      <c r="JU38" s="24">
        <f>-Inputs!JR120</f>
        <v>-1</v>
      </c>
      <c r="JV38" s="24">
        <f>-Inputs!JS120</f>
        <v>-1</v>
      </c>
      <c r="JW38" s="24">
        <f>-Inputs!JT120</f>
        <v>-1</v>
      </c>
      <c r="JX38" s="24">
        <f>-Inputs!JU120</f>
        <v>-1</v>
      </c>
      <c r="JY38" s="24">
        <f>-Inputs!JV120</f>
        <v>-1</v>
      </c>
      <c r="JZ38" s="24">
        <f>-Inputs!JW120</f>
        <v>-1</v>
      </c>
      <c r="KA38" s="24">
        <f>-Inputs!JX120</f>
        <v>-1</v>
      </c>
      <c r="KB38" s="24">
        <f>-Inputs!JY120</f>
        <v>-1</v>
      </c>
      <c r="KC38" s="24">
        <f>-Inputs!JZ120</f>
        <v>-1</v>
      </c>
      <c r="KD38" s="24">
        <f>-Inputs!KA120</f>
        <v>-1</v>
      </c>
      <c r="KE38" s="24">
        <f>-Inputs!KB120</f>
        <v>-1</v>
      </c>
      <c r="KF38" s="24">
        <f>-Inputs!KC120</f>
        <v>-1</v>
      </c>
      <c r="KG38" s="24">
        <f>-Inputs!KD120</f>
        <v>-1</v>
      </c>
      <c r="KH38" s="24">
        <f>-Inputs!KE120</f>
        <v>-1</v>
      </c>
      <c r="KI38" s="24">
        <f>-Inputs!KF120</f>
        <v>-1</v>
      </c>
      <c r="KJ38" s="1"/>
    </row>
    <row r="39" spans="7:296" x14ac:dyDescent="0.35">
      <c r="G39" s="43">
        <f>Control!H135</f>
        <v>0.3</v>
      </c>
      <c r="H39" s="13" t="s">
        <v>22</v>
      </c>
      <c r="M39" s="15" t="s">
        <v>178</v>
      </c>
      <c r="N39" s="24">
        <f>MIN(-N37*$G39,0)</f>
        <v>-23.184365277227212</v>
      </c>
      <c r="O39" s="24">
        <f t="shared" ref="O39:BZ39" si="60">MIN(-O37*$G39,0)</f>
        <v>-20.988770360725201</v>
      </c>
      <c r="P39" s="24">
        <f t="shared" si="60"/>
        <v>-28.252066751412588</v>
      </c>
      <c r="Q39" s="24">
        <f t="shared" si="60"/>
        <v>-38.47385824151624</v>
      </c>
      <c r="R39" s="24">
        <f t="shared" si="60"/>
        <v>-20.43604158170611</v>
      </c>
      <c r="S39" s="24">
        <f t="shared" si="60"/>
        <v>-18.746870289423942</v>
      </c>
      <c r="T39" s="24">
        <f t="shared" si="60"/>
        <v>-23.605413795864241</v>
      </c>
      <c r="U39" s="24">
        <f t="shared" si="60"/>
        <v>-26.084488307972503</v>
      </c>
      <c r="V39" s="24">
        <f t="shared" si="60"/>
        <v>-40.147086521351603</v>
      </c>
      <c r="W39" s="24">
        <f t="shared" si="60"/>
        <v>-41.284743905251744</v>
      </c>
      <c r="X39" s="24">
        <f t="shared" si="60"/>
        <v>-36.091054881096333</v>
      </c>
      <c r="Y39" s="24">
        <f t="shared" si="60"/>
        <v>-30.725758789984834</v>
      </c>
      <c r="Z39" s="24">
        <f t="shared" si="60"/>
        <v>-13.741226722891767</v>
      </c>
      <c r="AA39" s="24">
        <f t="shared" si="60"/>
        <v>-39.102717844807891</v>
      </c>
      <c r="AB39" s="24">
        <f t="shared" si="60"/>
        <v>-40.334386698007584</v>
      </c>
      <c r="AC39" s="24">
        <f t="shared" si="60"/>
        <v>-39.589739494884256</v>
      </c>
      <c r="AD39" s="24">
        <f t="shared" si="60"/>
        <v>-34.37736820270792</v>
      </c>
      <c r="AE39" s="24">
        <f t="shared" si="60"/>
        <v>-24.405088272379427</v>
      </c>
      <c r="AF39" s="24">
        <f t="shared" si="60"/>
        <v>-19.858177720986664</v>
      </c>
      <c r="AG39" s="24">
        <f t="shared" si="60"/>
        <v>-32.333278802569559</v>
      </c>
      <c r="AH39" s="24">
        <f t="shared" si="60"/>
        <v>-13.923760418130136</v>
      </c>
      <c r="AI39" s="24">
        <f t="shared" si="60"/>
        <v>-32.787317847378084</v>
      </c>
      <c r="AJ39" s="24">
        <f t="shared" si="60"/>
        <v>-15.637174834465451</v>
      </c>
      <c r="AK39" s="24">
        <f t="shared" si="60"/>
        <v>-31.589020256527505</v>
      </c>
      <c r="AL39" s="24">
        <f t="shared" si="60"/>
        <v>-16.68061642048853</v>
      </c>
      <c r="AM39" s="24">
        <f t="shared" si="60"/>
        <v>-32.734718495374636</v>
      </c>
      <c r="AN39" s="24">
        <f t="shared" si="60"/>
        <v>-31.980884057757446</v>
      </c>
      <c r="AO39" s="24">
        <f t="shared" si="60"/>
        <v>-18.353344107676286</v>
      </c>
      <c r="AP39" s="24">
        <f t="shared" si="60"/>
        <v>-19.871901936151072</v>
      </c>
      <c r="AQ39" s="24">
        <f t="shared" si="60"/>
        <v>-18.816422623253608</v>
      </c>
      <c r="AR39" s="24">
        <f t="shared" si="60"/>
        <v>-13.950855599500803</v>
      </c>
      <c r="AS39" s="24">
        <f t="shared" si="60"/>
        <v>-32.389108051358612</v>
      </c>
      <c r="AT39" s="24">
        <f t="shared" si="60"/>
        <v>-24.887771093232264</v>
      </c>
      <c r="AU39" s="24">
        <f t="shared" si="60"/>
        <v>-27.153555820280737</v>
      </c>
      <c r="AV39" s="24">
        <f t="shared" si="60"/>
        <v>-26.324738756275337</v>
      </c>
      <c r="AW39" s="24">
        <f t="shared" si="60"/>
        <v>-33.998984751958297</v>
      </c>
      <c r="AX39" s="24">
        <f t="shared" si="60"/>
        <v>-38.598119697534223</v>
      </c>
      <c r="AY39" s="24">
        <f t="shared" si="60"/>
        <v>-30.334728748869832</v>
      </c>
      <c r="AZ39" s="24">
        <f t="shared" si="60"/>
        <v>-36.974181444840461</v>
      </c>
      <c r="BA39" s="24">
        <f t="shared" si="60"/>
        <v>-32.394679551770338</v>
      </c>
      <c r="BB39" s="24">
        <f t="shared" si="60"/>
        <v>-40.521941882841659</v>
      </c>
      <c r="BC39" s="24">
        <f t="shared" si="60"/>
        <v>-28.106845234764467</v>
      </c>
      <c r="BD39" s="24">
        <f t="shared" si="60"/>
        <v>-13.959317067571792</v>
      </c>
      <c r="BE39" s="24">
        <f t="shared" si="60"/>
        <v>-34.745498686337498</v>
      </c>
      <c r="BF39" s="24">
        <f t="shared" si="60"/>
        <v>-42.719771592683159</v>
      </c>
      <c r="BG39" s="24">
        <f t="shared" si="60"/>
        <v>-23.910067672707445</v>
      </c>
      <c r="BH39" s="24">
        <f t="shared" si="60"/>
        <v>-31.161825394207732</v>
      </c>
      <c r="BI39" s="24">
        <f t="shared" si="60"/>
        <v>-28.077677264698902</v>
      </c>
      <c r="BJ39" s="24">
        <f t="shared" si="60"/>
        <v>-37.002244257890553</v>
      </c>
      <c r="BK39" s="24">
        <f t="shared" si="60"/>
        <v>-43.541105305597959</v>
      </c>
      <c r="BL39" s="24">
        <f t="shared" si="60"/>
        <v>-33.898774466260747</v>
      </c>
      <c r="BM39" s="24">
        <f t="shared" si="60"/>
        <v>-20.393552476424023</v>
      </c>
      <c r="BN39" s="24">
        <f t="shared" si="60"/>
        <v>-25.8275297525085</v>
      </c>
      <c r="BO39" s="24">
        <f t="shared" si="60"/>
        <v>-29.011472895472163</v>
      </c>
      <c r="BP39" s="24">
        <f t="shared" si="60"/>
        <v>-24.896468082541933</v>
      </c>
      <c r="BQ39" s="24">
        <f t="shared" si="60"/>
        <v>-31.933535686227387</v>
      </c>
      <c r="BR39" s="24">
        <f t="shared" si="60"/>
        <v>-35.395253418285897</v>
      </c>
      <c r="BS39" s="24">
        <f t="shared" si="60"/>
        <v>-19.389425115439458</v>
      </c>
      <c r="BT39" s="24">
        <f t="shared" si="60"/>
        <v>-18.88058878704005</v>
      </c>
      <c r="BU39" s="24">
        <f t="shared" si="60"/>
        <v>-21.43039154089443</v>
      </c>
      <c r="BV39" s="24">
        <f t="shared" si="60"/>
        <v>-22.409702696068038</v>
      </c>
      <c r="BW39" s="24">
        <f t="shared" si="60"/>
        <v>-20.371763153431534</v>
      </c>
      <c r="BX39" s="24">
        <f t="shared" si="60"/>
        <v>-24.411694396401945</v>
      </c>
      <c r="BY39" s="24">
        <f t="shared" si="60"/>
        <v>-38.571664389617446</v>
      </c>
      <c r="BZ39" s="24">
        <f t="shared" si="60"/>
        <v>-31.525226161385781</v>
      </c>
      <c r="CA39" s="24">
        <f t="shared" ref="CA39:EL39" si="61">MIN(-CA37*$G39,0)</f>
        <v>-21.934860394504131</v>
      </c>
      <c r="CB39" s="24">
        <f t="shared" si="61"/>
        <v>-25.844241922495087</v>
      </c>
      <c r="CC39" s="24">
        <f t="shared" si="61"/>
        <v>-21.391354927087523</v>
      </c>
      <c r="CD39" s="24">
        <f t="shared" si="61"/>
        <v>-16.733304910724101</v>
      </c>
      <c r="CE39" s="24">
        <f t="shared" si="61"/>
        <v>-16.716403642018886</v>
      </c>
      <c r="CF39" s="24">
        <f t="shared" si="61"/>
        <v>-15.639004222390712</v>
      </c>
      <c r="CG39" s="24">
        <f t="shared" si="61"/>
        <v>-32.348119162307995</v>
      </c>
      <c r="CH39" s="24">
        <f t="shared" si="61"/>
        <v>-20.415698988152293</v>
      </c>
      <c r="CI39" s="24">
        <f t="shared" si="61"/>
        <v>-27.676887174753059</v>
      </c>
      <c r="CJ39" s="24">
        <f t="shared" si="61"/>
        <v>-42.011319169446701</v>
      </c>
      <c r="CK39" s="24">
        <f t="shared" si="61"/>
        <v>-31.911922109947728</v>
      </c>
      <c r="CL39" s="24">
        <f t="shared" si="61"/>
        <v>-31.942074462770762</v>
      </c>
      <c r="CM39" s="24">
        <f t="shared" si="61"/>
        <v>-31.536573437302131</v>
      </c>
      <c r="CN39" s="24">
        <f t="shared" si="61"/>
        <v>-35.119634161763663</v>
      </c>
      <c r="CO39" s="24">
        <f t="shared" si="61"/>
        <v>-20.380381210050487</v>
      </c>
      <c r="CP39" s="24">
        <f t="shared" si="61"/>
        <v>-36.875548611643637</v>
      </c>
      <c r="CQ39" s="24">
        <f t="shared" si="61"/>
        <v>-41.104614082396175</v>
      </c>
      <c r="CR39" s="24">
        <f t="shared" si="61"/>
        <v>-43.992344166987394</v>
      </c>
      <c r="CS39" s="24">
        <f t="shared" si="61"/>
        <v>-33.142548132514811</v>
      </c>
      <c r="CT39" s="24">
        <f t="shared" si="61"/>
        <v>-36.926761938161796</v>
      </c>
      <c r="CU39" s="24">
        <f t="shared" si="61"/>
        <v>-41.117239792900989</v>
      </c>
      <c r="CV39" s="24">
        <f t="shared" si="61"/>
        <v>-40.262453139383261</v>
      </c>
      <c r="CW39" s="24">
        <f t="shared" si="61"/>
        <v>-16.187786989282507</v>
      </c>
      <c r="CX39" s="24">
        <f t="shared" si="61"/>
        <v>-31.186524562905056</v>
      </c>
      <c r="CY39" s="24">
        <f t="shared" si="61"/>
        <v>-20.418833610109093</v>
      </c>
      <c r="CZ39" s="24">
        <f t="shared" si="61"/>
        <v>-36.909660439354468</v>
      </c>
      <c r="DA39" s="24">
        <f t="shared" si="61"/>
        <v>-21.936225848867604</v>
      </c>
      <c r="DB39" s="24">
        <f t="shared" si="61"/>
        <v>-13.367748009263151</v>
      </c>
      <c r="DC39" s="24">
        <f t="shared" si="61"/>
        <v>-40.287294003742062</v>
      </c>
      <c r="DD39" s="24">
        <f t="shared" si="61"/>
        <v>-13.352255493494381</v>
      </c>
      <c r="DE39" s="24">
        <f t="shared" si="61"/>
        <v>-38.929463977930283</v>
      </c>
      <c r="DF39" s="24">
        <f t="shared" si="61"/>
        <v>-40.803280921995679</v>
      </c>
      <c r="DG39" s="24">
        <f t="shared" si="61"/>
        <v>-31.499439505914072</v>
      </c>
      <c r="DH39" s="24">
        <f t="shared" si="61"/>
        <v>-25.843506190434379</v>
      </c>
      <c r="DI39" s="24">
        <f t="shared" si="61"/>
        <v>-38.227404918667027</v>
      </c>
      <c r="DJ39" s="24">
        <f t="shared" si="61"/>
        <v>-41.21754041399177</v>
      </c>
      <c r="DK39" s="24">
        <f t="shared" si="61"/>
        <v>-36.906503460521485</v>
      </c>
      <c r="DL39" s="24">
        <f t="shared" si="61"/>
        <v>-29.387297991829264</v>
      </c>
      <c r="DM39" s="24">
        <f t="shared" si="61"/>
        <v>-28.11699363186111</v>
      </c>
      <c r="DN39" s="24">
        <f t="shared" si="61"/>
        <v>-35.467071809320693</v>
      </c>
      <c r="DO39" s="24">
        <f t="shared" si="61"/>
        <v>-41.793384480788681</v>
      </c>
      <c r="DP39" s="24">
        <f t="shared" si="61"/>
        <v>-42.658189100106803</v>
      </c>
      <c r="DQ39" s="24">
        <f t="shared" si="61"/>
        <v>-36.593226526578945</v>
      </c>
      <c r="DR39" s="24">
        <f t="shared" si="61"/>
        <v>-31.117752681571318</v>
      </c>
      <c r="DS39" s="24">
        <f t="shared" si="61"/>
        <v>-43.941782772244203</v>
      </c>
      <c r="DT39" s="24">
        <f t="shared" si="61"/>
        <v>-32.831222081381569</v>
      </c>
      <c r="DU39" s="24">
        <f t="shared" si="61"/>
        <v>-19.862121051201758</v>
      </c>
      <c r="DV39" s="24">
        <f t="shared" si="61"/>
        <v>-20.920361136110184</v>
      </c>
      <c r="DW39" s="24">
        <f t="shared" si="61"/>
        <v>-39.030504933052924</v>
      </c>
      <c r="DX39" s="24">
        <f t="shared" si="61"/>
        <v>-43.792477074861182</v>
      </c>
      <c r="DY39" s="24">
        <f t="shared" si="61"/>
        <v>-23.388446604191071</v>
      </c>
      <c r="DZ39" s="24">
        <f t="shared" si="61"/>
        <v>-26.794498298423758</v>
      </c>
      <c r="EA39" s="24">
        <f t="shared" si="61"/>
        <v>-27.196837133336139</v>
      </c>
      <c r="EB39" s="24">
        <f t="shared" si="61"/>
        <v>-40.263368192934628</v>
      </c>
      <c r="EC39" s="24">
        <f t="shared" si="61"/>
        <v>-36.966675220416086</v>
      </c>
      <c r="ED39" s="24">
        <f t="shared" si="61"/>
        <v>-30.725892749407361</v>
      </c>
      <c r="EE39" s="24">
        <f t="shared" si="61"/>
        <v>-37.995184581107083</v>
      </c>
      <c r="EF39" s="24">
        <f t="shared" si="61"/>
        <v>-21.425730991889406</v>
      </c>
      <c r="EG39" s="24">
        <f t="shared" si="61"/>
        <v>-21.471984041862822</v>
      </c>
      <c r="EH39" s="24">
        <f t="shared" si="61"/>
        <v>-32.724670845517835</v>
      </c>
      <c r="EI39" s="24">
        <f t="shared" si="61"/>
        <v>-23.415488562532349</v>
      </c>
      <c r="EJ39" s="24">
        <f t="shared" si="61"/>
        <v>-16.704014491437764</v>
      </c>
      <c r="EK39" s="24">
        <f t="shared" si="61"/>
        <v>-22.409931975527904</v>
      </c>
      <c r="EL39" s="24">
        <f t="shared" si="61"/>
        <v>-31.098503223125228</v>
      </c>
      <c r="EM39" s="24">
        <f t="shared" ref="EM39:GX39" si="62">MIN(-EM37*$G39,0)</f>
        <v>-17.250205072365823</v>
      </c>
      <c r="EN39" s="24">
        <f t="shared" si="62"/>
        <v>-34.697032776080583</v>
      </c>
      <c r="EO39" s="24">
        <f t="shared" si="62"/>
        <v>-31.175176883884475</v>
      </c>
      <c r="EP39" s="24">
        <f t="shared" si="62"/>
        <v>-15.634546026851096</v>
      </c>
      <c r="EQ39" s="24">
        <f t="shared" si="62"/>
        <v>-15.039489418317679</v>
      </c>
      <c r="ER39" s="24">
        <f t="shared" si="62"/>
        <v>-32.703767207794314</v>
      </c>
      <c r="ES39" s="24">
        <f t="shared" si="62"/>
        <v>-24.418232165328472</v>
      </c>
      <c r="ET39" s="24">
        <f t="shared" si="62"/>
        <v>-41.109892885572627</v>
      </c>
      <c r="EU39" s="24">
        <f t="shared" si="62"/>
        <v>-42.157913798912261</v>
      </c>
      <c r="EV39" s="24">
        <f t="shared" si="62"/>
        <v>-41.56949512620897</v>
      </c>
      <c r="EW39" s="24">
        <f t="shared" si="62"/>
        <v>-43.895534314083328</v>
      </c>
      <c r="EX39" s="24">
        <f t="shared" si="62"/>
        <v>-25.793997187723473</v>
      </c>
      <c r="EY39" s="24">
        <f t="shared" si="62"/>
        <v>-34.019607210365855</v>
      </c>
      <c r="EZ39" s="24">
        <f t="shared" si="62"/>
        <v>-28.937827874193065</v>
      </c>
      <c r="FA39" s="24">
        <f t="shared" si="62"/>
        <v>-42.713620143633221</v>
      </c>
      <c r="FB39" s="24">
        <f t="shared" si="62"/>
        <v>-16.707107252309715</v>
      </c>
      <c r="FC39" s="24">
        <f t="shared" si="62"/>
        <v>-17.258550782935874</v>
      </c>
      <c r="FD39" s="24">
        <f t="shared" si="62"/>
        <v>-42.831911741863998</v>
      </c>
      <c r="FE39" s="24">
        <f t="shared" si="62"/>
        <v>-40.942758837761367</v>
      </c>
      <c r="FF39" s="24">
        <f t="shared" si="62"/>
        <v>-38.6988093414177</v>
      </c>
      <c r="FG39" s="24">
        <f t="shared" si="62"/>
        <v>-26.245576534807046</v>
      </c>
      <c r="FH39" s="24">
        <f t="shared" si="62"/>
        <v>-17.780417515505174</v>
      </c>
      <c r="FI39" s="24">
        <f t="shared" si="62"/>
        <v>-21.405348913490098</v>
      </c>
      <c r="FJ39" s="24">
        <f t="shared" si="62"/>
        <v>-40.018030318757638</v>
      </c>
      <c r="FK39" s="24">
        <f t="shared" si="62"/>
        <v>-40.830070207148275</v>
      </c>
      <c r="FL39" s="24">
        <f t="shared" si="62"/>
        <v>-17.279401079772928</v>
      </c>
      <c r="FM39" s="24">
        <f t="shared" si="62"/>
        <v>-35.057691565138008</v>
      </c>
      <c r="FN39" s="24">
        <f t="shared" si="62"/>
        <v>-41.160610123500255</v>
      </c>
      <c r="FO39" s="24">
        <f t="shared" si="62"/>
        <v>-30.676048524933684</v>
      </c>
      <c r="FP39" s="24">
        <f t="shared" si="62"/>
        <v>-43.121535234090707</v>
      </c>
      <c r="FQ39" s="24">
        <f t="shared" si="62"/>
        <v>-33.567942763963494</v>
      </c>
      <c r="FR39" s="24">
        <f t="shared" si="62"/>
        <v>-29.852723501650335</v>
      </c>
      <c r="FS39" s="24">
        <f t="shared" si="62"/>
        <v>-39.90527529836276</v>
      </c>
      <c r="FT39" s="24">
        <f t="shared" si="62"/>
        <v>-43.2592263623335</v>
      </c>
      <c r="FU39" s="24">
        <f t="shared" si="62"/>
        <v>-33.5231179703283</v>
      </c>
      <c r="FV39" s="24">
        <f t="shared" si="62"/>
        <v>-37.915511940580984</v>
      </c>
      <c r="FW39" s="24">
        <f t="shared" si="62"/>
        <v>-34.361644189573269</v>
      </c>
      <c r="FX39" s="24">
        <f t="shared" si="62"/>
        <v>-42.315171302556827</v>
      </c>
      <c r="FY39" s="24">
        <f t="shared" si="62"/>
        <v>-40.270496965943984</v>
      </c>
      <c r="FZ39" s="24">
        <f t="shared" si="62"/>
        <v>-27.599181595787361</v>
      </c>
      <c r="GA39" s="24">
        <f t="shared" si="62"/>
        <v>-38.906730988721634</v>
      </c>
      <c r="GB39" s="24">
        <f t="shared" si="62"/>
        <v>-29.438076543802463</v>
      </c>
      <c r="GC39" s="24">
        <f t="shared" si="62"/>
        <v>-21.433767301089922</v>
      </c>
      <c r="GD39" s="24">
        <f t="shared" si="62"/>
        <v>-15.051351845346373</v>
      </c>
      <c r="GE39" s="24">
        <f t="shared" si="62"/>
        <v>-13.952541534578154</v>
      </c>
      <c r="GF39" s="24">
        <f t="shared" si="62"/>
        <v>-15.077940782090291</v>
      </c>
      <c r="GG39" s="24">
        <f t="shared" si="62"/>
        <v>-40.248519955436784</v>
      </c>
      <c r="GH39" s="24">
        <f t="shared" si="62"/>
        <v>-18.838050009192678</v>
      </c>
      <c r="GI39" s="24">
        <f t="shared" si="62"/>
        <v>-34.321388992058388</v>
      </c>
      <c r="GJ39" s="24">
        <f t="shared" si="62"/>
        <v>-20.373485069558321</v>
      </c>
      <c r="GK39" s="24">
        <f t="shared" si="62"/>
        <v>-26.759864711752261</v>
      </c>
      <c r="GL39" s="24">
        <f t="shared" si="62"/>
        <v>-27.614268718176792</v>
      </c>
      <c r="GM39" s="24">
        <f t="shared" si="62"/>
        <v>-20.894842328542655</v>
      </c>
      <c r="GN39" s="24">
        <f t="shared" si="62"/>
        <v>-37.982547260525564</v>
      </c>
      <c r="GO39" s="24">
        <f t="shared" si="62"/>
        <v>-43.929447602355673</v>
      </c>
      <c r="GP39" s="24">
        <f t="shared" si="62"/>
        <v>-35.852922639695336</v>
      </c>
      <c r="GQ39" s="24">
        <f t="shared" si="62"/>
        <v>-38.931127418805389</v>
      </c>
      <c r="GR39" s="24">
        <f t="shared" si="62"/>
        <v>-21.920759345338315</v>
      </c>
      <c r="GS39" s="24">
        <f t="shared" si="62"/>
        <v>-26.701377692766588</v>
      </c>
      <c r="GT39" s="24">
        <f t="shared" si="62"/>
        <v>-22.920818069048622</v>
      </c>
      <c r="GU39" s="24">
        <f t="shared" si="62"/>
        <v>-26.784570267755402</v>
      </c>
      <c r="GV39" s="24">
        <f t="shared" si="62"/>
        <v>-35.047247609282742</v>
      </c>
      <c r="GW39" s="24">
        <f t="shared" si="62"/>
        <v>-23.864656767957353</v>
      </c>
      <c r="GX39" s="24">
        <f t="shared" si="62"/>
        <v>-32.33267101512827</v>
      </c>
      <c r="GY39" s="24">
        <f t="shared" ref="GY39:JJ39" si="63">MIN(-GY37*$G39,0)</f>
        <v>-18.34771955913185</v>
      </c>
      <c r="GZ39" s="24">
        <f t="shared" si="63"/>
        <v>-17.805923543356634</v>
      </c>
      <c r="HA39" s="24">
        <f t="shared" si="63"/>
        <v>-24.405102071328738</v>
      </c>
      <c r="HB39" s="24">
        <f t="shared" si="63"/>
        <v>-40.305630712158958</v>
      </c>
      <c r="HC39" s="24">
        <f t="shared" si="63"/>
        <v>-13.919781138045757</v>
      </c>
      <c r="HD39" s="24">
        <f t="shared" si="63"/>
        <v>-38.913566672807285</v>
      </c>
      <c r="HE39" s="24">
        <f t="shared" si="63"/>
        <v>-40.534672284155029</v>
      </c>
      <c r="HF39" s="24">
        <f t="shared" si="63"/>
        <v>-37.249121098601179</v>
      </c>
      <c r="HG39" s="24">
        <f t="shared" si="63"/>
        <v>-41.840215520094553</v>
      </c>
      <c r="HH39" s="24">
        <f t="shared" si="63"/>
        <v>-37.6322728378261</v>
      </c>
      <c r="HI39" s="24">
        <f t="shared" si="63"/>
        <v>-20.917572136815071</v>
      </c>
      <c r="HJ39" s="24">
        <f t="shared" si="63"/>
        <v>-38.006377064712758</v>
      </c>
      <c r="HK39" s="24">
        <f t="shared" si="63"/>
        <v>-18.854919709523664</v>
      </c>
      <c r="HL39" s="24">
        <f t="shared" si="63"/>
        <v>-42.365422426612263</v>
      </c>
      <c r="HM39" s="24">
        <f t="shared" si="63"/>
        <v>-39.975354261725371</v>
      </c>
      <c r="HN39" s="24">
        <f t="shared" si="63"/>
        <v>-37.961216144976191</v>
      </c>
      <c r="HO39" s="24">
        <f t="shared" si="63"/>
        <v>-37.910580943156972</v>
      </c>
      <c r="HP39" s="24">
        <f t="shared" si="63"/>
        <v>-19.350459872736685</v>
      </c>
      <c r="HQ39" s="24">
        <f t="shared" si="63"/>
        <v>-40.341619484694611</v>
      </c>
      <c r="HR39" s="24">
        <f t="shared" si="63"/>
        <v>-23.406144886611358</v>
      </c>
      <c r="HS39" s="24">
        <f t="shared" si="63"/>
        <v>-15.599628633582423</v>
      </c>
      <c r="HT39" s="24">
        <f t="shared" si="63"/>
        <v>-42.296110830402199</v>
      </c>
      <c r="HU39" s="24">
        <f t="shared" si="63"/>
        <v>-18.879633091258128</v>
      </c>
      <c r="HV39" s="24">
        <f t="shared" si="63"/>
        <v>-43.730754408628243</v>
      </c>
      <c r="HW39" s="24">
        <f t="shared" si="63"/>
        <v>-42.407075655160632</v>
      </c>
      <c r="HX39" s="24">
        <f t="shared" si="63"/>
        <v>-33.100314555330634</v>
      </c>
      <c r="HY39" s="24">
        <f t="shared" si="63"/>
        <v>-42.993139835348821</v>
      </c>
      <c r="HZ39" s="24">
        <f t="shared" si="63"/>
        <v>-15.60369711724899</v>
      </c>
      <c r="IA39" s="24">
        <f t="shared" si="63"/>
        <v>-18.866554919900587</v>
      </c>
      <c r="IB39" s="24">
        <f t="shared" si="63"/>
        <v>-29.798466374877695</v>
      </c>
      <c r="IC39" s="24">
        <f t="shared" si="63"/>
        <v>-22.941817773476071</v>
      </c>
      <c r="ID39" s="24">
        <f t="shared" si="63"/>
        <v>-43.262296879054468</v>
      </c>
      <c r="IE39" s="24">
        <f t="shared" si="63"/>
        <v>-28.962816451702867</v>
      </c>
      <c r="IF39" s="24">
        <f t="shared" si="63"/>
        <v>-40.324392637239406</v>
      </c>
      <c r="IG39" s="24">
        <f t="shared" si="63"/>
        <v>-25.373936907209686</v>
      </c>
      <c r="IH39" s="24">
        <f t="shared" si="63"/>
        <v>-40.961150012153837</v>
      </c>
      <c r="II39" s="24">
        <f t="shared" si="63"/>
        <v>-35.473491724902075</v>
      </c>
      <c r="IJ39" s="24">
        <f t="shared" si="63"/>
        <v>-35.542821195962929</v>
      </c>
      <c r="IK39" s="24">
        <f t="shared" si="63"/>
        <v>-23.381167097486259</v>
      </c>
      <c r="IL39" s="24">
        <f t="shared" si="63"/>
        <v>-34.651839078254426</v>
      </c>
      <c r="IM39" s="24">
        <f t="shared" si="63"/>
        <v>-36.607903004414098</v>
      </c>
      <c r="IN39" s="24">
        <f t="shared" si="63"/>
        <v>-36.568533901926827</v>
      </c>
      <c r="IO39" s="24">
        <f t="shared" si="63"/>
        <v>-41.689974892735236</v>
      </c>
      <c r="IP39" s="24">
        <f t="shared" si="63"/>
        <v>-33.525112185246833</v>
      </c>
      <c r="IQ39" s="24">
        <f t="shared" si="63"/>
        <v>-26.242572777796337</v>
      </c>
      <c r="IR39" s="24">
        <f t="shared" si="63"/>
        <v>-31.106646270619677</v>
      </c>
      <c r="IS39" s="24">
        <f t="shared" si="63"/>
        <v>-26.71792581781855</v>
      </c>
      <c r="IT39" s="24">
        <f t="shared" si="63"/>
        <v>-29.442587336701013</v>
      </c>
      <c r="IU39" s="24">
        <f t="shared" si="63"/>
        <v>-20.944031851155533</v>
      </c>
      <c r="IV39" s="24">
        <f t="shared" si="63"/>
        <v>-32.791245944725496</v>
      </c>
      <c r="IW39" s="24">
        <f t="shared" si="63"/>
        <v>-43.945053053157771</v>
      </c>
      <c r="IX39" s="24">
        <f t="shared" si="63"/>
        <v>-29.022989103148248</v>
      </c>
      <c r="IY39" s="24">
        <f t="shared" si="63"/>
        <v>-40.315302400355804</v>
      </c>
      <c r="IZ39" s="24">
        <f t="shared" si="63"/>
        <v>-30.73942009725971</v>
      </c>
      <c r="JA39" s="24">
        <f t="shared" si="63"/>
        <v>-31.505276317237684</v>
      </c>
      <c r="JB39" s="24">
        <f t="shared" si="63"/>
        <v>-16.130581418612</v>
      </c>
      <c r="JC39" s="24">
        <f t="shared" si="63"/>
        <v>-40.027828663893331</v>
      </c>
      <c r="JD39" s="24">
        <f t="shared" si="63"/>
        <v>-24.438675546966632</v>
      </c>
      <c r="JE39" s="24">
        <f t="shared" si="63"/>
        <v>-24.373054762687605</v>
      </c>
      <c r="JF39" s="24">
        <f t="shared" si="63"/>
        <v>-25.830995841305267</v>
      </c>
      <c r="JG39" s="24">
        <f t="shared" si="63"/>
        <v>-43.988018874049224</v>
      </c>
      <c r="JH39" s="24">
        <f t="shared" si="63"/>
        <v>-18.88338689628851</v>
      </c>
      <c r="JI39" s="24">
        <f t="shared" si="63"/>
        <v>-40.526087787829304</v>
      </c>
      <c r="JJ39" s="24">
        <f t="shared" si="63"/>
        <v>-20.384753047888253</v>
      </c>
      <c r="JK39" s="24">
        <f t="shared" ref="JK39:KI39" si="64">MIN(-JK37*$G39,0)</f>
        <v>-17.77056693876191</v>
      </c>
      <c r="JL39" s="24">
        <f t="shared" si="64"/>
        <v>-34.779669428541915</v>
      </c>
      <c r="JM39" s="24">
        <f t="shared" si="64"/>
        <v>-42.306983606518116</v>
      </c>
      <c r="JN39" s="24">
        <f t="shared" si="64"/>
        <v>-16.181763683333308</v>
      </c>
      <c r="JO39" s="24">
        <f t="shared" si="64"/>
        <v>-34.008836572559055</v>
      </c>
      <c r="JP39" s="24">
        <f t="shared" si="64"/>
        <v>-13.366764757278601</v>
      </c>
      <c r="JQ39" s="24">
        <f t="shared" si="64"/>
        <v>-28.507834344837999</v>
      </c>
      <c r="JR39" s="24">
        <f t="shared" si="64"/>
        <v>-41.390110818925912</v>
      </c>
      <c r="JS39" s="24">
        <f t="shared" si="64"/>
        <v>-19.919377832523242</v>
      </c>
      <c r="JT39" s="24">
        <f t="shared" si="64"/>
        <v>-41.268758750091976</v>
      </c>
      <c r="JU39" s="24">
        <f t="shared" si="64"/>
        <v>-40.593151291951735</v>
      </c>
      <c r="JV39" s="24">
        <f t="shared" si="64"/>
        <v>-19.875241635769218</v>
      </c>
      <c r="JW39" s="24">
        <f t="shared" si="64"/>
        <v>-40.819020306395366</v>
      </c>
      <c r="JX39" s="24">
        <f t="shared" si="64"/>
        <v>-13.924270311224326</v>
      </c>
      <c r="JY39" s="24">
        <f t="shared" si="64"/>
        <v>-40.857302551620762</v>
      </c>
      <c r="JZ39" s="24">
        <f t="shared" si="64"/>
        <v>-29.395635781023408</v>
      </c>
      <c r="KA39" s="24">
        <f t="shared" si="64"/>
        <v>-17.81763421522006</v>
      </c>
      <c r="KB39" s="24">
        <f t="shared" si="64"/>
        <v>-18.29052774057287</v>
      </c>
      <c r="KC39" s="24">
        <f t="shared" si="64"/>
        <v>-42.006823105712719</v>
      </c>
      <c r="KD39" s="24">
        <f t="shared" si="64"/>
        <v>-42.930038118313604</v>
      </c>
      <c r="KE39" s="24">
        <f t="shared" si="64"/>
        <v>-27.168210347821532</v>
      </c>
      <c r="KF39" s="24">
        <f t="shared" si="64"/>
        <v>-40.019551834579502</v>
      </c>
      <c r="KG39" s="24">
        <f t="shared" si="64"/>
        <v>-33.182173223748258</v>
      </c>
      <c r="KH39" s="24">
        <f t="shared" si="64"/>
        <v>-23.42395473477648</v>
      </c>
      <c r="KI39" s="24">
        <f t="shared" si="64"/>
        <v>-27.634716931131919</v>
      </c>
      <c r="KJ39" s="1"/>
    </row>
    <row r="40" spans="7:296" x14ac:dyDescent="0.35">
      <c r="H40" s="13" t="s">
        <v>22</v>
      </c>
      <c r="M40" s="29" t="s">
        <v>86</v>
      </c>
      <c r="N40" s="30">
        <f>SUM(N37:N39)</f>
        <v>53.096852313530164</v>
      </c>
      <c r="O40" s="30">
        <f t="shared" ref="O40:BZ40" si="65">SUM(O37:O39)</f>
        <v>47.973797508358814</v>
      </c>
      <c r="P40" s="30">
        <f t="shared" si="65"/>
        <v>64.921489086629379</v>
      </c>
      <c r="Q40" s="30">
        <f t="shared" si="65"/>
        <v>88.772335896871226</v>
      </c>
      <c r="R40" s="30">
        <f t="shared" si="65"/>
        <v>46.684097023980925</v>
      </c>
      <c r="S40" s="30">
        <f t="shared" si="65"/>
        <v>42.742697341989199</v>
      </c>
      <c r="T40" s="30">
        <f t="shared" si="65"/>
        <v>54.079298857016568</v>
      </c>
      <c r="U40" s="30">
        <f t="shared" si="65"/>
        <v>59.863806051935839</v>
      </c>
      <c r="V40" s="30">
        <f t="shared" si="65"/>
        <v>92.676535216487082</v>
      </c>
      <c r="W40" s="30">
        <f t="shared" si="65"/>
        <v>95.33106911225407</v>
      </c>
      <c r="X40" s="30">
        <f t="shared" si="65"/>
        <v>83.212461389224785</v>
      </c>
      <c r="Y40" s="30">
        <f t="shared" si="65"/>
        <v>70.693437176631278</v>
      </c>
      <c r="Z40" s="30">
        <f t="shared" si="65"/>
        <v>31.062862353414125</v>
      </c>
      <c r="AA40" s="30">
        <f t="shared" si="65"/>
        <v>90.23967497121842</v>
      </c>
      <c r="AB40" s="30">
        <f t="shared" si="65"/>
        <v>93.113568962017695</v>
      </c>
      <c r="AC40" s="30">
        <f t="shared" si="65"/>
        <v>91.376058821396597</v>
      </c>
      <c r="AD40" s="30">
        <f t="shared" si="65"/>
        <v>79.213859139651817</v>
      </c>
      <c r="AE40" s="30">
        <f t="shared" si="65"/>
        <v>55.945205968885332</v>
      </c>
      <c r="AF40" s="30">
        <f t="shared" si="65"/>
        <v>45.335748015635559</v>
      </c>
      <c r="AG40" s="30">
        <f t="shared" si="65"/>
        <v>74.444317205995645</v>
      </c>
      <c r="AH40" s="30">
        <f t="shared" si="65"/>
        <v>31.488774308970321</v>
      </c>
      <c r="AI40" s="30">
        <f t="shared" si="65"/>
        <v>75.503741643882194</v>
      </c>
      <c r="AJ40" s="30">
        <f t="shared" si="65"/>
        <v>35.486741280419395</v>
      </c>
      <c r="AK40" s="30">
        <f t="shared" si="65"/>
        <v>72.707713931897516</v>
      </c>
      <c r="AL40" s="30">
        <f t="shared" si="65"/>
        <v>37.921438314473235</v>
      </c>
      <c r="AM40" s="30">
        <f t="shared" si="65"/>
        <v>75.381009822540818</v>
      </c>
      <c r="AN40" s="30">
        <f t="shared" si="65"/>
        <v>73.622062801434041</v>
      </c>
      <c r="AO40" s="30">
        <f t="shared" si="65"/>
        <v>41.824469584577997</v>
      </c>
      <c r="AP40" s="30">
        <f t="shared" si="65"/>
        <v>45.367771184352506</v>
      </c>
      <c r="AQ40" s="30">
        <f t="shared" si="65"/>
        <v>42.904986120925088</v>
      </c>
      <c r="AR40" s="30">
        <f t="shared" si="65"/>
        <v>31.551996398835207</v>
      </c>
      <c r="AS40" s="30">
        <f t="shared" si="65"/>
        <v>74.574585453170101</v>
      </c>
      <c r="AT40" s="30">
        <f t="shared" si="65"/>
        <v>57.071465884208621</v>
      </c>
      <c r="AU40" s="30">
        <f t="shared" si="65"/>
        <v>62.35829691398839</v>
      </c>
      <c r="AV40" s="30">
        <f t="shared" si="65"/>
        <v>60.424390431309121</v>
      </c>
      <c r="AW40" s="30">
        <f t="shared" si="65"/>
        <v>78.330964421236047</v>
      </c>
      <c r="AX40" s="30">
        <f t="shared" si="65"/>
        <v>89.062279294246508</v>
      </c>
      <c r="AY40" s="30">
        <f t="shared" si="65"/>
        <v>69.78103374736294</v>
      </c>
      <c r="AZ40" s="30">
        <f t="shared" si="65"/>
        <v>85.273090037961083</v>
      </c>
      <c r="BA40" s="30">
        <f t="shared" si="65"/>
        <v>74.587585620797455</v>
      </c>
      <c r="BB40" s="30">
        <f t="shared" si="65"/>
        <v>93.551197726630548</v>
      </c>
      <c r="BC40" s="30">
        <f t="shared" si="65"/>
        <v>64.582638881117092</v>
      </c>
      <c r="BD40" s="30">
        <f t="shared" si="65"/>
        <v>31.571739824334184</v>
      </c>
      <c r="BE40" s="30">
        <f t="shared" si="65"/>
        <v>80.072830268120839</v>
      </c>
      <c r="BF40" s="30">
        <f t="shared" si="65"/>
        <v>98.679467049594038</v>
      </c>
      <c r="BG40" s="30">
        <f t="shared" si="65"/>
        <v>54.790157902984049</v>
      </c>
      <c r="BH40" s="30">
        <f t="shared" si="65"/>
        <v>71.710925919818038</v>
      </c>
      <c r="BI40" s="30">
        <f t="shared" si="65"/>
        <v>64.514580284297438</v>
      </c>
      <c r="BJ40" s="30">
        <f t="shared" si="65"/>
        <v>85.338569935077956</v>
      </c>
      <c r="BK40" s="30">
        <f t="shared" si="65"/>
        <v>100.59591237972856</v>
      </c>
      <c r="BL40" s="30">
        <f t="shared" si="65"/>
        <v>78.097140421275071</v>
      </c>
      <c r="BM40" s="30">
        <f t="shared" si="65"/>
        <v>46.584955778322723</v>
      </c>
      <c r="BN40" s="30">
        <f t="shared" si="65"/>
        <v>59.264236089186511</v>
      </c>
      <c r="BO40" s="30">
        <f t="shared" si="65"/>
        <v>66.693436756101718</v>
      </c>
      <c r="BP40" s="30">
        <f t="shared" si="65"/>
        <v>57.091758859264516</v>
      </c>
      <c r="BQ40" s="30">
        <f t="shared" si="65"/>
        <v>73.511583267863912</v>
      </c>
      <c r="BR40" s="30">
        <f t="shared" si="65"/>
        <v>81.588924642667109</v>
      </c>
      <c r="BS40" s="30">
        <f t="shared" si="65"/>
        <v>44.241991936025407</v>
      </c>
      <c r="BT40" s="30">
        <f t="shared" si="65"/>
        <v>43.054707169760121</v>
      </c>
      <c r="BU40" s="30">
        <f t="shared" si="65"/>
        <v>49.004246928753673</v>
      </c>
      <c r="BV40" s="30">
        <f t="shared" si="65"/>
        <v>51.289306290825422</v>
      </c>
      <c r="BW40" s="30">
        <f t="shared" si="65"/>
        <v>46.534114024673585</v>
      </c>
      <c r="BX40" s="30">
        <f t="shared" si="65"/>
        <v>55.960620258271206</v>
      </c>
      <c r="BY40" s="30">
        <f t="shared" si="65"/>
        <v>89.00055024244071</v>
      </c>
      <c r="BZ40" s="30">
        <f t="shared" si="65"/>
        <v>72.558861043233492</v>
      </c>
      <c r="CA40" s="30">
        <f t="shared" ref="CA40:EL40" si="66">SUM(CA37:CA39)</f>
        <v>50.181340920509641</v>
      </c>
      <c r="CB40" s="30">
        <f t="shared" si="66"/>
        <v>59.303231152488536</v>
      </c>
      <c r="CC40" s="30">
        <f t="shared" si="66"/>
        <v>48.913161496537555</v>
      </c>
      <c r="CD40" s="30">
        <f t="shared" si="66"/>
        <v>38.044378125022909</v>
      </c>
      <c r="CE40" s="30">
        <f t="shared" si="66"/>
        <v>38.004941831377408</v>
      </c>
      <c r="CF40" s="30">
        <f t="shared" si="66"/>
        <v>35.491009852245</v>
      </c>
      <c r="CG40" s="30">
        <f t="shared" si="66"/>
        <v>74.478944712051998</v>
      </c>
      <c r="CH40" s="30">
        <f t="shared" si="66"/>
        <v>46.636630972355356</v>
      </c>
      <c r="CI40" s="30">
        <f t="shared" si="66"/>
        <v>63.579403407757141</v>
      </c>
      <c r="CJ40" s="30">
        <f t="shared" si="66"/>
        <v>97.026411395375646</v>
      </c>
      <c r="CK40" s="30">
        <f t="shared" si="66"/>
        <v>73.461151589878043</v>
      </c>
      <c r="CL40" s="30">
        <f t="shared" si="66"/>
        <v>73.531507079798445</v>
      </c>
      <c r="CM40" s="30">
        <f t="shared" si="66"/>
        <v>72.585338020371637</v>
      </c>
      <c r="CN40" s="30">
        <f t="shared" si="66"/>
        <v>80.945813044115226</v>
      </c>
      <c r="CO40" s="30">
        <f t="shared" si="66"/>
        <v>46.554222823451141</v>
      </c>
      <c r="CP40" s="30">
        <f t="shared" si="66"/>
        <v>85.04294676050182</v>
      </c>
      <c r="CQ40" s="30">
        <f t="shared" si="66"/>
        <v>94.910766192257739</v>
      </c>
      <c r="CR40" s="30">
        <f t="shared" si="66"/>
        <v>101.64880305630392</v>
      </c>
      <c r="CS40" s="30">
        <f t="shared" si="66"/>
        <v>76.332612309201238</v>
      </c>
      <c r="CT40" s="30">
        <f t="shared" si="66"/>
        <v>85.162444522377513</v>
      </c>
      <c r="CU40" s="30">
        <f t="shared" si="66"/>
        <v>94.940226183435641</v>
      </c>
      <c r="CV40" s="30">
        <f t="shared" si="66"/>
        <v>92.945723991894283</v>
      </c>
      <c r="CW40" s="30">
        <f t="shared" si="66"/>
        <v>36.771502974992522</v>
      </c>
      <c r="CX40" s="30">
        <f t="shared" si="66"/>
        <v>71.768557313445143</v>
      </c>
      <c r="CY40" s="30">
        <f t="shared" si="66"/>
        <v>46.643945090254562</v>
      </c>
      <c r="CZ40" s="30">
        <f t="shared" si="66"/>
        <v>85.12254102516043</v>
      </c>
      <c r="DA40" s="30">
        <f t="shared" si="66"/>
        <v>50.184526980691075</v>
      </c>
      <c r="DB40" s="30">
        <f t="shared" si="66"/>
        <v>30.19141202161402</v>
      </c>
      <c r="DC40" s="30">
        <f t="shared" si="66"/>
        <v>93.003686008731478</v>
      </c>
      <c r="DD40" s="30">
        <f t="shared" si="66"/>
        <v>30.155262818153552</v>
      </c>
      <c r="DE40" s="30">
        <f t="shared" si="66"/>
        <v>89.835415948503993</v>
      </c>
      <c r="DF40" s="30">
        <f t="shared" si="66"/>
        <v>94.207655484656584</v>
      </c>
      <c r="DG40" s="30">
        <f t="shared" si="66"/>
        <v>72.498692180466179</v>
      </c>
      <c r="DH40" s="30">
        <f t="shared" si="66"/>
        <v>59.301514444346878</v>
      </c>
      <c r="DI40" s="30">
        <f t="shared" si="66"/>
        <v>88.197278143556417</v>
      </c>
      <c r="DJ40" s="30">
        <f t="shared" si="66"/>
        <v>95.174260965980807</v>
      </c>
      <c r="DK40" s="30">
        <f t="shared" si="66"/>
        <v>85.115174741216805</v>
      </c>
      <c r="DL40" s="30">
        <f t="shared" si="66"/>
        <v>67.570361980934962</v>
      </c>
      <c r="DM40" s="30">
        <f t="shared" si="66"/>
        <v>64.606318474342601</v>
      </c>
      <c r="DN40" s="30">
        <f t="shared" si="66"/>
        <v>81.756500888414962</v>
      </c>
      <c r="DO40" s="30">
        <f t="shared" si="66"/>
        <v>96.517897121840264</v>
      </c>
      <c r="DP40" s="30">
        <f t="shared" si="66"/>
        <v>98.535774566915876</v>
      </c>
      <c r="DQ40" s="30">
        <f t="shared" si="66"/>
        <v>84.38419522868422</v>
      </c>
      <c r="DR40" s="30">
        <f t="shared" si="66"/>
        <v>71.60808959033308</v>
      </c>
      <c r="DS40" s="30">
        <f t="shared" si="66"/>
        <v>101.53082646856981</v>
      </c>
      <c r="DT40" s="30">
        <f t="shared" si="66"/>
        <v>75.606184856556993</v>
      </c>
      <c r="DU40" s="30">
        <f t="shared" si="66"/>
        <v>45.344949119470769</v>
      </c>
      <c r="DV40" s="30">
        <f t="shared" si="66"/>
        <v>47.814175984257091</v>
      </c>
      <c r="DW40" s="30">
        <f t="shared" si="66"/>
        <v>90.0711781771235</v>
      </c>
      <c r="DX40" s="30">
        <f t="shared" si="66"/>
        <v>101.18244650800943</v>
      </c>
      <c r="DY40" s="30">
        <f t="shared" si="66"/>
        <v>53.57304207644583</v>
      </c>
      <c r="DZ40" s="30">
        <f t="shared" si="66"/>
        <v>61.520496029655433</v>
      </c>
      <c r="EA40" s="30">
        <f t="shared" si="66"/>
        <v>62.459286644450991</v>
      </c>
      <c r="EB40" s="30">
        <f t="shared" si="66"/>
        <v>92.947859116847468</v>
      </c>
      <c r="EC40" s="30">
        <f t="shared" si="66"/>
        <v>85.255575514304212</v>
      </c>
      <c r="ED40" s="30">
        <f t="shared" si="66"/>
        <v>70.693749748617179</v>
      </c>
      <c r="EE40" s="30">
        <f t="shared" si="66"/>
        <v>87.655430689249869</v>
      </c>
      <c r="EF40" s="30">
        <f t="shared" si="66"/>
        <v>48.993372314408617</v>
      </c>
      <c r="EG40" s="30">
        <f t="shared" si="66"/>
        <v>49.101296097679921</v>
      </c>
      <c r="EH40" s="30">
        <f t="shared" si="66"/>
        <v>75.357565306208286</v>
      </c>
      <c r="EI40" s="30">
        <f t="shared" si="66"/>
        <v>53.636139979242159</v>
      </c>
      <c r="EJ40" s="30">
        <f t="shared" si="66"/>
        <v>37.976033813354789</v>
      </c>
      <c r="EK40" s="30">
        <f t="shared" si="66"/>
        <v>51.289841276231776</v>
      </c>
      <c r="EL40" s="30">
        <f t="shared" si="66"/>
        <v>71.563174187292191</v>
      </c>
      <c r="EM40" s="30">
        <f t="shared" ref="EM40:GX40" si="67">SUM(EM37:EM39)</f>
        <v>39.250478502186922</v>
      </c>
      <c r="EN40" s="30">
        <f t="shared" si="67"/>
        <v>79.959743144188025</v>
      </c>
      <c r="EO40" s="30">
        <f t="shared" si="67"/>
        <v>71.742079395730443</v>
      </c>
      <c r="EP40" s="30">
        <f t="shared" si="67"/>
        <v>35.480607395985892</v>
      </c>
      <c r="EQ40" s="30">
        <f t="shared" si="67"/>
        <v>34.092141976074586</v>
      </c>
      <c r="ER40" s="30">
        <f t="shared" si="67"/>
        <v>75.308790151520071</v>
      </c>
      <c r="ES40" s="30">
        <f t="shared" si="67"/>
        <v>55.975875052433096</v>
      </c>
      <c r="ET40" s="30">
        <f t="shared" si="67"/>
        <v>94.923083399669451</v>
      </c>
      <c r="EU40" s="30">
        <f t="shared" si="67"/>
        <v>97.368465530795277</v>
      </c>
      <c r="EV40" s="30">
        <f t="shared" si="67"/>
        <v>95.995488627820919</v>
      </c>
      <c r="EW40" s="30">
        <f t="shared" si="67"/>
        <v>101.42291339952777</v>
      </c>
      <c r="EX40" s="30">
        <f t="shared" si="67"/>
        <v>59.185993438021441</v>
      </c>
      <c r="EY40" s="30">
        <f t="shared" si="67"/>
        <v>78.379083490853674</v>
      </c>
      <c r="EZ40" s="30">
        <f t="shared" si="67"/>
        <v>66.521598373117158</v>
      </c>
      <c r="FA40" s="30">
        <f t="shared" si="67"/>
        <v>98.665113668477517</v>
      </c>
      <c r="FB40" s="30">
        <f t="shared" si="67"/>
        <v>37.983250255389336</v>
      </c>
      <c r="FC40" s="30">
        <f t="shared" si="67"/>
        <v>39.269951826850374</v>
      </c>
      <c r="FD40" s="30">
        <f t="shared" si="67"/>
        <v>98.941127397682664</v>
      </c>
      <c r="FE40" s="30">
        <f t="shared" si="67"/>
        <v>94.533103954776522</v>
      </c>
      <c r="FF40" s="30">
        <f t="shared" si="67"/>
        <v>89.29722179664131</v>
      </c>
      <c r="FG40" s="30">
        <f t="shared" si="67"/>
        <v>60.239678581216452</v>
      </c>
      <c r="FH40" s="30">
        <f t="shared" si="67"/>
        <v>40.487640869512077</v>
      </c>
      <c r="FI40" s="30">
        <f t="shared" si="67"/>
        <v>48.945814131476894</v>
      </c>
      <c r="FJ40" s="30">
        <f t="shared" si="67"/>
        <v>92.375404077101166</v>
      </c>
      <c r="FK40" s="30">
        <f t="shared" si="67"/>
        <v>94.270163816679315</v>
      </c>
      <c r="FL40" s="30">
        <f t="shared" si="67"/>
        <v>39.318602519470161</v>
      </c>
      <c r="FM40" s="30">
        <f t="shared" si="67"/>
        <v>80.801280318655358</v>
      </c>
      <c r="FN40" s="30">
        <f t="shared" si="67"/>
        <v>95.041423621500599</v>
      </c>
      <c r="FO40" s="30">
        <f t="shared" si="67"/>
        <v>70.577446558178593</v>
      </c>
      <c r="FP40" s="30">
        <f t="shared" si="67"/>
        <v>99.616915546211658</v>
      </c>
      <c r="FQ40" s="30">
        <f t="shared" si="67"/>
        <v>77.325199782581507</v>
      </c>
      <c r="FR40" s="30">
        <f t="shared" si="67"/>
        <v>68.656354837184125</v>
      </c>
      <c r="FS40" s="30">
        <f t="shared" si="67"/>
        <v>92.112309029513114</v>
      </c>
      <c r="FT40" s="30">
        <f t="shared" si="67"/>
        <v>99.938194845444855</v>
      </c>
      <c r="FU40" s="30">
        <f t="shared" si="67"/>
        <v>77.220608597432701</v>
      </c>
      <c r="FV40" s="30">
        <f t="shared" si="67"/>
        <v>87.46952786135563</v>
      </c>
      <c r="FW40" s="30">
        <f t="shared" si="67"/>
        <v>79.177169775670961</v>
      </c>
      <c r="FX40" s="30">
        <f t="shared" si="67"/>
        <v>97.735399705965932</v>
      </c>
      <c r="FY40" s="30">
        <f t="shared" si="67"/>
        <v>92.964492920535974</v>
      </c>
      <c r="FZ40" s="30">
        <f t="shared" si="67"/>
        <v>63.398090390170509</v>
      </c>
      <c r="GA40" s="30">
        <f t="shared" si="67"/>
        <v>89.782372307017155</v>
      </c>
      <c r="GB40" s="30">
        <f t="shared" si="67"/>
        <v>67.688845268872413</v>
      </c>
      <c r="GC40" s="30">
        <f t="shared" si="67"/>
        <v>49.012123702543157</v>
      </c>
      <c r="GD40" s="30">
        <f t="shared" si="67"/>
        <v>34.119820972474869</v>
      </c>
      <c r="GE40" s="30">
        <f t="shared" si="67"/>
        <v>31.555930247349032</v>
      </c>
      <c r="GF40" s="30">
        <f t="shared" si="67"/>
        <v>34.181861824877345</v>
      </c>
      <c r="GG40" s="30">
        <f t="shared" si="67"/>
        <v>92.913213229352493</v>
      </c>
      <c r="GH40" s="30">
        <f t="shared" si="67"/>
        <v>42.955450021449579</v>
      </c>
      <c r="GI40" s="30">
        <f t="shared" si="67"/>
        <v>79.083240981469572</v>
      </c>
      <c r="GJ40" s="30">
        <f t="shared" si="67"/>
        <v>46.538131828969419</v>
      </c>
      <c r="GK40" s="30">
        <f t="shared" si="67"/>
        <v>61.439684327421944</v>
      </c>
      <c r="GL40" s="30">
        <f t="shared" si="67"/>
        <v>63.433293675745858</v>
      </c>
      <c r="GM40" s="30">
        <f t="shared" si="67"/>
        <v>47.754632099932863</v>
      </c>
      <c r="GN40" s="30">
        <f t="shared" si="67"/>
        <v>87.625943607892992</v>
      </c>
      <c r="GO40" s="30">
        <f t="shared" si="67"/>
        <v>101.50204440549658</v>
      </c>
      <c r="GP40" s="30">
        <f t="shared" si="67"/>
        <v>82.656819492622446</v>
      </c>
      <c r="GQ40" s="30">
        <f t="shared" si="67"/>
        <v>89.839297310545916</v>
      </c>
      <c r="GR40" s="30">
        <f t="shared" si="67"/>
        <v>50.148438472456078</v>
      </c>
      <c r="GS40" s="30">
        <f t="shared" si="67"/>
        <v>61.303214616455378</v>
      </c>
      <c r="GT40" s="30">
        <f t="shared" si="67"/>
        <v>52.481908827780117</v>
      </c>
      <c r="GU40" s="30">
        <f t="shared" si="67"/>
        <v>61.497330624762611</v>
      </c>
      <c r="GV40" s="30">
        <f t="shared" si="67"/>
        <v>80.776911088326386</v>
      </c>
      <c r="GW40" s="30">
        <f t="shared" si="67"/>
        <v>54.684199125233818</v>
      </c>
      <c r="GX40" s="30">
        <f t="shared" si="67"/>
        <v>74.442899035299305</v>
      </c>
      <c r="GY40" s="30">
        <f t="shared" ref="GY40:JJ40" si="68">SUM(GY37:GY39)</f>
        <v>41.811345637974313</v>
      </c>
      <c r="GZ40" s="30">
        <f t="shared" si="68"/>
        <v>40.54715493449882</v>
      </c>
      <c r="HA40" s="30">
        <f t="shared" si="68"/>
        <v>55.945238166433725</v>
      </c>
      <c r="HB40" s="30">
        <f t="shared" si="68"/>
        <v>93.046471661704246</v>
      </c>
      <c r="HC40" s="30">
        <f t="shared" si="68"/>
        <v>31.479489322106765</v>
      </c>
      <c r="HD40" s="30">
        <f t="shared" si="68"/>
        <v>89.79832223655032</v>
      </c>
      <c r="HE40" s="30">
        <f t="shared" si="68"/>
        <v>93.580901996361746</v>
      </c>
      <c r="HF40" s="30">
        <f t="shared" si="68"/>
        <v>85.914615896736095</v>
      </c>
      <c r="HG40" s="30">
        <f t="shared" si="68"/>
        <v>96.627169546887302</v>
      </c>
      <c r="HH40" s="30">
        <f t="shared" si="68"/>
        <v>86.808636621594246</v>
      </c>
      <c r="HI40" s="30">
        <f t="shared" si="68"/>
        <v>47.807668319235177</v>
      </c>
      <c r="HJ40" s="30">
        <f t="shared" si="68"/>
        <v>87.681546484329772</v>
      </c>
      <c r="HK40" s="30">
        <f t="shared" si="68"/>
        <v>42.994812655555222</v>
      </c>
      <c r="HL40" s="30">
        <f t="shared" si="68"/>
        <v>97.852652328761934</v>
      </c>
      <c r="HM40" s="30">
        <f t="shared" si="68"/>
        <v>92.275826610692533</v>
      </c>
      <c r="HN40" s="30">
        <f t="shared" si="68"/>
        <v>87.576171004944456</v>
      </c>
      <c r="HO40" s="30">
        <f t="shared" si="68"/>
        <v>87.458022200699602</v>
      </c>
      <c r="HP40" s="30">
        <f t="shared" si="68"/>
        <v>44.151073036385604</v>
      </c>
      <c r="HQ40" s="30">
        <f t="shared" si="68"/>
        <v>93.130445464287448</v>
      </c>
      <c r="HR40" s="30">
        <f t="shared" si="68"/>
        <v>53.614338068759835</v>
      </c>
      <c r="HS40" s="30">
        <f t="shared" si="68"/>
        <v>35.399133478358991</v>
      </c>
      <c r="HT40" s="30">
        <f t="shared" si="68"/>
        <v>97.690925270938465</v>
      </c>
      <c r="HU40" s="30">
        <f t="shared" si="68"/>
        <v>43.052477212935635</v>
      </c>
      <c r="HV40" s="30">
        <f t="shared" si="68"/>
        <v>101.0384269534659</v>
      </c>
      <c r="HW40" s="30">
        <f t="shared" si="68"/>
        <v>97.949843195374797</v>
      </c>
      <c r="HX40" s="30">
        <f t="shared" si="68"/>
        <v>76.234067295771496</v>
      </c>
      <c r="HY40" s="30">
        <f t="shared" si="68"/>
        <v>99.317326282480593</v>
      </c>
      <c r="HZ40" s="30">
        <f t="shared" si="68"/>
        <v>35.408626606914311</v>
      </c>
      <c r="IA40" s="30">
        <f t="shared" si="68"/>
        <v>43.021961479768038</v>
      </c>
      <c r="IB40" s="30">
        <f t="shared" si="68"/>
        <v>68.529754874714627</v>
      </c>
      <c r="IC40" s="30">
        <f t="shared" si="68"/>
        <v>52.530908138110831</v>
      </c>
      <c r="ID40" s="30">
        <f t="shared" si="68"/>
        <v>99.945359384460431</v>
      </c>
      <c r="IE40" s="30">
        <f t="shared" si="68"/>
        <v>66.579905053973363</v>
      </c>
      <c r="IF40" s="30">
        <f t="shared" si="68"/>
        <v>93.090249486891935</v>
      </c>
      <c r="IG40" s="30">
        <f t="shared" si="68"/>
        <v>58.205852783489277</v>
      </c>
      <c r="IH40" s="30">
        <f t="shared" si="68"/>
        <v>94.576016695025629</v>
      </c>
      <c r="II40" s="30">
        <f t="shared" si="68"/>
        <v>81.771480691438185</v>
      </c>
      <c r="IJ40" s="30">
        <f t="shared" si="68"/>
        <v>81.933249457246845</v>
      </c>
      <c r="IK40" s="30">
        <f t="shared" si="68"/>
        <v>53.556056560801281</v>
      </c>
      <c r="IL40" s="30">
        <f t="shared" si="68"/>
        <v>79.85429118259367</v>
      </c>
      <c r="IM40" s="30">
        <f t="shared" si="68"/>
        <v>84.418440343632895</v>
      </c>
      <c r="IN40" s="30">
        <f t="shared" si="68"/>
        <v>84.326579104495934</v>
      </c>
      <c r="IO40" s="30">
        <f t="shared" si="68"/>
        <v>96.276608083048885</v>
      </c>
      <c r="IP40" s="30">
        <f t="shared" si="68"/>
        <v>77.225261765575937</v>
      </c>
      <c r="IQ40" s="30">
        <f t="shared" si="68"/>
        <v>60.232669814858113</v>
      </c>
      <c r="IR40" s="30">
        <f t="shared" si="68"/>
        <v>71.582174631445923</v>
      </c>
      <c r="IS40" s="30">
        <f t="shared" si="68"/>
        <v>61.341826908243277</v>
      </c>
      <c r="IT40" s="30">
        <f t="shared" si="68"/>
        <v>67.699370452302375</v>
      </c>
      <c r="IU40" s="30">
        <f t="shared" si="68"/>
        <v>47.869407652696253</v>
      </c>
      <c r="IV40" s="30">
        <f t="shared" si="68"/>
        <v>75.512907204359493</v>
      </c>
      <c r="IW40" s="30">
        <f t="shared" si="68"/>
        <v>101.53845712403481</v>
      </c>
      <c r="IX40" s="30">
        <f t="shared" si="68"/>
        <v>66.720307907345912</v>
      </c>
      <c r="IY40" s="30">
        <f t="shared" si="68"/>
        <v>93.069038934163544</v>
      </c>
      <c r="IZ40" s="30">
        <f t="shared" si="68"/>
        <v>70.725313560272667</v>
      </c>
      <c r="JA40" s="30">
        <f t="shared" si="68"/>
        <v>72.512311406887932</v>
      </c>
      <c r="JB40" s="30">
        <f t="shared" si="68"/>
        <v>36.638023310094667</v>
      </c>
      <c r="JC40" s="30">
        <f t="shared" si="68"/>
        <v>92.398266882417772</v>
      </c>
      <c r="JD40" s="30">
        <f t="shared" si="68"/>
        <v>56.023576276255469</v>
      </c>
      <c r="JE40" s="30">
        <f t="shared" si="68"/>
        <v>55.870461112937747</v>
      </c>
      <c r="JF40" s="30">
        <f t="shared" si="68"/>
        <v>59.27232362971229</v>
      </c>
      <c r="JG40" s="30">
        <f t="shared" si="68"/>
        <v>101.63871070611486</v>
      </c>
      <c r="JH40" s="30">
        <f t="shared" si="68"/>
        <v>43.061236091339865</v>
      </c>
      <c r="JI40" s="30">
        <f t="shared" si="68"/>
        <v>93.560871504935051</v>
      </c>
      <c r="JJ40" s="30">
        <f t="shared" si="68"/>
        <v>46.564423778405924</v>
      </c>
      <c r="JK40" s="30">
        <f t="shared" ref="JK40:KI40" si="69">SUM(JK37:JK39)</f>
        <v>40.464656190444458</v>
      </c>
      <c r="JL40" s="30">
        <f t="shared" si="69"/>
        <v>80.152561999931123</v>
      </c>
      <c r="JM40" s="30">
        <f t="shared" si="69"/>
        <v>97.716295081875614</v>
      </c>
      <c r="JN40" s="30">
        <f t="shared" si="69"/>
        <v>36.757448594444384</v>
      </c>
      <c r="JO40" s="30">
        <f t="shared" si="69"/>
        <v>78.353952002637783</v>
      </c>
      <c r="JP40" s="30">
        <f t="shared" si="69"/>
        <v>30.189117766983401</v>
      </c>
      <c r="JQ40" s="30">
        <f t="shared" si="69"/>
        <v>65.51828013795533</v>
      </c>
      <c r="JR40" s="30">
        <f t="shared" si="69"/>
        <v>95.576925244160464</v>
      </c>
      <c r="JS40" s="30">
        <f t="shared" si="69"/>
        <v>45.478548275887576</v>
      </c>
      <c r="JT40" s="30">
        <f t="shared" si="69"/>
        <v>95.293770416881287</v>
      </c>
      <c r="JU40" s="30">
        <f t="shared" si="69"/>
        <v>93.71735301455405</v>
      </c>
      <c r="JV40" s="30">
        <f t="shared" si="69"/>
        <v>45.375563816794852</v>
      </c>
      <c r="JW40" s="30">
        <f t="shared" si="69"/>
        <v>94.244380714922528</v>
      </c>
      <c r="JX40" s="30">
        <f t="shared" si="69"/>
        <v>31.48996405952343</v>
      </c>
      <c r="JY40" s="30">
        <f t="shared" si="69"/>
        <v>94.333705953781788</v>
      </c>
      <c r="JZ40" s="30">
        <f t="shared" si="69"/>
        <v>67.589816822387945</v>
      </c>
      <c r="KA40" s="30">
        <f t="shared" si="69"/>
        <v>40.574479835513472</v>
      </c>
      <c r="KB40" s="30">
        <f t="shared" si="69"/>
        <v>41.677898061336698</v>
      </c>
      <c r="KC40" s="30">
        <f t="shared" si="69"/>
        <v>97.015920579996333</v>
      </c>
      <c r="KD40" s="30">
        <f t="shared" si="69"/>
        <v>99.170088942731752</v>
      </c>
      <c r="KE40" s="30">
        <f t="shared" si="69"/>
        <v>62.392490811583585</v>
      </c>
      <c r="KF40" s="30">
        <f t="shared" si="69"/>
        <v>92.378954280685505</v>
      </c>
      <c r="KG40" s="30">
        <f t="shared" si="69"/>
        <v>76.425070855412599</v>
      </c>
      <c r="KH40" s="30">
        <f t="shared" si="69"/>
        <v>53.655894381145124</v>
      </c>
      <c r="KI40" s="30">
        <f t="shared" si="69"/>
        <v>63.481006172641145</v>
      </c>
      <c r="KJ40" s="1"/>
    </row>
    <row r="41" spans="7:296" x14ac:dyDescent="0.35">
      <c r="KJ41" s="1"/>
    </row>
    <row r="42" spans="7:296" x14ac:dyDescent="0.35">
      <c r="K42" s="19" t="s">
        <v>190</v>
      </c>
      <c r="L42" s="19"/>
      <c r="M42" s="16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7"/>
      <c r="DP42" s="17"/>
      <c r="DQ42" s="17"/>
      <c r="DR42" s="17"/>
      <c r="DS42" s="17"/>
      <c r="DT42" s="17"/>
      <c r="DU42" s="17"/>
      <c r="DV42" s="17"/>
      <c r="DW42" s="17"/>
      <c r="DX42" s="17"/>
      <c r="DY42" s="17"/>
      <c r="DZ42" s="17"/>
      <c r="EA42" s="17"/>
      <c r="EB42" s="17"/>
      <c r="EC42" s="17"/>
      <c r="ED42" s="17"/>
      <c r="EE42" s="17"/>
      <c r="EF42" s="17"/>
      <c r="EG42" s="17"/>
      <c r="EH42" s="17"/>
      <c r="EI42" s="17"/>
      <c r="EJ42" s="17"/>
      <c r="EK42" s="17"/>
      <c r="EL42" s="17"/>
      <c r="EM42" s="17"/>
      <c r="EN42" s="17"/>
      <c r="EO42" s="17"/>
      <c r="EP42" s="17"/>
      <c r="EQ42" s="17"/>
      <c r="ER42" s="17"/>
      <c r="ES42" s="17"/>
      <c r="ET42" s="17"/>
      <c r="EU42" s="17"/>
      <c r="EV42" s="17"/>
      <c r="EW42" s="17"/>
      <c r="EX42" s="17"/>
      <c r="EY42" s="17"/>
      <c r="EZ42" s="17"/>
      <c r="FA42" s="17"/>
      <c r="FB42" s="17"/>
      <c r="FC42" s="17"/>
      <c r="FD42" s="17"/>
      <c r="FE42" s="17"/>
      <c r="FF42" s="17"/>
      <c r="FG42" s="17"/>
      <c r="FH42" s="17"/>
      <c r="FI42" s="17"/>
      <c r="FJ42" s="17"/>
      <c r="FK42" s="17"/>
      <c r="FL42" s="17"/>
      <c r="FM42" s="17"/>
      <c r="FN42" s="17"/>
      <c r="FO42" s="17"/>
      <c r="FP42" s="17"/>
      <c r="FQ42" s="17"/>
      <c r="FR42" s="17"/>
      <c r="FS42" s="17"/>
      <c r="FT42" s="17"/>
      <c r="FU42" s="17"/>
      <c r="FV42" s="17"/>
      <c r="FW42" s="17"/>
      <c r="FX42" s="17"/>
      <c r="FY42" s="17"/>
      <c r="FZ42" s="17"/>
      <c r="GA42" s="17"/>
      <c r="GB42" s="17"/>
      <c r="GC42" s="17"/>
      <c r="GD42" s="17"/>
      <c r="GE42" s="17"/>
      <c r="GF42" s="17"/>
      <c r="GG42" s="17"/>
      <c r="GH42" s="17"/>
      <c r="GI42" s="17"/>
      <c r="GJ42" s="17"/>
      <c r="GK42" s="17"/>
      <c r="GL42" s="17"/>
      <c r="GM42" s="17"/>
      <c r="GN42" s="17"/>
      <c r="GO42" s="17"/>
      <c r="GP42" s="17"/>
      <c r="GQ42" s="17"/>
      <c r="GR42" s="17"/>
      <c r="GS42" s="17"/>
      <c r="GT42" s="17"/>
      <c r="GU42" s="17"/>
      <c r="GV42" s="17"/>
      <c r="GW42" s="17"/>
      <c r="GX42" s="17"/>
      <c r="GY42" s="17"/>
      <c r="GZ42" s="17"/>
      <c r="HA42" s="17"/>
      <c r="HB42" s="17"/>
      <c r="HC42" s="17"/>
      <c r="HD42" s="17"/>
      <c r="HE42" s="17"/>
      <c r="HF42" s="17"/>
      <c r="HG42" s="17"/>
      <c r="HH42" s="17"/>
      <c r="HI42" s="17"/>
      <c r="HJ42" s="17"/>
      <c r="HK42" s="17"/>
      <c r="HL42" s="17"/>
      <c r="HM42" s="17"/>
      <c r="HN42" s="17"/>
      <c r="HO42" s="17"/>
      <c r="HP42" s="17"/>
      <c r="HQ42" s="17"/>
      <c r="HR42" s="17"/>
      <c r="HS42" s="17"/>
      <c r="HT42" s="17"/>
      <c r="HU42" s="17"/>
      <c r="HV42" s="17"/>
      <c r="HW42" s="17"/>
      <c r="HX42" s="17"/>
      <c r="HY42" s="17"/>
      <c r="HZ42" s="17"/>
      <c r="IA42" s="17"/>
      <c r="IB42" s="17"/>
      <c r="IC42" s="17"/>
      <c r="ID42" s="17"/>
      <c r="IE42" s="17"/>
      <c r="IF42" s="17"/>
      <c r="IG42" s="17"/>
      <c r="IH42" s="17"/>
      <c r="II42" s="17"/>
      <c r="IJ42" s="17"/>
      <c r="IK42" s="17"/>
      <c r="IL42" s="17"/>
      <c r="IM42" s="17"/>
      <c r="IN42" s="17"/>
      <c r="IO42" s="17"/>
      <c r="IP42" s="17"/>
      <c r="IQ42" s="17"/>
      <c r="IR42" s="17"/>
      <c r="IS42" s="17"/>
      <c r="IT42" s="17"/>
      <c r="IU42" s="17"/>
      <c r="IV42" s="17"/>
      <c r="IW42" s="17"/>
      <c r="IX42" s="17"/>
      <c r="IY42" s="17"/>
      <c r="IZ42" s="17"/>
      <c r="JA42" s="17"/>
      <c r="JB42" s="17"/>
      <c r="JC42" s="17"/>
      <c r="JD42" s="17"/>
      <c r="JE42" s="17"/>
      <c r="JF42" s="17"/>
      <c r="JG42" s="17"/>
      <c r="JH42" s="17"/>
      <c r="JI42" s="17"/>
      <c r="JJ42" s="17"/>
      <c r="JK42" s="17"/>
      <c r="JL42" s="17"/>
      <c r="JM42" s="17"/>
      <c r="JN42" s="17"/>
      <c r="JO42" s="17"/>
      <c r="JP42" s="17"/>
      <c r="JQ42" s="17"/>
      <c r="JR42" s="17"/>
      <c r="JS42" s="17"/>
      <c r="JT42" s="17"/>
      <c r="JU42" s="17"/>
      <c r="JV42" s="17"/>
      <c r="JW42" s="17"/>
      <c r="JX42" s="17"/>
      <c r="JY42" s="17"/>
      <c r="JZ42" s="17"/>
      <c r="KA42" s="17"/>
      <c r="KB42" s="17"/>
      <c r="KC42" s="17"/>
      <c r="KD42" s="17"/>
      <c r="KE42" s="17"/>
      <c r="KF42" s="17"/>
      <c r="KG42" s="17"/>
      <c r="KH42" s="17"/>
      <c r="KI42" s="17"/>
      <c r="KJ42" s="1"/>
    </row>
    <row r="43" spans="7:296" x14ac:dyDescent="0.35">
      <c r="KJ43" s="1"/>
    </row>
    <row r="44" spans="7:296" x14ac:dyDescent="0.35">
      <c r="H44" s="1"/>
      <c r="I44" s="1"/>
      <c r="J44" s="1"/>
      <c r="K44" s="1"/>
      <c r="L44" s="22" t="s">
        <v>190</v>
      </c>
      <c r="M44" s="25"/>
      <c r="KJ44" s="1"/>
    </row>
    <row r="45" spans="7:296" x14ac:dyDescent="0.35">
      <c r="H45" s="13" t="s">
        <v>22</v>
      </c>
      <c r="I45" s="1"/>
      <c r="J45" s="1"/>
      <c r="K45" s="1"/>
      <c r="M45" s="29" t="s">
        <v>191</v>
      </c>
      <c r="N45" s="30">
        <f>N40</f>
        <v>53.096852313530164</v>
      </c>
      <c r="O45" s="30">
        <f t="shared" ref="O45:BZ45" si="70">O40</f>
        <v>47.973797508358814</v>
      </c>
      <c r="P45" s="30">
        <f t="shared" si="70"/>
        <v>64.921489086629379</v>
      </c>
      <c r="Q45" s="30">
        <f t="shared" si="70"/>
        <v>88.772335896871226</v>
      </c>
      <c r="R45" s="30">
        <f t="shared" si="70"/>
        <v>46.684097023980925</v>
      </c>
      <c r="S45" s="30">
        <f t="shared" si="70"/>
        <v>42.742697341989199</v>
      </c>
      <c r="T45" s="30">
        <f t="shared" si="70"/>
        <v>54.079298857016568</v>
      </c>
      <c r="U45" s="30">
        <f t="shared" si="70"/>
        <v>59.863806051935839</v>
      </c>
      <c r="V45" s="30">
        <f t="shared" si="70"/>
        <v>92.676535216487082</v>
      </c>
      <c r="W45" s="30">
        <f t="shared" si="70"/>
        <v>95.33106911225407</v>
      </c>
      <c r="X45" s="30">
        <f t="shared" si="70"/>
        <v>83.212461389224785</v>
      </c>
      <c r="Y45" s="30">
        <f t="shared" si="70"/>
        <v>70.693437176631278</v>
      </c>
      <c r="Z45" s="30">
        <f t="shared" si="70"/>
        <v>31.062862353414125</v>
      </c>
      <c r="AA45" s="30">
        <f t="shared" si="70"/>
        <v>90.23967497121842</v>
      </c>
      <c r="AB45" s="30">
        <f t="shared" si="70"/>
        <v>93.113568962017695</v>
      </c>
      <c r="AC45" s="30">
        <f t="shared" si="70"/>
        <v>91.376058821396597</v>
      </c>
      <c r="AD45" s="30">
        <f t="shared" si="70"/>
        <v>79.213859139651817</v>
      </c>
      <c r="AE45" s="30">
        <f t="shared" si="70"/>
        <v>55.945205968885332</v>
      </c>
      <c r="AF45" s="30">
        <f t="shared" si="70"/>
        <v>45.335748015635559</v>
      </c>
      <c r="AG45" s="30">
        <f t="shared" si="70"/>
        <v>74.444317205995645</v>
      </c>
      <c r="AH45" s="30">
        <f t="shared" si="70"/>
        <v>31.488774308970321</v>
      </c>
      <c r="AI45" s="30">
        <f t="shared" si="70"/>
        <v>75.503741643882194</v>
      </c>
      <c r="AJ45" s="30">
        <f t="shared" si="70"/>
        <v>35.486741280419395</v>
      </c>
      <c r="AK45" s="30">
        <f t="shared" si="70"/>
        <v>72.707713931897516</v>
      </c>
      <c r="AL45" s="30">
        <f t="shared" si="70"/>
        <v>37.921438314473235</v>
      </c>
      <c r="AM45" s="30">
        <f t="shared" si="70"/>
        <v>75.381009822540818</v>
      </c>
      <c r="AN45" s="30">
        <f t="shared" si="70"/>
        <v>73.622062801434041</v>
      </c>
      <c r="AO45" s="30">
        <f t="shared" si="70"/>
        <v>41.824469584577997</v>
      </c>
      <c r="AP45" s="30">
        <f t="shared" si="70"/>
        <v>45.367771184352506</v>
      </c>
      <c r="AQ45" s="30">
        <f t="shared" si="70"/>
        <v>42.904986120925088</v>
      </c>
      <c r="AR45" s="30">
        <f t="shared" si="70"/>
        <v>31.551996398835207</v>
      </c>
      <c r="AS45" s="30">
        <f t="shared" si="70"/>
        <v>74.574585453170101</v>
      </c>
      <c r="AT45" s="30">
        <f t="shared" si="70"/>
        <v>57.071465884208621</v>
      </c>
      <c r="AU45" s="30">
        <f t="shared" si="70"/>
        <v>62.35829691398839</v>
      </c>
      <c r="AV45" s="30">
        <f t="shared" si="70"/>
        <v>60.424390431309121</v>
      </c>
      <c r="AW45" s="30">
        <f t="shared" si="70"/>
        <v>78.330964421236047</v>
      </c>
      <c r="AX45" s="30">
        <f t="shared" si="70"/>
        <v>89.062279294246508</v>
      </c>
      <c r="AY45" s="30">
        <f t="shared" si="70"/>
        <v>69.78103374736294</v>
      </c>
      <c r="AZ45" s="30">
        <f t="shared" si="70"/>
        <v>85.273090037961083</v>
      </c>
      <c r="BA45" s="30">
        <f t="shared" si="70"/>
        <v>74.587585620797455</v>
      </c>
      <c r="BB45" s="30">
        <f t="shared" si="70"/>
        <v>93.551197726630548</v>
      </c>
      <c r="BC45" s="30">
        <f t="shared" si="70"/>
        <v>64.582638881117092</v>
      </c>
      <c r="BD45" s="30">
        <f t="shared" si="70"/>
        <v>31.571739824334184</v>
      </c>
      <c r="BE45" s="30">
        <f t="shared" si="70"/>
        <v>80.072830268120839</v>
      </c>
      <c r="BF45" s="30">
        <f t="shared" si="70"/>
        <v>98.679467049594038</v>
      </c>
      <c r="BG45" s="30">
        <f t="shared" si="70"/>
        <v>54.790157902984049</v>
      </c>
      <c r="BH45" s="30">
        <f t="shared" si="70"/>
        <v>71.710925919818038</v>
      </c>
      <c r="BI45" s="30">
        <f t="shared" si="70"/>
        <v>64.514580284297438</v>
      </c>
      <c r="BJ45" s="30">
        <f t="shared" si="70"/>
        <v>85.338569935077956</v>
      </c>
      <c r="BK45" s="30">
        <f t="shared" si="70"/>
        <v>100.59591237972856</v>
      </c>
      <c r="BL45" s="30">
        <f t="shared" si="70"/>
        <v>78.097140421275071</v>
      </c>
      <c r="BM45" s="30">
        <f t="shared" si="70"/>
        <v>46.584955778322723</v>
      </c>
      <c r="BN45" s="30">
        <f t="shared" si="70"/>
        <v>59.264236089186511</v>
      </c>
      <c r="BO45" s="30">
        <f t="shared" si="70"/>
        <v>66.693436756101718</v>
      </c>
      <c r="BP45" s="30">
        <f t="shared" si="70"/>
        <v>57.091758859264516</v>
      </c>
      <c r="BQ45" s="30">
        <f t="shared" si="70"/>
        <v>73.511583267863912</v>
      </c>
      <c r="BR45" s="30">
        <f t="shared" si="70"/>
        <v>81.588924642667109</v>
      </c>
      <c r="BS45" s="30">
        <f t="shared" si="70"/>
        <v>44.241991936025407</v>
      </c>
      <c r="BT45" s="30">
        <f t="shared" si="70"/>
        <v>43.054707169760121</v>
      </c>
      <c r="BU45" s="30">
        <f t="shared" si="70"/>
        <v>49.004246928753673</v>
      </c>
      <c r="BV45" s="30">
        <f t="shared" si="70"/>
        <v>51.289306290825422</v>
      </c>
      <c r="BW45" s="30">
        <f t="shared" si="70"/>
        <v>46.534114024673585</v>
      </c>
      <c r="BX45" s="30">
        <f t="shared" si="70"/>
        <v>55.960620258271206</v>
      </c>
      <c r="BY45" s="30">
        <f t="shared" si="70"/>
        <v>89.00055024244071</v>
      </c>
      <c r="BZ45" s="30">
        <f t="shared" si="70"/>
        <v>72.558861043233492</v>
      </c>
      <c r="CA45" s="30">
        <f t="shared" ref="CA45:EL45" si="71">CA40</f>
        <v>50.181340920509641</v>
      </c>
      <c r="CB45" s="30">
        <f t="shared" si="71"/>
        <v>59.303231152488536</v>
      </c>
      <c r="CC45" s="30">
        <f t="shared" si="71"/>
        <v>48.913161496537555</v>
      </c>
      <c r="CD45" s="30">
        <f t="shared" si="71"/>
        <v>38.044378125022909</v>
      </c>
      <c r="CE45" s="30">
        <f t="shared" si="71"/>
        <v>38.004941831377408</v>
      </c>
      <c r="CF45" s="30">
        <f t="shared" si="71"/>
        <v>35.491009852245</v>
      </c>
      <c r="CG45" s="30">
        <f t="shared" si="71"/>
        <v>74.478944712051998</v>
      </c>
      <c r="CH45" s="30">
        <f t="shared" si="71"/>
        <v>46.636630972355356</v>
      </c>
      <c r="CI45" s="30">
        <f t="shared" si="71"/>
        <v>63.579403407757141</v>
      </c>
      <c r="CJ45" s="30">
        <f t="shared" si="71"/>
        <v>97.026411395375646</v>
      </c>
      <c r="CK45" s="30">
        <f t="shared" si="71"/>
        <v>73.461151589878043</v>
      </c>
      <c r="CL45" s="30">
        <f t="shared" si="71"/>
        <v>73.531507079798445</v>
      </c>
      <c r="CM45" s="30">
        <f t="shared" si="71"/>
        <v>72.585338020371637</v>
      </c>
      <c r="CN45" s="30">
        <f t="shared" si="71"/>
        <v>80.945813044115226</v>
      </c>
      <c r="CO45" s="30">
        <f t="shared" si="71"/>
        <v>46.554222823451141</v>
      </c>
      <c r="CP45" s="30">
        <f t="shared" si="71"/>
        <v>85.04294676050182</v>
      </c>
      <c r="CQ45" s="30">
        <f t="shared" si="71"/>
        <v>94.910766192257739</v>
      </c>
      <c r="CR45" s="30">
        <f t="shared" si="71"/>
        <v>101.64880305630392</v>
      </c>
      <c r="CS45" s="30">
        <f t="shared" si="71"/>
        <v>76.332612309201238</v>
      </c>
      <c r="CT45" s="30">
        <f t="shared" si="71"/>
        <v>85.162444522377513</v>
      </c>
      <c r="CU45" s="30">
        <f t="shared" si="71"/>
        <v>94.940226183435641</v>
      </c>
      <c r="CV45" s="30">
        <f t="shared" si="71"/>
        <v>92.945723991894283</v>
      </c>
      <c r="CW45" s="30">
        <f t="shared" si="71"/>
        <v>36.771502974992522</v>
      </c>
      <c r="CX45" s="30">
        <f t="shared" si="71"/>
        <v>71.768557313445143</v>
      </c>
      <c r="CY45" s="30">
        <f t="shared" si="71"/>
        <v>46.643945090254562</v>
      </c>
      <c r="CZ45" s="30">
        <f t="shared" si="71"/>
        <v>85.12254102516043</v>
      </c>
      <c r="DA45" s="30">
        <f t="shared" si="71"/>
        <v>50.184526980691075</v>
      </c>
      <c r="DB45" s="30">
        <f t="shared" si="71"/>
        <v>30.19141202161402</v>
      </c>
      <c r="DC45" s="30">
        <f t="shared" si="71"/>
        <v>93.003686008731478</v>
      </c>
      <c r="DD45" s="30">
        <f t="shared" si="71"/>
        <v>30.155262818153552</v>
      </c>
      <c r="DE45" s="30">
        <f t="shared" si="71"/>
        <v>89.835415948503993</v>
      </c>
      <c r="DF45" s="30">
        <f t="shared" si="71"/>
        <v>94.207655484656584</v>
      </c>
      <c r="DG45" s="30">
        <f t="shared" si="71"/>
        <v>72.498692180466179</v>
      </c>
      <c r="DH45" s="30">
        <f t="shared" si="71"/>
        <v>59.301514444346878</v>
      </c>
      <c r="DI45" s="30">
        <f t="shared" si="71"/>
        <v>88.197278143556417</v>
      </c>
      <c r="DJ45" s="30">
        <f t="shared" si="71"/>
        <v>95.174260965980807</v>
      </c>
      <c r="DK45" s="30">
        <f t="shared" si="71"/>
        <v>85.115174741216805</v>
      </c>
      <c r="DL45" s="30">
        <f t="shared" si="71"/>
        <v>67.570361980934962</v>
      </c>
      <c r="DM45" s="30">
        <f t="shared" si="71"/>
        <v>64.606318474342601</v>
      </c>
      <c r="DN45" s="30">
        <f t="shared" si="71"/>
        <v>81.756500888414962</v>
      </c>
      <c r="DO45" s="30">
        <f t="shared" si="71"/>
        <v>96.517897121840264</v>
      </c>
      <c r="DP45" s="30">
        <f t="shared" si="71"/>
        <v>98.535774566915876</v>
      </c>
      <c r="DQ45" s="30">
        <f t="shared" si="71"/>
        <v>84.38419522868422</v>
      </c>
      <c r="DR45" s="30">
        <f t="shared" si="71"/>
        <v>71.60808959033308</v>
      </c>
      <c r="DS45" s="30">
        <f t="shared" si="71"/>
        <v>101.53082646856981</v>
      </c>
      <c r="DT45" s="30">
        <f t="shared" si="71"/>
        <v>75.606184856556993</v>
      </c>
      <c r="DU45" s="30">
        <f t="shared" si="71"/>
        <v>45.344949119470769</v>
      </c>
      <c r="DV45" s="30">
        <f t="shared" si="71"/>
        <v>47.814175984257091</v>
      </c>
      <c r="DW45" s="30">
        <f t="shared" si="71"/>
        <v>90.0711781771235</v>
      </c>
      <c r="DX45" s="30">
        <f t="shared" si="71"/>
        <v>101.18244650800943</v>
      </c>
      <c r="DY45" s="30">
        <f t="shared" si="71"/>
        <v>53.57304207644583</v>
      </c>
      <c r="DZ45" s="30">
        <f t="shared" si="71"/>
        <v>61.520496029655433</v>
      </c>
      <c r="EA45" s="30">
        <f t="shared" si="71"/>
        <v>62.459286644450991</v>
      </c>
      <c r="EB45" s="30">
        <f t="shared" si="71"/>
        <v>92.947859116847468</v>
      </c>
      <c r="EC45" s="30">
        <f t="shared" si="71"/>
        <v>85.255575514304212</v>
      </c>
      <c r="ED45" s="30">
        <f t="shared" si="71"/>
        <v>70.693749748617179</v>
      </c>
      <c r="EE45" s="30">
        <f t="shared" si="71"/>
        <v>87.655430689249869</v>
      </c>
      <c r="EF45" s="30">
        <f t="shared" si="71"/>
        <v>48.993372314408617</v>
      </c>
      <c r="EG45" s="30">
        <f t="shared" si="71"/>
        <v>49.101296097679921</v>
      </c>
      <c r="EH45" s="30">
        <f t="shared" si="71"/>
        <v>75.357565306208286</v>
      </c>
      <c r="EI45" s="30">
        <f t="shared" si="71"/>
        <v>53.636139979242159</v>
      </c>
      <c r="EJ45" s="30">
        <f t="shared" si="71"/>
        <v>37.976033813354789</v>
      </c>
      <c r="EK45" s="30">
        <f t="shared" si="71"/>
        <v>51.289841276231776</v>
      </c>
      <c r="EL45" s="30">
        <f t="shared" si="71"/>
        <v>71.563174187292191</v>
      </c>
      <c r="EM45" s="30">
        <f t="shared" ref="EM45:GX45" si="72">EM40</f>
        <v>39.250478502186922</v>
      </c>
      <c r="EN45" s="30">
        <f t="shared" si="72"/>
        <v>79.959743144188025</v>
      </c>
      <c r="EO45" s="30">
        <f t="shared" si="72"/>
        <v>71.742079395730443</v>
      </c>
      <c r="EP45" s="30">
        <f t="shared" si="72"/>
        <v>35.480607395985892</v>
      </c>
      <c r="EQ45" s="30">
        <f t="shared" si="72"/>
        <v>34.092141976074586</v>
      </c>
      <c r="ER45" s="30">
        <f t="shared" si="72"/>
        <v>75.308790151520071</v>
      </c>
      <c r="ES45" s="30">
        <f t="shared" si="72"/>
        <v>55.975875052433096</v>
      </c>
      <c r="ET45" s="30">
        <f t="shared" si="72"/>
        <v>94.923083399669451</v>
      </c>
      <c r="EU45" s="30">
        <f t="shared" si="72"/>
        <v>97.368465530795277</v>
      </c>
      <c r="EV45" s="30">
        <f t="shared" si="72"/>
        <v>95.995488627820919</v>
      </c>
      <c r="EW45" s="30">
        <f t="shared" si="72"/>
        <v>101.42291339952777</v>
      </c>
      <c r="EX45" s="30">
        <f t="shared" si="72"/>
        <v>59.185993438021441</v>
      </c>
      <c r="EY45" s="30">
        <f t="shared" si="72"/>
        <v>78.379083490853674</v>
      </c>
      <c r="EZ45" s="30">
        <f t="shared" si="72"/>
        <v>66.521598373117158</v>
      </c>
      <c r="FA45" s="30">
        <f t="shared" si="72"/>
        <v>98.665113668477517</v>
      </c>
      <c r="FB45" s="30">
        <f t="shared" si="72"/>
        <v>37.983250255389336</v>
      </c>
      <c r="FC45" s="30">
        <f t="shared" si="72"/>
        <v>39.269951826850374</v>
      </c>
      <c r="FD45" s="30">
        <f t="shared" si="72"/>
        <v>98.941127397682664</v>
      </c>
      <c r="FE45" s="30">
        <f t="shared" si="72"/>
        <v>94.533103954776522</v>
      </c>
      <c r="FF45" s="30">
        <f t="shared" si="72"/>
        <v>89.29722179664131</v>
      </c>
      <c r="FG45" s="30">
        <f t="shared" si="72"/>
        <v>60.239678581216452</v>
      </c>
      <c r="FH45" s="30">
        <f t="shared" si="72"/>
        <v>40.487640869512077</v>
      </c>
      <c r="FI45" s="30">
        <f t="shared" si="72"/>
        <v>48.945814131476894</v>
      </c>
      <c r="FJ45" s="30">
        <f t="shared" si="72"/>
        <v>92.375404077101166</v>
      </c>
      <c r="FK45" s="30">
        <f t="shared" si="72"/>
        <v>94.270163816679315</v>
      </c>
      <c r="FL45" s="30">
        <f t="shared" si="72"/>
        <v>39.318602519470161</v>
      </c>
      <c r="FM45" s="30">
        <f t="shared" si="72"/>
        <v>80.801280318655358</v>
      </c>
      <c r="FN45" s="30">
        <f t="shared" si="72"/>
        <v>95.041423621500599</v>
      </c>
      <c r="FO45" s="30">
        <f t="shared" si="72"/>
        <v>70.577446558178593</v>
      </c>
      <c r="FP45" s="30">
        <f t="shared" si="72"/>
        <v>99.616915546211658</v>
      </c>
      <c r="FQ45" s="30">
        <f t="shared" si="72"/>
        <v>77.325199782581507</v>
      </c>
      <c r="FR45" s="30">
        <f t="shared" si="72"/>
        <v>68.656354837184125</v>
      </c>
      <c r="FS45" s="30">
        <f t="shared" si="72"/>
        <v>92.112309029513114</v>
      </c>
      <c r="FT45" s="30">
        <f t="shared" si="72"/>
        <v>99.938194845444855</v>
      </c>
      <c r="FU45" s="30">
        <f t="shared" si="72"/>
        <v>77.220608597432701</v>
      </c>
      <c r="FV45" s="30">
        <f t="shared" si="72"/>
        <v>87.46952786135563</v>
      </c>
      <c r="FW45" s="30">
        <f t="shared" si="72"/>
        <v>79.177169775670961</v>
      </c>
      <c r="FX45" s="30">
        <f t="shared" si="72"/>
        <v>97.735399705965932</v>
      </c>
      <c r="FY45" s="30">
        <f t="shared" si="72"/>
        <v>92.964492920535974</v>
      </c>
      <c r="FZ45" s="30">
        <f t="shared" si="72"/>
        <v>63.398090390170509</v>
      </c>
      <c r="GA45" s="30">
        <f t="shared" si="72"/>
        <v>89.782372307017155</v>
      </c>
      <c r="GB45" s="30">
        <f t="shared" si="72"/>
        <v>67.688845268872413</v>
      </c>
      <c r="GC45" s="30">
        <f t="shared" si="72"/>
        <v>49.012123702543157</v>
      </c>
      <c r="GD45" s="30">
        <f t="shared" si="72"/>
        <v>34.119820972474869</v>
      </c>
      <c r="GE45" s="30">
        <f t="shared" si="72"/>
        <v>31.555930247349032</v>
      </c>
      <c r="GF45" s="30">
        <f t="shared" si="72"/>
        <v>34.181861824877345</v>
      </c>
      <c r="GG45" s="30">
        <f t="shared" si="72"/>
        <v>92.913213229352493</v>
      </c>
      <c r="GH45" s="30">
        <f t="shared" si="72"/>
        <v>42.955450021449579</v>
      </c>
      <c r="GI45" s="30">
        <f t="shared" si="72"/>
        <v>79.083240981469572</v>
      </c>
      <c r="GJ45" s="30">
        <f t="shared" si="72"/>
        <v>46.538131828969419</v>
      </c>
      <c r="GK45" s="30">
        <f t="shared" si="72"/>
        <v>61.439684327421944</v>
      </c>
      <c r="GL45" s="30">
        <f t="shared" si="72"/>
        <v>63.433293675745858</v>
      </c>
      <c r="GM45" s="30">
        <f t="shared" si="72"/>
        <v>47.754632099932863</v>
      </c>
      <c r="GN45" s="30">
        <f t="shared" si="72"/>
        <v>87.625943607892992</v>
      </c>
      <c r="GO45" s="30">
        <f t="shared" si="72"/>
        <v>101.50204440549658</v>
      </c>
      <c r="GP45" s="30">
        <f t="shared" si="72"/>
        <v>82.656819492622446</v>
      </c>
      <c r="GQ45" s="30">
        <f t="shared" si="72"/>
        <v>89.839297310545916</v>
      </c>
      <c r="GR45" s="30">
        <f t="shared" si="72"/>
        <v>50.148438472456078</v>
      </c>
      <c r="GS45" s="30">
        <f t="shared" si="72"/>
        <v>61.303214616455378</v>
      </c>
      <c r="GT45" s="30">
        <f t="shared" si="72"/>
        <v>52.481908827780117</v>
      </c>
      <c r="GU45" s="30">
        <f t="shared" si="72"/>
        <v>61.497330624762611</v>
      </c>
      <c r="GV45" s="30">
        <f t="shared" si="72"/>
        <v>80.776911088326386</v>
      </c>
      <c r="GW45" s="30">
        <f t="shared" si="72"/>
        <v>54.684199125233818</v>
      </c>
      <c r="GX45" s="30">
        <f t="shared" si="72"/>
        <v>74.442899035299305</v>
      </c>
      <c r="GY45" s="30">
        <f t="shared" ref="GY45:JJ45" si="73">GY40</f>
        <v>41.811345637974313</v>
      </c>
      <c r="GZ45" s="30">
        <f t="shared" si="73"/>
        <v>40.54715493449882</v>
      </c>
      <c r="HA45" s="30">
        <f t="shared" si="73"/>
        <v>55.945238166433725</v>
      </c>
      <c r="HB45" s="30">
        <f t="shared" si="73"/>
        <v>93.046471661704246</v>
      </c>
      <c r="HC45" s="30">
        <f t="shared" si="73"/>
        <v>31.479489322106765</v>
      </c>
      <c r="HD45" s="30">
        <f t="shared" si="73"/>
        <v>89.79832223655032</v>
      </c>
      <c r="HE45" s="30">
        <f t="shared" si="73"/>
        <v>93.580901996361746</v>
      </c>
      <c r="HF45" s="30">
        <f t="shared" si="73"/>
        <v>85.914615896736095</v>
      </c>
      <c r="HG45" s="30">
        <f t="shared" si="73"/>
        <v>96.627169546887302</v>
      </c>
      <c r="HH45" s="30">
        <f t="shared" si="73"/>
        <v>86.808636621594246</v>
      </c>
      <c r="HI45" s="30">
        <f t="shared" si="73"/>
        <v>47.807668319235177</v>
      </c>
      <c r="HJ45" s="30">
        <f t="shared" si="73"/>
        <v>87.681546484329772</v>
      </c>
      <c r="HK45" s="30">
        <f t="shared" si="73"/>
        <v>42.994812655555222</v>
      </c>
      <c r="HL45" s="30">
        <f t="shared" si="73"/>
        <v>97.852652328761934</v>
      </c>
      <c r="HM45" s="30">
        <f t="shared" si="73"/>
        <v>92.275826610692533</v>
      </c>
      <c r="HN45" s="30">
        <f t="shared" si="73"/>
        <v>87.576171004944456</v>
      </c>
      <c r="HO45" s="30">
        <f t="shared" si="73"/>
        <v>87.458022200699602</v>
      </c>
      <c r="HP45" s="30">
        <f t="shared" si="73"/>
        <v>44.151073036385604</v>
      </c>
      <c r="HQ45" s="30">
        <f t="shared" si="73"/>
        <v>93.130445464287448</v>
      </c>
      <c r="HR45" s="30">
        <f t="shared" si="73"/>
        <v>53.614338068759835</v>
      </c>
      <c r="HS45" s="30">
        <f t="shared" si="73"/>
        <v>35.399133478358991</v>
      </c>
      <c r="HT45" s="30">
        <f t="shared" si="73"/>
        <v>97.690925270938465</v>
      </c>
      <c r="HU45" s="30">
        <f t="shared" si="73"/>
        <v>43.052477212935635</v>
      </c>
      <c r="HV45" s="30">
        <f t="shared" si="73"/>
        <v>101.0384269534659</v>
      </c>
      <c r="HW45" s="30">
        <f t="shared" si="73"/>
        <v>97.949843195374797</v>
      </c>
      <c r="HX45" s="30">
        <f t="shared" si="73"/>
        <v>76.234067295771496</v>
      </c>
      <c r="HY45" s="30">
        <f t="shared" si="73"/>
        <v>99.317326282480593</v>
      </c>
      <c r="HZ45" s="30">
        <f t="shared" si="73"/>
        <v>35.408626606914311</v>
      </c>
      <c r="IA45" s="30">
        <f t="shared" si="73"/>
        <v>43.021961479768038</v>
      </c>
      <c r="IB45" s="30">
        <f t="shared" si="73"/>
        <v>68.529754874714627</v>
      </c>
      <c r="IC45" s="30">
        <f t="shared" si="73"/>
        <v>52.530908138110831</v>
      </c>
      <c r="ID45" s="30">
        <f t="shared" si="73"/>
        <v>99.945359384460431</v>
      </c>
      <c r="IE45" s="30">
        <f t="shared" si="73"/>
        <v>66.579905053973363</v>
      </c>
      <c r="IF45" s="30">
        <f t="shared" si="73"/>
        <v>93.090249486891935</v>
      </c>
      <c r="IG45" s="30">
        <f t="shared" si="73"/>
        <v>58.205852783489277</v>
      </c>
      <c r="IH45" s="30">
        <f t="shared" si="73"/>
        <v>94.576016695025629</v>
      </c>
      <c r="II45" s="30">
        <f t="shared" si="73"/>
        <v>81.771480691438185</v>
      </c>
      <c r="IJ45" s="30">
        <f t="shared" si="73"/>
        <v>81.933249457246845</v>
      </c>
      <c r="IK45" s="30">
        <f t="shared" si="73"/>
        <v>53.556056560801281</v>
      </c>
      <c r="IL45" s="30">
        <f t="shared" si="73"/>
        <v>79.85429118259367</v>
      </c>
      <c r="IM45" s="30">
        <f t="shared" si="73"/>
        <v>84.418440343632895</v>
      </c>
      <c r="IN45" s="30">
        <f t="shared" si="73"/>
        <v>84.326579104495934</v>
      </c>
      <c r="IO45" s="30">
        <f t="shared" si="73"/>
        <v>96.276608083048885</v>
      </c>
      <c r="IP45" s="30">
        <f t="shared" si="73"/>
        <v>77.225261765575937</v>
      </c>
      <c r="IQ45" s="30">
        <f t="shared" si="73"/>
        <v>60.232669814858113</v>
      </c>
      <c r="IR45" s="30">
        <f t="shared" si="73"/>
        <v>71.582174631445923</v>
      </c>
      <c r="IS45" s="30">
        <f t="shared" si="73"/>
        <v>61.341826908243277</v>
      </c>
      <c r="IT45" s="30">
        <f t="shared" si="73"/>
        <v>67.699370452302375</v>
      </c>
      <c r="IU45" s="30">
        <f t="shared" si="73"/>
        <v>47.869407652696253</v>
      </c>
      <c r="IV45" s="30">
        <f t="shared" si="73"/>
        <v>75.512907204359493</v>
      </c>
      <c r="IW45" s="30">
        <f t="shared" si="73"/>
        <v>101.53845712403481</v>
      </c>
      <c r="IX45" s="30">
        <f t="shared" si="73"/>
        <v>66.720307907345912</v>
      </c>
      <c r="IY45" s="30">
        <f t="shared" si="73"/>
        <v>93.069038934163544</v>
      </c>
      <c r="IZ45" s="30">
        <f t="shared" si="73"/>
        <v>70.725313560272667</v>
      </c>
      <c r="JA45" s="30">
        <f t="shared" si="73"/>
        <v>72.512311406887932</v>
      </c>
      <c r="JB45" s="30">
        <f t="shared" si="73"/>
        <v>36.638023310094667</v>
      </c>
      <c r="JC45" s="30">
        <f t="shared" si="73"/>
        <v>92.398266882417772</v>
      </c>
      <c r="JD45" s="30">
        <f t="shared" si="73"/>
        <v>56.023576276255469</v>
      </c>
      <c r="JE45" s="30">
        <f t="shared" si="73"/>
        <v>55.870461112937747</v>
      </c>
      <c r="JF45" s="30">
        <f t="shared" si="73"/>
        <v>59.27232362971229</v>
      </c>
      <c r="JG45" s="30">
        <f t="shared" si="73"/>
        <v>101.63871070611486</v>
      </c>
      <c r="JH45" s="30">
        <f t="shared" si="73"/>
        <v>43.061236091339865</v>
      </c>
      <c r="JI45" s="30">
        <f t="shared" si="73"/>
        <v>93.560871504935051</v>
      </c>
      <c r="JJ45" s="30">
        <f t="shared" si="73"/>
        <v>46.564423778405924</v>
      </c>
      <c r="JK45" s="30">
        <f t="shared" ref="JK45:KI45" si="74">JK40</f>
        <v>40.464656190444458</v>
      </c>
      <c r="JL45" s="30">
        <f t="shared" si="74"/>
        <v>80.152561999931123</v>
      </c>
      <c r="JM45" s="30">
        <f t="shared" si="74"/>
        <v>97.716295081875614</v>
      </c>
      <c r="JN45" s="30">
        <f t="shared" si="74"/>
        <v>36.757448594444384</v>
      </c>
      <c r="JO45" s="30">
        <f t="shared" si="74"/>
        <v>78.353952002637783</v>
      </c>
      <c r="JP45" s="30">
        <f t="shared" si="74"/>
        <v>30.189117766983401</v>
      </c>
      <c r="JQ45" s="30">
        <f t="shared" si="74"/>
        <v>65.51828013795533</v>
      </c>
      <c r="JR45" s="30">
        <f t="shared" si="74"/>
        <v>95.576925244160464</v>
      </c>
      <c r="JS45" s="30">
        <f t="shared" si="74"/>
        <v>45.478548275887576</v>
      </c>
      <c r="JT45" s="30">
        <f t="shared" si="74"/>
        <v>95.293770416881287</v>
      </c>
      <c r="JU45" s="30">
        <f t="shared" si="74"/>
        <v>93.71735301455405</v>
      </c>
      <c r="JV45" s="30">
        <f t="shared" si="74"/>
        <v>45.375563816794852</v>
      </c>
      <c r="JW45" s="30">
        <f t="shared" si="74"/>
        <v>94.244380714922528</v>
      </c>
      <c r="JX45" s="30">
        <f t="shared" si="74"/>
        <v>31.48996405952343</v>
      </c>
      <c r="JY45" s="30">
        <f t="shared" si="74"/>
        <v>94.333705953781788</v>
      </c>
      <c r="JZ45" s="30">
        <f t="shared" si="74"/>
        <v>67.589816822387945</v>
      </c>
      <c r="KA45" s="30">
        <f t="shared" si="74"/>
        <v>40.574479835513472</v>
      </c>
      <c r="KB45" s="30">
        <f t="shared" si="74"/>
        <v>41.677898061336698</v>
      </c>
      <c r="KC45" s="30">
        <f t="shared" si="74"/>
        <v>97.015920579996333</v>
      </c>
      <c r="KD45" s="30">
        <f t="shared" si="74"/>
        <v>99.170088942731752</v>
      </c>
      <c r="KE45" s="30">
        <f t="shared" si="74"/>
        <v>62.392490811583585</v>
      </c>
      <c r="KF45" s="30">
        <f t="shared" si="74"/>
        <v>92.378954280685505</v>
      </c>
      <c r="KG45" s="30">
        <f t="shared" si="74"/>
        <v>76.425070855412599</v>
      </c>
      <c r="KH45" s="30">
        <f t="shared" si="74"/>
        <v>53.655894381145124</v>
      </c>
      <c r="KI45" s="30">
        <f t="shared" si="74"/>
        <v>63.481006172641145</v>
      </c>
      <c r="KJ45" s="1"/>
    </row>
    <row r="46" spans="7:296" x14ac:dyDescent="0.35">
      <c r="H46" s="13" t="s">
        <v>22</v>
      </c>
      <c r="I46" s="1"/>
      <c r="J46" s="1"/>
      <c r="K46" s="1"/>
      <c r="M46" s="29" t="s">
        <v>192</v>
      </c>
      <c r="N46" s="30">
        <f>N38</f>
        <v>-1</v>
      </c>
      <c r="O46" s="30">
        <f t="shared" ref="O46:BZ46" si="75">O38</f>
        <v>-1</v>
      </c>
      <c r="P46" s="30">
        <f t="shared" si="75"/>
        <v>-1</v>
      </c>
      <c r="Q46" s="30">
        <f t="shared" si="75"/>
        <v>-1</v>
      </c>
      <c r="R46" s="30">
        <f t="shared" si="75"/>
        <v>-1</v>
      </c>
      <c r="S46" s="30">
        <f t="shared" si="75"/>
        <v>-1</v>
      </c>
      <c r="T46" s="30">
        <f t="shared" si="75"/>
        <v>-1</v>
      </c>
      <c r="U46" s="30">
        <f t="shared" si="75"/>
        <v>-1</v>
      </c>
      <c r="V46" s="30">
        <f t="shared" si="75"/>
        <v>-1</v>
      </c>
      <c r="W46" s="30">
        <f t="shared" si="75"/>
        <v>-1</v>
      </c>
      <c r="X46" s="30">
        <f t="shared" si="75"/>
        <v>-1</v>
      </c>
      <c r="Y46" s="30">
        <f t="shared" si="75"/>
        <v>-1</v>
      </c>
      <c r="Z46" s="30">
        <f t="shared" si="75"/>
        <v>-1</v>
      </c>
      <c r="AA46" s="30">
        <f t="shared" si="75"/>
        <v>-1</v>
      </c>
      <c r="AB46" s="30">
        <f t="shared" si="75"/>
        <v>-1</v>
      </c>
      <c r="AC46" s="30">
        <f t="shared" si="75"/>
        <v>-1</v>
      </c>
      <c r="AD46" s="30">
        <f t="shared" si="75"/>
        <v>-1</v>
      </c>
      <c r="AE46" s="30">
        <f t="shared" si="75"/>
        <v>-1</v>
      </c>
      <c r="AF46" s="30">
        <f t="shared" si="75"/>
        <v>-1</v>
      </c>
      <c r="AG46" s="30">
        <f t="shared" si="75"/>
        <v>-1</v>
      </c>
      <c r="AH46" s="30">
        <f t="shared" si="75"/>
        <v>-1</v>
      </c>
      <c r="AI46" s="30">
        <f t="shared" si="75"/>
        <v>-1</v>
      </c>
      <c r="AJ46" s="30">
        <f t="shared" si="75"/>
        <v>-1</v>
      </c>
      <c r="AK46" s="30">
        <f t="shared" si="75"/>
        <v>-1</v>
      </c>
      <c r="AL46" s="30">
        <f t="shared" si="75"/>
        <v>-1</v>
      </c>
      <c r="AM46" s="30">
        <f t="shared" si="75"/>
        <v>-1</v>
      </c>
      <c r="AN46" s="30">
        <f t="shared" si="75"/>
        <v>-1</v>
      </c>
      <c r="AO46" s="30">
        <f t="shared" si="75"/>
        <v>-1</v>
      </c>
      <c r="AP46" s="30">
        <f t="shared" si="75"/>
        <v>-1</v>
      </c>
      <c r="AQ46" s="30">
        <f t="shared" si="75"/>
        <v>-1</v>
      </c>
      <c r="AR46" s="30">
        <f t="shared" si="75"/>
        <v>-1</v>
      </c>
      <c r="AS46" s="30">
        <f t="shared" si="75"/>
        <v>-1</v>
      </c>
      <c r="AT46" s="30">
        <f t="shared" si="75"/>
        <v>-1</v>
      </c>
      <c r="AU46" s="30">
        <f t="shared" si="75"/>
        <v>-1</v>
      </c>
      <c r="AV46" s="30">
        <f t="shared" si="75"/>
        <v>-1</v>
      </c>
      <c r="AW46" s="30">
        <f t="shared" si="75"/>
        <v>-1</v>
      </c>
      <c r="AX46" s="30">
        <f t="shared" si="75"/>
        <v>-1</v>
      </c>
      <c r="AY46" s="30">
        <f t="shared" si="75"/>
        <v>-1</v>
      </c>
      <c r="AZ46" s="30">
        <f t="shared" si="75"/>
        <v>-1</v>
      </c>
      <c r="BA46" s="30">
        <f t="shared" si="75"/>
        <v>-1</v>
      </c>
      <c r="BB46" s="30">
        <f t="shared" si="75"/>
        <v>-1</v>
      </c>
      <c r="BC46" s="30">
        <f t="shared" si="75"/>
        <v>-1</v>
      </c>
      <c r="BD46" s="30">
        <f t="shared" si="75"/>
        <v>-1</v>
      </c>
      <c r="BE46" s="30">
        <f t="shared" si="75"/>
        <v>-1</v>
      </c>
      <c r="BF46" s="30">
        <f t="shared" si="75"/>
        <v>-1</v>
      </c>
      <c r="BG46" s="30">
        <f t="shared" si="75"/>
        <v>-1</v>
      </c>
      <c r="BH46" s="30">
        <f t="shared" si="75"/>
        <v>-1</v>
      </c>
      <c r="BI46" s="30">
        <f t="shared" si="75"/>
        <v>-1</v>
      </c>
      <c r="BJ46" s="30">
        <f t="shared" si="75"/>
        <v>-1</v>
      </c>
      <c r="BK46" s="30">
        <f t="shared" si="75"/>
        <v>-1</v>
      </c>
      <c r="BL46" s="30">
        <f t="shared" si="75"/>
        <v>-1</v>
      </c>
      <c r="BM46" s="30">
        <f t="shared" si="75"/>
        <v>-1</v>
      </c>
      <c r="BN46" s="30">
        <f t="shared" si="75"/>
        <v>-1</v>
      </c>
      <c r="BO46" s="30">
        <f t="shared" si="75"/>
        <v>-1</v>
      </c>
      <c r="BP46" s="30">
        <f t="shared" si="75"/>
        <v>-1</v>
      </c>
      <c r="BQ46" s="30">
        <f t="shared" si="75"/>
        <v>-1</v>
      </c>
      <c r="BR46" s="30">
        <f t="shared" si="75"/>
        <v>-1</v>
      </c>
      <c r="BS46" s="30">
        <f t="shared" si="75"/>
        <v>-1</v>
      </c>
      <c r="BT46" s="30">
        <f t="shared" si="75"/>
        <v>-1</v>
      </c>
      <c r="BU46" s="30">
        <f t="shared" si="75"/>
        <v>-1</v>
      </c>
      <c r="BV46" s="30">
        <f t="shared" si="75"/>
        <v>-1</v>
      </c>
      <c r="BW46" s="30">
        <f t="shared" si="75"/>
        <v>-1</v>
      </c>
      <c r="BX46" s="30">
        <f t="shared" si="75"/>
        <v>-1</v>
      </c>
      <c r="BY46" s="30">
        <f t="shared" si="75"/>
        <v>-1</v>
      </c>
      <c r="BZ46" s="30">
        <f t="shared" si="75"/>
        <v>-1</v>
      </c>
      <c r="CA46" s="30">
        <f t="shared" ref="CA46:EL46" si="76">CA38</f>
        <v>-1</v>
      </c>
      <c r="CB46" s="30">
        <f t="shared" si="76"/>
        <v>-1</v>
      </c>
      <c r="CC46" s="30">
        <f t="shared" si="76"/>
        <v>-1</v>
      </c>
      <c r="CD46" s="30">
        <f t="shared" si="76"/>
        <v>-1</v>
      </c>
      <c r="CE46" s="30">
        <f t="shared" si="76"/>
        <v>-1</v>
      </c>
      <c r="CF46" s="30">
        <f t="shared" si="76"/>
        <v>-1</v>
      </c>
      <c r="CG46" s="30">
        <f t="shared" si="76"/>
        <v>-1</v>
      </c>
      <c r="CH46" s="30">
        <f t="shared" si="76"/>
        <v>-1</v>
      </c>
      <c r="CI46" s="30">
        <f t="shared" si="76"/>
        <v>-1</v>
      </c>
      <c r="CJ46" s="30">
        <f t="shared" si="76"/>
        <v>-1</v>
      </c>
      <c r="CK46" s="30">
        <f t="shared" si="76"/>
        <v>-1</v>
      </c>
      <c r="CL46" s="30">
        <f t="shared" si="76"/>
        <v>-1</v>
      </c>
      <c r="CM46" s="30">
        <f t="shared" si="76"/>
        <v>-1</v>
      </c>
      <c r="CN46" s="30">
        <f t="shared" si="76"/>
        <v>-1</v>
      </c>
      <c r="CO46" s="30">
        <f t="shared" si="76"/>
        <v>-1</v>
      </c>
      <c r="CP46" s="30">
        <f t="shared" si="76"/>
        <v>-1</v>
      </c>
      <c r="CQ46" s="30">
        <f t="shared" si="76"/>
        <v>-1</v>
      </c>
      <c r="CR46" s="30">
        <f t="shared" si="76"/>
        <v>-1</v>
      </c>
      <c r="CS46" s="30">
        <f t="shared" si="76"/>
        <v>-1</v>
      </c>
      <c r="CT46" s="30">
        <f t="shared" si="76"/>
        <v>-1</v>
      </c>
      <c r="CU46" s="30">
        <f t="shared" si="76"/>
        <v>-1</v>
      </c>
      <c r="CV46" s="30">
        <f t="shared" si="76"/>
        <v>-1</v>
      </c>
      <c r="CW46" s="30">
        <f t="shared" si="76"/>
        <v>-1</v>
      </c>
      <c r="CX46" s="30">
        <f t="shared" si="76"/>
        <v>-1</v>
      </c>
      <c r="CY46" s="30">
        <f t="shared" si="76"/>
        <v>-1</v>
      </c>
      <c r="CZ46" s="30">
        <f t="shared" si="76"/>
        <v>-1</v>
      </c>
      <c r="DA46" s="30">
        <f t="shared" si="76"/>
        <v>-1</v>
      </c>
      <c r="DB46" s="30">
        <f t="shared" si="76"/>
        <v>-1</v>
      </c>
      <c r="DC46" s="30">
        <f t="shared" si="76"/>
        <v>-1</v>
      </c>
      <c r="DD46" s="30">
        <f t="shared" si="76"/>
        <v>-1</v>
      </c>
      <c r="DE46" s="30">
        <f t="shared" si="76"/>
        <v>-1</v>
      </c>
      <c r="DF46" s="30">
        <f t="shared" si="76"/>
        <v>-1</v>
      </c>
      <c r="DG46" s="30">
        <f t="shared" si="76"/>
        <v>-1</v>
      </c>
      <c r="DH46" s="30">
        <f t="shared" si="76"/>
        <v>-1</v>
      </c>
      <c r="DI46" s="30">
        <f t="shared" si="76"/>
        <v>-1</v>
      </c>
      <c r="DJ46" s="30">
        <f t="shared" si="76"/>
        <v>-1</v>
      </c>
      <c r="DK46" s="30">
        <f t="shared" si="76"/>
        <v>-1</v>
      </c>
      <c r="DL46" s="30">
        <f t="shared" si="76"/>
        <v>-1</v>
      </c>
      <c r="DM46" s="30">
        <f t="shared" si="76"/>
        <v>-1</v>
      </c>
      <c r="DN46" s="30">
        <f t="shared" si="76"/>
        <v>-1</v>
      </c>
      <c r="DO46" s="30">
        <f t="shared" si="76"/>
        <v>-1</v>
      </c>
      <c r="DP46" s="30">
        <f t="shared" si="76"/>
        <v>-1</v>
      </c>
      <c r="DQ46" s="30">
        <f t="shared" si="76"/>
        <v>-1</v>
      </c>
      <c r="DR46" s="30">
        <f t="shared" si="76"/>
        <v>-1</v>
      </c>
      <c r="DS46" s="30">
        <f t="shared" si="76"/>
        <v>-1</v>
      </c>
      <c r="DT46" s="30">
        <f t="shared" si="76"/>
        <v>-1</v>
      </c>
      <c r="DU46" s="30">
        <f t="shared" si="76"/>
        <v>-1</v>
      </c>
      <c r="DV46" s="30">
        <f t="shared" si="76"/>
        <v>-1</v>
      </c>
      <c r="DW46" s="30">
        <f t="shared" si="76"/>
        <v>-1</v>
      </c>
      <c r="DX46" s="30">
        <f t="shared" si="76"/>
        <v>-1</v>
      </c>
      <c r="DY46" s="30">
        <f t="shared" si="76"/>
        <v>-1</v>
      </c>
      <c r="DZ46" s="30">
        <f t="shared" si="76"/>
        <v>-1</v>
      </c>
      <c r="EA46" s="30">
        <f t="shared" si="76"/>
        <v>-1</v>
      </c>
      <c r="EB46" s="30">
        <f t="shared" si="76"/>
        <v>-1</v>
      </c>
      <c r="EC46" s="30">
        <f t="shared" si="76"/>
        <v>-1</v>
      </c>
      <c r="ED46" s="30">
        <f t="shared" si="76"/>
        <v>-1</v>
      </c>
      <c r="EE46" s="30">
        <f t="shared" si="76"/>
        <v>-1</v>
      </c>
      <c r="EF46" s="30">
        <f t="shared" si="76"/>
        <v>-1</v>
      </c>
      <c r="EG46" s="30">
        <f t="shared" si="76"/>
        <v>-1</v>
      </c>
      <c r="EH46" s="30">
        <f t="shared" si="76"/>
        <v>-1</v>
      </c>
      <c r="EI46" s="30">
        <f t="shared" si="76"/>
        <v>-1</v>
      </c>
      <c r="EJ46" s="30">
        <f t="shared" si="76"/>
        <v>-1</v>
      </c>
      <c r="EK46" s="30">
        <f t="shared" si="76"/>
        <v>-1</v>
      </c>
      <c r="EL46" s="30">
        <f t="shared" si="76"/>
        <v>-1</v>
      </c>
      <c r="EM46" s="30">
        <f t="shared" ref="EM46:GX46" si="77">EM38</f>
        <v>-1</v>
      </c>
      <c r="EN46" s="30">
        <f t="shared" si="77"/>
        <v>-1</v>
      </c>
      <c r="EO46" s="30">
        <f t="shared" si="77"/>
        <v>-1</v>
      </c>
      <c r="EP46" s="30">
        <f t="shared" si="77"/>
        <v>-1</v>
      </c>
      <c r="EQ46" s="30">
        <f t="shared" si="77"/>
        <v>-1</v>
      </c>
      <c r="ER46" s="30">
        <f t="shared" si="77"/>
        <v>-1</v>
      </c>
      <c r="ES46" s="30">
        <f t="shared" si="77"/>
        <v>-1</v>
      </c>
      <c r="ET46" s="30">
        <f t="shared" si="77"/>
        <v>-1</v>
      </c>
      <c r="EU46" s="30">
        <f t="shared" si="77"/>
        <v>-1</v>
      </c>
      <c r="EV46" s="30">
        <f t="shared" si="77"/>
        <v>-1</v>
      </c>
      <c r="EW46" s="30">
        <f t="shared" si="77"/>
        <v>-1</v>
      </c>
      <c r="EX46" s="30">
        <f t="shared" si="77"/>
        <v>-1</v>
      </c>
      <c r="EY46" s="30">
        <f t="shared" si="77"/>
        <v>-1</v>
      </c>
      <c r="EZ46" s="30">
        <f t="shared" si="77"/>
        <v>-1</v>
      </c>
      <c r="FA46" s="30">
        <f t="shared" si="77"/>
        <v>-1</v>
      </c>
      <c r="FB46" s="30">
        <f t="shared" si="77"/>
        <v>-1</v>
      </c>
      <c r="FC46" s="30">
        <f t="shared" si="77"/>
        <v>-1</v>
      </c>
      <c r="FD46" s="30">
        <f t="shared" si="77"/>
        <v>-1</v>
      </c>
      <c r="FE46" s="30">
        <f t="shared" si="77"/>
        <v>-1</v>
      </c>
      <c r="FF46" s="30">
        <f t="shared" si="77"/>
        <v>-1</v>
      </c>
      <c r="FG46" s="30">
        <f t="shared" si="77"/>
        <v>-1</v>
      </c>
      <c r="FH46" s="30">
        <f t="shared" si="77"/>
        <v>-1</v>
      </c>
      <c r="FI46" s="30">
        <f t="shared" si="77"/>
        <v>-1</v>
      </c>
      <c r="FJ46" s="30">
        <f t="shared" si="77"/>
        <v>-1</v>
      </c>
      <c r="FK46" s="30">
        <f t="shared" si="77"/>
        <v>-1</v>
      </c>
      <c r="FL46" s="30">
        <f t="shared" si="77"/>
        <v>-1</v>
      </c>
      <c r="FM46" s="30">
        <f t="shared" si="77"/>
        <v>-1</v>
      </c>
      <c r="FN46" s="30">
        <f t="shared" si="77"/>
        <v>-1</v>
      </c>
      <c r="FO46" s="30">
        <f t="shared" si="77"/>
        <v>-1</v>
      </c>
      <c r="FP46" s="30">
        <f t="shared" si="77"/>
        <v>-1</v>
      </c>
      <c r="FQ46" s="30">
        <f t="shared" si="77"/>
        <v>-1</v>
      </c>
      <c r="FR46" s="30">
        <f t="shared" si="77"/>
        <v>-1</v>
      </c>
      <c r="FS46" s="30">
        <f t="shared" si="77"/>
        <v>-1</v>
      </c>
      <c r="FT46" s="30">
        <f t="shared" si="77"/>
        <v>-1</v>
      </c>
      <c r="FU46" s="30">
        <f t="shared" si="77"/>
        <v>-1</v>
      </c>
      <c r="FV46" s="30">
        <f t="shared" si="77"/>
        <v>-1</v>
      </c>
      <c r="FW46" s="30">
        <f t="shared" si="77"/>
        <v>-1</v>
      </c>
      <c r="FX46" s="30">
        <f t="shared" si="77"/>
        <v>-1</v>
      </c>
      <c r="FY46" s="30">
        <f t="shared" si="77"/>
        <v>-1</v>
      </c>
      <c r="FZ46" s="30">
        <f t="shared" si="77"/>
        <v>-1</v>
      </c>
      <c r="GA46" s="30">
        <f t="shared" si="77"/>
        <v>-1</v>
      </c>
      <c r="GB46" s="30">
        <f t="shared" si="77"/>
        <v>-1</v>
      </c>
      <c r="GC46" s="30">
        <f t="shared" si="77"/>
        <v>-1</v>
      </c>
      <c r="GD46" s="30">
        <f t="shared" si="77"/>
        <v>-1</v>
      </c>
      <c r="GE46" s="30">
        <f t="shared" si="77"/>
        <v>-1</v>
      </c>
      <c r="GF46" s="30">
        <f t="shared" si="77"/>
        <v>-1</v>
      </c>
      <c r="GG46" s="30">
        <f t="shared" si="77"/>
        <v>-1</v>
      </c>
      <c r="GH46" s="30">
        <f t="shared" si="77"/>
        <v>-1</v>
      </c>
      <c r="GI46" s="30">
        <f t="shared" si="77"/>
        <v>-1</v>
      </c>
      <c r="GJ46" s="30">
        <f t="shared" si="77"/>
        <v>-1</v>
      </c>
      <c r="GK46" s="30">
        <f t="shared" si="77"/>
        <v>-1</v>
      </c>
      <c r="GL46" s="30">
        <f t="shared" si="77"/>
        <v>-1</v>
      </c>
      <c r="GM46" s="30">
        <f t="shared" si="77"/>
        <v>-1</v>
      </c>
      <c r="GN46" s="30">
        <f t="shared" si="77"/>
        <v>-1</v>
      </c>
      <c r="GO46" s="30">
        <f t="shared" si="77"/>
        <v>-1</v>
      </c>
      <c r="GP46" s="30">
        <f t="shared" si="77"/>
        <v>-1</v>
      </c>
      <c r="GQ46" s="30">
        <f t="shared" si="77"/>
        <v>-1</v>
      </c>
      <c r="GR46" s="30">
        <f t="shared" si="77"/>
        <v>-1</v>
      </c>
      <c r="GS46" s="30">
        <f t="shared" si="77"/>
        <v>-1</v>
      </c>
      <c r="GT46" s="30">
        <f t="shared" si="77"/>
        <v>-1</v>
      </c>
      <c r="GU46" s="30">
        <f t="shared" si="77"/>
        <v>-1</v>
      </c>
      <c r="GV46" s="30">
        <f t="shared" si="77"/>
        <v>-1</v>
      </c>
      <c r="GW46" s="30">
        <f t="shared" si="77"/>
        <v>-1</v>
      </c>
      <c r="GX46" s="30">
        <f t="shared" si="77"/>
        <v>-1</v>
      </c>
      <c r="GY46" s="30">
        <f t="shared" ref="GY46:JJ46" si="78">GY38</f>
        <v>-1</v>
      </c>
      <c r="GZ46" s="30">
        <f t="shared" si="78"/>
        <v>-1</v>
      </c>
      <c r="HA46" s="30">
        <f t="shared" si="78"/>
        <v>-1</v>
      </c>
      <c r="HB46" s="30">
        <f t="shared" si="78"/>
        <v>-1</v>
      </c>
      <c r="HC46" s="30">
        <f t="shared" si="78"/>
        <v>-1</v>
      </c>
      <c r="HD46" s="30">
        <f t="shared" si="78"/>
        <v>-1</v>
      </c>
      <c r="HE46" s="30">
        <f t="shared" si="78"/>
        <v>-1</v>
      </c>
      <c r="HF46" s="30">
        <f t="shared" si="78"/>
        <v>-1</v>
      </c>
      <c r="HG46" s="30">
        <f t="shared" si="78"/>
        <v>-1</v>
      </c>
      <c r="HH46" s="30">
        <f t="shared" si="78"/>
        <v>-1</v>
      </c>
      <c r="HI46" s="30">
        <f t="shared" si="78"/>
        <v>-1</v>
      </c>
      <c r="HJ46" s="30">
        <f t="shared" si="78"/>
        <v>-1</v>
      </c>
      <c r="HK46" s="30">
        <f t="shared" si="78"/>
        <v>-1</v>
      </c>
      <c r="HL46" s="30">
        <f t="shared" si="78"/>
        <v>-1</v>
      </c>
      <c r="HM46" s="30">
        <f t="shared" si="78"/>
        <v>-1</v>
      </c>
      <c r="HN46" s="30">
        <f t="shared" si="78"/>
        <v>-1</v>
      </c>
      <c r="HO46" s="30">
        <f t="shared" si="78"/>
        <v>-1</v>
      </c>
      <c r="HP46" s="30">
        <f t="shared" si="78"/>
        <v>-1</v>
      </c>
      <c r="HQ46" s="30">
        <f t="shared" si="78"/>
        <v>-1</v>
      </c>
      <c r="HR46" s="30">
        <f t="shared" si="78"/>
        <v>-1</v>
      </c>
      <c r="HS46" s="30">
        <f t="shared" si="78"/>
        <v>-1</v>
      </c>
      <c r="HT46" s="30">
        <f t="shared" si="78"/>
        <v>-1</v>
      </c>
      <c r="HU46" s="30">
        <f t="shared" si="78"/>
        <v>-1</v>
      </c>
      <c r="HV46" s="30">
        <f t="shared" si="78"/>
        <v>-1</v>
      </c>
      <c r="HW46" s="30">
        <f t="shared" si="78"/>
        <v>-1</v>
      </c>
      <c r="HX46" s="30">
        <f t="shared" si="78"/>
        <v>-1</v>
      </c>
      <c r="HY46" s="30">
        <f t="shared" si="78"/>
        <v>-1</v>
      </c>
      <c r="HZ46" s="30">
        <f t="shared" si="78"/>
        <v>-1</v>
      </c>
      <c r="IA46" s="30">
        <f t="shared" si="78"/>
        <v>-1</v>
      </c>
      <c r="IB46" s="30">
        <f t="shared" si="78"/>
        <v>-1</v>
      </c>
      <c r="IC46" s="30">
        <f t="shared" si="78"/>
        <v>-1</v>
      </c>
      <c r="ID46" s="30">
        <f t="shared" si="78"/>
        <v>-1</v>
      </c>
      <c r="IE46" s="30">
        <f t="shared" si="78"/>
        <v>-1</v>
      </c>
      <c r="IF46" s="30">
        <f t="shared" si="78"/>
        <v>-1</v>
      </c>
      <c r="IG46" s="30">
        <f t="shared" si="78"/>
        <v>-1</v>
      </c>
      <c r="IH46" s="30">
        <f t="shared" si="78"/>
        <v>-1</v>
      </c>
      <c r="II46" s="30">
        <f t="shared" si="78"/>
        <v>-1</v>
      </c>
      <c r="IJ46" s="30">
        <f t="shared" si="78"/>
        <v>-1</v>
      </c>
      <c r="IK46" s="30">
        <f t="shared" si="78"/>
        <v>-1</v>
      </c>
      <c r="IL46" s="30">
        <f t="shared" si="78"/>
        <v>-1</v>
      </c>
      <c r="IM46" s="30">
        <f t="shared" si="78"/>
        <v>-1</v>
      </c>
      <c r="IN46" s="30">
        <f t="shared" si="78"/>
        <v>-1</v>
      </c>
      <c r="IO46" s="30">
        <f t="shared" si="78"/>
        <v>-1</v>
      </c>
      <c r="IP46" s="30">
        <f t="shared" si="78"/>
        <v>-1</v>
      </c>
      <c r="IQ46" s="30">
        <f t="shared" si="78"/>
        <v>-1</v>
      </c>
      <c r="IR46" s="30">
        <f t="shared" si="78"/>
        <v>-1</v>
      </c>
      <c r="IS46" s="30">
        <f t="shared" si="78"/>
        <v>-1</v>
      </c>
      <c r="IT46" s="30">
        <f t="shared" si="78"/>
        <v>-1</v>
      </c>
      <c r="IU46" s="30">
        <f t="shared" si="78"/>
        <v>-1</v>
      </c>
      <c r="IV46" s="30">
        <f t="shared" si="78"/>
        <v>-1</v>
      </c>
      <c r="IW46" s="30">
        <f t="shared" si="78"/>
        <v>-1</v>
      </c>
      <c r="IX46" s="30">
        <f t="shared" si="78"/>
        <v>-1</v>
      </c>
      <c r="IY46" s="30">
        <f t="shared" si="78"/>
        <v>-1</v>
      </c>
      <c r="IZ46" s="30">
        <f t="shared" si="78"/>
        <v>-1</v>
      </c>
      <c r="JA46" s="30">
        <f t="shared" si="78"/>
        <v>-1</v>
      </c>
      <c r="JB46" s="30">
        <f t="shared" si="78"/>
        <v>-1</v>
      </c>
      <c r="JC46" s="30">
        <f t="shared" si="78"/>
        <v>-1</v>
      </c>
      <c r="JD46" s="30">
        <f t="shared" si="78"/>
        <v>-1</v>
      </c>
      <c r="JE46" s="30">
        <f t="shared" si="78"/>
        <v>-1</v>
      </c>
      <c r="JF46" s="30">
        <f t="shared" si="78"/>
        <v>-1</v>
      </c>
      <c r="JG46" s="30">
        <f t="shared" si="78"/>
        <v>-1</v>
      </c>
      <c r="JH46" s="30">
        <f t="shared" si="78"/>
        <v>-1</v>
      </c>
      <c r="JI46" s="30">
        <f t="shared" si="78"/>
        <v>-1</v>
      </c>
      <c r="JJ46" s="30">
        <f t="shared" si="78"/>
        <v>-1</v>
      </c>
      <c r="JK46" s="30">
        <f t="shared" ref="JK46:KI46" si="79">JK38</f>
        <v>-1</v>
      </c>
      <c r="JL46" s="30">
        <f t="shared" si="79"/>
        <v>-1</v>
      </c>
      <c r="JM46" s="30">
        <f t="shared" si="79"/>
        <v>-1</v>
      </c>
      <c r="JN46" s="30">
        <f t="shared" si="79"/>
        <v>-1</v>
      </c>
      <c r="JO46" s="30">
        <f t="shared" si="79"/>
        <v>-1</v>
      </c>
      <c r="JP46" s="30">
        <f t="shared" si="79"/>
        <v>-1</v>
      </c>
      <c r="JQ46" s="30">
        <f t="shared" si="79"/>
        <v>-1</v>
      </c>
      <c r="JR46" s="30">
        <f t="shared" si="79"/>
        <v>-1</v>
      </c>
      <c r="JS46" s="30">
        <f t="shared" si="79"/>
        <v>-1</v>
      </c>
      <c r="JT46" s="30">
        <f t="shared" si="79"/>
        <v>-1</v>
      </c>
      <c r="JU46" s="30">
        <f t="shared" si="79"/>
        <v>-1</v>
      </c>
      <c r="JV46" s="30">
        <f t="shared" si="79"/>
        <v>-1</v>
      </c>
      <c r="JW46" s="30">
        <f t="shared" si="79"/>
        <v>-1</v>
      </c>
      <c r="JX46" s="30">
        <f t="shared" si="79"/>
        <v>-1</v>
      </c>
      <c r="JY46" s="30">
        <f t="shared" si="79"/>
        <v>-1</v>
      </c>
      <c r="JZ46" s="30">
        <f t="shared" si="79"/>
        <v>-1</v>
      </c>
      <c r="KA46" s="30">
        <f t="shared" si="79"/>
        <v>-1</v>
      </c>
      <c r="KB46" s="30">
        <f t="shared" si="79"/>
        <v>-1</v>
      </c>
      <c r="KC46" s="30">
        <f t="shared" si="79"/>
        <v>-1</v>
      </c>
      <c r="KD46" s="30">
        <f t="shared" si="79"/>
        <v>-1</v>
      </c>
      <c r="KE46" s="30">
        <f t="shared" si="79"/>
        <v>-1</v>
      </c>
      <c r="KF46" s="30">
        <f t="shared" si="79"/>
        <v>-1</v>
      </c>
      <c r="KG46" s="30">
        <f t="shared" si="79"/>
        <v>-1</v>
      </c>
      <c r="KH46" s="30">
        <f t="shared" si="79"/>
        <v>-1</v>
      </c>
      <c r="KI46" s="30">
        <f t="shared" si="79"/>
        <v>-1</v>
      </c>
      <c r="KJ46" s="1"/>
    </row>
    <row r="47" spans="7:296" x14ac:dyDescent="0.35">
      <c r="H47" s="13" t="s">
        <v>22</v>
      </c>
      <c r="I47" s="1"/>
      <c r="J47" s="1"/>
      <c r="K47" s="1"/>
      <c r="M47" s="29" t="s">
        <v>193</v>
      </c>
      <c r="N47" s="30">
        <f t="shared" ref="N47:R47" si="80">N81+N82+N110+N111+N112</f>
        <v>0</v>
      </c>
      <c r="O47" s="30">
        <f t="shared" si="80"/>
        <v>0</v>
      </c>
      <c r="P47" s="30">
        <f t="shared" si="80"/>
        <v>0</v>
      </c>
      <c r="Q47" s="30">
        <f t="shared" si="80"/>
        <v>0</v>
      </c>
      <c r="R47" s="30">
        <f t="shared" si="80"/>
        <v>0</v>
      </c>
      <c r="S47" s="30">
        <f>S81+S82+S110+S111+S112</f>
        <v>-35</v>
      </c>
      <c r="T47" s="30">
        <f t="shared" ref="T47:CE47" si="81">T81+T82+T110+T111+T112</f>
        <v>40</v>
      </c>
      <c r="U47" s="30">
        <f t="shared" si="81"/>
        <v>0</v>
      </c>
      <c r="V47" s="30">
        <f t="shared" si="81"/>
        <v>-25</v>
      </c>
      <c r="W47" s="30">
        <f t="shared" si="81"/>
        <v>0</v>
      </c>
      <c r="X47" s="30">
        <f t="shared" si="81"/>
        <v>0</v>
      </c>
      <c r="Y47" s="30">
        <f t="shared" si="81"/>
        <v>0</v>
      </c>
      <c r="Z47" s="30">
        <f t="shared" si="81"/>
        <v>0</v>
      </c>
      <c r="AA47" s="30">
        <f t="shared" si="81"/>
        <v>0</v>
      </c>
      <c r="AB47" s="30">
        <f t="shared" si="81"/>
        <v>-25</v>
      </c>
      <c r="AC47" s="30">
        <f t="shared" si="81"/>
        <v>0</v>
      </c>
      <c r="AD47" s="30">
        <f t="shared" si="81"/>
        <v>0</v>
      </c>
      <c r="AE47" s="30">
        <f t="shared" si="81"/>
        <v>0</v>
      </c>
      <c r="AF47" s="30">
        <f t="shared" si="81"/>
        <v>0</v>
      </c>
      <c r="AG47" s="30">
        <f t="shared" si="81"/>
        <v>0</v>
      </c>
      <c r="AH47" s="30">
        <f t="shared" si="81"/>
        <v>-25</v>
      </c>
      <c r="AI47" s="30">
        <f t="shared" si="81"/>
        <v>0</v>
      </c>
      <c r="AJ47" s="30">
        <f t="shared" si="81"/>
        <v>0</v>
      </c>
      <c r="AK47" s="30">
        <f t="shared" si="81"/>
        <v>0</v>
      </c>
      <c r="AL47" s="30">
        <f t="shared" si="81"/>
        <v>0</v>
      </c>
      <c r="AM47" s="30">
        <f t="shared" si="81"/>
        <v>0</v>
      </c>
      <c r="AN47" s="30">
        <f t="shared" si="81"/>
        <v>-25</v>
      </c>
      <c r="AO47" s="30">
        <f t="shared" si="81"/>
        <v>0</v>
      </c>
      <c r="AP47" s="30">
        <f t="shared" si="81"/>
        <v>0</v>
      </c>
      <c r="AQ47" s="30">
        <f t="shared" si="81"/>
        <v>0</v>
      </c>
      <c r="AR47" s="30">
        <f t="shared" si="81"/>
        <v>0</v>
      </c>
      <c r="AS47" s="30">
        <f t="shared" si="81"/>
        <v>0</v>
      </c>
      <c r="AT47" s="30">
        <f t="shared" si="81"/>
        <v>-25</v>
      </c>
      <c r="AU47" s="30">
        <f t="shared" si="81"/>
        <v>0</v>
      </c>
      <c r="AV47" s="30">
        <f t="shared" si="81"/>
        <v>0</v>
      </c>
      <c r="AW47" s="30">
        <f t="shared" si="81"/>
        <v>0</v>
      </c>
      <c r="AX47" s="30">
        <f t="shared" si="81"/>
        <v>0</v>
      </c>
      <c r="AY47" s="30">
        <f t="shared" si="81"/>
        <v>0</v>
      </c>
      <c r="AZ47" s="30">
        <f t="shared" si="81"/>
        <v>-25</v>
      </c>
      <c r="BA47" s="30">
        <f t="shared" si="81"/>
        <v>0</v>
      </c>
      <c r="BB47" s="30">
        <f t="shared" si="81"/>
        <v>0</v>
      </c>
      <c r="BC47" s="30">
        <f t="shared" si="81"/>
        <v>0</v>
      </c>
      <c r="BD47" s="30">
        <f t="shared" si="81"/>
        <v>0</v>
      </c>
      <c r="BE47" s="30">
        <f t="shared" si="81"/>
        <v>0</v>
      </c>
      <c r="BF47" s="30">
        <f t="shared" si="81"/>
        <v>-25</v>
      </c>
      <c r="BG47" s="30">
        <f t="shared" si="81"/>
        <v>0</v>
      </c>
      <c r="BH47" s="30">
        <f t="shared" si="81"/>
        <v>0</v>
      </c>
      <c r="BI47" s="30">
        <f t="shared" si="81"/>
        <v>0</v>
      </c>
      <c r="BJ47" s="30">
        <f t="shared" si="81"/>
        <v>0</v>
      </c>
      <c r="BK47" s="30">
        <f t="shared" si="81"/>
        <v>0</v>
      </c>
      <c r="BL47" s="30">
        <f t="shared" si="81"/>
        <v>-25</v>
      </c>
      <c r="BM47" s="30">
        <f t="shared" si="81"/>
        <v>0</v>
      </c>
      <c r="BN47" s="30">
        <f t="shared" si="81"/>
        <v>0</v>
      </c>
      <c r="BO47" s="30">
        <f t="shared" si="81"/>
        <v>0</v>
      </c>
      <c r="BP47" s="30">
        <f t="shared" si="81"/>
        <v>0</v>
      </c>
      <c r="BQ47" s="30">
        <f t="shared" si="81"/>
        <v>0</v>
      </c>
      <c r="BR47" s="30">
        <f t="shared" si="81"/>
        <v>-25</v>
      </c>
      <c r="BS47" s="30">
        <f t="shared" si="81"/>
        <v>0</v>
      </c>
      <c r="BT47" s="30">
        <f t="shared" si="81"/>
        <v>0</v>
      </c>
      <c r="BU47" s="30">
        <f t="shared" si="81"/>
        <v>0</v>
      </c>
      <c r="BV47" s="30">
        <f t="shared" si="81"/>
        <v>0</v>
      </c>
      <c r="BW47" s="30">
        <f t="shared" si="81"/>
        <v>0</v>
      </c>
      <c r="BX47" s="30">
        <f t="shared" si="81"/>
        <v>-25</v>
      </c>
      <c r="BY47" s="30">
        <f t="shared" si="81"/>
        <v>0</v>
      </c>
      <c r="BZ47" s="30">
        <f t="shared" si="81"/>
        <v>0</v>
      </c>
      <c r="CA47" s="30">
        <f t="shared" si="81"/>
        <v>0</v>
      </c>
      <c r="CB47" s="30">
        <f t="shared" si="81"/>
        <v>0</v>
      </c>
      <c r="CC47" s="30">
        <f t="shared" si="81"/>
        <v>0</v>
      </c>
      <c r="CD47" s="30">
        <f t="shared" si="81"/>
        <v>0</v>
      </c>
      <c r="CE47" s="30">
        <f t="shared" si="81"/>
        <v>0</v>
      </c>
      <c r="CF47" s="30">
        <f t="shared" ref="CF47:EQ47" si="82">CF81+CF82+CF110+CF111+CF112</f>
        <v>0</v>
      </c>
      <c r="CG47" s="30">
        <f t="shared" si="82"/>
        <v>0</v>
      </c>
      <c r="CH47" s="30">
        <f t="shared" si="82"/>
        <v>0</v>
      </c>
      <c r="CI47" s="30">
        <f t="shared" si="82"/>
        <v>0</v>
      </c>
      <c r="CJ47" s="30">
        <f t="shared" si="82"/>
        <v>0</v>
      </c>
      <c r="CK47" s="30">
        <f t="shared" si="82"/>
        <v>0</v>
      </c>
      <c r="CL47" s="30">
        <f t="shared" si="82"/>
        <v>0</v>
      </c>
      <c r="CM47" s="30">
        <f t="shared" si="82"/>
        <v>0</v>
      </c>
      <c r="CN47" s="30">
        <f t="shared" si="82"/>
        <v>0</v>
      </c>
      <c r="CO47" s="30">
        <f t="shared" si="82"/>
        <v>0</v>
      </c>
      <c r="CP47" s="30">
        <f t="shared" si="82"/>
        <v>0</v>
      </c>
      <c r="CQ47" s="30">
        <f t="shared" si="82"/>
        <v>0</v>
      </c>
      <c r="CR47" s="30">
        <f t="shared" si="82"/>
        <v>0</v>
      </c>
      <c r="CS47" s="30">
        <f t="shared" si="82"/>
        <v>0</v>
      </c>
      <c r="CT47" s="30">
        <f t="shared" si="82"/>
        <v>0</v>
      </c>
      <c r="CU47" s="30">
        <f t="shared" si="82"/>
        <v>0</v>
      </c>
      <c r="CV47" s="30">
        <f t="shared" si="82"/>
        <v>0</v>
      </c>
      <c r="CW47" s="30">
        <f t="shared" si="82"/>
        <v>0</v>
      </c>
      <c r="CX47" s="30">
        <f t="shared" si="82"/>
        <v>0</v>
      </c>
      <c r="CY47" s="30">
        <f t="shared" si="82"/>
        <v>0</v>
      </c>
      <c r="CZ47" s="30">
        <f t="shared" si="82"/>
        <v>0</v>
      </c>
      <c r="DA47" s="30">
        <f t="shared" si="82"/>
        <v>0</v>
      </c>
      <c r="DB47" s="30">
        <f t="shared" si="82"/>
        <v>0</v>
      </c>
      <c r="DC47" s="30">
        <f t="shared" si="82"/>
        <v>0</v>
      </c>
      <c r="DD47" s="30">
        <f t="shared" si="82"/>
        <v>0</v>
      </c>
      <c r="DE47" s="30">
        <f t="shared" si="82"/>
        <v>0</v>
      </c>
      <c r="DF47" s="30">
        <f t="shared" si="82"/>
        <v>0</v>
      </c>
      <c r="DG47" s="30">
        <f t="shared" si="82"/>
        <v>0</v>
      </c>
      <c r="DH47" s="30">
        <f t="shared" si="82"/>
        <v>0</v>
      </c>
      <c r="DI47" s="30">
        <f t="shared" si="82"/>
        <v>0</v>
      </c>
      <c r="DJ47" s="30">
        <f t="shared" si="82"/>
        <v>0</v>
      </c>
      <c r="DK47" s="30">
        <f t="shared" si="82"/>
        <v>0</v>
      </c>
      <c r="DL47" s="30">
        <f t="shared" si="82"/>
        <v>0</v>
      </c>
      <c r="DM47" s="30">
        <f t="shared" si="82"/>
        <v>0</v>
      </c>
      <c r="DN47" s="30">
        <f t="shared" si="82"/>
        <v>0</v>
      </c>
      <c r="DO47" s="30">
        <f t="shared" si="82"/>
        <v>0</v>
      </c>
      <c r="DP47" s="30">
        <f t="shared" si="82"/>
        <v>0</v>
      </c>
      <c r="DQ47" s="30">
        <f t="shared" si="82"/>
        <v>0</v>
      </c>
      <c r="DR47" s="30">
        <f t="shared" si="82"/>
        <v>0</v>
      </c>
      <c r="DS47" s="30">
        <f t="shared" si="82"/>
        <v>0</v>
      </c>
      <c r="DT47" s="30">
        <f t="shared" si="82"/>
        <v>0</v>
      </c>
      <c r="DU47" s="30">
        <f t="shared" si="82"/>
        <v>0</v>
      </c>
      <c r="DV47" s="30">
        <f t="shared" si="82"/>
        <v>0</v>
      </c>
      <c r="DW47" s="30">
        <f t="shared" si="82"/>
        <v>0</v>
      </c>
      <c r="DX47" s="30">
        <f t="shared" si="82"/>
        <v>0</v>
      </c>
      <c r="DY47" s="30">
        <f t="shared" si="82"/>
        <v>0</v>
      </c>
      <c r="DZ47" s="30">
        <f t="shared" si="82"/>
        <v>0</v>
      </c>
      <c r="EA47" s="30">
        <f t="shared" si="82"/>
        <v>0</v>
      </c>
      <c r="EB47" s="30">
        <f t="shared" si="82"/>
        <v>0</v>
      </c>
      <c r="EC47" s="30">
        <f t="shared" si="82"/>
        <v>0</v>
      </c>
      <c r="ED47" s="30">
        <f t="shared" si="82"/>
        <v>0</v>
      </c>
      <c r="EE47" s="30">
        <f t="shared" si="82"/>
        <v>0</v>
      </c>
      <c r="EF47" s="30">
        <f t="shared" si="82"/>
        <v>0</v>
      </c>
      <c r="EG47" s="30">
        <f t="shared" si="82"/>
        <v>0</v>
      </c>
      <c r="EH47" s="30">
        <f t="shared" si="82"/>
        <v>0</v>
      </c>
      <c r="EI47" s="30">
        <f t="shared" si="82"/>
        <v>0</v>
      </c>
      <c r="EJ47" s="30">
        <f t="shared" si="82"/>
        <v>0</v>
      </c>
      <c r="EK47" s="30">
        <f t="shared" si="82"/>
        <v>0</v>
      </c>
      <c r="EL47" s="30">
        <f t="shared" si="82"/>
        <v>0</v>
      </c>
      <c r="EM47" s="30">
        <f t="shared" si="82"/>
        <v>0</v>
      </c>
      <c r="EN47" s="30">
        <f t="shared" si="82"/>
        <v>0</v>
      </c>
      <c r="EO47" s="30">
        <f t="shared" si="82"/>
        <v>0</v>
      </c>
      <c r="EP47" s="30">
        <f t="shared" si="82"/>
        <v>0</v>
      </c>
      <c r="EQ47" s="30">
        <f t="shared" si="82"/>
        <v>0</v>
      </c>
      <c r="ER47" s="30">
        <f t="shared" ref="ER47:HC47" si="83">ER81+ER82+ER110+ER111+ER112</f>
        <v>0</v>
      </c>
      <c r="ES47" s="30">
        <f t="shared" si="83"/>
        <v>0</v>
      </c>
      <c r="ET47" s="30">
        <f t="shared" si="83"/>
        <v>0</v>
      </c>
      <c r="EU47" s="30">
        <f t="shared" si="83"/>
        <v>0</v>
      </c>
      <c r="EV47" s="30">
        <f t="shared" si="83"/>
        <v>0</v>
      </c>
      <c r="EW47" s="30">
        <f t="shared" si="83"/>
        <v>0</v>
      </c>
      <c r="EX47" s="30">
        <f t="shared" si="83"/>
        <v>0</v>
      </c>
      <c r="EY47" s="30">
        <f t="shared" si="83"/>
        <v>0</v>
      </c>
      <c r="EZ47" s="30">
        <f t="shared" si="83"/>
        <v>0</v>
      </c>
      <c r="FA47" s="30">
        <f t="shared" si="83"/>
        <v>0</v>
      </c>
      <c r="FB47" s="30">
        <f t="shared" si="83"/>
        <v>0</v>
      </c>
      <c r="FC47" s="30">
        <f t="shared" si="83"/>
        <v>0</v>
      </c>
      <c r="FD47" s="30">
        <f t="shared" si="83"/>
        <v>0</v>
      </c>
      <c r="FE47" s="30">
        <f t="shared" si="83"/>
        <v>0</v>
      </c>
      <c r="FF47" s="30">
        <f t="shared" si="83"/>
        <v>0</v>
      </c>
      <c r="FG47" s="30">
        <f t="shared" si="83"/>
        <v>0</v>
      </c>
      <c r="FH47" s="30">
        <f t="shared" si="83"/>
        <v>0</v>
      </c>
      <c r="FI47" s="30">
        <f t="shared" si="83"/>
        <v>0</v>
      </c>
      <c r="FJ47" s="30">
        <f t="shared" si="83"/>
        <v>0</v>
      </c>
      <c r="FK47" s="30">
        <f t="shared" si="83"/>
        <v>0</v>
      </c>
      <c r="FL47" s="30">
        <f t="shared" si="83"/>
        <v>0</v>
      </c>
      <c r="FM47" s="30">
        <f t="shared" si="83"/>
        <v>0</v>
      </c>
      <c r="FN47" s="30">
        <f t="shared" si="83"/>
        <v>0</v>
      </c>
      <c r="FO47" s="30">
        <f t="shared" si="83"/>
        <v>0</v>
      </c>
      <c r="FP47" s="30">
        <f t="shared" si="83"/>
        <v>0</v>
      </c>
      <c r="FQ47" s="30">
        <f t="shared" si="83"/>
        <v>0</v>
      </c>
      <c r="FR47" s="30">
        <f t="shared" si="83"/>
        <v>0</v>
      </c>
      <c r="FS47" s="30">
        <f t="shared" si="83"/>
        <v>0</v>
      </c>
      <c r="FT47" s="30">
        <f t="shared" si="83"/>
        <v>0</v>
      </c>
      <c r="FU47" s="30">
        <f t="shared" si="83"/>
        <v>0</v>
      </c>
      <c r="FV47" s="30">
        <f t="shared" si="83"/>
        <v>0</v>
      </c>
      <c r="FW47" s="30">
        <f t="shared" si="83"/>
        <v>0</v>
      </c>
      <c r="FX47" s="30">
        <f t="shared" si="83"/>
        <v>0</v>
      </c>
      <c r="FY47" s="30">
        <f t="shared" si="83"/>
        <v>0</v>
      </c>
      <c r="FZ47" s="30">
        <f t="shared" si="83"/>
        <v>0</v>
      </c>
      <c r="GA47" s="30">
        <f t="shared" si="83"/>
        <v>0</v>
      </c>
      <c r="GB47" s="30">
        <f t="shared" si="83"/>
        <v>0</v>
      </c>
      <c r="GC47" s="30">
        <f t="shared" si="83"/>
        <v>0</v>
      </c>
      <c r="GD47" s="30">
        <f t="shared" si="83"/>
        <v>0</v>
      </c>
      <c r="GE47" s="30">
        <f t="shared" si="83"/>
        <v>0</v>
      </c>
      <c r="GF47" s="30">
        <f t="shared" si="83"/>
        <v>0</v>
      </c>
      <c r="GG47" s="30">
        <f t="shared" si="83"/>
        <v>0</v>
      </c>
      <c r="GH47" s="30">
        <f t="shared" si="83"/>
        <v>0</v>
      </c>
      <c r="GI47" s="30">
        <f t="shared" si="83"/>
        <v>0</v>
      </c>
      <c r="GJ47" s="30">
        <f t="shared" si="83"/>
        <v>0</v>
      </c>
      <c r="GK47" s="30">
        <f t="shared" si="83"/>
        <v>0</v>
      </c>
      <c r="GL47" s="30">
        <f t="shared" si="83"/>
        <v>0</v>
      </c>
      <c r="GM47" s="30">
        <f t="shared" si="83"/>
        <v>0</v>
      </c>
      <c r="GN47" s="30">
        <f t="shared" si="83"/>
        <v>0</v>
      </c>
      <c r="GO47" s="30">
        <f t="shared" si="83"/>
        <v>0</v>
      </c>
      <c r="GP47" s="30">
        <f t="shared" si="83"/>
        <v>0</v>
      </c>
      <c r="GQ47" s="30">
        <f t="shared" si="83"/>
        <v>0</v>
      </c>
      <c r="GR47" s="30">
        <f t="shared" si="83"/>
        <v>0</v>
      </c>
      <c r="GS47" s="30">
        <f t="shared" si="83"/>
        <v>0</v>
      </c>
      <c r="GT47" s="30">
        <f t="shared" si="83"/>
        <v>0</v>
      </c>
      <c r="GU47" s="30">
        <f t="shared" si="83"/>
        <v>0</v>
      </c>
      <c r="GV47" s="30">
        <f t="shared" si="83"/>
        <v>0</v>
      </c>
      <c r="GW47" s="30">
        <f t="shared" si="83"/>
        <v>0</v>
      </c>
      <c r="GX47" s="30">
        <f t="shared" si="83"/>
        <v>0</v>
      </c>
      <c r="GY47" s="30">
        <f t="shared" si="83"/>
        <v>0</v>
      </c>
      <c r="GZ47" s="30">
        <f t="shared" si="83"/>
        <v>0</v>
      </c>
      <c r="HA47" s="30">
        <f t="shared" si="83"/>
        <v>0</v>
      </c>
      <c r="HB47" s="30">
        <f t="shared" si="83"/>
        <v>0</v>
      </c>
      <c r="HC47" s="30">
        <f t="shared" si="83"/>
        <v>0</v>
      </c>
      <c r="HD47" s="30">
        <f t="shared" ref="HD47:JO47" si="84">HD81+HD82+HD110+HD111+HD112</f>
        <v>0</v>
      </c>
      <c r="HE47" s="30">
        <f t="shared" si="84"/>
        <v>0</v>
      </c>
      <c r="HF47" s="30">
        <f t="shared" si="84"/>
        <v>0</v>
      </c>
      <c r="HG47" s="30">
        <f t="shared" si="84"/>
        <v>0</v>
      </c>
      <c r="HH47" s="30">
        <f t="shared" si="84"/>
        <v>0</v>
      </c>
      <c r="HI47" s="30">
        <f t="shared" si="84"/>
        <v>0</v>
      </c>
      <c r="HJ47" s="30">
        <f t="shared" si="84"/>
        <v>0</v>
      </c>
      <c r="HK47" s="30">
        <f t="shared" si="84"/>
        <v>0</v>
      </c>
      <c r="HL47" s="30">
        <f t="shared" si="84"/>
        <v>0</v>
      </c>
      <c r="HM47" s="30">
        <f t="shared" si="84"/>
        <v>0</v>
      </c>
      <c r="HN47" s="30">
        <f t="shared" si="84"/>
        <v>0</v>
      </c>
      <c r="HO47" s="30">
        <f t="shared" si="84"/>
        <v>0</v>
      </c>
      <c r="HP47" s="30">
        <f t="shared" si="84"/>
        <v>0</v>
      </c>
      <c r="HQ47" s="30">
        <f t="shared" si="84"/>
        <v>0</v>
      </c>
      <c r="HR47" s="30">
        <f t="shared" si="84"/>
        <v>0</v>
      </c>
      <c r="HS47" s="30">
        <f t="shared" si="84"/>
        <v>0</v>
      </c>
      <c r="HT47" s="30">
        <f t="shared" si="84"/>
        <v>0</v>
      </c>
      <c r="HU47" s="30">
        <f t="shared" si="84"/>
        <v>0</v>
      </c>
      <c r="HV47" s="30">
        <f t="shared" si="84"/>
        <v>0</v>
      </c>
      <c r="HW47" s="30">
        <f t="shared" si="84"/>
        <v>0</v>
      </c>
      <c r="HX47" s="30">
        <f t="shared" si="84"/>
        <v>0</v>
      </c>
      <c r="HY47" s="30">
        <f t="shared" si="84"/>
        <v>0</v>
      </c>
      <c r="HZ47" s="30">
        <f t="shared" si="84"/>
        <v>0</v>
      </c>
      <c r="IA47" s="30">
        <f t="shared" si="84"/>
        <v>0</v>
      </c>
      <c r="IB47" s="30">
        <f t="shared" si="84"/>
        <v>0</v>
      </c>
      <c r="IC47" s="30">
        <f t="shared" si="84"/>
        <v>0</v>
      </c>
      <c r="ID47" s="30">
        <f t="shared" si="84"/>
        <v>0</v>
      </c>
      <c r="IE47" s="30">
        <f t="shared" si="84"/>
        <v>0</v>
      </c>
      <c r="IF47" s="30">
        <f t="shared" si="84"/>
        <v>0</v>
      </c>
      <c r="IG47" s="30">
        <f t="shared" si="84"/>
        <v>0</v>
      </c>
      <c r="IH47" s="30">
        <f t="shared" si="84"/>
        <v>0</v>
      </c>
      <c r="II47" s="30">
        <f t="shared" si="84"/>
        <v>0</v>
      </c>
      <c r="IJ47" s="30">
        <f t="shared" si="84"/>
        <v>0</v>
      </c>
      <c r="IK47" s="30">
        <f t="shared" si="84"/>
        <v>0</v>
      </c>
      <c r="IL47" s="30">
        <f t="shared" si="84"/>
        <v>0</v>
      </c>
      <c r="IM47" s="30">
        <f t="shared" si="84"/>
        <v>0</v>
      </c>
      <c r="IN47" s="30">
        <f t="shared" si="84"/>
        <v>0</v>
      </c>
      <c r="IO47" s="30">
        <f t="shared" si="84"/>
        <v>0</v>
      </c>
      <c r="IP47" s="30">
        <f t="shared" si="84"/>
        <v>0</v>
      </c>
      <c r="IQ47" s="30">
        <f t="shared" si="84"/>
        <v>0</v>
      </c>
      <c r="IR47" s="30">
        <f t="shared" si="84"/>
        <v>0</v>
      </c>
      <c r="IS47" s="30">
        <f t="shared" si="84"/>
        <v>0</v>
      </c>
      <c r="IT47" s="30">
        <f t="shared" si="84"/>
        <v>0</v>
      </c>
      <c r="IU47" s="30">
        <f t="shared" si="84"/>
        <v>0</v>
      </c>
      <c r="IV47" s="30">
        <f t="shared" si="84"/>
        <v>0</v>
      </c>
      <c r="IW47" s="30">
        <f t="shared" si="84"/>
        <v>0</v>
      </c>
      <c r="IX47" s="30">
        <f t="shared" si="84"/>
        <v>0</v>
      </c>
      <c r="IY47" s="30">
        <f t="shared" si="84"/>
        <v>0</v>
      </c>
      <c r="IZ47" s="30">
        <f t="shared" si="84"/>
        <v>0</v>
      </c>
      <c r="JA47" s="30">
        <f t="shared" si="84"/>
        <v>0</v>
      </c>
      <c r="JB47" s="30">
        <f t="shared" si="84"/>
        <v>0</v>
      </c>
      <c r="JC47" s="30">
        <f t="shared" si="84"/>
        <v>0</v>
      </c>
      <c r="JD47" s="30">
        <f t="shared" si="84"/>
        <v>0</v>
      </c>
      <c r="JE47" s="30">
        <f t="shared" si="84"/>
        <v>0</v>
      </c>
      <c r="JF47" s="30">
        <f t="shared" si="84"/>
        <v>0</v>
      </c>
      <c r="JG47" s="30">
        <f t="shared" si="84"/>
        <v>0</v>
      </c>
      <c r="JH47" s="30">
        <f t="shared" si="84"/>
        <v>0</v>
      </c>
      <c r="JI47" s="30">
        <f t="shared" si="84"/>
        <v>0</v>
      </c>
      <c r="JJ47" s="30">
        <f t="shared" si="84"/>
        <v>0</v>
      </c>
      <c r="JK47" s="30">
        <f t="shared" si="84"/>
        <v>0</v>
      </c>
      <c r="JL47" s="30">
        <f t="shared" si="84"/>
        <v>0</v>
      </c>
      <c r="JM47" s="30">
        <f t="shared" si="84"/>
        <v>0</v>
      </c>
      <c r="JN47" s="30">
        <f t="shared" si="84"/>
        <v>0</v>
      </c>
      <c r="JO47" s="30">
        <f t="shared" si="84"/>
        <v>0</v>
      </c>
      <c r="JP47" s="30">
        <f t="shared" ref="JP47:KI47" si="85">JP81+JP82+JP110+JP111+JP112</f>
        <v>0</v>
      </c>
      <c r="JQ47" s="30">
        <f t="shared" si="85"/>
        <v>0</v>
      </c>
      <c r="JR47" s="30">
        <f t="shared" si="85"/>
        <v>0</v>
      </c>
      <c r="JS47" s="30">
        <f t="shared" si="85"/>
        <v>0</v>
      </c>
      <c r="JT47" s="30">
        <f t="shared" si="85"/>
        <v>0</v>
      </c>
      <c r="JU47" s="30">
        <f t="shared" si="85"/>
        <v>0</v>
      </c>
      <c r="JV47" s="30">
        <f t="shared" si="85"/>
        <v>0</v>
      </c>
      <c r="JW47" s="30">
        <f t="shared" si="85"/>
        <v>0</v>
      </c>
      <c r="JX47" s="30">
        <f t="shared" si="85"/>
        <v>0</v>
      </c>
      <c r="JY47" s="30">
        <f t="shared" si="85"/>
        <v>0</v>
      </c>
      <c r="JZ47" s="30">
        <f t="shared" si="85"/>
        <v>0</v>
      </c>
      <c r="KA47" s="30">
        <f t="shared" si="85"/>
        <v>0</v>
      </c>
      <c r="KB47" s="30">
        <f t="shared" si="85"/>
        <v>0</v>
      </c>
      <c r="KC47" s="30">
        <f t="shared" si="85"/>
        <v>0</v>
      </c>
      <c r="KD47" s="30">
        <f t="shared" si="85"/>
        <v>0</v>
      </c>
      <c r="KE47" s="30">
        <f t="shared" si="85"/>
        <v>0</v>
      </c>
      <c r="KF47" s="30">
        <f t="shared" si="85"/>
        <v>0</v>
      </c>
      <c r="KG47" s="30">
        <f t="shared" si="85"/>
        <v>0</v>
      </c>
      <c r="KH47" s="30">
        <f t="shared" si="85"/>
        <v>0</v>
      </c>
      <c r="KI47" s="30">
        <f t="shared" si="85"/>
        <v>0</v>
      </c>
      <c r="KJ47" s="1"/>
    </row>
    <row r="48" spans="7:296" x14ac:dyDescent="0.35">
      <c r="H48" s="13" t="s">
        <v>22</v>
      </c>
      <c r="M48" s="15" t="s">
        <v>88</v>
      </c>
      <c r="N48" s="24">
        <v>159.90314768646982</v>
      </c>
      <c r="O48" s="24">
        <f>N50</f>
        <v>212</v>
      </c>
      <c r="P48" s="24">
        <f t="shared" ref="P48:CA48" si="86">O50</f>
        <v>258.97379750835881</v>
      </c>
      <c r="Q48" s="24">
        <f t="shared" si="86"/>
        <v>322.89528659498819</v>
      </c>
      <c r="R48" s="24">
        <f t="shared" si="86"/>
        <v>410.66762249185945</v>
      </c>
      <c r="S48" s="24">
        <f t="shared" si="86"/>
        <v>456.35171951584039</v>
      </c>
      <c r="T48" s="24">
        <f t="shared" si="86"/>
        <v>463.09441685782957</v>
      </c>
      <c r="U48" s="24">
        <f t="shared" si="86"/>
        <v>556.17371571484614</v>
      </c>
      <c r="V48" s="24">
        <f t="shared" si="86"/>
        <v>615.03752176678199</v>
      </c>
      <c r="W48" s="24">
        <f t="shared" si="86"/>
        <v>681.71405698326907</v>
      </c>
      <c r="X48" s="24">
        <f t="shared" si="86"/>
        <v>776.04512609552319</v>
      </c>
      <c r="Y48" s="24">
        <f t="shared" si="86"/>
        <v>858.257587484748</v>
      </c>
      <c r="Z48" s="24">
        <f t="shared" si="86"/>
        <v>927.95102466137928</v>
      </c>
      <c r="AA48" s="24">
        <f t="shared" si="86"/>
        <v>958.01388701479345</v>
      </c>
      <c r="AB48" s="24">
        <f t="shared" si="86"/>
        <v>1047.2535619860118</v>
      </c>
      <c r="AC48" s="24">
        <f t="shared" si="86"/>
        <v>1114.3671309480296</v>
      </c>
      <c r="AD48" s="24">
        <f t="shared" si="86"/>
        <v>1204.7431897694262</v>
      </c>
      <c r="AE48" s="24">
        <f t="shared" si="86"/>
        <v>1282.9570489090779</v>
      </c>
      <c r="AF48" s="24">
        <f t="shared" si="86"/>
        <v>1337.9022548779633</v>
      </c>
      <c r="AG48" s="24">
        <f t="shared" si="86"/>
        <v>1382.2380028935988</v>
      </c>
      <c r="AH48" s="24">
        <f t="shared" si="86"/>
        <v>1455.6823200995946</v>
      </c>
      <c r="AI48" s="24">
        <f t="shared" si="86"/>
        <v>1461.1710944085648</v>
      </c>
      <c r="AJ48" s="24">
        <f t="shared" si="86"/>
        <v>1535.6748360524471</v>
      </c>
      <c r="AK48" s="24">
        <f t="shared" si="86"/>
        <v>1570.1615773328665</v>
      </c>
      <c r="AL48" s="24">
        <f t="shared" si="86"/>
        <v>1641.8692912647641</v>
      </c>
      <c r="AM48" s="24">
        <f t="shared" si="86"/>
        <v>1678.7907295792374</v>
      </c>
      <c r="AN48" s="24">
        <f t="shared" si="86"/>
        <v>1753.1717394017783</v>
      </c>
      <c r="AO48" s="24">
        <f t="shared" si="86"/>
        <v>1800.7938022032124</v>
      </c>
      <c r="AP48" s="24">
        <f t="shared" si="86"/>
        <v>1841.6182717877905</v>
      </c>
      <c r="AQ48" s="24">
        <f t="shared" si="86"/>
        <v>1885.986042972143</v>
      </c>
      <c r="AR48" s="24">
        <f t="shared" si="86"/>
        <v>1927.891029093068</v>
      </c>
      <c r="AS48" s="24">
        <f t="shared" si="86"/>
        <v>1958.4430254919032</v>
      </c>
      <c r="AT48" s="24">
        <f t="shared" si="86"/>
        <v>2032.0176109450733</v>
      </c>
      <c r="AU48" s="24">
        <f t="shared" si="86"/>
        <v>2063.089076829282</v>
      </c>
      <c r="AV48" s="24">
        <f t="shared" si="86"/>
        <v>2124.4473737432704</v>
      </c>
      <c r="AW48" s="24">
        <f t="shared" si="86"/>
        <v>2183.8717641745798</v>
      </c>
      <c r="AX48" s="24">
        <f t="shared" si="86"/>
        <v>2261.2027285958156</v>
      </c>
      <c r="AY48" s="24">
        <f t="shared" si="86"/>
        <v>2349.265007890062</v>
      </c>
      <c r="AZ48" s="24">
        <f t="shared" si="86"/>
        <v>2418.0460416374249</v>
      </c>
      <c r="BA48" s="24">
        <f t="shared" si="86"/>
        <v>2477.319131675386</v>
      </c>
      <c r="BB48" s="24">
        <f t="shared" si="86"/>
        <v>2550.9067172961836</v>
      </c>
      <c r="BC48" s="24">
        <f t="shared" si="86"/>
        <v>2643.4579150228142</v>
      </c>
      <c r="BD48" s="24">
        <f t="shared" si="86"/>
        <v>2707.0405539039311</v>
      </c>
      <c r="BE48" s="24">
        <f t="shared" si="86"/>
        <v>2737.6122937282653</v>
      </c>
      <c r="BF48" s="24">
        <f t="shared" si="86"/>
        <v>2816.6851239963862</v>
      </c>
      <c r="BG48" s="24">
        <f t="shared" si="86"/>
        <v>2889.3645910459804</v>
      </c>
      <c r="BH48" s="24">
        <f t="shared" si="86"/>
        <v>2943.1547489489644</v>
      </c>
      <c r="BI48" s="24">
        <f t="shared" si="86"/>
        <v>3013.8656748687827</v>
      </c>
      <c r="BJ48" s="24">
        <f t="shared" si="86"/>
        <v>3077.3802551530803</v>
      </c>
      <c r="BK48" s="24">
        <f t="shared" si="86"/>
        <v>3161.7188250881582</v>
      </c>
      <c r="BL48" s="24">
        <f t="shared" si="86"/>
        <v>3261.3147374678865</v>
      </c>
      <c r="BM48" s="24">
        <f t="shared" si="86"/>
        <v>3313.4118778891616</v>
      </c>
      <c r="BN48" s="24">
        <f t="shared" si="86"/>
        <v>3358.9968336674842</v>
      </c>
      <c r="BO48" s="24">
        <f t="shared" si="86"/>
        <v>3417.2610697566706</v>
      </c>
      <c r="BP48" s="24">
        <f t="shared" si="86"/>
        <v>3482.9545065127722</v>
      </c>
      <c r="BQ48" s="24">
        <f t="shared" si="86"/>
        <v>3539.0462653720369</v>
      </c>
      <c r="BR48" s="24">
        <f t="shared" si="86"/>
        <v>3611.5578486399008</v>
      </c>
      <c r="BS48" s="24">
        <f t="shared" si="86"/>
        <v>3667.1467732825681</v>
      </c>
      <c r="BT48" s="24">
        <f t="shared" si="86"/>
        <v>3710.3887652185936</v>
      </c>
      <c r="BU48" s="24">
        <f t="shared" si="86"/>
        <v>3752.4434723883537</v>
      </c>
      <c r="BV48" s="24">
        <f t="shared" si="86"/>
        <v>3800.4477193171074</v>
      </c>
      <c r="BW48" s="24">
        <f t="shared" si="86"/>
        <v>3850.737025607933</v>
      </c>
      <c r="BX48" s="24">
        <f t="shared" si="86"/>
        <v>3896.2711396326067</v>
      </c>
      <c r="BY48" s="24">
        <f t="shared" si="86"/>
        <v>3926.231759890878</v>
      </c>
      <c r="BZ48" s="24">
        <f t="shared" si="86"/>
        <v>4014.2323101333186</v>
      </c>
      <c r="CA48" s="24">
        <f t="shared" si="86"/>
        <v>4085.7911711765519</v>
      </c>
      <c r="CB48" s="24">
        <f t="shared" ref="CB48:EM48" si="87">CA50</f>
        <v>4134.9725120970616</v>
      </c>
      <c r="CC48" s="24">
        <f t="shared" si="87"/>
        <v>4193.27574324955</v>
      </c>
      <c r="CD48" s="24">
        <f t="shared" si="87"/>
        <v>4241.1889047460872</v>
      </c>
      <c r="CE48" s="24">
        <f t="shared" si="87"/>
        <v>4278.2332828711105</v>
      </c>
      <c r="CF48" s="24">
        <f t="shared" si="87"/>
        <v>4315.238224702488</v>
      </c>
      <c r="CG48" s="24">
        <f t="shared" si="87"/>
        <v>4349.729234554733</v>
      </c>
      <c r="CH48" s="24">
        <f t="shared" si="87"/>
        <v>4423.208179266785</v>
      </c>
      <c r="CI48" s="24">
        <f t="shared" si="87"/>
        <v>4468.8448102391403</v>
      </c>
      <c r="CJ48" s="24">
        <f t="shared" si="87"/>
        <v>4531.4242136468974</v>
      </c>
      <c r="CK48" s="24">
        <f t="shared" si="87"/>
        <v>4627.4506250422728</v>
      </c>
      <c r="CL48" s="24">
        <f t="shared" si="87"/>
        <v>4699.9117766321506</v>
      </c>
      <c r="CM48" s="24">
        <f t="shared" si="87"/>
        <v>4772.4432837119493</v>
      </c>
      <c r="CN48" s="24">
        <f t="shared" si="87"/>
        <v>4844.028621732321</v>
      </c>
      <c r="CO48" s="24">
        <f t="shared" si="87"/>
        <v>4923.9744347764363</v>
      </c>
      <c r="CP48" s="24">
        <f t="shared" si="87"/>
        <v>4969.5286575998871</v>
      </c>
      <c r="CQ48" s="24">
        <f t="shared" si="87"/>
        <v>5053.5716043603888</v>
      </c>
      <c r="CR48" s="24">
        <f t="shared" si="87"/>
        <v>5147.4823705526469</v>
      </c>
      <c r="CS48" s="24">
        <f t="shared" si="87"/>
        <v>5248.131173608951</v>
      </c>
      <c r="CT48" s="24">
        <f t="shared" si="87"/>
        <v>5323.4637859181521</v>
      </c>
      <c r="CU48" s="24">
        <f t="shared" si="87"/>
        <v>5407.62623044053</v>
      </c>
      <c r="CV48" s="24">
        <f t="shared" si="87"/>
        <v>5501.5664566239657</v>
      </c>
      <c r="CW48" s="24">
        <f t="shared" si="87"/>
        <v>5593.5121806158604</v>
      </c>
      <c r="CX48" s="24">
        <f t="shared" si="87"/>
        <v>5629.2836835908529</v>
      </c>
      <c r="CY48" s="24">
        <f t="shared" si="87"/>
        <v>5700.0522409042978</v>
      </c>
      <c r="CZ48" s="24">
        <f t="shared" si="87"/>
        <v>5745.6961859945523</v>
      </c>
      <c r="DA48" s="24">
        <f t="shared" si="87"/>
        <v>5829.8187270197122</v>
      </c>
      <c r="DB48" s="24">
        <f t="shared" si="87"/>
        <v>5879.0032540004031</v>
      </c>
      <c r="DC48" s="24">
        <f t="shared" si="87"/>
        <v>5908.1946660220174</v>
      </c>
      <c r="DD48" s="24">
        <f t="shared" si="87"/>
        <v>6000.1983520307485</v>
      </c>
      <c r="DE48" s="24">
        <f t="shared" si="87"/>
        <v>6029.353614848902</v>
      </c>
      <c r="DF48" s="24">
        <f t="shared" si="87"/>
        <v>6118.1890307974063</v>
      </c>
      <c r="DG48" s="24">
        <f t="shared" si="87"/>
        <v>6211.3966862820625</v>
      </c>
      <c r="DH48" s="24">
        <f t="shared" si="87"/>
        <v>6282.8953784625292</v>
      </c>
      <c r="DI48" s="24">
        <f t="shared" si="87"/>
        <v>6341.1968929068762</v>
      </c>
      <c r="DJ48" s="24">
        <f t="shared" si="87"/>
        <v>6428.3941710504323</v>
      </c>
      <c r="DK48" s="24">
        <f t="shared" si="87"/>
        <v>6522.5684320164128</v>
      </c>
      <c r="DL48" s="24">
        <f t="shared" si="87"/>
        <v>6606.6836067576296</v>
      </c>
      <c r="DM48" s="24">
        <f t="shared" si="87"/>
        <v>6673.2539687385643</v>
      </c>
      <c r="DN48" s="24">
        <f t="shared" si="87"/>
        <v>6736.8602872129068</v>
      </c>
      <c r="DO48" s="24">
        <f t="shared" si="87"/>
        <v>6817.6167881013216</v>
      </c>
      <c r="DP48" s="24">
        <f t="shared" si="87"/>
        <v>6913.1346852231618</v>
      </c>
      <c r="DQ48" s="24">
        <f t="shared" si="87"/>
        <v>7010.670459790078</v>
      </c>
      <c r="DR48" s="24">
        <f t="shared" si="87"/>
        <v>7094.0546550187619</v>
      </c>
      <c r="DS48" s="24">
        <f t="shared" si="87"/>
        <v>7164.6627446090952</v>
      </c>
      <c r="DT48" s="24">
        <f t="shared" si="87"/>
        <v>7265.1935710776652</v>
      </c>
      <c r="DU48" s="24">
        <f t="shared" si="87"/>
        <v>7339.799755934222</v>
      </c>
      <c r="DV48" s="24">
        <f t="shared" si="87"/>
        <v>7384.1447050536926</v>
      </c>
      <c r="DW48" s="24">
        <f t="shared" si="87"/>
        <v>7430.9588810379501</v>
      </c>
      <c r="DX48" s="24">
        <f t="shared" si="87"/>
        <v>7520.0300592150734</v>
      </c>
      <c r="DY48" s="24">
        <f t="shared" si="87"/>
        <v>7620.2125057230824</v>
      </c>
      <c r="DZ48" s="24">
        <f t="shared" si="87"/>
        <v>7672.7855477995281</v>
      </c>
      <c r="EA48" s="24">
        <f t="shared" si="87"/>
        <v>7733.3060438291832</v>
      </c>
      <c r="EB48" s="24">
        <f t="shared" si="87"/>
        <v>7794.7653304736341</v>
      </c>
      <c r="EC48" s="24">
        <f t="shared" si="87"/>
        <v>7886.7131895904813</v>
      </c>
      <c r="ED48" s="24">
        <f t="shared" si="87"/>
        <v>7970.9687651047852</v>
      </c>
      <c r="EE48" s="24">
        <f t="shared" si="87"/>
        <v>8040.6625148534022</v>
      </c>
      <c r="EF48" s="24">
        <f t="shared" si="87"/>
        <v>8127.3179455426516</v>
      </c>
      <c r="EG48" s="24">
        <f t="shared" si="87"/>
        <v>8175.3113178570602</v>
      </c>
      <c r="EH48" s="24">
        <f t="shared" si="87"/>
        <v>8223.4126139547407</v>
      </c>
      <c r="EI48" s="24">
        <f t="shared" si="87"/>
        <v>8297.7701792609496</v>
      </c>
      <c r="EJ48" s="24">
        <f t="shared" si="87"/>
        <v>8350.4063192401918</v>
      </c>
      <c r="EK48" s="24">
        <f t="shared" si="87"/>
        <v>8387.3823530535465</v>
      </c>
      <c r="EL48" s="24">
        <f t="shared" si="87"/>
        <v>8437.672194329778</v>
      </c>
      <c r="EM48" s="24">
        <f t="shared" si="87"/>
        <v>8508.235368517071</v>
      </c>
      <c r="EN48" s="24">
        <f t="shared" ref="EN48:GY48" si="88">EM50</f>
        <v>8546.4858470192576</v>
      </c>
      <c r="EO48" s="24">
        <f t="shared" si="88"/>
        <v>8625.4455901634465</v>
      </c>
      <c r="EP48" s="24">
        <f t="shared" si="88"/>
        <v>8696.1876695591764</v>
      </c>
      <c r="EQ48" s="24">
        <f t="shared" si="88"/>
        <v>8730.6682769551626</v>
      </c>
      <c r="ER48" s="24">
        <f t="shared" si="88"/>
        <v>8763.7604189312369</v>
      </c>
      <c r="ES48" s="24">
        <f t="shared" si="88"/>
        <v>8838.0692090827579</v>
      </c>
      <c r="ET48" s="24">
        <f t="shared" si="88"/>
        <v>8893.0450841351903</v>
      </c>
      <c r="EU48" s="24">
        <f t="shared" si="88"/>
        <v>8986.9681675348602</v>
      </c>
      <c r="EV48" s="24">
        <f t="shared" si="88"/>
        <v>9083.3366330656554</v>
      </c>
      <c r="EW48" s="24">
        <f t="shared" si="88"/>
        <v>9178.3321216934764</v>
      </c>
      <c r="EX48" s="24">
        <f t="shared" si="88"/>
        <v>9278.7550350930051</v>
      </c>
      <c r="EY48" s="24">
        <f t="shared" si="88"/>
        <v>9336.9410285310259</v>
      </c>
      <c r="EZ48" s="24">
        <f t="shared" si="88"/>
        <v>9414.32011202188</v>
      </c>
      <c r="FA48" s="24">
        <f t="shared" si="88"/>
        <v>9479.8417103949978</v>
      </c>
      <c r="FB48" s="24">
        <f t="shared" si="88"/>
        <v>9577.5068240634755</v>
      </c>
      <c r="FC48" s="24">
        <f t="shared" si="88"/>
        <v>9614.4900743188646</v>
      </c>
      <c r="FD48" s="24">
        <f t="shared" si="88"/>
        <v>9652.7600261457155</v>
      </c>
      <c r="FE48" s="24">
        <f t="shared" si="88"/>
        <v>9750.7011535433976</v>
      </c>
      <c r="FF48" s="24">
        <f t="shared" si="88"/>
        <v>9844.234257498174</v>
      </c>
      <c r="FG48" s="24">
        <f t="shared" si="88"/>
        <v>9932.5314792948157</v>
      </c>
      <c r="FH48" s="24">
        <f t="shared" si="88"/>
        <v>9991.7711578760318</v>
      </c>
      <c r="FI48" s="24">
        <f t="shared" si="88"/>
        <v>10031.258798745544</v>
      </c>
      <c r="FJ48" s="24">
        <f t="shared" si="88"/>
        <v>10079.204612877022</v>
      </c>
      <c r="FK48" s="24">
        <f t="shared" si="88"/>
        <v>10170.580016954123</v>
      </c>
      <c r="FL48" s="24">
        <f t="shared" si="88"/>
        <v>10263.850180770803</v>
      </c>
      <c r="FM48" s="24">
        <f t="shared" si="88"/>
        <v>10302.168783290273</v>
      </c>
      <c r="FN48" s="24">
        <f t="shared" si="88"/>
        <v>10381.970063608929</v>
      </c>
      <c r="FO48" s="24">
        <f t="shared" si="88"/>
        <v>10476.011487230429</v>
      </c>
      <c r="FP48" s="24">
        <f t="shared" si="88"/>
        <v>10545.588933788607</v>
      </c>
      <c r="FQ48" s="24">
        <f t="shared" si="88"/>
        <v>10644.20584933482</v>
      </c>
      <c r="FR48" s="24">
        <f t="shared" si="88"/>
        <v>10720.5310491174</v>
      </c>
      <c r="FS48" s="24">
        <f t="shared" si="88"/>
        <v>10788.187403954584</v>
      </c>
      <c r="FT48" s="24">
        <f t="shared" si="88"/>
        <v>10879.299712984097</v>
      </c>
      <c r="FU48" s="24">
        <f t="shared" si="88"/>
        <v>10978.237907829542</v>
      </c>
      <c r="FV48" s="24">
        <f t="shared" si="88"/>
        <v>11054.458516426974</v>
      </c>
      <c r="FW48" s="24">
        <f t="shared" si="88"/>
        <v>11140.92804428833</v>
      </c>
      <c r="FX48" s="24">
        <f t="shared" si="88"/>
        <v>11219.105214064</v>
      </c>
      <c r="FY48" s="24">
        <f t="shared" si="88"/>
        <v>11315.840613769966</v>
      </c>
      <c r="FZ48" s="24">
        <f t="shared" si="88"/>
        <v>11407.805106690501</v>
      </c>
      <c r="GA48" s="24">
        <f t="shared" si="88"/>
        <v>11470.203197080671</v>
      </c>
      <c r="GB48" s="24">
        <f t="shared" si="88"/>
        <v>11558.985569387689</v>
      </c>
      <c r="GC48" s="24">
        <f t="shared" si="88"/>
        <v>11625.674414656562</v>
      </c>
      <c r="GD48" s="24">
        <f t="shared" si="88"/>
        <v>11673.686538359105</v>
      </c>
      <c r="GE48" s="24">
        <f t="shared" si="88"/>
        <v>11706.80635933158</v>
      </c>
      <c r="GF48" s="24">
        <f t="shared" si="88"/>
        <v>11737.362289578929</v>
      </c>
      <c r="GG48" s="24">
        <f t="shared" si="88"/>
        <v>11770.544151403807</v>
      </c>
      <c r="GH48" s="24">
        <f t="shared" si="88"/>
        <v>11862.457364633159</v>
      </c>
      <c r="GI48" s="24">
        <f t="shared" si="88"/>
        <v>11904.412814654608</v>
      </c>
      <c r="GJ48" s="24">
        <f t="shared" si="88"/>
        <v>11982.496055636078</v>
      </c>
      <c r="GK48" s="24">
        <f t="shared" si="88"/>
        <v>12028.034187465048</v>
      </c>
      <c r="GL48" s="24">
        <f t="shared" si="88"/>
        <v>12088.47387179247</v>
      </c>
      <c r="GM48" s="24">
        <f t="shared" si="88"/>
        <v>12150.907165468216</v>
      </c>
      <c r="GN48" s="24">
        <f t="shared" si="88"/>
        <v>12197.661797568149</v>
      </c>
      <c r="GO48" s="24">
        <f t="shared" si="88"/>
        <v>12284.287741176042</v>
      </c>
      <c r="GP48" s="24">
        <f t="shared" si="88"/>
        <v>12384.789785581539</v>
      </c>
      <c r="GQ48" s="24">
        <f t="shared" si="88"/>
        <v>12466.446605074161</v>
      </c>
      <c r="GR48" s="24">
        <f t="shared" si="88"/>
        <v>12555.285902384707</v>
      </c>
      <c r="GS48" s="24">
        <f t="shared" si="88"/>
        <v>12604.434340857162</v>
      </c>
      <c r="GT48" s="24">
        <f t="shared" si="88"/>
        <v>12664.737555473617</v>
      </c>
      <c r="GU48" s="24">
        <f t="shared" si="88"/>
        <v>12716.219464301397</v>
      </c>
      <c r="GV48" s="24">
        <f t="shared" si="88"/>
        <v>12776.71679492616</v>
      </c>
      <c r="GW48" s="24">
        <f t="shared" si="88"/>
        <v>12856.493706014486</v>
      </c>
      <c r="GX48" s="24">
        <f t="shared" si="88"/>
        <v>12910.177905139719</v>
      </c>
      <c r="GY48" s="24">
        <f t="shared" si="88"/>
        <v>12983.620804175018</v>
      </c>
      <c r="GZ48" s="24">
        <f t="shared" ref="GZ48:JK48" si="89">GY50</f>
        <v>13024.432149812992</v>
      </c>
      <c r="HA48" s="24">
        <f t="shared" si="89"/>
        <v>13063.97930474749</v>
      </c>
      <c r="HB48" s="24">
        <f t="shared" si="89"/>
        <v>13118.924542913925</v>
      </c>
      <c r="HC48" s="24">
        <f t="shared" si="89"/>
        <v>13210.971014575629</v>
      </c>
      <c r="HD48" s="24">
        <f t="shared" si="89"/>
        <v>13241.450503897735</v>
      </c>
      <c r="HE48" s="24">
        <f t="shared" si="89"/>
        <v>13330.248826134286</v>
      </c>
      <c r="HF48" s="24">
        <f t="shared" si="89"/>
        <v>13422.829728130648</v>
      </c>
      <c r="HG48" s="24">
        <f t="shared" si="89"/>
        <v>13507.744344027384</v>
      </c>
      <c r="HH48" s="24">
        <f t="shared" si="89"/>
        <v>13603.371513574271</v>
      </c>
      <c r="HI48" s="24">
        <f t="shared" si="89"/>
        <v>13689.180150195865</v>
      </c>
      <c r="HJ48" s="24">
        <f t="shared" si="89"/>
        <v>13735.987818515101</v>
      </c>
      <c r="HK48" s="24">
        <f t="shared" si="89"/>
        <v>13822.66936499943</v>
      </c>
      <c r="HL48" s="24">
        <f t="shared" si="89"/>
        <v>13864.664177654986</v>
      </c>
      <c r="HM48" s="24">
        <f t="shared" si="89"/>
        <v>13961.516829983748</v>
      </c>
      <c r="HN48" s="24">
        <f t="shared" si="89"/>
        <v>14052.79265659444</v>
      </c>
      <c r="HO48" s="24">
        <f t="shared" si="89"/>
        <v>14139.368827599385</v>
      </c>
      <c r="HP48" s="24">
        <f t="shared" si="89"/>
        <v>14225.826849800083</v>
      </c>
      <c r="HQ48" s="24">
        <f t="shared" si="89"/>
        <v>14268.97792283647</v>
      </c>
      <c r="HR48" s="24">
        <f t="shared" si="89"/>
        <v>14361.108368300756</v>
      </c>
      <c r="HS48" s="24">
        <f t="shared" si="89"/>
        <v>14413.722706369515</v>
      </c>
      <c r="HT48" s="24">
        <f t="shared" si="89"/>
        <v>14448.121839847874</v>
      </c>
      <c r="HU48" s="24">
        <f t="shared" si="89"/>
        <v>14544.812765118813</v>
      </c>
      <c r="HV48" s="24">
        <f t="shared" si="89"/>
        <v>14586.865242331749</v>
      </c>
      <c r="HW48" s="24">
        <f t="shared" si="89"/>
        <v>14686.903669285215</v>
      </c>
      <c r="HX48" s="24">
        <f t="shared" si="89"/>
        <v>14783.853512480589</v>
      </c>
      <c r="HY48" s="24">
        <f t="shared" si="89"/>
        <v>14859.08757977636</v>
      </c>
      <c r="HZ48" s="24">
        <f t="shared" si="89"/>
        <v>14957.40490605884</v>
      </c>
      <c r="IA48" s="24">
        <f t="shared" si="89"/>
        <v>14991.813532665754</v>
      </c>
      <c r="IB48" s="24">
        <f t="shared" si="89"/>
        <v>15033.835494145522</v>
      </c>
      <c r="IC48" s="24">
        <f t="shared" si="89"/>
        <v>15101.365249020237</v>
      </c>
      <c r="ID48" s="24">
        <f t="shared" si="89"/>
        <v>15152.896157158348</v>
      </c>
      <c r="IE48" s="24">
        <f t="shared" si="89"/>
        <v>15251.841516542809</v>
      </c>
      <c r="IF48" s="24">
        <f t="shared" si="89"/>
        <v>15317.421421596782</v>
      </c>
      <c r="IG48" s="24">
        <f t="shared" si="89"/>
        <v>15409.511671083674</v>
      </c>
      <c r="IH48" s="24">
        <f t="shared" si="89"/>
        <v>15466.717523867163</v>
      </c>
      <c r="II48" s="24">
        <f t="shared" si="89"/>
        <v>15560.293540562188</v>
      </c>
      <c r="IJ48" s="24">
        <f t="shared" si="89"/>
        <v>15641.065021253626</v>
      </c>
      <c r="IK48" s="24">
        <f t="shared" si="89"/>
        <v>15721.998270710872</v>
      </c>
      <c r="IL48" s="24">
        <f t="shared" si="89"/>
        <v>15774.554327271673</v>
      </c>
      <c r="IM48" s="24">
        <f t="shared" si="89"/>
        <v>15853.408618454267</v>
      </c>
      <c r="IN48" s="24">
        <f t="shared" si="89"/>
        <v>15936.827058797899</v>
      </c>
      <c r="IO48" s="24">
        <f t="shared" si="89"/>
        <v>16020.153637902395</v>
      </c>
      <c r="IP48" s="24">
        <f t="shared" si="89"/>
        <v>16115.430245985444</v>
      </c>
      <c r="IQ48" s="24">
        <f t="shared" si="89"/>
        <v>16191.65550775102</v>
      </c>
      <c r="IR48" s="24">
        <f t="shared" si="89"/>
        <v>16250.888177565877</v>
      </c>
      <c r="IS48" s="24">
        <f t="shared" si="89"/>
        <v>16321.470352197324</v>
      </c>
      <c r="IT48" s="24">
        <f t="shared" si="89"/>
        <v>16381.812179105567</v>
      </c>
      <c r="IU48" s="24">
        <f t="shared" si="89"/>
        <v>16448.511549557868</v>
      </c>
      <c r="IV48" s="24">
        <f t="shared" si="89"/>
        <v>16495.380957210564</v>
      </c>
      <c r="IW48" s="24">
        <f t="shared" si="89"/>
        <v>16569.893864414924</v>
      </c>
      <c r="IX48" s="24">
        <f t="shared" si="89"/>
        <v>16670.43232153896</v>
      </c>
      <c r="IY48" s="24">
        <f t="shared" si="89"/>
        <v>16736.152629446304</v>
      </c>
      <c r="IZ48" s="24">
        <f t="shared" si="89"/>
        <v>16828.221668380469</v>
      </c>
      <c r="JA48" s="24">
        <f t="shared" si="89"/>
        <v>16897.946981940742</v>
      </c>
      <c r="JB48" s="24">
        <f t="shared" si="89"/>
        <v>16969.459293347631</v>
      </c>
      <c r="JC48" s="24">
        <f t="shared" si="89"/>
        <v>17005.097316657724</v>
      </c>
      <c r="JD48" s="24">
        <f t="shared" si="89"/>
        <v>17096.495583540142</v>
      </c>
      <c r="JE48" s="24">
        <f t="shared" si="89"/>
        <v>17151.519159816398</v>
      </c>
      <c r="JF48" s="24">
        <f t="shared" si="89"/>
        <v>17206.389620929334</v>
      </c>
      <c r="JG48" s="24">
        <f t="shared" si="89"/>
        <v>17264.661944559048</v>
      </c>
      <c r="JH48" s="24">
        <f t="shared" si="89"/>
        <v>17365.300655265164</v>
      </c>
      <c r="JI48" s="24">
        <f t="shared" si="89"/>
        <v>17407.361891356504</v>
      </c>
      <c r="JJ48" s="24">
        <f t="shared" si="89"/>
        <v>17499.922762861439</v>
      </c>
      <c r="JK48" s="24">
        <f t="shared" si="89"/>
        <v>17545.487186639846</v>
      </c>
      <c r="JL48" s="24">
        <f t="shared" ref="JL48:KI48" si="90">JK50</f>
        <v>17584.951842830291</v>
      </c>
      <c r="JM48" s="24">
        <f t="shared" si="90"/>
        <v>17664.104404830221</v>
      </c>
      <c r="JN48" s="24">
        <f t="shared" si="90"/>
        <v>17760.820699912096</v>
      </c>
      <c r="JO48" s="24">
        <f t="shared" si="90"/>
        <v>17796.578148506542</v>
      </c>
      <c r="JP48" s="24">
        <f t="shared" si="90"/>
        <v>17873.932100509181</v>
      </c>
      <c r="JQ48" s="24">
        <f t="shared" si="90"/>
        <v>17903.121218276163</v>
      </c>
      <c r="JR48" s="24">
        <f t="shared" si="90"/>
        <v>17967.639498414119</v>
      </c>
      <c r="JS48" s="24">
        <f t="shared" si="90"/>
        <v>18062.216423658279</v>
      </c>
      <c r="JT48" s="24">
        <f t="shared" si="90"/>
        <v>18106.694971934168</v>
      </c>
      <c r="JU48" s="24">
        <f t="shared" si="90"/>
        <v>18200.988742351048</v>
      </c>
      <c r="JV48" s="24">
        <f t="shared" si="90"/>
        <v>18293.706095365604</v>
      </c>
      <c r="JW48" s="24">
        <f t="shared" si="90"/>
        <v>18338.081659182397</v>
      </c>
      <c r="JX48" s="24">
        <f t="shared" si="90"/>
        <v>18431.326039897318</v>
      </c>
      <c r="JY48" s="24">
        <f t="shared" si="90"/>
        <v>18461.816003956843</v>
      </c>
      <c r="JZ48" s="24">
        <f t="shared" si="90"/>
        <v>18555.149709910624</v>
      </c>
      <c r="KA48" s="24">
        <f t="shared" si="90"/>
        <v>18621.73952673301</v>
      </c>
      <c r="KB48" s="24">
        <f t="shared" si="90"/>
        <v>18661.314006568522</v>
      </c>
      <c r="KC48" s="24">
        <f t="shared" si="90"/>
        <v>18701.99190462986</v>
      </c>
      <c r="KD48" s="24">
        <f t="shared" si="90"/>
        <v>18798.007825209857</v>
      </c>
      <c r="KE48" s="24">
        <f t="shared" si="90"/>
        <v>18896.177914152588</v>
      </c>
      <c r="KF48" s="24">
        <f t="shared" si="90"/>
        <v>18957.570404964172</v>
      </c>
      <c r="KG48" s="24">
        <f t="shared" si="90"/>
        <v>19048.949359244856</v>
      </c>
      <c r="KH48" s="24">
        <f t="shared" si="90"/>
        <v>19124.37443010027</v>
      </c>
      <c r="KI48" s="24">
        <f t="shared" si="90"/>
        <v>19177.030324481417</v>
      </c>
      <c r="KJ48" s="1"/>
    </row>
    <row r="49" spans="8:296" x14ac:dyDescent="0.35">
      <c r="H49" s="13" t="s">
        <v>22</v>
      </c>
      <c r="M49" s="15" t="s">
        <v>89</v>
      </c>
      <c r="N49" s="24">
        <f>SUM(N45:N47)</f>
        <v>52.096852313530164</v>
      </c>
      <c r="O49" s="24">
        <f>SUM(O45:O47)</f>
        <v>46.973797508358814</v>
      </c>
      <c r="P49" s="24">
        <f t="shared" ref="P49:CA49" si="91">SUM(P45:P47)</f>
        <v>63.921489086629379</v>
      </c>
      <c r="Q49" s="24">
        <f t="shared" si="91"/>
        <v>87.772335896871226</v>
      </c>
      <c r="R49" s="24">
        <f t="shared" si="91"/>
        <v>45.684097023980925</v>
      </c>
      <c r="S49" s="24">
        <f t="shared" si="91"/>
        <v>6.7426973419891993</v>
      </c>
      <c r="T49" s="24">
        <f t="shared" si="91"/>
        <v>93.079298857016568</v>
      </c>
      <c r="U49" s="24">
        <f t="shared" si="91"/>
        <v>58.863806051935839</v>
      </c>
      <c r="V49" s="24">
        <f t="shared" si="91"/>
        <v>66.676535216487082</v>
      </c>
      <c r="W49" s="24">
        <f t="shared" si="91"/>
        <v>94.33106911225407</v>
      </c>
      <c r="X49" s="24">
        <f t="shared" si="91"/>
        <v>82.212461389224785</v>
      </c>
      <c r="Y49" s="24">
        <f t="shared" si="91"/>
        <v>69.693437176631278</v>
      </c>
      <c r="Z49" s="24">
        <f t="shared" si="91"/>
        <v>30.062862353414125</v>
      </c>
      <c r="AA49" s="24">
        <f t="shared" si="91"/>
        <v>89.23967497121842</v>
      </c>
      <c r="AB49" s="24">
        <f t="shared" si="91"/>
        <v>67.113568962017695</v>
      </c>
      <c r="AC49" s="24">
        <f t="shared" si="91"/>
        <v>90.376058821396597</v>
      </c>
      <c r="AD49" s="24">
        <f t="shared" si="91"/>
        <v>78.213859139651817</v>
      </c>
      <c r="AE49" s="24">
        <f t="shared" si="91"/>
        <v>54.945205968885332</v>
      </c>
      <c r="AF49" s="24">
        <f t="shared" si="91"/>
        <v>44.335748015635559</v>
      </c>
      <c r="AG49" s="24">
        <f t="shared" si="91"/>
        <v>73.444317205995645</v>
      </c>
      <c r="AH49" s="24">
        <f t="shared" si="91"/>
        <v>5.4887743089703207</v>
      </c>
      <c r="AI49" s="24">
        <f t="shared" si="91"/>
        <v>74.503741643882194</v>
      </c>
      <c r="AJ49" s="24">
        <f t="shared" si="91"/>
        <v>34.486741280419395</v>
      </c>
      <c r="AK49" s="24">
        <f t="shared" si="91"/>
        <v>71.707713931897516</v>
      </c>
      <c r="AL49" s="24">
        <f t="shared" si="91"/>
        <v>36.921438314473235</v>
      </c>
      <c r="AM49" s="24">
        <f t="shared" si="91"/>
        <v>74.381009822540818</v>
      </c>
      <c r="AN49" s="24">
        <f t="shared" si="91"/>
        <v>47.622062801434041</v>
      </c>
      <c r="AO49" s="24">
        <f t="shared" si="91"/>
        <v>40.824469584577997</v>
      </c>
      <c r="AP49" s="24">
        <f t="shared" si="91"/>
        <v>44.367771184352506</v>
      </c>
      <c r="AQ49" s="24">
        <f t="shared" si="91"/>
        <v>41.904986120925088</v>
      </c>
      <c r="AR49" s="24">
        <f t="shared" si="91"/>
        <v>30.551996398835207</v>
      </c>
      <c r="AS49" s="24">
        <f t="shared" si="91"/>
        <v>73.574585453170101</v>
      </c>
      <c r="AT49" s="24">
        <f t="shared" si="91"/>
        <v>31.071465884208621</v>
      </c>
      <c r="AU49" s="24">
        <f t="shared" si="91"/>
        <v>61.35829691398839</v>
      </c>
      <c r="AV49" s="24">
        <f t="shared" si="91"/>
        <v>59.424390431309121</v>
      </c>
      <c r="AW49" s="24">
        <f t="shared" si="91"/>
        <v>77.330964421236047</v>
      </c>
      <c r="AX49" s="24">
        <f t="shared" si="91"/>
        <v>88.062279294246508</v>
      </c>
      <c r="AY49" s="24">
        <f t="shared" si="91"/>
        <v>68.78103374736294</v>
      </c>
      <c r="AZ49" s="24">
        <f t="shared" si="91"/>
        <v>59.273090037961083</v>
      </c>
      <c r="BA49" s="24">
        <f t="shared" si="91"/>
        <v>73.587585620797455</v>
      </c>
      <c r="BB49" s="24">
        <f t="shared" si="91"/>
        <v>92.551197726630548</v>
      </c>
      <c r="BC49" s="24">
        <f t="shared" si="91"/>
        <v>63.582638881117092</v>
      </c>
      <c r="BD49" s="24">
        <f t="shared" si="91"/>
        <v>30.571739824334184</v>
      </c>
      <c r="BE49" s="24">
        <f t="shared" si="91"/>
        <v>79.072830268120839</v>
      </c>
      <c r="BF49" s="24">
        <f t="shared" si="91"/>
        <v>72.679467049594038</v>
      </c>
      <c r="BG49" s="24">
        <f t="shared" si="91"/>
        <v>53.790157902984049</v>
      </c>
      <c r="BH49" s="24">
        <f t="shared" si="91"/>
        <v>70.710925919818038</v>
      </c>
      <c r="BI49" s="24">
        <f t="shared" si="91"/>
        <v>63.514580284297438</v>
      </c>
      <c r="BJ49" s="24">
        <f t="shared" si="91"/>
        <v>84.338569935077956</v>
      </c>
      <c r="BK49" s="24">
        <f t="shared" si="91"/>
        <v>99.59591237972856</v>
      </c>
      <c r="BL49" s="24">
        <f t="shared" si="91"/>
        <v>52.097140421275071</v>
      </c>
      <c r="BM49" s="24">
        <f t="shared" si="91"/>
        <v>45.584955778322723</v>
      </c>
      <c r="BN49" s="24">
        <f t="shared" si="91"/>
        <v>58.264236089186511</v>
      </c>
      <c r="BO49" s="24">
        <f t="shared" si="91"/>
        <v>65.693436756101718</v>
      </c>
      <c r="BP49" s="24">
        <f t="shared" si="91"/>
        <v>56.091758859264516</v>
      </c>
      <c r="BQ49" s="24">
        <f t="shared" si="91"/>
        <v>72.511583267863912</v>
      </c>
      <c r="BR49" s="24">
        <f t="shared" si="91"/>
        <v>55.588924642667109</v>
      </c>
      <c r="BS49" s="24">
        <f t="shared" si="91"/>
        <v>43.241991936025407</v>
      </c>
      <c r="BT49" s="24">
        <f t="shared" si="91"/>
        <v>42.054707169760121</v>
      </c>
      <c r="BU49" s="24">
        <f t="shared" si="91"/>
        <v>48.004246928753673</v>
      </c>
      <c r="BV49" s="24">
        <f t="shared" si="91"/>
        <v>50.289306290825422</v>
      </c>
      <c r="BW49" s="24">
        <f t="shared" si="91"/>
        <v>45.534114024673585</v>
      </c>
      <c r="BX49" s="24">
        <f t="shared" si="91"/>
        <v>29.960620258271206</v>
      </c>
      <c r="BY49" s="24">
        <f t="shared" si="91"/>
        <v>88.00055024244071</v>
      </c>
      <c r="BZ49" s="24">
        <f t="shared" si="91"/>
        <v>71.558861043233492</v>
      </c>
      <c r="CA49" s="24">
        <f t="shared" si="91"/>
        <v>49.181340920509641</v>
      </c>
      <c r="CB49" s="24">
        <f t="shared" ref="CB49:EM49" si="92">SUM(CB45:CB47)</f>
        <v>58.303231152488536</v>
      </c>
      <c r="CC49" s="24">
        <f t="shared" si="92"/>
        <v>47.913161496537555</v>
      </c>
      <c r="CD49" s="24">
        <f t="shared" si="92"/>
        <v>37.044378125022909</v>
      </c>
      <c r="CE49" s="24">
        <f t="shared" si="92"/>
        <v>37.004941831377408</v>
      </c>
      <c r="CF49" s="24">
        <f t="shared" si="92"/>
        <v>34.491009852245</v>
      </c>
      <c r="CG49" s="24">
        <f t="shared" si="92"/>
        <v>73.478944712051998</v>
      </c>
      <c r="CH49" s="24">
        <f t="shared" si="92"/>
        <v>45.636630972355356</v>
      </c>
      <c r="CI49" s="24">
        <f t="shared" si="92"/>
        <v>62.579403407757141</v>
      </c>
      <c r="CJ49" s="24">
        <f t="shared" si="92"/>
        <v>96.026411395375646</v>
      </c>
      <c r="CK49" s="24">
        <f t="shared" si="92"/>
        <v>72.461151589878043</v>
      </c>
      <c r="CL49" s="24">
        <f t="shared" si="92"/>
        <v>72.531507079798445</v>
      </c>
      <c r="CM49" s="24">
        <f t="shared" si="92"/>
        <v>71.585338020371637</v>
      </c>
      <c r="CN49" s="24">
        <f t="shared" si="92"/>
        <v>79.945813044115226</v>
      </c>
      <c r="CO49" s="24">
        <f t="shared" si="92"/>
        <v>45.554222823451141</v>
      </c>
      <c r="CP49" s="24">
        <f t="shared" si="92"/>
        <v>84.04294676050182</v>
      </c>
      <c r="CQ49" s="24">
        <f t="shared" si="92"/>
        <v>93.910766192257739</v>
      </c>
      <c r="CR49" s="24">
        <f t="shared" si="92"/>
        <v>100.64880305630392</v>
      </c>
      <c r="CS49" s="24">
        <f t="shared" si="92"/>
        <v>75.332612309201238</v>
      </c>
      <c r="CT49" s="24">
        <f t="shared" si="92"/>
        <v>84.162444522377513</v>
      </c>
      <c r="CU49" s="24">
        <f t="shared" si="92"/>
        <v>93.940226183435641</v>
      </c>
      <c r="CV49" s="24">
        <f t="shared" si="92"/>
        <v>91.945723991894283</v>
      </c>
      <c r="CW49" s="24">
        <f t="shared" si="92"/>
        <v>35.771502974992522</v>
      </c>
      <c r="CX49" s="24">
        <f t="shared" si="92"/>
        <v>70.768557313445143</v>
      </c>
      <c r="CY49" s="24">
        <f t="shared" si="92"/>
        <v>45.643945090254562</v>
      </c>
      <c r="CZ49" s="24">
        <f t="shared" si="92"/>
        <v>84.12254102516043</v>
      </c>
      <c r="DA49" s="24">
        <f t="shared" si="92"/>
        <v>49.184526980691075</v>
      </c>
      <c r="DB49" s="24">
        <f t="shared" si="92"/>
        <v>29.19141202161402</v>
      </c>
      <c r="DC49" s="24">
        <f t="shared" si="92"/>
        <v>92.003686008731478</v>
      </c>
      <c r="DD49" s="24">
        <f t="shared" si="92"/>
        <v>29.155262818153552</v>
      </c>
      <c r="DE49" s="24">
        <f t="shared" si="92"/>
        <v>88.835415948503993</v>
      </c>
      <c r="DF49" s="24">
        <f t="shared" si="92"/>
        <v>93.207655484656584</v>
      </c>
      <c r="DG49" s="24">
        <f t="shared" si="92"/>
        <v>71.498692180466179</v>
      </c>
      <c r="DH49" s="24">
        <f t="shared" si="92"/>
        <v>58.301514444346878</v>
      </c>
      <c r="DI49" s="24">
        <f t="shared" si="92"/>
        <v>87.197278143556417</v>
      </c>
      <c r="DJ49" s="24">
        <f t="shared" si="92"/>
        <v>94.174260965980807</v>
      </c>
      <c r="DK49" s="24">
        <f t="shared" si="92"/>
        <v>84.115174741216805</v>
      </c>
      <c r="DL49" s="24">
        <f t="shared" si="92"/>
        <v>66.570361980934962</v>
      </c>
      <c r="DM49" s="24">
        <f t="shared" si="92"/>
        <v>63.606318474342601</v>
      </c>
      <c r="DN49" s="24">
        <f t="shared" si="92"/>
        <v>80.756500888414962</v>
      </c>
      <c r="DO49" s="24">
        <f t="shared" si="92"/>
        <v>95.517897121840264</v>
      </c>
      <c r="DP49" s="24">
        <f t="shared" si="92"/>
        <v>97.535774566915876</v>
      </c>
      <c r="DQ49" s="24">
        <f t="shared" si="92"/>
        <v>83.38419522868422</v>
      </c>
      <c r="DR49" s="24">
        <f t="shared" si="92"/>
        <v>70.60808959033308</v>
      </c>
      <c r="DS49" s="24">
        <f t="shared" si="92"/>
        <v>100.53082646856981</v>
      </c>
      <c r="DT49" s="24">
        <f t="shared" si="92"/>
        <v>74.606184856556993</v>
      </c>
      <c r="DU49" s="24">
        <f t="shared" si="92"/>
        <v>44.344949119470769</v>
      </c>
      <c r="DV49" s="24">
        <f t="shared" si="92"/>
        <v>46.814175984257091</v>
      </c>
      <c r="DW49" s="24">
        <f t="shared" si="92"/>
        <v>89.0711781771235</v>
      </c>
      <c r="DX49" s="24">
        <f t="shared" si="92"/>
        <v>100.18244650800943</v>
      </c>
      <c r="DY49" s="24">
        <f t="shared" si="92"/>
        <v>52.57304207644583</v>
      </c>
      <c r="DZ49" s="24">
        <f t="shared" si="92"/>
        <v>60.520496029655433</v>
      </c>
      <c r="EA49" s="24">
        <f t="shared" si="92"/>
        <v>61.459286644450991</v>
      </c>
      <c r="EB49" s="24">
        <f t="shared" si="92"/>
        <v>91.947859116847468</v>
      </c>
      <c r="EC49" s="24">
        <f t="shared" si="92"/>
        <v>84.255575514304212</v>
      </c>
      <c r="ED49" s="24">
        <f t="shared" si="92"/>
        <v>69.693749748617179</v>
      </c>
      <c r="EE49" s="24">
        <f t="shared" si="92"/>
        <v>86.655430689249869</v>
      </c>
      <c r="EF49" s="24">
        <f t="shared" si="92"/>
        <v>47.993372314408617</v>
      </c>
      <c r="EG49" s="24">
        <f t="shared" si="92"/>
        <v>48.101296097679921</v>
      </c>
      <c r="EH49" s="24">
        <f t="shared" si="92"/>
        <v>74.357565306208286</v>
      </c>
      <c r="EI49" s="24">
        <f t="shared" si="92"/>
        <v>52.636139979242159</v>
      </c>
      <c r="EJ49" s="24">
        <f t="shared" si="92"/>
        <v>36.976033813354789</v>
      </c>
      <c r="EK49" s="24">
        <f t="shared" si="92"/>
        <v>50.289841276231776</v>
      </c>
      <c r="EL49" s="24">
        <f t="shared" si="92"/>
        <v>70.563174187292191</v>
      </c>
      <c r="EM49" s="24">
        <f t="shared" si="92"/>
        <v>38.250478502186922</v>
      </c>
      <c r="EN49" s="24">
        <f t="shared" ref="EN49:GY49" si="93">SUM(EN45:EN47)</f>
        <v>78.959743144188025</v>
      </c>
      <c r="EO49" s="24">
        <f t="shared" si="93"/>
        <v>70.742079395730443</v>
      </c>
      <c r="EP49" s="24">
        <f t="shared" si="93"/>
        <v>34.480607395985892</v>
      </c>
      <c r="EQ49" s="24">
        <f t="shared" si="93"/>
        <v>33.092141976074586</v>
      </c>
      <c r="ER49" s="24">
        <f t="shared" si="93"/>
        <v>74.308790151520071</v>
      </c>
      <c r="ES49" s="24">
        <f t="shared" si="93"/>
        <v>54.975875052433096</v>
      </c>
      <c r="ET49" s="24">
        <f t="shared" si="93"/>
        <v>93.923083399669451</v>
      </c>
      <c r="EU49" s="24">
        <f t="shared" si="93"/>
        <v>96.368465530795277</v>
      </c>
      <c r="EV49" s="24">
        <f t="shared" si="93"/>
        <v>94.995488627820919</v>
      </c>
      <c r="EW49" s="24">
        <f t="shared" si="93"/>
        <v>100.42291339952777</v>
      </c>
      <c r="EX49" s="24">
        <f t="shared" si="93"/>
        <v>58.185993438021441</v>
      </c>
      <c r="EY49" s="24">
        <f t="shared" si="93"/>
        <v>77.379083490853674</v>
      </c>
      <c r="EZ49" s="24">
        <f t="shared" si="93"/>
        <v>65.521598373117158</v>
      </c>
      <c r="FA49" s="24">
        <f t="shared" si="93"/>
        <v>97.665113668477517</v>
      </c>
      <c r="FB49" s="24">
        <f t="shared" si="93"/>
        <v>36.983250255389336</v>
      </c>
      <c r="FC49" s="24">
        <f t="shared" si="93"/>
        <v>38.269951826850374</v>
      </c>
      <c r="FD49" s="24">
        <f t="shared" si="93"/>
        <v>97.941127397682664</v>
      </c>
      <c r="FE49" s="24">
        <f t="shared" si="93"/>
        <v>93.533103954776522</v>
      </c>
      <c r="FF49" s="24">
        <f t="shared" si="93"/>
        <v>88.29722179664131</v>
      </c>
      <c r="FG49" s="24">
        <f t="shared" si="93"/>
        <v>59.239678581216452</v>
      </c>
      <c r="FH49" s="24">
        <f t="shared" si="93"/>
        <v>39.487640869512077</v>
      </c>
      <c r="FI49" s="24">
        <f t="shared" si="93"/>
        <v>47.945814131476894</v>
      </c>
      <c r="FJ49" s="24">
        <f t="shared" si="93"/>
        <v>91.375404077101166</v>
      </c>
      <c r="FK49" s="24">
        <f t="shared" si="93"/>
        <v>93.270163816679315</v>
      </c>
      <c r="FL49" s="24">
        <f t="shared" si="93"/>
        <v>38.318602519470161</v>
      </c>
      <c r="FM49" s="24">
        <f t="shared" si="93"/>
        <v>79.801280318655358</v>
      </c>
      <c r="FN49" s="24">
        <f t="shared" si="93"/>
        <v>94.041423621500599</v>
      </c>
      <c r="FO49" s="24">
        <f t="shared" si="93"/>
        <v>69.577446558178593</v>
      </c>
      <c r="FP49" s="24">
        <f t="shared" si="93"/>
        <v>98.616915546211658</v>
      </c>
      <c r="FQ49" s="24">
        <f t="shared" si="93"/>
        <v>76.325199782581507</v>
      </c>
      <c r="FR49" s="24">
        <f t="shared" si="93"/>
        <v>67.656354837184125</v>
      </c>
      <c r="FS49" s="24">
        <f t="shared" si="93"/>
        <v>91.112309029513114</v>
      </c>
      <c r="FT49" s="24">
        <f t="shared" si="93"/>
        <v>98.938194845444855</v>
      </c>
      <c r="FU49" s="24">
        <f t="shared" si="93"/>
        <v>76.220608597432701</v>
      </c>
      <c r="FV49" s="24">
        <f t="shared" si="93"/>
        <v>86.46952786135563</v>
      </c>
      <c r="FW49" s="24">
        <f t="shared" si="93"/>
        <v>78.177169775670961</v>
      </c>
      <c r="FX49" s="24">
        <f t="shared" si="93"/>
        <v>96.735399705965932</v>
      </c>
      <c r="FY49" s="24">
        <f t="shared" si="93"/>
        <v>91.964492920535974</v>
      </c>
      <c r="FZ49" s="24">
        <f t="shared" si="93"/>
        <v>62.398090390170509</v>
      </c>
      <c r="GA49" s="24">
        <f t="shared" si="93"/>
        <v>88.782372307017155</v>
      </c>
      <c r="GB49" s="24">
        <f t="shared" si="93"/>
        <v>66.688845268872413</v>
      </c>
      <c r="GC49" s="24">
        <f t="shared" si="93"/>
        <v>48.012123702543157</v>
      </c>
      <c r="GD49" s="24">
        <f t="shared" si="93"/>
        <v>33.119820972474869</v>
      </c>
      <c r="GE49" s="24">
        <f t="shared" si="93"/>
        <v>30.555930247349032</v>
      </c>
      <c r="GF49" s="24">
        <f t="shared" si="93"/>
        <v>33.181861824877345</v>
      </c>
      <c r="GG49" s="24">
        <f t="shared" si="93"/>
        <v>91.913213229352493</v>
      </c>
      <c r="GH49" s="24">
        <f t="shared" si="93"/>
        <v>41.955450021449579</v>
      </c>
      <c r="GI49" s="24">
        <f t="shared" si="93"/>
        <v>78.083240981469572</v>
      </c>
      <c r="GJ49" s="24">
        <f t="shared" si="93"/>
        <v>45.538131828969419</v>
      </c>
      <c r="GK49" s="24">
        <f t="shared" si="93"/>
        <v>60.439684327421944</v>
      </c>
      <c r="GL49" s="24">
        <f t="shared" si="93"/>
        <v>62.433293675745858</v>
      </c>
      <c r="GM49" s="24">
        <f t="shared" si="93"/>
        <v>46.754632099932863</v>
      </c>
      <c r="GN49" s="24">
        <f t="shared" si="93"/>
        <v>86.625943607892992</v>
      </c>
      <c r="GO49" s="24">
        <f t="shared" si="93"/>
        <v>100.50204440549658</v>
      </c>
      <c r="GP49" s="24">
        <f t="shared" si="93"/>
        <v>81.656819492622446</v>
      </c>
      <c r="GQ49" s="24">
        <f t="shared" si="93"/>
        <v>88.839297310545916</v>
      </c>
      <c r="GR49" s="24">
        <f t="shared" si="93"/>
        <v>49.148438472456078</v>
      </c>
      <c r="GS49" s="24">
        <f t="shared" si="93"/>
        <v>60.303214616455378</v>
      </c>
      <c r="GT49" s="24">
        <f t="shared" si="93"/>
        <v>51.481908827780117</v>
      </c>
      <c r="GU49" s="24">
        <f t="shared" si="93"/>
        <v>60.497330624762611</v>
      </c>
      <c r="GV49" s="24">
        <f t="shared" si="93"/>
        <v>79.776911088326386</v>
      </c>
      <c r="GW49" s="24">
        <f t="shared" si="93"/>
        <v>53.684199125233818</v>
      </c>
      <c r="GX49" s="24">
        <f t="shared" si="93"/>
        <v>73.442899035299305</v>
      </c>
      <c r="GY49" s="24">
        <f t="shared" si="93"/>
        <v>40.811345637974313</v>
      </c>
      <c r="GZ49" s="24">
        <f t="shared" ref="GZ49:JK49" si="94">SUM(GZ45:GZ47)</f>
        <v>39.54715493449882</v>
      </c>
      <c r="HA49" s="24">
        <f t="shared" si="94"/>
        <v>54.945238166433725</v>
      </c>
      <c r="HB49" s="24">
        <f t="shared" si="94"/>
        <v>92.046471661704246</v>
      </c>
      <c r="HC49" s="24">
        <f t="shared" si="94"/>
        <v>30.479489322106765</v>
      </c>
      <c r="HD49" s="24">
        <f t="shared" si="94"/>
        <v>88.79832223655032</v>
      </c>
      <c r="HE49" s="24">
        <f t="shared" si="94"/>
        <v>92.580901996361746</v>
      </c>
      <c r="HF49" s="24">
        <f t="shared" si="94"/>
        <v>84.914615896736095</v>
      </c>
      <c r="HG49" s="24">
        <f t="shared" si="94"/>
        <v>95.627169546887302</v>
      </c>
      <c r="HH49" s="24">
        <f t="shared" si="94"/>
        <v>85.808636621594246</v>
      </c>
      <c r="HI49" s="24">
        <f t="shared" si="94"/>
        <v>46.807668319235177</v>
      </c>
      <c r="HJ49" s="24">
        <f t="shared" si="94"/>
        <v>86.681546484329772</v>
      </c>
      <c r="HK49" s="24">
        <f t="shared" si="94"/>
        <v>41.994812655555222</v>
      </c>
      <c r="HL49" s="24">
        <f t="shared" si="94"/>
        <v>96.852652328761934</v>
      </c>
      <c r="HM49" s="24">
        <f t="shared" si="94"/>
        <v>91.275826610692533</v>
      </c>
      <c r="HN49" s="24">
        <f t="shared" si="94"/>
        <v>86.576171004944456</v>
      </c>
      <c r="HO49" s="24">
        <f t="shared" si="94"/>
        <v>86.458022200699602</v>
      </c>
      <c r="HP49" s="24">
        <f t="shared" si="94"/>
        <v>43.151073036385604</v>
      </c>
      <c r="HQ49" s="24">
        <f t="shared" si="94"/>
        <v>92.130445464287448</v>
      </c>
      <c r="HR49" s="24">
        <f t="shared" si="94"/>
        <v>52.614338068759835</v>
      </c>
      <c r="HS49" s="24">
        <f t="shared" si="94"/>
        <v>34.399133478358991</v>
      </c>
      <c r="HT49" s="24">
        <f t="shared" si="94"/>
        <v>96.690925270938465</v>
      </c>
      <c r="HU49" s="24">
        <f t="shared" si="94"/>
        <v>42.052477212935635</v>
      </c>
      <c r="HV49" s="24">
        <f t="shared" si="94"/>
        <v>100.0384269534659</v>
      </c>
      <c r="HW49" s="24">
        <f t="shared" si="94"/>
        <v>96.949843195374797</v>
      </c>
      <c r="HX49" s="24">
        <f t="shared" si="94"/>
        <v>75.234067295771496</v>
      </c>
      <c r="HY49" s="24">
        <f t="shared" si="94"/>
        <v>98.317326282480593</v>
      </c>
      <c r="HZ49" s="24">
        <f t="shared" si="94"/>
        <v>34.408626606914311</v>
      </c>
      <c r="IA49" s="24">
        <f t="shared" si="94"/>
        <v>42.021961479768038</v>
      </c>
      <c r="IB49" s="24">
        <f t="shared" si="94"/>
        <v>67.529754874714627</v>
      </c>
      <c r="IC49" s="24">
        <f t="shared" si="94"/>
        <v>51.530908138110831</v>
      </c>
      <c r="ID49" s="24">
        <f t="shared" si="94"/>
        <v>98.945359384460431</v>
      </c>
      <c r="IE49" s="24">
        <f t="shared" si="94"/>
        <v>65.579905053973363</v>
      </c>
      <c r="IF49" s="24">
        <f t="shared" si="94"/>
        <v>92.090249486891935</v>
      </c>
      <c r="IG49" s="24">
        <f t="shared" si="94"/>
        <v>57.205852783489277</v>
      </c>
      <c r="IH49" s="24">
        <f t="shared" si="94"/>
        <v>93.576016695025629</v>
      </c>
      <c r="II49" s="24">
        <f t="shared" si="94"/>
        <v>80.771480691438185</v>
      </c>
      <c r="IJ49" s="24">
        <f t="shared" si="94"/>
        <v>80.933249457246845</v>
      </c>
      <c r="IK49" s="24">
        <f t="shared" si="94"/>
        <v>52.556056560801281</v>
      </c>
      <c r="IL49" s="24">
        <f t="shared" si="94"/>
        <v>78.85429118259367</v>
      </c>
      <c r="IM49" s="24">
        <f t="shared" si="94"/>
        <v>83.418440343632895</v>
      </c>
      <c r="IN49" s="24">
        <f t="shared" si="94"/>
        <v>83.326579104495934</v>
      </c>
      <c r="IO49" s="24">
        <f t="shared" si="94"/>
        <v>95.276608083048885</v>
      </c>
      <c r="IP49" s="24">
        <f t="shared" si="94"/>
        <v>76.225261765575937</v>
      </c>
      <c r="IQ49" s="24">
        <f t="shared" si="94"/>
        <v>59.232669814858113</v>
      </c>
      <c r="IR49" s="24">
        <f t="shared" si="94"/>
        <v>70.582174631445923</v>
      </c>
      <c r="IS49" s="24">
        <f t="shared" si="94"/>
        <v>60.341826908243277</v>
      </c>
      <c r="IT49" s="24">
        <f t="shared" si="94"/>
        <v>66.699370452302375</v>
      </c>
      <c r="IU49" s="24">
        <f t="shared" si="94"/>
        <v>46.869407652696253</v>
      </c>
      <c r="IV49" s="24">
        <f t="shared" si="94"/>
        <v>74.512907204359493</v>
      </c>
      <c r="IW49" s="24">
        <f t="shared" si="94"/>
        <v>100.53845712403481</v>
      </c>
      <c r="IX49" s="24">
        <f t="shared" si="94"/>
        <v>65.720307907345912</v>
      </c>
      <c r="IY49" s="24">
        <f t="shared" si="94"/>
        <v>92.069038934163544</v>
      </c>
      <c r="IZ49" s="24">
        <f t="shared" si="94"/>
        <v>69.725313560272667</v>
      </c>
      <c r="JA49" s="24">
        <f t="shared" si="94"/>
        <v>71.512311406887932</v>
      </c>
      <c r="JB49" s="24">
        <f t="shared" si="94"/>
        <v>35.638023310094667</v>
      </c>
      <c r="JC49" s="24">
        <f t="shared" si="94"/>
        <v>91.398266882417772</v>
      </c>
      <c r="JD49" s="24">
        <f t="shared" si="94"/>
        <v>55.023576276255469</v>
      </c>
      <c r="JE49" s="24">
        <f t="shared" si="94"/>
        <v>54.870461112937747</v>
      </c>
      <c r="JF49" s="24">
        <f t="shared" si="94"/>
        <v>58.27232362971229</v>
      </c>
      <c r="JG49" s="24">
        <f t="shared" si="94"/>
        <v>100.63871070611486</v>
      </c>
      <c r="JH49" s="24">
        <f t="shared" si="94"/>
        <v>42.061236091339865</v>
      </c>
      <c r="JI49" s="24">
        <f t="shared" si="94"/>
        <v>92.560871504935051</v>
      </c>
      <c r="JJ49" s="24">
        <f t="shared" si="94"/>
        <v>45.564423778405924</v>
      </c>
      <c r="JK49" s="24">
        <f t="shared" si="94"/>
        <v>39.464656190444458</v>
      </c>
      <c r="JL49" s="24">
        <f t="shared" ref="JL49:KI49" si="95">SUM(JL45:JL47)</f>
        <v>79.152561999931123</v>
      </c>
      <c r="JM49" s="24">
        <f t="shared" si="95"/>
        <v>96.716295081875614</v>
      </c>
      <c r="JN49" s="24">
        <f t="shared" si="95"/>
        <v>35.757448594444384</v>
      </c>
      <c r="JO49" s="24">
        <f t="shared" si="95"/>
        <v>77.353952002637783</v>
      </c>
      <c r="JP49" s="24">
        <f t="shared" si="95"/>
        <v>29.189117766983401</v>
      </c>
      <c r="JQ49" s="24">
        <f t="shared" si="95"/>
        <v>64.51828013795533</v>
      </c>
      <c r="JR49" s="24">
        <f t="shared" si="95"/>
        <v>94.576925244160464</v>
      </c>
      <c r="JS49" s="24">
        <f t="shared" si="95"/>
        <v>44.478548275887576</v>
      </c>
      <c r="JT49" s="24">
        <f t="shared" si="95"/>
        <v>94.293770416881287</v>
      </c>
      <c r="JU49" s="24">
        <f t="shared" si="95"/>
        <v>92.71735301455405</v>
      </c>
      <c r="JV49" s="24">
        <f t="shared" si="95"/>
        <v>44.375563816794852</v>
      </c>
      <c r="JW49" s="24">
        <f t="shared" si="95"/>
        <v>93.244380714922528</v>
      </c>
      <c r="JX49" s="24">
        <f t="shared" si="95"/>
        <v>30.48996405952343</v>
      </c>
      <c r="JY49" s="24">
        <f t="shared" si="95"/>
        <v>93.333705953781788</v>
      </c>
      <c r="JZ49" s="24">
        <f t="shared" si="95"/>
        <v>66.589816822387945</v>
      </c>
      <c r="KA49" s="24">
        <f t="shared" si="95"/>
        <v>39.574479835513472</v>
      </c>
      <c r="KB49" s="24">
        <f t="shared" si="95"/>
        <v>40.677898061336698</v>
      </c>
      <c r="KC49" s="24">
        <f t="shared" si="95"/>
        <v>96.015920579996333</v>
      </c>
      <c r="KD49" s="24">
        <f t="shared" si="95"/>
        <v>98.170088942731752</v>
      </c>
      <c r="KE49" s="24">
        <f t="shared" si="95"/>
        <v>61.392490811583585</v>
      </c>
      <c r="KF49" s="24">
        <f t="shared" si="95"/>
        <v>91.378954280685505</v>
      </c>
      <c r="KG49" s="24">
        <f t="shared" si="95"/>
        <v>75.425070855412599</v>
      </c>
      <c r="KH49" s="24">
        <f t="shared" si="95"/>
        <v>52.655894381145124</v>
      </c>
      <c r="KI49" s="24">
        <f t="shared" si="95"/>
        <v>62.481006172641145</v>
      </c>
      <c r="KJ49" s="1"/>
    </row>
    <row r="50" spans="8:296" x14ac:dyDescent="0.35">
      <c r="H50" s="13" t="s">
        <v>22</v>
      </c>
      <c r="M50" s="29" t="s">
        <v>87</v>
      </c>
      <c r="N50" s="30">
        <f>SUM(N48:N49)</f>
        <v>212</v>
      </c>
      <c r="O50" s="30">
        <f>SUM(O48:O49)</f>
        <v>258.97379750835881</v>
      </c>
      <c r="P50" s="30">
        <f t="shared" ref="P50:CA50" si="96">SUM(P48:P49)</f>
        <v>322.89528659498819</v>
      </c>
      <c r="Q50" s="30">
        <f t="shared" si="96"/>
        <v>410.66762249185945</v>
      </c>
      <c r="R50" s="30">
        <f t="shared" si="96"/>
        <v>456.35171951584039</v>
      </c>
      <c r="S50" s="30">
        <f t="shared" si="96"/>
        <v>463.09441685782957</v>
      </c>
      <c r="T50" s="30">
        <f t="shared" si="96"/>
        <v>556.17371571484614</v>
      </c>
      <c r="U50" s="30">
        <f t="shared" si="96"/>
        <v>615.03752176678199</v>
      </c>
      <c r="V50" s="30">
        <f t="shared" si="96"/>
        <v>681.71405698326907</v>
      </c>
      <c r="W50" s="30">
        <f t="shared" si="96"/>
        <v>776.04512609552319</v>
      </c>
      <c r="X50" s="30">
        <f t="shared" si="96"/>
        <v>858.257587484748</v>
      </c>
      <c r="Y50" s="30">
        <f t="shared" si="96"/>
        <v>927.95102466137928</v>
      </c>
      <c r="Z50" s="30">
        <f t="shared" si="96"/>
        <v>958.01388701479345</v>
      </c>
      <c r="AA50" s="30">
        <f t="shared" si="96"/>
        <v>1047.2535619860118</v>
      </c>
      <c r="AB50" s="30">
        <f t="shared" si="96"/>
        <v>1114.3671309480296</v>
      </c>
      <c r="AC50" s="30">
        <f t="shared" si="96"/>
        <v>1204.7431897694262</v>
      </c>
      <c r="AD50" s="30">
        <f t="shared" si="96"/>
        <v>1282.9570489090779</v>
      </c>
      <c r="AE50" s="30">
        <f t="shared" si="96"/>
        <v>1337.9022548779633</v>
      </c>
      <c r="AF50" s="30">
        <f t="shared" si="96"/>
        <v>1382.2380028935988</v>
      </c>
      <c r="AG50" s="30">
        <f t="shared" si="96"/>
        <v>1455.6823200995946</v>
      </c>
      <c r="AH50" s="30">
        <f t="shared" si="96"/>
        <v>1461.1710944085648</v>
      </c>
      <c r="AI50" s="30">
        <f t="shared" si="96"/>
        <v>1535.6748360524471</v>
      </c>
      <c r="AJ50" s="30">
        <f t="shared" si="96"/>
        <v>1570.1615773328665</v>
      </c>
      <c r="AK50" s="30">
        <f t="shared" si="96"/>
        <v>1641.8692912647641</v>
      </c>
      <c r="AL50" s="30">
        <f t="shared" si="96"/>
        <v>1678.7907295792374</v>
      </c>
      <c r="AM50" s="30">
        <f t="shared" si="96"/>
        <v>1753.1717394017783</v>
      </c>
      <c r="AN50" s="30">
        <f t="shared" si="96"/>
        <v>1800.7938022032124</v>
      </c>
      <c r="AO50" s="30">
        <f t="shared" si="96"/>
        <v>1841.6182717877905</v>
      </c>
      <c r="AP50" s="30">
        <f t="shared" si="96"/>
        <v>1885.986042972143</v>
      </c>
      <c r="AQ50" s="30">
        <f t="shared" si="96"/>
        <v>1927.891029093068</v>
      </c>
      <c r="AR50" s="30">
        <f t="shared" si="96"/>
        <v>1958.4430254919032</v>
      </c>
      <c r="AS50" s="30">
        <f t="shared" si="96"/>
        <v>2032.0176109450733</v>
      </c>
      <c r="AT50" s="30">
        <f t="shared" si="96"/>
        <v>2063.089076829282</v>
      </c>
      <c r="AU50" s="30">
        <f t="shared" si="96"/>
        <v>2124.4473737432704</v>
      </c>
      <c r="AV50" s="30">
        <f t="shared" si="96"/>
        <v>2183.8717641745798</v>
      </c>
      <c r="AW50" s="30">
        <f t="shared" si="96"/>
        <v>2261.2027285958156</v>
      </c>
      <c r="AX50" s="30">
        <f t="shared" si="96"/>
        <v>2349.265007890062</v>
      </c>
      <c r="AY50" s="30">
        <f t="shared" si="96"/>
        <v>2418.0460416374249</v>
      </c>
      <c r="AZ50" s="30">
        <f t="shared" si="96"/>
        <v>2477.319131675386</v>
      </c>
      <c r="BA50" s="30">
        <f t="shared" si="96"/>
        <v>2550.9067172961836</v>
      </c>
      <c r="BB50" s="30">
        <f t="shared" si="96"/>
        <v>2643.4579150228142</v>
      </c>
      <c r="BC50" s="30">
        <f t="shared" si="96"/>
        <v>2707.0405539039311</v>
      </c>
      <c r="BD50" s="30">
        <f t="shared" si="96"/>
        <v>2737.6122937282653</v>
      </c>
      <c r="BE50" s="30">
        <f t="shared" si="96"/>
        <v>2816.6851239963862</v>
      </c>
      <c r="BF50" s="30">
        <f t="shared" si="96"/>
        <v>2889.3645910459804</v>
      </c>
      <c r="BG50" s="30">
        <f t="shared" si="96"/>
        <v>2943.1547489489644</v>
      </c>
      <c r="BH50" s="30">
        <f t="shared" si="96"/>
        <v>3013.8656748687827</v>
      </c>
      <c r="BI50" s="30">
        <f t="shared" si="96"/>
        <v>3077.3802551530803</v>
      </c>
      <c r="BJ50" s="30">
        <f t="shared" si="96"/>
        <v>3161.7188250881582</v>
      </c>
      <c r="BK50" s="30">
        <f t="shared" si="96"/>
        <v>3261.3147374678865</v>
      </c>
      <c r="BL50" s="30">
        <f t="shared" si="96"/>
        <v>3313.4118778891616</v>
      </c>
      <c r="BM50" s="30">
        <f t="shared" si="96"/>
        <v>3358.9968336674842</v>
      </c>
      <c r="BN50" s="30">
        <f t="shared" si="96"/>
        <v>3417.2610697566706</v>
      </c>
      <c r="BO50" s="30">
        <f t="shared" si="96"/>
        <v>3482.9545065127722</v>
      </c>
      <c r="BP50" s="30">
        <f t="shared" si="96"/>
        <v>3539.0462653720369</v>
      </c>
      <c r="BQ50" s="30">
        <f t="shared" si="96"/>
        <v>3611.5578486399008</v>
      </c>
      <c r="BR50" s="30">
        <f t="shared" si="96"/>
        <v>3667.1467732825681</v>
      </c>
      <c r="BS50" s="30">
        <f t="shared" si="96"/>
        <v>3710.3887652185936</v>
      </c>
      <c r="BT50" s="30">
        <f t="shared" si="96"/>
        <v>3752.4434723883537</v>
      </c>
      <c r="BU50" s="30">
        <f t="shared" si="96"/>
        <v>3800.4477193171074</v>
      </c>
      <c r="BV50" s="30">
        <f t="shared" si="96"/>
        <v>3850.737025607933</v>
      </c>
      <c r="BW50" s="30">
        <f t="shared" si="96"/>
        <v>3896.2711396326067</v>
      </c>
      <c r="BX50" s="30">
        <f t="shared" si="96"/>
        <v>3926.231759890878</v>
      </c>
      <c r="BY50" s="30">
        <f t="shared" si="96"/>
        <v>4014.2323101333186</v>
      </c>
      <c r="BZ50" s="30">
        <f t="shared" si="96"/>
        <v>4085.7911711765519</v>
      </c>
      <c r="CA50" s="30">
        <f t="shared" si="96"/>
        <v>4134.9725120970616</v>
      </c>
      <c r="CB50" s="30">
        <f t="shared" ref="CB50:EM50" si="97">SUM(CB48:CB49)</f>
        <v>4193.27574324955</v>
      </c>
      <c r="CC50" s="30">
        <f t="shared" si="97"/>
        <v>4241.1889047460872</v>
      </c>
      <c r="CD50" s="30">
        <f t="shared" si="97"/>
        <v>4278.2332828711105</v>
      </c>
      <c r="CE50" s="30">
        <f t="shared" si="97"/>
        <v>4315.238224702488</v>
      </c>
      <c r="CF50" s="30">
        <f t="shared" si="97"/>
        <v>4349.729234554733</v>
      </c>
      <c r="CG50" s="30">
        <f t="shared" si="97"/>
        <v>4423.208179266785</v>
      </c>
      <c r="CH50" s="30">
        <f t="shared" si="97"/>
        <v>4468.8448102391403</v>
      </c>
      <c r="CI50" s="30">
        <f t="shared" si="97"/>
        <v>4531.4242136468974</v>
      </c>
      <c r="CJ50" s="30">
        <f t="shared" si="97"/>
        <v>4627.4506250422728</v>
      </c>
      <c r="CK50" s="30">
        <f t="shared" si="97"/>
        <v>4699.9117766321506</v>
      </c>
      <c r="CL50" s="30">
        <f t="shared" si="97"/>
        <v>4772.4432837119493</v>
      </c>
      <c r="CM50" s="30">
        <f t="shared" si="97"/>
        <v>4844.028621732321</v>
      </c>
      <c r="CN50" s="30">
        <f t="shared" si="97"/>
        <v>4923.9744347764363</v>
      </c>
      <c r="CO50" s="30">
        <f t="shared" si="97"/>
        <v>4969.5286575998871</v>
      </c>
      <c r="CP50" s="30">
        <f t="shared" si="97"/>
        <v>5053.5716043603888</v>
      </c>
      <c r="CQ50" s="30">
        <f t="shared" si="97"/>
        <v>5147.4823705526469</v>
      </c>
      <c r="CR50" s="30">
        <f t="shared" si="97"/>
        <v>5248.131173608951</v>
      </c>
      <c r="CS50" s="30">
        <f t="shared" si="97"/>
        <v>5323.4637859181521</v>
      </c>
      <c r="CT50" s="30">
        <f t="shared" si="97"/>
        <v>5407.62623044053</v>
      </c>
      <c r="CU50" s="30">
        <f t="shared" si="97"/>
        <v>5501.5664566239657</v>
      </c>
      <c r="CV50" s="30">
        <f t="shared" si="97"/>
        <v>5593.5121806158604</v>
      </c>
      <c r="CW50" s="30">
        <f t="shared" si="97"/>
        <v>5629.2836835908529</v>
      </c>
      <c r="CX50" s="30">
        <f t="shared" si="97"/>
        <v>5700.0522409042978</v>
      </c>
      <c r="CY50" s="30">
        <f t="shared" si="97"/>
        <v>5745.6961859945523</v>
      </c>
      <c r="CZ50" s="30">
        <f t="shared" si="97"/>
        <v>5829.8187270197122</v>
      </c>
      <c r="DA50" s="30">
        <f t="shared" si="97"/>
        <v>5879.0032540004031</v>
      </c>
      <c r="DB50" s="30">
        <f t="shared" si="97"/>
        <v>5908.1946660220174</v>
      </c>
      <c r="DC50" s="30">
        <f t="shared" si="97"/>
        <v>6000.1983520307485</v>
      </c>
      <c r="DD50" s="30">
        <f t="shared" si="97"/>
        <v>6029.353614848902</v>
      </c>
      <c r="DE50" s="30">
        <f t="shared" si="97"/>
        <v>6118.1890307974063</v>
      </c>
      <c r="DF50" s="30">
        <f t="shared" si="97"/>
        <v>6211.3966862820625</v>
      </c>
      <c r="DG50" s="30">
        <f t="shared" si="97"/>
        <v>6282.8953784625292</v>
      </c>
      <c r="DH50" s="30">
        <f t="shared" si="97"/>
        <v>6341.1968929068762</v>
      </c>
      <c r="DI50" s="30">
        <f t="shared" si="97"/>
        <v>6428.3941710504323</v>
      </c>
      <c r="DJ50" s="30">
        <f t="shared" si="97"/>
        <v>6522.5684320164128</v>
      </c>
      <c r="DK50" s="30">
        <f t="shared" si="97"/>
        <v>6606.6836067576296</v>
      </c>
      <c r="DL50" s="30">
        <f t="shared" si="97"/>
        <v>6673.2539687385643</v>
      </c>
      <c r="DM50" s="30">
        <f t="shared" si="97"/>
        <v>6736.8602872129068</v>
      </c>
      <c r="DN50" s="30">
        <f t="shared" si="97"/>
        <v>6817.6167881013216</v>
      </c>
      <c r="DO50" s="30">
        <f t="shared" si="97"/>
        <v>6913.1346852231618</v>
      </c>
      <c r="DP50" s="30">
        <f t="shared" si="97"/>
        <v>7010.670459790078</v>
      </c>
      <c r="DQ50" s="30">
        <f t="shared" si="97"/>
        <v>7094.0546550187619</v>
      </c>
      <c r="DR50" s="30">
        <f t="shared" si="97"/>
        <v>7164.6627446090952</v>
      </c>
      <c r="DS50" s="30">
        <f t="shared" si="97"/>
        <v>7265.1935710776652</v>
      </c>
      <c r="DT50" s="30">
        <f t="shared" si="97"/>
        <v>7339.799755934222</v>
      </c>
      <c r="DU50" s="30">
        <f t="shared" si="97"/>
        <v>7384.1447050536926</v>
      </c>
      <c r="DV50" s="30">
        <f t="shared" si="97"/>
        <v>7430.9588810379501</v>
      </c>
      <c r="DW50" s="30">
        <f t="shared" si="97"/>
        <v>7520.0300592150734</v>
      </c>
      <c r="DX50" s="30">
        <f t="shared" si="97"/>
        <v>7620.2125057230824</v>
      </c>
      <c r="DY50" s="30">
        <f t="shared" si="97"/>
        <v>7672.7855477995281</v>
      </c>
      <c r="DZ50" s="30">
        <f t="shared" si="97"/>
        <v>7733.3060438291832</v>
      </c>
      <c r="EA50" s="30">
        <f t="shared" si="97"/>
        <v>7794.7653304736341</v>
      </c>
      <c r="EB50" s="30">
        <f t="shared" si="97"/>
        <v>7886.7131895904813</v>
      </c>
      <c r="EC50" s="30">
        <f t="shared" si="97"/>
        <v>7970.9687651047852</v>
      </c>
      <c r="ED50" s="30">
        <f t="shared" si="97"/>
        <v>8040.6625148534022</v>
      </c>
      <c r="EE50" s="30">
        <f t="shared" si="97"/>
        <v>8127.3179455426516</v>
      </c>
      <c r="EF50" s="30">
        <f t="shared" si="97"/>
        <v>8175.3113178570602</v>
      </c>
      <c r="EG50" s="30">
        <f t="shared" si="97"/>
        <v>8223.4126139547407</v>
      </c>
      <c r="EH50" s="30">
        <f t="shared" si="97"/>
        <v>8297.7701792609496</v>
      </c>
      <c r="EI50" s="30">
        <f t="shared" si="97"/>
        <v>8350.4063192401918</v>
      </c>
      <c r="EJ50" s="30">
        <f t="shared" si="97"/>
        <v>8387.3823530535465</v>
      </c>
      <c r="EK50" s="30">
        <f t="shared" si="97"/>
        <v>8437.672194329778</v>
      </c>
      <c r="EL50" s="30">
        <f t="shared" si="97"/>
        <v>8508.235368517071</v>
      </c>
      <c r="EM50" s="30">
        <f t="shared" si="97"/>
        <v>8546.4858470192576</v>
      </c>
      <c r="EN50" s="30">
        <f t="shared" ref="EN50:GY50" si="98">SUM(EN48:EN49)</f>
        <v>8625.4455901634465</v>
      </c>
      <c r="EO50" s="30">
        <f t="shared" si="98"/>
        <v>8696.1876695591764</v>
      </c>
      <c r="EP50" s="30">
        <f t="shared" si="98"/>
        <v>8730.6682769551626</v>
      </c>
      <c r="EQ50" s="30">
        <f t="shared" si="98"/>
        <v>8763.7604189312369</v>
      </c>
      <c r="ER50" s="30">
        <f t="shared" si="98"/>
        <v>8838.0692090827579</v>
      </c>
      <c r="ES50" s="30">
        <f t="shared" si="98"/>
        <v>8893.0450841351903</v>
      </c>
      <c r="ET50" s="30">
        <f t="shared" si="98"/>
        <v>8986.9681675348602</v>
      </c>
      <c r="EU50" s="30">
        <f t="shared" si="98"/>
        <v>9083.3366330656554</v>
      </c>
      <c r="EV50" s="30">
        <f t="shared" si="98"/>
        <v>9178.3321216934764</v>
      </c>
      <c r="EW50" s="30">
        <f t="shared" si="98"/>
        <v>9278.7550350930051</v>
      </c>
      <c r="EX50" s="30">
        <f t="shared" si="98"/>
        <v>9336.9410285310259</v>
      </c>
      <c r="EY50" s="30">
        <f t="shared" si="98"/>
        <v>9414.32011202188</v>
      </c>
      <c r="EZ50" s="30">
        <f t="shared" si="98"/>
        <v>9479.8417103949978</v>
      </c>
      <c r="FA50" s="30">
        <f t="shared" si="98"/>
        <v>9577.5068240634755</v>
      </c>
      <c r="FB50" s="30">
        <f t="shared" si="98"/>
        <v>9614.4900743188646</v>
      </c>
      <c r="FC50" s="30">
        <f t="shared" si="98"/>
        <v>9652.7600261457155</v>
      </c>
      <c r="FD50" s="30">
        <f t="shared" si="98"/>
        <v>9750.7011535433976</v>
      </c>
      <c r="FE50" s="30">
        <f t="shared" si="98"/>
        <v>9844.234257498174</v>
      </c>
      <c r="FF50" s="30">
        <f t="shared" si="98"/>
        <v>9932.5314792948157</v>
      </c>
      <c r="FG50" s="30">
        <f t="shared" si="98"/>
        <v>9991.7711578760318</v>
      </c>
      <c r="FH50" s="30">
        <f t="shared" si="98"/>
        <v>10031.258798745544</v>
      </c>
      <c r="FI50" s="30">
        <f t="shared" si="98"/>
        <v>10079.204612877022</v>
      </c>
      <c r="FJ50" s="30">
        <f t="shared" si="98"/>
        <v>10170.580016954123</v>
      </c>
      <c r="FK50" s="30">
        <f t="shared" si="98"/>
        <v>10263.850180770803</v>
      </c>
      <c r="FL50" s="30">
        <f t="shared" si="98"/>
        <v>10302.168783290273</v>
      </c>
      <c r="FM50" s="30">
        <f t="shared" si="98"/>
        <v>10381.970063608929</v>
      </c>
      <c r="FN50" s="30">
        <f t="shared" si="98"/>
        <v>10476.011487230429</v>
      </c>
      <c r="FO50" s="30">
        <f t="shared" si="98"/>
        <v>10545.588933788607</v>
      </c>
      <c r="FP50" s="30">
        <f t="shared" si="98"/>
        <v>10644.20584933482</v>
      </c>
      <c r="FQ50" s="30">
        <f t="shared" si="98"/>
        <v>10720.5310491174</v>
      </c>
      <c r="FR50" s="30">
        <f t="shared" si="98"/>
        <v>10788.187403954584</v>
      </c>
      <c r="FS50" s="30">
        <f t="shared" si="98"/>
        <v>10879.299712984097</v>
      </c>
      <c r="FT50" s="30">
        <f t="shared" si="98"/>
        <v>10978.237907829542</v>
      </c>
      <c r="FU50" s="30">
        <f t="shared" si="98"/>
        <v>11054.458516426974</v>
      </c>
      <c r="FV50" s="30">
        <f t="shared" si="98"/>
        <v>11140.92804428833</v>
      </c>
      <c r="FW50" s="30">
        <f t="shared" si="98"/>
        <v>11219.105214064</v>
      </c>
      <c r="FX50" s="30">
        <f t="shared" si="98"/>
        <v>11315.840613769966</v>
      </c>
      <c r="FY50" s="30">
        <f t="shared" si="98"/>
        <v>11407.805106690501</v>
      </c>
      <c r="FZ50" s="30">
        <f t="shared" si="98"/>
        <v>11470.203197080671</v>
      </c>
      <c r="GA50" s="30">
        <f t="shared" si="98"/>
        <v>11558.985569387689</v>
      </c>
      <c r="GB50" s="30">
        <f t="shared" si="98"/>
        <v>11625.674414656562</v>
      </c>
      <c r="GC50" s="30">
        <f t="shared" si="98"/>
        <v>11673.686538359105</v>
      </c>
      <c r="GD50" s="30">
        <f t="shared" si="98"/>
        <v>11706.80635933158</v>
      </c>
      <c r="GE50" s="30">
        <f t="shared" si="98"/>
        <v>11737.362289578929</v>
      </c>
      <c r="GF50" s="30">
        <f t="shared" si="98"/>
        <v>11770.544151403807</v>
      </c>
      <c r="GG50" s="30">
        <f t="shared" si="98"/>
        <v>11862.457364633159</v>
      </c>
      <c r="GH50" s="30">
        <f t="shared" si="98"/>
        <v>11904.412814654608</v>
      </c>
      <c r="GI50" s="30">
        <f t="shared" si="98"/>
        <v>11982.496055636078</v>
      </c>
      <c r="GJ50" s="30">
        <f t="shared" si="98"/>
        <v>12028.034187465048</v>
      </c>
      <c r="GK50" s="30">
        <f t="shared" si="98"/>
        <v>12088.47387179247</v>
      </c>
      <c r="GL50" s="30">
        <f t="shared" si="98"/>
        <v>12150.907165468216</v>
      </c>
      <c r="GM50" s="30">
        <f t="shared" si="98"/>
        <v>12197.661797568149</v>
      </c>
      <c r="GN50" s="30">
        <f t="shared" si="98"/>
        <v>12284.287741176042</v>
      </c>
      <c r="GO50" s="30">
        <f t="shared" si="98"/>
        <v>12384.789785581539</v>
      </c>
      <c r="GP50" s="30">
        <f t="shared" si="98"/>
        <v>12466.446605074161</v>
      </c>
      <c r="GQ50" s="30">
        <f t="shared" si="98"/>
        <v>12555.285902384707</v>
      </c>
      <c r="GR50" s="30">
        <f t="shared" si="98"/>
        <v>12604.434340857162</v>
      </c>
      <c r="GS50" s="30">
        <f t="shared" si="98"/>
        <v>12664.737555473617</v>
      </c>
      <c r="GT50" s="30">
        <f t="shared" si="98"/>
        <v>12716.219464301397</v>
      </c>
      <c r="GU50" s="30">
        <f t="shared" si="98"/>
        <v>12776.71679492616</v>
      </c>
      <c r="GV50" s="30">
        <f t="shared" si="98"/>
        <v>12856.493706014486</v>
      </c>
      <c r="GW50" s="30">
        <f t="shared" si="98"/>
        <v>12910.177905139719</v>
      </c>
      <c r="GX50" s="30">
        <f t="shared" si="98"/>
        <v>12983.620804175018</v>
      </c>
      <c r="GY50" s="30">
        <f t="shared" si="98"/>
        <v>13024.432149812992</v>
      </c>
      <c r="GZ50" s="30">
        <f t="shared" ref="GZ50:JK50" si="99">SUM(GZ48:GZ49)</f>
        <v>13063.97930474749</v>
      </c>
      <c r="HA50" s="30">
        <f t="shared" si="99"/>
        <v>13118.924542913925</v>
      </c>
      <c r="HB50" s="30">
        <f t="shared" si="99"/>
        <v>13210.971014575629</v>
      </c>
      <c r="HC50" s="30">
        <f t="shared" si="99"/>
        <v>13241.450503897735</v>
      </c>
      <c r="HD50" s="30">
        <f t="shared" si="99"/>
        <v>13330.248826134286</v>
      </c>
      <c r="HE50" s="30">
        <f t="shared" si="99"/>
        <v>13422.829728130648</v>
      </c>
      <c r="HF50" s="30">
        <f t="shared" si="99"/>
        <v>13507.744344027384</v>
      </c>
      <c r="HG50" s="30">
        <f t="shared" si="99"/>
        <v>13603.371513574271</v>
      </c>
      <c r="HH50" s="30">
        <f t="shared" si="99"/>
        <v>13689.180150195865</v>
      </c>
      <c r="HI50" s="30">
        <f t="shared" si="99"/>
        <v>13735.987818515101</v>
      </c>
      <c r="HJ50" s="30">
        <f t="shared" si="99"/>
        <v>13822.66936499943</v>
      </c>
      <c r="HK50" s="30">
        <f t="shared" si="99"/>
        <v>13864.664177654986</v>
      </c>
      <c r="HL50" s="30">
        <f t="shared" si="99"/>
        <v>13961.516829983748</v>
      </c>
      <c r="HM50" s="30">
        <f t="shared" si="99"/>
        <v>14052.79265659444</v>
      </c>
      <c r="HN50" s="30">
        <f t="shared" si="99"/>
        <v>14139.368827599385</v>
      </c>
      <c r="HO50" s="30">
        <f t="shared" si="99"/>
        <v>14225.826849800083</v>
      </c>
      <c r="HP50" s="30">
        <f t="shared" si="99"/>
        <v>14268.97792283647</v>
      </c>
      <c r="HQ50" s="30">
        <f t="shared" si="99"/>
        <v>14361.108368300756</v>
      </c>
      <c r="HR50" s="30">
        <f t="shared" si="99"/>
        <v>14413.722706369515</v>
      </c>
      <c r="HS50" s="30">
        <f t="shared" si="99"/>
        <v>14448.121839847874</v>
      </c>
      <c r="HT50" s="30">
        <f t="shared" si="99"/>
        <v>14544.812765118813</v>
      </c>
      <c r="HU50" s="30">
        <f t="shared" si="99"/>
        <v>14586.865242331749</v>
      </c>
      <c r="HV50" s="30">
        <f t="shared" si="99"/>
        <v>14686.903669285215</v>
      </c>
      <c r="HW50" s="30">
        <f t="shared" si="99"/>
        <v>14783.853512480589</v>
      </c>
      <c r="HX50" s="30">
        <f t="shared" si="99"/>
        <v>14859.08757977636</v>
      </c>
      <c r="HY50" s="30">
        <f t="shared" si="99"/>
        <v>14957.40490605884</v>
      </c>
      <c r="HZ50" s="30">
        <f t="shared" si="99"/>
        <v>14991.813532665754</v>
      </c>
      <c r="IA50" s="30">
        <f t="shared" si="99"/>
        <v>15033.835494145522</v>
      </c>
      <c r="IB50" s="30">
        <f t="shared" si="99"/>
        <v>15101.365249020237</v>
      </c>
      <c r="IC50" s="30">
        <f t="shared" si="99"/>
        <v>15152.896157158348</v>
      </c>
      <c r="ID50" s="30">
        <f t="shared" si="99"/>
        <v>15251.841516542809</v>
      </c>
      <c r="IE50" s="30">
        <f t="shared" si="99"/>
        <v>15317.421421596782</v>
      </c>
      <c r="IF50" s="30">
        <f t="shared" si="99"/>
        <v>15409.511671083674</v>
      </c>
      <c r="IG50" s="30">
        <f t="shared" si="99"/>
        <v>15466.717523867163</v>
      </c>
      <c r="IH50" s="30">
        <f t="shared" si="99"/>
        <v>15560.293540562188</v>
      </c>
      <c r="II50" s="30">
        <f t="shared" si="99"/>
        <v>15641.065021253626</v>
      </c>
      <c r="IJ50" s="30">
        <f t="shared" si="99"/>
        <v>15721.998270710872</v>
      </c>
      <c r="IK50" s="30">
        <f t="shared" si="99"/>
        <v>15774.554327271673</v>
      </c>
      <c r="IL50" s="30">
        <f t="shared" si="99"/>
        <v>15853.408618454267</v>
      </c>
      <c r="IM50" s="30">
        <f t="shared" si="99"/>
        <v>15936.827058797899</v>
      </c>
      <c r="IN50" s="30">
        <f t="shared" si="99"/>
        <v>16020.153637902395</v>
      </c>
      <c r="IO50" s="30">
        <f t="shared" si="99"/>
        <v>16115.430245985444</v>
      </c>
      <c r="IP50" s="30">
        <f t="shared" si="99"/>
        <v>16191.65550775102</v>
      </c>
      <c r="IQ50" s="30">
        <f t="shared" si="99"/>
        <v>16250.888177565877</v>
      </c>
      <c r="IR50" s="30">
        <f t="shared" si="99"/>
        <v>16321.470352197324</v>
      </c>
      <c r="IS50" s="30">
        <f t="shared" si="99"/>
        <v>16381.812179105567</v>
      </c>
      <c r="IT50" s="30">
        <f t="shared" si="99"/>
        <v>16448.511549557868</v>
      </c>
      <c r="IU50" s="30">
        <f t="shared" si="99"/>
        <v>16495.380957210564</v>
      </c>
      <c r="IV50" s="30">
        <f t="shared" si="99"/>
        <v>16569.893864414924</v>
      </c>
      <c r="IW50" s="30">
        <f t="shared" si="99"/>
        <v>16670.43232153896</v>
      </c>
      <c r="IX50" s="30">
        <f t="shared" si="99"/>
        <v>16736.152629446304</v>
      </c>
      <c r="IY50" s="30">
        <f t="shared" si="99"/>
        <v>16828.221668380469</v>
      </c>
      <c r="IZ50" s="30">
        <f t="shared" si="99"/>
        <v>16897.946981940742</v>
      </c>
      <c r="JA50" s="30">
        <f t="shared" si="99"/>
        <v>16969.459293347631</v>
      </c>
      <c r="JB50" s="30">
        <f t="shared" si="99"/>
        <v>17005.097316657724</v>
      </c>
      <c r="JC50" s="30">
        <f t="shared" si="99"/>
        <v>17096.495583540142</v>
      </c>
      <c r="JD50" s="30">
        <f t="shared" si="99"/>
        <v>17151.519159816398</v>
      </c>
      <c r="JE50" s="30">
        <f t="shared" si="99"/>
        <v>17206.389620929334</v>
      </c>
      <c r="JF50" s="30">
        <f t="shared" si="99"/>
        <v>17264.661944559048</v>
      </c>
      <c r="JG50" s="30">
        <f t="shared" si="99"/>
        <v>17365.300655265164</v>
      </c>
      <c r="JH50" s="30">
        <f t="shared" si="99"/>
        <v>17407.361891356504</v>
      </c>
      <c r="JI50" s="30">
        <f t="shared" si="99"/>
        <v>17499.922762861439</v>
      </c>
      <c r="JJ50" s="30">
        <f t="shared" si="99"/>
        <v>17545.487186639846</v>
      </c>
      <c r="JK50" s="30">
        <f t="shared" si="99"/>
        <v>17584.951842830291</v>
      </c>
      <c r="JL50" s="30">
        <f t="shared" ref="JL50:KI50" si="100">SUM(JL48:JL49)</f>
        <v>17664.104404830221</v>
      </c>
      <c r="JM50" s="30">
        <f t="shared" si="100"/>
        <v>17760.820699912096</v>
      </c>
      <c r="JN50" s="30">
        <f t="shared" si="100"/>
        <v>17796.578148506542</v>
      </c>
      <c r="JO50" s="30">
        <f t="shared" si="100"/>
        <v>17873.932100509181</v>
      </c>
      <c r="JP50" s="30">
        <f t="shared" si="100"/>
        <v>17903.121218276163</v>
      </c>
      <c r="JQ50" s="30">
        <f t="shared" si="100"/>
        <v>17967.639498414119</v>
      </c>
      <c r="JR50" s="30">
        <f t="shared" si="100"/>
        <v>18062.216423658279</v>
      </c>
      <c r="JS50" s="30">
        <f t="shared" si="100"/>
        <v>18106.694971934168</v>
      </c>
      <c r="JT50" s="30">
        <f t="shared" si="100"/>
        <v>18200.988742351048</v>
      </c>
      <c r="JU50" s="30">
        <f t="shared" si="100"/>
        <v>18293.706095365604</v>
      </c>
      <c r="JV50" s="30">
        <f t="shared" si="100"/>
        <v>18338.081659182397</v>
      </c>
      <c r="JW50" s="30">
        <f t="shared" si="100"/>
        <v>18431.326039897318</v>
      </c>
      <c r="JX50" s="30">
        <f t="shared" si="100"/>
        <v>18461.816003956843</v>
      </c>
      <c r="JY50" s="30">
        <f t="shared" si="100"/>
        <v>18555.149709910624</v>
      </c>
      <c r="JZ50" s="30">
        <f t="shared" si="100"/>
        <v>18621.73952673301</v>
      </c>
      <c r="KA50" s="30">
        <f t="shared" si="100"/>
        <v>18661.314006568522</v>
      </c>
      <c r="KB50" s="30">
        <f t="shared" si="100"/>
        <v>18701.99190462986</v>
      </c>
      <c r="KC50" s="30">
        <f t="shared" si="100"/>
        <v>18798.007825209857</v>
      </c>
      <c r="KD50" s="30">
        <f t="shared" si="100"/>
        <v>18896.177914152588</v>
      </c>
      <c r="KE50" s="30">
        <f t="shared" si="100"/>
        <v>18957.570404964172</v>
      </c>
      <c r="KF50" s="30">
        <f t="shared" si="100"/>
        <v>19048.949359244856</v>
      </c>
      <c r="KG50" s="30">
        <f t="shared" si="100"/>
        <v>19124.37443010027</v>
      </c>
      <c r="KH50" s="30">
        <f t="shared" si="100"/>
        <v>19177.030324481417</v>
      </c>
      <c r="KI50" s="30">
        <f t="shared" si="100"/>
        <v>19239.511330654059</v>
      </c>
      <c r="KJ50" s="1"/>
    </row>
    <row r="51" spans="8:296" x14ac:dyDescent="0.35">
      <c r="KJ51" s="1"/>
    </row>
    <row r="52" spans="8:296" x14ac:dyDescent="0.35">
      <c r="K52" s="19" t="s">
        <v>182</v>
      </c>
      <c r="L52" s="19"/>
      <c r="M52" s="16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  <c r="KG52" s="17"/>
      <c r="KH52" s="17"/>
      <c r="KI52" s="17"/>
      <c r="KJ52" s="1"/>
    </row>
    <row r="53" spans="8:296" x14ac:dyDescent="0.35">
      <c r="KJ53" s="1"/>
    </row>
    <row r="54" spans="8:296" x14ac:dyDescent="0.35">
      <c r="H54" s="1"/>
      <c r="I54" s="1"/>
      <c r="J54" s="1"/>
      <c r="K54" s="1"/>
      <c r="L54" s="22" t="s">
        <v>182</v>
      </c>
      <c r="M54" s="25"/>
      <c r="KJ54" s="1"/>
    </row>
    <row r="55" spans="8:296" x14ac:dyDescent="0.35">
      <c r="H55" s="13" t="s">
        <v>22</v>
      </c>
      <c r="I55" s="1"/>
      <c r="J55" s="1"/>
      <c r="K55" s="1"/>
      <c r="M55" s="15" t="s">
        <v>183</v>
      </c>
      <c r="N55" s="24">
        <f>Control!H115</f>
        <v>212</v>
      </c>
      <c r="O55" s="24">
        <f>O50</f>
        <v>258.97379750835881</v>
      </c>
      <c r="P55" s="24">
        <f t="shared" ref="P55:CA55" si="101">P50</f>
        <v>322.89528659498819</v>
      </c>
      <c r="Q55" s="24">
        <f t="shared" si="101"/>
        <v>410.66762249185945</v>
      </c>
      <c r="R55" s="24">
        <f t="shared" si="101"/>
        <v>456.35171951584039</v>
      </c>
      <c r="S55" s="24">
        <f t="shared" si="101"/>
        <v>463.09441685782957</v>
      </c>
      <c r="T55" s="24">
        <f t="shared" si="101"/>
        <v>556.17371571484614</v>
      </c>
      <c r="U55" s="24">
        <f t="shared" si="101"/>
        <v>615.03752176678199</v>
      </c>
      <c r="V55" s="24">
        <f t="shared" si="101"/>
        <v>681.71405698326907</v>
      </c>
      <c r="W55" s="24">
        <f t="shared" si="101"/>
        <v>776.04512609552319</v>
      </c>
      <c r="X55" s="24">
        <f t="shared" si="101"/>
        <v>858.257587484748</v>
      </c>
      <c r="Y55" s="24">
        <f t="shared" si="101"/>
        <v>927.95102466137928</v>
      </c>
      <c r="Z55" s="24">
        <f t="shared" si="101"/>
        <v>958.01388701479345</v>
      </c>
      <c r="AA55" s="24">
        <f t="shared" si="101"/>
        <v>1047.2535619860118</v>
      </c>
      <c r="AB55" s="24">
        <f t="shared" si="101"/>
        <v>1114.3671309480296</v>
      </c>
      <c r="AC55" s="24">
        <f t="shared" si="101"/>
        <v>1204.7431897694262</v>
      </c>
      <c r="AD55" s="24">
        <f t="shared" si="101"/>
        <v>1282.9570489090779</v>
      </c>
      <c r="AE55" s="24">
        <f t="shared" si="101"/>
        <v>1337.9022548779633</v>
      </c>
      <c r="AF55" s="24">
        <f t="shared" si="101"/>
        <v>1382.2380028935988</v>
      </c>
      <c r="AG55" s="24">
        <f t="shared" si="101"/>
        <v>1455.6823200995946</v>
      </c>
      <c r="AH55" s="24">
        <f t="shared" si="101"/>
        <v>1461.1710944085648</v>
      </c>
      <c r="AI55" s="24">
        <f t="shared" si="101"/>
        <v>1535.6748360524471</v>
      </c>
      <c r="AJ55" s="24">
        <f t="shared" si="101"/>
        <v>1570.1615773328665</v>
      </c>
      <c r="AK55" s="24">
        <f t="shared" si="101"/>
        <v>1641.8692912647641</v>
      </c>
      <c r="AL55" s="24">
        <f t="shared" si="101"/>
        <v>1678.7907295792374</v>
      </c>
      <c r="AM55" s="24">
        <f t="shared" si="101"/>
        <v>1753.1717394017783</v>
      </c>
      <c r="AN55" s="24">
        <f t="shared" si="101"/>
        <v>1800.7938022032124</v>
      </c>
      <c r="AO55" s="24">
        <f t="shared" si="101"/>
        <v>1841.6182717877905</v>
      </c>
      <c r="AP55" s="24">
        <f t="shared" si="101"/>
        <v>1885.986042972143</v>
      </c>
      <c r="AQ55" s="24">
        <f t="shared" si="101"/>
        <v>1927.891029093068</v>
      </c>
      <c r="AR55" s="24">
        <f t="shared" si="101"/>
        <v>1958.4430254919032</v>
      </c>
      <c r="AS55" s="24">
        <f t="shared" si="101"/>
        <v>2032.0176109450733</v>
      </c>
      <c r="AT55" s="24">
        <f t="shared" si="101"/>
        <v>2063.089076829282</v>
      </c>
      <c r="AU55" s="24">
        <f t="shared" si="101"/>
        <v>2124.4473737432704</v>
      </c>
      <c r="AV55" s="24">
        <f t="shared" si="101"/>
        <v>2183.8717641745798</v>
      </c>
      <c r="AW55" s="24">
        <f t="shared" si="101"/>
        <v>2261.2027285958156</v>
      </c>
      <c r="AX55" s="24">
        <f t="shared" si="101"/>
        <v>2349.265007890062</v>
      </c>
      <c r="AY55" s="24">
        <f t="shared" si="101"/>
        <v>2418.0460416374249</v>
      </c>
      <c r="AZ55" s="24">
        <f t="shared" si="101"/>
        <v>2477.319131675386</v>
      </c>
      <c r="BA55" s="24">
        <f t="shared" si="101"/>
        <v>2550.9067172961836</v>
      </c>
      <c r="BB55" s="24">
        <f t="shared" si="101"/>
        <v>2643.4579150228142</v>
      </c>
      <c r="BC55" s="24">
        <f t="shared" si="101"/>
        <v>2707.0405539039311</v>
      </c>
      <c r="BD55" s="24">
        <f t="shared" si="101"/>
        <v>2737.6122937282653</v>
      </c>
      <c r="BE55" s="24">
        <f t="shared" si="101"/>
        <v>2816.6851239963862</v>
      </c>
      <c r="BF55" s="24">
        <f t="shared" si="101"/>
        <v>2889.3645910459804</v>
      </c>
      <c r="BG55" s="24">
        <f t="shared" si="101"/>
        <v>2943.1547489489644</v>
      </c>
      <c r="BH55" s="24">
        <f t="shared" si="101"/>
        <v>3013.8656748687827</v>
      </c>
      <c r="BI55" s="24">
        <f t="shared" si="101"/>
        <v>3077.3802551530803</v>
      </c>
      <c r="BJ55" s="24">
        <f t="shared" si="101"/>
        <v>3161.7188250881582</v>
      </c>
      <c r="BK55" s="24">
        <f t="shared" si="101"/>
        <v>3261.3147374678865</v>
      </c>
      <c r="BL55" s="24">
        <f t="shared" si="101"/>
        <v>3313.4118778891616</v>
      </c>
      <c r="BM55" s="24">
        <f t="shared" si="101"/>
        <v>3358.9968336674842</v>
      </c>
      <c r="BN55" s="24">
        <f t="shared" si="101"/>
        <v>3417.2610697566706</v>
      </c>
      <c r="BO55" s="24">
        <f t="shared" si="101"/>
        <v>3482.9545065127722</v>
      </c>
      <c r="BP55" s="24">
        <f t="shared" si="101"/>
        <v>3539.0462653720369</v>
      </c>
      <c r="BQ55" s="24">
        <f t="shared" si="101"/>
        <v>3611.5578486399008</v>
      </c>
      <c r="BR55" s="24">
        <f t="shared" si="101"/>
        <v>3667.1467732825681</v>
      </c>
      <c r="BS55" s="24">
        <f t="shared" si="101"/>
        <v>3710.3887652185936</v>
      </c>
      <c r="BT55" s="24">
        <f t="shared" si="101"/>
        <v>3752.4434723883537</v>
      </c>
      <c r="BU55" s="24">
        <f t="shared" si="101"/>
        <v>3800.4477193171074</v>
      </c>
      <c r="BV55" s="24">
        <f t="shared" si="101"/>
        <v>3850.737025607933</v>
      </c>
      <c r="BW55" s="24">
        <f t="shared" si="101"/>
        <v>3896.2711396326067</v>
      </c>
      <c r="BX55" s="24">
        <f t="shared" si="101"/>
        <v>3926.231759890878</v>
      </c>
      <c r="BY55" s="24">
        <f t="shared" si="101"/>
        <v>4014.2323101333186</v>
      </c>
      <c r="BZ55" s="24">
        <f t="shared" si="101"/>
        <v>4085.7911711765519</v>
      </c>
      <c r="CA55" s="24">
        <f t="shared" si="101"/>
        <v>4134.9725120970616</v>
      </c>
      <c r="CB55" s="24">
        <f t="shared" ref="CB55:EM55" si="102">CB50</f>
        <v>4193.27574324955</v>
      </c>
      <c r="CC55" s="24">
        <f t="shared" si="102"/>
        <v>4241.1889047460872</v>
      </c>
      <c r="CD55" s="24">
        <f t="shared" si="102"/>
        <v>4278.2332828711105</v>
      </c>
      <c r="CE55" s="24">
        <f t="shared" si="102"/>
        <v>4315.238224702488</v>
      </c>
      <c r="CF55" s="24">
        <f t="shared" si="102"/>
        <v>4349.729234554733</v>
      </c>
      <c r="CG55" s="24">
        <f t="shared" si="102"/>
        <v>4423.208179266785</v>
      </c>
      <c r="CH55" s="24">
        <f t="shared" si="102"/>
        <v>4468.8448102391403</v>
      </c>
      <c r="CI55" s="24">
        <f t="shared" si="102"/>
        <v>4531.4242136468974</v>
      </c>
      <c r="CJ55" s="24">
        <f t="shared" si="102"/>
        <v>4627.4506250422728</v>
      </c>
      <c r="CK55" s="24">
        <f t="shared" si="102"/>
        <v>4699.9117766321506</v>
      </c>
      <c r="CL55" s="24">
        <f t="shared" si="102"/>
        <v>4772.4432837119493</v>
      </c>
      <c r="CM55" s="24">
        <f t="shared" si="102"/>
        <v>4844.028621732321</v>
      </c>
      <c r="CN55" s="24">
        <f t="shared" si="102"/>
        <v>4923.9744347764363</v>
      </c>
      <c r="CO55" s="24">
        <f t="shared" si="102"/>
        <v>4969.5286575998871</v>
      </c>
      <c r="CP55" s="24">
        <f t="shared" si="102"/>
        <v>5053.5716043603888</v>
      </c>
      <c r="CQ55" s="24">
        <f t="shared" si="102"/>
        <v>5147.4823705526469</v>
      </c>
      <c r="CR55" s="24">
        <f t="shared" si="102"/>
        <v>5248.131173608951</v>
      </c>
      <c r="CS55" s="24">
        <f t="shared" si="102"/>
        <v>5323.4637859181521</v>
      </c>
      <c r="CT55" s="24">
        <f t="shared" si="102"/>
        <v>5407.62623044053</v>
      </c>
      <c r="CU55" s="24">
        <f t="shared" si="102"/>
        <v>5501.5664566239657</v>
      </c>
      <c r="CV55" s="24">
        <f t="shared" si="102"/>
        <v>5593.5121806158604</v>
      </c>
      <c r="CW55" s="24">
        <f t="shared" si="102"/>
        <v>5629.2836835908529</v>
      </c>
      <c r="CX55" s="24">
        <f t="shared" si="102"/>
        <v>5700.0522409042978</v>
      </c>
      <c r="CY55" s="24">
        <f t="shared" si="102"/>
        <v>5745.6961859945523</v>
      </c>
      <c r="CZ55" s="24">
        <f t="shared" si="102"/>
        <v>5829.8187270197122</v>
      </c>
      <c r="DA55" s="24">
        <f t="shared" si="102"/>
        <v>5879.0032540004031</v>
      </c>
      <c r="DB55" s="24">
        <f t="shared" si="102"/>
        <v>5908.1946660220174</v>
      </c>
      <c r="DC55" s="24">
        <f t="shared" si="102"/>
        <v>6000.1983520307485</v>
      </c>
      <c r="DD55" s="24">
        <f t="shared" si="102"/>
        <v>6029.353614848902</v>
      </c>
      <c r="DE55" s="24">
        <f t="shared" si="102"/>
        <v>6118.1890307974063</v>
      </c>
      <c r="DF55" s="24">
        <f t="shared" si="102"/>
        <v>6211.3966862820625</v>
      </c>
      <c r="DG55" s="24">
        <f t="shared" si="102"/>
        <v>6282.8953784625292</v>
      </c>
      <c r="DH55" s="24">
        <f t="shared" si="102"/>
        <v>6341.1968929068762</v>
      </c>
      <c r="DI55" s="24">
        <f t="shared" si="102"/>
        <v>6428.3941710504323</v>
      </c>
      <c r="DJ55" s="24">
        <f t="shared" si="102"/>
        <v>6522.5684320164128</v>
      </c>
      <c r="DK55" s="24">
        <f t="shared" si="102"/>
        <v>6606.6836067576296</v>
      </c>
      <c r="DL55" s="24">
        <f t="shared" si="102"/>
        <v>6673.2539687385643</v>
      </c>
      <c r="DM55" s="24">
        <f t="shared" si="102"/>
        <v>6736.8602872129068</v>
      </c>
      <c r="DN55" s="24">
        <f t="shared" si="102"/>
        <v>6817.6167881013216</v>
      </c>
      <c r="DO55" s="24">
        <f t="shared" si="102"/>
        <v>6913.1346852231618</v>
      </c>
      <c r="DP55" s="24">
        <f t="shared" si="102"/>
        <v>7010.670459790078</v>
      </c>
      <c r="DQ55" s="24">
        <f t="shared" si="102"/>
        <v>7094.0546550187619</v>
      </c>
      <c r="DR55" s="24">
        <f t="shared" si="102"/>
        <v>7164.6627446090952</v>
      </c>
      <c r="DS55" s="24">
        <f t="shared" si="102"/>
        <v>7265.1935710776652</v>
      </c>
      <c r="DT55" s="24">
        <f t="shared" si="102"/>
        <v>7339.799755934222</v>
      </c>
      <c r="DU55" s="24">
        <f t="shared" si="102"/>
        <v>7384.1447050536926</v>
      </c>
      <c r="DV55" s="24">
        <f t="shared" si="102"/>
        <v>7430.9588810379501</v>
      </c>
      <c r="DW55" s="24">
        <f t="shared" si="102"/>
        <v>7520.0300592150734</v>
      </c>
      <c r="DX55" s="24">
        <f t="shared" si="102"/>
        <v>7620.2125057230824</v>
      </c>
      <c r="DY55" s="24">
        <f t="shared" si="102"/>
        <v>7672.7855477995281</v>
      </c>
      <c r="DZ55" s="24">
        <f t="shared" si="102"/>
        <v>7733.3060438291832</v>
      </c>
      <c r="EA55" s="24">
        <f t="shared" si="102"/>
        <v>7794.7653304736341</v>
      </c>
      <c r="EB55" s="24">
        <f t="shared" si="102"/>
        <v>7886.7131895904813</v>
      </c>
      <c r="EC55" s="24">
        <f t="shared" si="102"/>
        <v>7970.9687651047852</v>
      </c>
      <c r="ED55" s="24">
        <f t="shared" si="102"/>
        <v>8040.6625148534022</v>
      </c>
      <c r="EE55" s="24">
        <f t="shared" si="102"/>
        <v>8127.3179455426516</v>
      </c>
      <c r="EF55" s="24">
        <f t="shared" si="102"/>
        <v>8175.3113178570602</v>
      </c>
      <c r="EG55" s="24">
        <f t="shared" si="102"/>
        <v>8223.4126139547407</v>
      </c>
      <c r="EH55" s="24">
        <f t="shared" si="102"/>
        <v>8297.7701792609496</v>
      </c>
      <c r="EI55" s="24">
        <f t="shared" si="102"/>
        <v>8350.4063192401918</v>
      </c>
      <c r="EJ55" s="24">
        <f t="shared" si="102"/>
        <v>8387.3823530535465</v>
      </c>
      <c r="EK55" s="24">
        <f t="shared" si="102"/>
        <v>8437.672194329778</v>
      </c>
      <c r="EL55" s="24">
        <f t="shared" si="102"/>
        <v>8508.235368517071</v>
      </c>
      <c r="EM55" s="24">
        <f t="shared" si="102"/>
        <v>8546.4858470192576</v>
      </c>
      <c r="EN55" s="24">
        <f t="shared" ref="EN55:GY55" si="103">EN50</f>
        <v>8625.4455901634465</v>
      </c>
      <c r="EO55" s="24">
        <f t="shared" si="103"/>
        <v>8696.1876695591764</v>
      </c>
      <c r="EP55" s="24">
        <f t="shared" si="103"/>
        <v>8730.6682769551626</v>
      </c>
      <c r="EQ55" s="24">
        <f t="shared" si="103"/>
        <v>8763.7604189312369</v>
      </c>
      <c r="ER55" s="24">
        <f t="shared" si="103"/>
        <v>8838.0692090827579</v>
      </c>
      <c r="ES55" s="24">
        <f t="shared" si="103"/>
        <v>8893.0450841351903</v>
      </c>
      <c r="ET55" s="24">
        <f t="shared" si="103"/>
        <v>8986.9681675348602</v>
      </c>
      <c r="EU55" s="24">
        <f t="shared" si="103"/>
        <v>9083.3366330656554</v>
      </c>
      <c r="EV55" s="24">
        <f t="shared" si="103"/>
        <v>9178.3321216934764</v>
      </c>
      <c r="EW55" s="24">
        <f t="shared" si="103"/>
        <v>9278.7550350930051</v>
      </c>
      <c r="EX55" s="24">
        <f t="shared" si="103"/>
        <v>9336.9410285310259</v>
      </c>
      <c r="EY55" s="24">
        <f t="shared" si="103"/>
        <v>9414.32011202188</v>
      </c>
      <c r="EZ55" s="24">
        <f t="shared" si="103"/>
        <v>9479.8417103949978</v>
      </c>
      <c r="FA55" s="24">
        <f t="shared" si="103"/>
        <v>9577.5068240634755</v>
      </c>
      <c r="FB55" s="24">
        <f t="shared" si="103"/>
        <v>9614.4900743188646</v>
      </c>
      <c r="FC55" s="24">
        <f t="shared" si="103"/>
        <v>9652.7600261457155</v>
      </c>
      <c r="FD55" s="24">
        <f t="shared" si="103"/>
        <v>9750.7011535433976</v>
      </c>
      <c r="FE55" s="24">
        <f t="shared" si="103"/>
        <v>9844.234257498174</v>
      </c>
      <c r="FF55" s="24">
        <f t="shared" si="103"/>
        <v>9932.5314792948157</v>
      </c>
      <c r="FG55" s="24">
        <f t="shared" si="103"/>
        <v>9991.7711578760318</v>
      </c>
      <c r="FH55" s="24">
        <f t="shared" si="103"/>
        <v>10031.258798745544</v>
      </c>
      <c r="FI55" s="24">
        <f t="shared" si="103"/>
        <v>10079.204612877022</v>
      </c>
      <c r="FJ55" s="24">
        <f t="shared" si="103"/>
        <v>10170.580016954123</v>
      </c>
      <c r="FK55" s="24">
        <f t="shared" si="103"/>
        <v>10263.850180770803</v>
      </c>
      <c r="FL55" s="24">
        <f t="shared" si="103"/>
        <v>10302.168783290273</v>
      </c>
      <c r="FM55" s="24">
        <f t="shared" si="103"/>
        <v>10381.970063608929</v>
      </c>
      <c r="FN55" s="24">
        <f t="shared" si="103"/>
        <v>10476.011487230429</v>
      </c>
      <c r="FO55" s="24">
        <f t="shared" si="103"/>
        <v>10545.588933788607</v>
      </c>
      <c r="FP55" s="24">
        <f t="shared" si="103"/>
        <v>10644.20584933482</v>
      </c>
      <c r="FQ55" s="24">
        <f t="shared" si="103"/>
        <v>10720.5310491174</v>
      </c>
      <c r="FR55" s="24">
        <f t="shared" si="103"/>
        <v>10788.187403954584</v>
      </c>
      <c r="FS55" s="24">
        <f t="shared" si="103"/>
        <v>10879.299712984097</v>
      </c>
      <c r="FT55" s="24">
        <f t="shared" si="103"/>
        <v>10978.237907829542</v>
      </c>
      <c r="FU55" s="24">
        <f t="shared" si="103"/>
        <v>11054.458516426974</v>
      </c>
      <c r="FV55" s="24">
        <f t="shared" si="103"/>
        <v>11140.92804428833</v>
      </c>
      <c r="FW55" s="24">
        <f t="shared" si="103"/>
        <v>11219.105214064</v>
      </c>
      <c r="FX55" s="24">
        <f t="shared" si="103"/>
        <v>11315.840613769966</v>
      </c>
      <c r="FY55" s="24">
        <f t="shared" si="103"/>
        <v>11407.805106690501</v>
      </c>
      <c r="FZ55" s="24">
        <f t="shared" si="103"/>
        <v>11470.203197080671</v>
      </c>
      <c r="GA55" s="24">
        <f t="shared" si="103"/>
        <v>11558.985569387689</v>
      </c>
      <c r="GB55" s="24">
        <f t="shared" si="103"/>
        <v>11625.674414656562</v>
      </c>
      <c r="GC55" s="24">
        <f t="shared" si="103"/>
        <v>11673.686538359105</v>
      </c>
      <c r="GD55" s="24">
        <f t="shared" si="103"/>
        <v>11706.80635933158</v>
      </c>
      <c r="GE55" s="24">
        <f t="shared" si="103"/>
        <v>11737.362289578929</v>
      </c>
      <c r="GF55" s="24">
        <f t="shared" si="103"/>
        <v>11770.544151403807</v>
      </c>
      <c r="GG55" s="24">
        <f t="shared" si="103"/>
        <v>11862.457364633159</v>
      </c>
      <c r="GH55" s="24">
        <f t="shared" si="103"/>
        <v>11904.412814654608</v>
      </c>
      <c r="GI55" s="24">
        <f t="shared" si="103"/>
        <v>11982.496055636078</v>
      </c>
      <c r="GJ55" s="24">
        <f t="shared" si="103"/>
        <v>12028.034187465048</v>
      </c>
      <c r="GK55" s="24">
        <f t="shared" si="103"/>
        <v>12088.47387179247</v>
      </c>
      <c r="GL55" s="24">
        <f t="shared" si="103"/>
        <v>12150.907165468216</v>
      </c>
      <c r="GM55" s="24">
        <f t="shared" si="103"/>
        <v>12197.661797568149</v>
      </c>
      <c r="GN55" s="24">
        <f t="shared" si="103"/>
        <v>12284.287741176042</v>
      </c>
      <c r="GO55" s="24">
        <f t="shared" si="103"/>
        <v>12384.789785581539</v>
      </c>
      <c r="GP55" s="24">
        <f t="shared" si="103"/>
        <v>12466.446605074161</v>
      </c>
      <c r="GQ55" s="24">
        <f t="shared" si="103"/>
        <v>12555.285902384707</v>
      </c>
      <c r="GR55" s="24">
        <f t="shared" si="103"/>
        <v>12604.434340857162</v>
      </c>
      <c r="GS55" s="24">
        <f t="shared" si="103"/>
        <v>12664.737555473617</v>
      </c>
      <c r="GT55" s="24">
        <f t="shared" si="103"/>
        <v>12716.219464301397</v>
      </c>
      <c r="GU55" s="24">
        <f t="shared" si="103"/>
        <v>12776.71679492616</v>
      </c>
      <c r="GV55" s="24">
        <f t="shared" si="103"/>
        <v>12856.493706014486</v>
      </c>
      <c r="GW55" s="24">
        <f t="shared" si="103"/>
        <v>12910.177905139719</v>
      </c>
      <c r="GX55" s="24">
        <f t="shared" si="103"/>
        <v>12983.620804175018</v>
      </c>
      <c r="GY55" s="24">
        <f t="shared" si="103"/>
        <v>13024.432149812992</v>
      </c>
      <c r="GZ55" s="24">
        <f t="shared" ref="GZ55:JK55" si="104">GZ50</f>
        <v>13063.97930474749</v>
      </c>
      <c r="HA55" s="24">
        <f t="shared" si="104"/>
        <v>13118.924542913925</v>
      </c>
      <c r="HB55" s="24">
        <f t="shared" si="104"/>
        <v>13210.971014575629</v>
      </c>
      <c r="HC55" s="24">
        <f t="shared" si="104"/>
        <v>13241.450503897735</v>
      </c>
      <c r="HD55" s="24">
        <f t="shared" si="104"/>
        <v>13330.248826134286</v>
      </c>
      <c r="HE55" s="24">
        <f t="shared" si="104"/>
        <v>13422.829728130648</v>
      </c>
      <c r="HF55" s="24">
        <f t="shared" si="104"/>
        <v>13507.744344027384</v>
      </c>
      <c r="HG55" s="24">
        <f t="shared" si="104"/>
        <v>13603.371513574271</v>
      </c>
      <c r="HH55" s="24">
        <f t="shared" si="104"/>
        <v>13689.180150195865</v>
      </c>
      <c r="HI55" s="24">
        <f t="shared" si="104"/>
        <v>13735.987818515101</v>
      </c>
      <c r="HJ55" s="24">
        <f t="shared" si="104"/>
        <v>13822.66936499943</v>
      </c>
      <c r="HK55" s="24">
        <f t="shared" si="104"/>
        <v>13864.664177654986</v>
      </c>
      <c r="HL55" s="24">
        <f t="shared" si="104"/>
        <v>13961.516829983748</v>
      </c>
      <c r="HM55" s="24">
        <f t="shared" si="104"/>
        <v>14052.79265659444</v>
      </c>
      <c r="HN55" s="24">
        <f t="shared" si="104"/>
        <v>14139.368827599385</v>
      </c>
      <c r="HO55" s="24">
        <f t="shared" si="104"/>
        <v>14225.826849800083</v>
      </c>
      <c r="HP55" s="24">
        <f t="shared" si="104"/>
        <v>14268.97792283647</v>
      </c>
      <c r="HQ55" s="24">
        <f t="shared" si="104"/>
        <v>14361.108368300756</v>
      </c>
      <c r="HR55" s="24">
        <f t="shared" si="104"/>
        <v>14413.722706369515</v>
      </c>
      <c r="HS55" s="24">
        <f t="shared" si="104"/>
        <v>14448.121839847874</v>
      </c>
      <c r="HT55" s="24">
        <f t="shared" si="104"/>
        <v>14544.812765118813</v>
      </c>
      <c r="HU55" s="24">
        <f t="shared" si="104"/>
        <v>14586.865242331749</v>
      </c>
      <c r="HV55" s="24">
        <f t="shared" si="104"/>
        <v>14686.903669285215</v>
      </c>
      <c r="HW55" s="24">
        <f t="shared" si="104"/>
        <v>14783.853512480589</v>
      </c>
      <c r="HX55" s="24">
        <f t="shared" si="104"/>
        <v>14859.08757977636</v>
      </c>
      <c r="HY55" s="24">
        <f t="shared" si="104"/>
        <v>14957.40490605884</v>
      </c>
      <c r="HZ55" s="24">
        <f t="shared" si="104"/>
        <v>14991.813532665754</v>
      </c>
      <c r="IA55" s="24">
        <f t="shared" si="104"/>
        <v>15033.835494145522</v>
      </c>
      <c r="IB55" s="24">
        <f t="shared" si="104"/>
        <v>15101.365249020237</v>
      </c>
      <c r="IC55" s="24">
        <f t="shared" si="104"/>
        <v>15152.896157158348</v>
      </c>
      <c r="ID55" s="24">
        <f t="shared" si="104"/>
        <v>15251.841516542809</v>
      </c>
      <c r="IE55" s="24">
        <f t="shared" si="104"/>
        <v>15317.421421596782</v>
      </c>
      <c r="IF55" s="24">
        <f t="shared" si="104"/>
        <v>15409.511671083674</v>
      </c>
      <c r="IG55" s="24">
        <f t="shared" si="104"/>
        <v>15466.717523867163</v>
      </c>
      <c r="IH55" s="24">
        <f t="shared" si="104"/>
        <v>15560.293540562188</v>
      </c>
      <c r="II55" s="24">
        <f t="shared" si="104"/>
        <v>15641.065021253626</v>
      </c>
      <c r="IJ55" s="24">
        <f t="shared" si="104"/>
        <v>15721.998270710872</v>
      </c>
      <c r="IK55" s="24">
        <f t="shared" si="104"/>
        <v>15774.554327271673</v>
      </c>
      <c r="IL55" s="24">
        <f t="shared" si="104"/>
        <v>15853.408618454267</v>
      </c>
      <c r="IM55" s="24">
        <f t="shared" si="104"/>
        <v>15936.827058797899</v>
      </c>
      <c r="IN55" s="24">
        <f t="shared" si="104"/>
        <v>16020.153637902395</v>
      </c>
      <c r="IO55" s="24">
        <f t="shared" si="104"/>
        <v>16115.430245985444</v>
      </c>
      <c r="IP55" s="24">
        <f t="shared" si="104"/>
        <v>16191.65550775102</v>
      </c>
      <c r="IQ55" s="24">
        <f t="shared" si="104"/>
        <v>16250.888177565877</v>
      </c>
      <c r="IR55" s="24">
        <f t="shared" si="104"/>
        <v>16321.470352197324</v>
      </c>
      <c r="IS55" s="24">
        <f t="shared" si="104"/>
        <v>16381.812179105567</v>
      </c>
      <c r="IT55" s="24">
        <f t="shared" si="104"/>
        <v>16448.511549557868</v>
      </c>
      <c r="IU55" s="24">
        <f t="shared" si="104"/>
        <v>16495.380957210564</v>
      </c>
      <c r="IV55" s="24">
        <f t="shared" si="104"/>
        <v>16569.893864414924</v>
      </c>
      <c r="IW55" s="24">
        <f t="shared" si="104"/>
        <v>16670.43232153896</v>
      </c>
      <c r="IX55" s="24">
        <f t="shared" si="104"/>
        <v>16736.152629446304</v>
      </c>
      <c r="IY55" s="24">
        <f t="shared" si="104"/>
        <v>16828.221668380469</v>
      </c>
      <c r="IZ55" s="24">
        <f t="shared" si="104"/>
        <v>16897.946981940742</v>
      </c>
      <c r="JA55" s="24">
        <f t="shared" si="104"/>
        <v>16969.459293347631</v>
      </c>
      <c r="JB55" s="24">
        <f t="shared" si="104"/>
        <v>17005.097316657724</v>
      </c>
      <c r="JC55" s="24">
        <f t="shared" si="104"/>
        <v>17096.495583540142</v>
      </c>
      <c r="JD55" s="24">
        <f t="shared" si="104"/>
        <v>17151.519159816398</v>
      </c>
      <c r="JE55" s="24">
        <f t="shared" si="104"/>
        <v>17206.389620929334</v>
      </c>
      <c r="JF55" s="24">
        <f t="shared" si="104"/>
        <v>17264.661944559048</v>
      </c>
      <c r="JG55" s="24">
        <f t="shared" si="104"/>
        <v>17365.300655265164</v>
      </c>
      <c r="JH55" s="24">
        <f t="shared" si="104"/>
        <v>17407.361891356504</v>
      </c>
      <c r="JI55" s="24">
        <f t="shared" si="104"/>
        <v>17499.922762861439</v>
      </c>
      <c r="JJ55" s="24">
        <f t="shared" si="104"/>
        <v>17545.487186639846</v>
      </c>
      <c r="JK55" s="24">
        <f t="shared" si="104"/>
        <v>17584.951842830291</v>
      </c>
      <c r="JL55" s="24">
        <f t="shared" ref="JL55:KI55" si="105">JL50</f>
        <v>17664.104404830221</v>
      </c>
      <c r="JM55" s="24">
        <f t="shared" si="105"/>
        <v>17760.820699912096</v>
      </c>
      <c r="JN55" s="24">
        <f t="shared" si="105"/>
        <v>17796.578148506542</v>
      </c>
      <c r="JO55" s="24">
        <f t="shared" si="105"/>
        <v>17873.932100509181</v>
      </c>
      <c r="JP55" s="24">
        <f t="shared" si="105"/>
        <v>17903.121218276163</v>
      </c>
      <c r="JQ55" s="24">
        <f t="shared" si="105"/>
        <v>17967.639498414119</v>
      </c>
      <c r="JR55" s="24">
        <f t="shared" si="105"/>
        <v>18062.216423658279</v>
      </c>
      <c r="JS55" s="24">
        <f t="shared" si="105"/>
        <v>18106.694971934168</v>
      </c>
      <c r="JT55" s="24">
        <f t="shared" si="105"/>
        <v>18200.988742351048</v>
      </c>
      <c r="JU55" s="24">
        <f t="shared" si="105"/>
        <v>18293.706095365604</v>
      </c>
      <c r="JV55" s="24">
        <f t="shared" si="105"/>
        <v>18338.081659182397</v>
      </c>
      <c r="JW55" s="24">
        <f t="shared" si="105"/>
        <v>18431.326039897318</v>
      </c>
      <c r="JX55" s="24">
        <f t="shared" si="105"/>
        <v>18461.816003956843</v>
      </c>
      <c r="JY55" s="24">
        <f t="shared" si="105"/>
        <v>18555.149709910624</v>
      </c>
      <c r="JZ55" s="24">
        <f t="shared" si="105"/>
        <v>18621.73952673301</v>
      </c>
      <c r="KA55" s="24">
        <f t="shared" si="105"/>
        <v>18661.314006568522</v>
      </c>
      <c r="KB55" s="24">
        <f t="shared" si="105"/>
        <v>18701.99190462986</v>
      </c>
      <c r="KC55" s="24">
        <f t="shared" si="105"/>
        <v>18798.007825209857</v>
      </c>
      <c r="KD55" s="24">
        <f t="shared" si="105"/>
        <v>18896.177914152588</v>
      </c>
      <c r="KE55" s="24">
        <f t="shared" si="105"/>
        <v>18957.570404964172</v>
      </c>
      <c r="KF55" s="24">
        <f t="shared" si="105"/>
        <v>19048.949359244856</v>
      </c>
      <c r="KG55" s="24">
        <f t="shared" si="105"/>
        <v>19124.37443010027</v>
      </c>
      <c r="KH55" s="24">
        <f t="shared" si="105"/>
        <v>19177.030324481417</v>
      </c>
      <c r="KI55" s="24">
        <f t="shared" si="105"/>
        <v>19239.511330654059</v>
      </c>
      <c r="KJ55" s="1"/>
    </row>
    <row r="56" spans="8:296" x14ac:dyDescent="0.35">
      <c r="H56" s="13" t="s">
        <v>22</v>
      </c>
      <c r="I56" s="1"/>
      <c r="J56" s="1"/>
      <c r="K56" s="1"/>
      <c r="M56" s="15" t="s">
        <v>189</v>
      </c>
      <c r="N56" s="24">
        <f>Control!H142</f>
        <v>1250</v>
      </c>
      <c r="O56" s="24">
        <f>N56-O38</f>
        <v>1251</v>
      </c>
      <c r="P56" s="24">
        <f t="shared" ref="P56:CA56" si="106">O56-P38</f>
        <v>1252</v>
      </c>
      <c r="Q56" s="24">
        <f t="shared" si="106"/>
        <v>1253</v>
      </c>
      <c r="R56" s="24">
        <f t="shared" si="106"/>
        <v>1254</v>
      </c>
      <c r="S56" s="24">
        <f t="shared" si="106"/>
        <v>1255</v>
      </c>
      <c r="T56" s="24">
        <f t="shared" si="106"/>
        <v>1256</v>
      </c>
      <c r="U56" s="24">
        <f t="shared" si="106"/>
        <v>1257</v>
      </c>
      <c r="V56" s="24">
        <f t="shared" si="106"/>
        <v>1258</v>
      </c>
      <c r="W56" s="24">
        <f t="shared" si="106"/>
        <v>1259</v>
      </c>
      <c r="X56" s="24">
        <f t="shared" si="106"/>
        <v>1260</v>
      </c>
      <c r="Y56" s="24">
        <f t="shared" si="106"/>
        <v>1261</v>
      </c>
      <c r="Z56" s="24">
        <f t="shared" si="106"/>
        <v>1262</v>
      </c>
      <c r="AA56" s="24">
        <f t="shared" si="106"/>
        <v>1263</v>
      </c>
      <c r="AB56" s="24">
        <f t="shared" si="106"/>
        <v>1264</v>
      </c>
      <c r="AC56" s="24">
        <f t="shared" si="106"/>
        <v>1265</v>
      </c>
      <c r="AD56" s="24">
        <f t="shared" si="106"/>
        <v>1266</v>
      </c>
      <c r="AE56" s="24">
        <f t="shared" si="106"/>
        <v>1267</v>
      </c>
      <c r="AF56" s="24">
        <f t="shared" si="106"/>
        <v>1268</v>
      </c>
      <c r="AG56" s="24">
        <f t="shared" si="106"/>
        <v>1269</v>
      </c>
      <c r="AH56" s="24">
        <f t="shared" si="106"/>
        <v>1270</v>
      </c>
      <c r="AI56" s="24">
        <f t="shared" si="106"/>
        <v>1271</v>
      </c>
      <c r="AJ56" s="24">
        <f t="shared" si="106"/>
        <v>1272</v>
      </c>
      <c r="AK56" s="24">
        <f t="shared" si="106"/>
        <v>1273</v>
      </c>
      <c r="AL56" s="24">
        <f t="shared" si="106"/>
        <v>1274</v>
      </c>
      <c r="AM56" s="24">
        <f t="shared" si="106"/>
        <v>1275</v>
      </c>
      <c r="AN56" s="24">
        <f t="shared" si="106"/>
        <v>1276</v>
      </c>
      <c r="AO56" s="24">
        <f t="shared" si="106"/>
        <v>1277</v>
      </c>
      <c r="AP56" s="24">
        <f t="shared" si="106"/>
        <v>1278</v>
      </c>
      <c r="AQ56" s="24">
        <f t="shared" si="106"/>
        <v>1279</v>
      </c>
      <c r="AR56" s="24">
        <f t="shared" si="106"/>
        <v>1280</v>
      </c>
      <c r="AS56" s="24">
        <f t="shared" si="106"/>
        <v>1281</v>
      </c>
      <c r="AT56" s="24">
        <f t="shared" si="106"/>
        <v>1282</v>
      </c>
      <c r="AU56" s="24">
        <f t="shared" si="106"/>
        <v>1283</v>
      </c>
      <c r="AV56" s="24">
        <f t="shared" si="106"/>
        <v>1284</v>
      </c>
      <c r="AW56" s="24">
        <f t="shared" si="106"/>
        <v>1285</v>
      </c>
      <c r="AX56" s="24">
        <f t="shared" si="106"/>
        <v>1286</v>
      </c>
      <c r="AY56" s="24">
        <f t="shared" si="106"/>
        <v>1287</v>
      </c>
      <c r="AZ56" s="24">
        <f t="shared" si="106"/>
        <v>1288</v>
      </c>
      <c r="BA56" s="24">
        <f t="shared" si="106"/>
        <v>1289</v>
      </c>
      <c r="BB56" s="24">
        <f t="shared" si="106"/>
        <v>1290</v>
      </c>
      <c r="BC56" s="24">
        <f t="shared" si="106"/>
        <v>1291</v>
      </c>
      <c r="BD56" s="24">
        <f t="shared" si="106"/>
        <v>1292</v>
      </c>
      <c r="BE56" s="24">
        <f t="shared" si="106"/>
        <v>1293</v>
      </c>
      <c r="BF56" s="24">
        <f t="shared" si="106"/>
        <v>1294</v>
      </c>
      <c r="BG56" s="24">
        <f t="shared" si="106"/>
        <v>1295</v>
      </c>
      <c r="BH56" s="24">
        <f t="shared" si="106"/>
        <v>1296</v>
      </c>
      <c r="BI56" s="24">
        <f t="shared" si="106"/>
        <v>1297</v>
      </c>
      <c r="BJ56" s="24">
        <f t="shared" si="106"/>
        <v>1298</v>
      </c>
      <c r="BK56" s="24">
        <f t="shared" si="106"/>
        <v>1299</v>
      </c>
      <c r="BL56" s="24">
        <f t="shared" si="106"/>
        <v>1300</v>
      </c>
      <c r="BM56" s="24">
        <f t="shared" si="106"/>
        <v>1301</v>
      </c>
      <c r="BN56" s="24">
        <f t="shared" si="106"/>
        <v>1302</v>
      </c>
      <c r="BO56" s="24">
        <f t="shared" si="106"/>
        <v>1303</v>
      </c>
      <c r="BP56" s="24">
        <f t="shared" si="106"/>
        <v>1304</v>
      </c>
      <c r="BQ56" s="24">
        <f t="shared" si="106"/>
        <v>1305</v>
      </c>
      <c r="BR56" s="24">
        <f t="shared" si="106"/>
        <v>1306</v>
      </c>
      <c r="BS56" s="24">
        <f t="shared" si="106"/>
        <v>1307</v>
      </c>
      <c r="BT56" s="24">
        <f t="shared" si="106"/>
        <v>1308</v>
      </c>
      <c r="BU56" s="24">
        <f t="shared" si="106"/>
        <v>1309</v>
      </c>
      <c r="BV56" s="24">
        <f t="shared" si="106"/>
        <v>1310</v>
      </c>
      <c r="BW56" s="24">
        <f t="shared" si="106"/>
        <v>1311</v>
      </c>
      <c r="BX56" s="24">
        <f t="shared" si="106"/>
        <v>1312</v>
      </c>
      <c r="BY56" s="24">
        <f t="shared" si="106"/>
        <v>1313</v>
      </c>
      <c r="BZ56" s="24">
        <f t="shared" si="106"/>
        <v>1314</v>
      </c>
      <c r="CA56" s="24">
        <f t="shared" si="106"/>
        <v>1315</v>
      </c>
      <c r="CB56" s="24">
        <f t="shared" ref="CB56:EM56" si="107">CA56-CB38</f>
        <v>1316</v>
      </c>
      <c r="CC56" s="24">
        <f t="shared" si="107"/>
        <v>1317</v>
      </c>
      <c r="CD56" s="24">
        <f t="shared" si="107"/>
        <v>1318</v>
      </c>
      <c r="CE56" s="24">
        <f t="shared" si="107"/>
        <v>1319</v>
      </c>
      <c r="CF56" s="24">
        <f t="shared" si="107"/>
        <v>1320</v>
      </c>
      <c r="CG56" s="24">
        <f t="shared" si="107"/>
        <v>1321</v>
      </c>
      <c r="CH56" s="24">
        <f t="shared" si="107"/>
        <v>1322</v>
      </c>
      <c r="CI56" s="24">
        <f t="shared" si="107"/>
        <v>1323</v>
      </c>
      <c r="CJ56" s="24">
        <f t="shared" si="107"/>
        <v>1324</v>
      </c>
      <c r="CK56" s="24">
        <f t="shared" si="107"/>
        <v>1325</v>
      </c>
      <c r="CL56" s="24">
        <f t="shared" si="107"/>
        <v>1326</v>
      </c>
      <c r="CM56" s="24">
        <f t="shared" si="107"/>
        <v>1327</v>
      </c>
      <c r="CN56" s="24">
        <f t="shared" si="107"/>
        <v>1328</v>
      </c>
      <c r="CO56" s="24">
        <f t="shared" si="107"/>
        <v>1329</v>
      </c>
      <c r="CP56" s="24">
        <f t="shared" si="107"/>
        <v>1330</v>
      </c>
      <c r="CQ56" s="24">
        <f t="shared" si="107"/>
        <v>1331</v>
      </c>
      <c r="CR56" s="24">
        <f t="shared" si="107"/>
        <v>1332</v>
      </c>
      <c r="CS56" s="24">
        <f t="shared" si="107"/>
        <v>1333</v>
      </c>
      <c r="CT56" s="24">
        <f t="shared" si="107"/>
        <v>1334</v>
      </c>
      <c r="CU56" s="24">
        <f t="shared" si="107"/>
        <v>1335</v>
      </c>
      <c r="CV56" s="24">
        <f t="shared" si="107"/>
        <v>1336</v>
      </c>
      <c r="CW56" s="24">
        <f t="shared" si="107"/>
        <v>1337</v>
      </c>
      <c r="CX56" s="24">
        <f t="shared" si="107"/>
        <v>1338</v>
      </c>
      <c r="CY56" s="24">
        <f t="shared" si="107"/>
        <v>1339</v>
      </c>
      <c r="CZ56" s="24">
        <f t="shared" si="107"/>
        <v>1340</v>
      </c>
      <c r="DA56" s="24">
        <f t="shared" si="107"/>
        <v>1341</v>
      </c>
      <c r="DB56" s="24">
        <f t="shared" si="107"/>
        <v>1342</v>
      </c>
      <c r="DC56" s="24">
        <f t="shared" si="107"/>
        <v>1343</v>
      </c>
      <c r="DD56" s="24">
        <f t="shared" si="107"/>
        <v>1344</v>
      </c>
      <c r="DE56" s="24">
        <f t="shared" si="107"/>
        <v>1345</v>
      </c>
      <c r="DF56" s="24">
        <f t="shared" si="107"/>
        <v>1346</v>
      </c>
      <c r="DG56" s="24">
        <f t="shared" si="107"/>
        <v>1347</v>
      </c>
      <c r="DH56" s="24">
        <f t="shared" si="107"/>
        <v>1348</v>
      </c>
      <c r="DI56" s="24">
        <f t="shared" si="107"/>
        <v>1349</v>
      </c>
      <c r="DJ56" s="24">
        <f t="shared" si="107"/>
        <v>1350</v>
      </c>
      <c r="DK56" s="24">
        <f t="shared" si="107"/>
        <v>1351</v>
      </c>
      <c r="DL56" s="24">
        <f t="shared" si="107"/>
        <v>1352</v>
      </c>
      <c r="DM56" s="24">
        <f t="shared" si="107"/>
        <v>1353</v>
      </c>
      <c r="DN56" s="24">
        <f t="shared" si="107"/>
        <v>1354</v>
      </c>
      <c r="DO56" s="24">
        <f t="shared" si="107"/>
        <v>1355</v>
      </c>
      <c r="DP56" s="24">
        <f t="shared" si="107"/>
        <v>1356</v>
      </c>
      <c r="DQ56" s="24">
        <f t="shared" si="107"/>
        <v>1357</v>
      </c>
      <c r="DR56" s="24">
        <f t="shared" si="107"/>
        <v>1358</v>
      </c>
      <c r="DS56" s="24">
        <f t="shared" si="107"/>
        <v>1359</v>
      </c>
      <c r="DT56" s="24">
        <f t="shared" si="107"/>
        <v>1360</v>
      </c>
      <c r="DU56" s="24">
        <f t="shared" si="107"/>
        <v>1361</v>
      </c>
      <c r="DV56" s="24">
        <f t="shared" si="107"/>
        <v>1362</v>
      </c>
      <c r="DW56" s="24">
        <f t="shared" si="107"/>
        <v>1363</v>
      </c>
      <c r="DX56" s="24">
        <f t="shared" si="107"/>
        <v>1364</v>
      </c>
      <c r="DY56" s="24">
        <f t="shared" si="107"/>
        <v>1365</v>
      </c>
      <c r="DZ56" s="24">
        <f t="shared" si="107"/>
        <v>1366</v>
      </c>
      <c r="EA56" s="24">
        <f t="shared" si="107"/>
        <v>1367</v>
      </c>
      <c r="EB56" s="24">
        <f t="shared" si="107"/>
        <v>1368</v>
      </c>
      <c r="EC56" s="24">
        <f t="shared" si="107"/>
        <v>1369</v>
      </c>
      <c r="ED56" s="24">
        <f t="shared" si="107"/>
        <v>1370</v>
      </c>
      <c r="EE56" s="24">
        <f t="shared" si="107"/>
        <v>1371</v>
      </c>
      <c r="EF56" s="24">
        <f t="shared" si="107"/>
        <v>1372</v>
      </c>
      <c r="EG56" s="24">
        <f t="shared" si="107"/>
        <v>1373</v>
      </c>
      <c r="EH56" s="24">
        <f t="shared" si="107"/>
        <v>1374</v>
      </c>
      <c r="EI56" s="24">
        <f t="shared" si="107"/>
        <v>1375</v>
      </c>
      <c r="EJ56" s="24">
        <f t="shared" si="107"/>
        <v>1376</v>
      </c>
      <c r="EK56" s="24">
        <f t="shared" si="107"/>
        <v>1377</v>
      </c>
      <c r="EL56" s="24">
        <f t="shared" si="107"/>
        <v>1378</v>
      </c>
      <c r="EM56" s="24">
        <f t="shared" si="107"/>
        <v>1379</v>
      </c>
      <c r="EN56" s="24">
        <f t="shared" ref="EN56:GY56" si="108">EM56-EN38</f>
        <v>1380</v>
      </c>
      <c r="EO56" s="24">
        <f t="shared" si="108"/>
        <v>1381</v>
      </c>
      <c r="EP56" s="24">
        <f t="shared" si="108"/>
        <v>1382</v>
      </c>
      <c r="EQ56" s="24">
        <f t="shared" si="108"/>
        <v>1383</v>
      </c>
      <c r="ER56" s="24">
        <f t="shared" si="108"/>
        <v>1384</v>
      </c>
      <c r="ES56" s="24">
        <f t="shared" si="108"/>
        <v>1385</v>
      </c>
      <c r="ET56" s="24">
        <f t="shared" si="108"/>
        <v>1386</v>
      </c>
      <c r="EU56" s="24">
        <f t="shared" si="108"/>
        <v>1387</v>
      </c>
      <c r="EV56" s="24">
        <f t="shared" si="108"/>
        <v>1388</v>
      </c>
      <c r="EW56" s="24">
        <f t="shared" si="108"/>
        <v>1389</v>
      </c>
      <c r="EX56" s="24">
        <f t="shared" si="108"/>
        <v>1390</v>
      </c>
      <c r="EY56" s="24">
        <f t="shared" si="108"/>
        <v>1391</v>
      </c>
      <c r="EZ56" s="24">
        <f t="shared" si="108"/>
        <v>1392</v>
      </c>
      <c r="FA56" s="24">
        <f t="shared" si="108"/>
        <v>1393</v>
      </c>
      <c r="FB56" s="24">
        <f t="shared" si="108"/>
        <v>1394</v>
      </c>
      <c r="FC56" s="24">
        <f t="shared" si="108"/>
        <v>1395</v>
      </c>
      <c r="FD56" s="24">
        <f t="shared" si="108"/>
        <v>1396</v>
      </c>
      <c r="FE56" s="24">
        <f t="shared" si="108"/>
        <v>1397</v>
      </c>
      <c r="FF56" s="24">
        <f t="shared" si="108"/>
        <v>1398</v>
      </c>
      <c r="FG56" s="24">
        <f t="shared" si="108"/>
        <v>1399</v>
      </c>
      <c r="FH56" s="24">
        <f t="shared" si="108"/>
        <v>1400</v>
      </c>
      <c r="FI56" s="24">
        <f t="shared" si="108"/>
        <v>1401</v>
      </c>
      <c r="FJ56" s="24">
        <f t="shared" si="108"/>
        <v>1402</v>
      </c>
      <c r="FK56" s="24">
        <f t="shared" si="108"/>
        <v>1403</v>
      </c>
      <c r="FL56" s="24">
        <f t="shared" si="108"/>
        <v>1404</v>
      </c>
      <c r="FM56" s="24">
        <f t="shared" si="108"/>
        <v>1405</v>
      </c>
      <c r="FN56" s="24">
        <f t="shared" si="108"/>
        <v>1406</v>
      </c>
      <c r="FO56" s="24">
        <f t="shared" si="108"/>
        <v>1407</v>
      </c>
      <c r="FP56" s="24">
        <f t="shared" si="108"/>
        <v>1408</v>
      </c>
      <c r="FQ56" s="24">
        <f t="shared" si="108"/>
        <v>1409</v>
      </c>
      <c r="FR56" s="24">
        <f t="shared" si="108"/>
        <v>1410</v>
      </c>
      <c r="FS56" s="24">
        <f t="shared" si="108"/>
        <v>1411</v>
      </c>
      <c r="FT56" s="24">
        <f t="shared" si="108"/>
        <v>1412</v>
      </c>
      <c r="FU56" s="24">
        <f t="shared" si="108"/>
        <v>1413</v>
      </c>
      <c r="FV56" s="24">
        <f t="shared" si="108"/>
        <v>1414</v>
      </c>
      <c r="FW56" s="24">
        <f t="shared" si="108"/>
        <v>1415</v>
      </c>
      <c r="FX56" s="24">
        <f t="shared" si="108"/>
        <v>1416</v>
      </c>
      <c r="FY56" s="24">
        <f t="shared" si="108"/>
        <v>1417</v>
      </c>
      <c r="FZ56" s="24">
        <f t="shared" si="108"/>
        <v>1418</v>
      </c>
      <c r="GA56" s="24">
        <f t="shared" si="108"/>
        <v>1419</v>
      </c>
      <c r="GB56" s="24">
        <f t="shared" si="108"/>
        <v>1420</v>
      </c>
      <c r="GC56" s="24">
        <f t="shared" si="108"/>
        <v>1421</v>
      </c>
      <c r="GD56" s="24">
        <f t="shared" si="108"/>
        <v>1422</v>
      </c>
      <c r="GE56" s="24">
        <f t="shared" si="108"/>
        <v>1423</v>
      </c>
      <c r="GF56" s="24">
        <f t="shared" si="108"/>
        <v>1424</v>
      </c>
      <c r="GG56" s="24">
        <f t="shared" si="108"/>
        <v>1425</v>
      </c>
      <c r="GH56" s="24">
        <f t="shared" si="108"/>
        <v>1426</v>
      </c>
      <c r="GI56" s="24">
        <f t="shared" si="108"/>
        <v>1427</v>
      </c>
      <c r="GJ56" s="24">
        <f t="shared" si="108"/>
        <v>1428</v>
      </c>
      <c r="GK56" s="24">
        <f t="shared" si="108"/>
        <v>1429</v>
      </c>
      <c r="GL56" s="24">
        <f t="shared" si="108"/>
        <v>1430</v>
      </c>
      <c r="GM56" s="24">
        <f t="shared" si="108"/>
        <v>1431</v>
      </c>
      <c r="GN56" s="24">
        <f t="shared" si="108"/>
        <v>1432</v>
      </c>
      <c r="GO56" s="24">
        <f t="shared" si="108"/>
        <v>1433</v>
      </c>
      <c r="GP56" s="24">
        <f t="shared" si="108"/>
        <v>1434</v>
      </c>
      <c r="GQ56" s="24">
        <f t="shared" si="108"/>
        <v>1435</v>
      </c>
      <c r="GR56" s="24">
        <f t="shared" si="108"/>
        <v>1436</v>
      </c>
      <c r="GS56" s="24">
        <f t="shared" si="108"/>
        <v>1437</v>
      </c>
      <c r="GT56" s="24">
        <f t="shared" si="108"/>
        <v>1438</v>
      </c>
      <c r="GU56" s="24">
        <f t="shared" si="108"/>
        <v>1439</v>
      </c>
      <c r="GV56" s="24">
        <f t="shared" si="108"/>
        <v>1440</v>
      </c>
      <c r="GW56" s="24">
        <f t="shared" si="108"/>
        <v>1441</v>
      </c>
      <c r="GX56" s="24">
        <f t="shared" si="108"/>
        <v>1442</v>
      </c>
      <c r="GY56" s="24">
        <f t="shared" si="108"/>
        <v>1443</v>
      </c>
      <c r="GZ56" s="24">
        <f t="shared" ref="GZ56:JK56" si="109">GY56-GZ38</f>
        <v>1444</v>
      </c>
      <c r="HA56" s="24">
        <f t="shared" si="109"/>
        <v>1445</v>
      </c>
      <c r="HB56" s="24">
        <f t="shared" si="109"/>
        <v>1446</v>
      </c>
      <c r="HC56" s="24">
        <f t="shared" si="109"/>
        <v>1447</v>
      </c>
      <c r="HD56" s="24">
        <f t="shared" si="109"/>
        <v>1448</v>
      </c>
      <c r="HE56" s="24">
        <f t="shared" si="109"/>
        <v>1449</v>
      </c>
      <c r="HF56" s="24">
        <f t="shared" si="109"/>
        <v>1450</v>
      </c>
      <c r="HG56" s="24">
        <f t="shared" si="109"/>
        <v>1451</v>
      </c>
      <c r="HH56" s="24">
        <f t="shared" si="109"/>
        <v>1452</v>
      </c>
      <c r="HI56" s="24">
        <f t="shared" si="109"/>
        <v>1453</v>
      </c>
      <c r="HJ56" s="24">
        <f t="shared" si="109"/>
        <v>1454</v>
      </c>
      <c r="HK56" s="24">
        <f t="shared" si="109"/>
        <v>1455</v>
      </c>
      <c r="HL56" s="24">
        <f t="shared" si="109"/>
        <v>1456</v>
      </c>
      <c r="HM56" s="24">
        <f t="shared" si="109"/>
        <v>1457</v>
      </c>
      <c r="HN56" s="24">
        <f t="shared" si="109"/>
        <v>1458</v>
      </c>
      <c r="HO56" s="24">
        <f t="shared" si="109"/>
        <v>1459</v>
      </c>
      <c r="HP56" s="24">
        <f t="shared" si="109"/>
        <v>1460</v>
      </c>
      <c r="HQ56" s="24">
        <f t="shared" si="109"/>
        <v>1461</v>
      </c>
      <c r="HR56" s="24">
        <f t="shared" si="109"/>
        <v>1462</v>
      </c>
      <c r="HS56" s="24">
        <f t="shared" si="109"/>
        <v>1463</v>
      </c>
      <c r="HT56" s="24">
        <f t="shared" si="109"/>
        <v>1464</v>
      </c>
      <c r="HU56" s="24">
        <f t="shared" si="109"/>
        <v>1465</v>
      </c>
      <c r="HV56" s="24">
        <f t="shared" si="109"/>
        <v>1466</v>
      </c>
      <c r="HW56" s="24">
        <f t="shared" si="109"/>
        <v>1467</v>
      </c>
      <c r="HX56" s="24">
        <f t="shared" si="109"/>
        <v>1468</v>
      </c>
      <c r="HY56" s="24">
        <f t="shared" si="109"/>
        <v>1469</v>
      </c>
      <c r="HZ56" s="24">
        <f t="shared" si="109"/>
        <v>1470</v>
      </c>
      <c r="IA56" s="24">
        <f t="shared" si="109"/>
        <v>1471</v>
      </c>
      <c r="IB56" s="24">
        <f t="shared" si="109"/>
        <v>1472</v>
      </c>
      <c r="IC56" s="24">
        <f t="shared" si="109"/>
        <v>1473</v>
      </c>
      <c r="ID56" s="24">
        <f t="shared" si="109"/>
        <v>1474</v>
      </c>
      <c r="IE56" s="24">
        <f t="shared" si="109"/>
        <v>1475</v>
      </c>
      <c r="IF56" s="24">
        <f t="shared" si="109"/>
        <v>1476</v>
      </c>
      <c r="IG56" s="24">
        <f t="shared" si="109"/>
        <v>1477</v>
      </c>
      <c r="IH56" s="24">
        <f t="shared" si="109"/>
        <v>1478</v>
      </c>
      <c r="II56" s="24">
        <f t="shared" si="109"/>
        <v>1479</v>
      </c>
      <c r="IJ56" s="24">
        <f t="shared" si="109"/>
        <v>1480</v>
      </c>
      <c r="IK56" s="24">
        <f t="shared" si="109"/>
        <v>1481</v>
      </c>
      <c r="IL56" s="24">
        <f t="shared" si="109"/>
        <v>1482</v>
      </c>
      <c r="IM56" s="24">
        <f t="shared" si="109"/>
        <v>1483</v>
      </c>
      <c r="IN56" s="24">
        <f t="shared" si="109"/>
        <v>1484</v>
      </c>
      <c r="IO56" s="24">
        <f t="shared" si="109"/>
        <v>1485</v>
      </c>
      <c r="IP56" s="24">
        <f t="shared" si="109"/>
        <v>1486</v>
      </c>
      <c r="IQ56" s="24">
        <f t="shared" si="109"/>
        <v>1487</v>
      </c>
      <c r="IR56" s="24">
        <f t="shared" si="109"/>
        <v>1488</v>
      </c>
      <c r="IS56" s="24">
        <f t="shared" si="109"/>
        <v>1489</v>
      </c>
      <c r="IT56" s="24">
        <f t="shared" si="109"/>
        <v>1490</v>
      </c>
      <c r="IU56" s="24">
        <f t="shared" si="109"/>
        <v>1491</v>
      </c>
      <c r="IV56" s="24">
        <f t="shared" si="109"/>
        <v>1492</v>
      </c>
      <c r="IW56" s="24">
        <f t="shared" si="109"/>
        <v>1493</v>
      </c>
      <c r="IX56" s="24">
        <f t="shared" si="109"/>
        <v>1494</v>
      </c>
      <c r="IY56" s="24">
        <f t="shared" si="109"/>
        <v>1495</v>
      </c>
      <c r="IZ56" s="24">
        <f t="shared" si="109"/>
        <v>1496</v>
      </c>
      <c r="JA56" s="24">
        <f t="shared" si="109"/>
        <v>1497</v>
      </c>
      <c r="JB56" s="24">
        <f t="shared" si="109"/>
        <v>1498</v>
      </c>
      <c r="JC56" s="24">
        <f t="shared" si="109"/>
        <v>1499</v>
      </c>
      <c r="JD56" s="24">
        <f t="shared" si="109"/>
        <v>1500</v>
      </c>
      <c r="JE56" s="24">
        <f t="shared" si="109"/>
        <v>1501</v>
      </c>
      <c r="JF56" s="24">
        <f t="shared" si="109"/>
        <v>1502</v>
      </c>
      <c r="JG56" s="24">
        <f t="shared" si="109"/>
        <v>1503</v>
      </c>
      <c r="JH56" s="24">
        <f t="shared" si="109"/>
        <v>1504</v>
      </c>
      <c r="JI56" s="24">
        <f t="shared" si="109"/>
        <v>1505</v>
      </c>
      <c r="JJ56" s="24">
        <f t="shared" si="109"/>
        <v>1506</v>
      </c>
      <c r="JK56" s="24">
        <f t="shared" si="109"/>
        <v>1507</v>
      </c>
      <c r="JL56" s="24">
        <f t="shared" ref="JL56:KI56" si="110">JK56-JL38</f>
        <v>1508</v>
      </c>
      <c r="JM56" s="24">
        <f t="shared" si="110"/>
        <v>1509</v>
      </c>
      <c r="JN56" s="24">
        <f t="shared" si="110"/>
        <v>1510</v>
      </c>
      <c r="JO56" s="24">
        <f t="shared" si="110"/>
        <v>1511</v>
      </c>
      <c r="JP56" s="24">
        <f t="shared" si="110"/>
        <v>1512</v>
      </c>
      <c r="JQ56" s="24">
        <f t="shared" si="110"/>
        <v>1513</v>
      </c>
      <c r="JR56" s="24">
        <f t="shared" si="110"/>
        <v>1514</v>
      </c>
      <c r="JS56" s="24">
        <f t="shared" si="110"/>
        <v>1515</v>
      </c>
      <c r="JT56" s="24">
        <f t="shared" si="110"/>
        <v>1516</v>
      </c>
      <c r="JU56" s="24">
        <f t="shared" si="110"/>
        <v>1517</v>
      </c>
      <c r="JV56" s="24">
        <f t="shared" si="110"/>
        <v>1518</v>
      </c>
      <c r="JW56" s="24">
        <f t="shared" si="110"/>
        <v>1519</v>
      </c>
      <c r="JX56" s="24">
        <f t="shared" si="110"/>
        <v>1520</v>
      </c>
      <c r="JY56" s="24">
        <f t="shared" si="110"/>
        <v>1521</v>
      </c>
      <c r="JZ56" s="24">
        <f t="shared" si="110"/>
        <v>1522</v>
      </c>
      <c r="KA56" s="24">
        <f t="shared" si="110"/>
        <v>1523</v>
      </c>
      <c r="KB56" s="24">
        <f t="shared" si="110"/>
        <v>1524</v>
      </c>
      <c r="KC56" s="24">
        <f t="shared" si="110"/>
        <v>1525</v>
      </c>
      <c r="KD56" s="24">
        <f t="shared" si="110"/>
        <v>1526</v>
      </c>
      <c r="KE56" s="24">
        <f t="shared" si="110"/>
        <v>1527</v>
      </c>
      <c r="KF56" s="24">
        <f t="shared" si="110"/>
        <v>1528</v>
      </c>
      <c r="KG56" s="24">
        <f t="shared" si="110"/>
        <v>1529</v>
      </c>
      <c r="KH56" s="24">
        <f t="shared" si="110"/>
        <v>1530</v>
      </c>
      <c r="KI56" s="24">
        <f t="shared" si="110"/>
        <v>1531</v>
      </c>
      <c r="KJ56" s="1"/>
    </row>
    <row r="57" spans="8:296" x14ac:dyDescent="0.35">
      <c r="H57" s="13" t="s">
        <v>22</v>
      </c>
      <c r="I57" s="1"/>
      <c r="J57" s="1"/>
      <c r="K57" s="1"/>
      <c r="M57" s="15" t="s">
        <v>144</v>
      </c>
      <c r="N57" s="24">
        <f>Control!H143</f>
        <v>117</v>
      </c>
      <c r="O57" s="24">
        <f>N57</f>
        <v>117</v>
      </c>
      <c r="P57" s="24">
        <f t="shared" ref="P57:CA57" si="111">O57</f>
        <v>117</v>
      </c>
      <c r="Q57" s="24">
        <f t="shared" si="111"/>
        <v>117</v>
      </c>
      <c r="R57" s="24">
        <f t="shared" si="111"/>
        <v>117</v>
      </c>
      <c r="S57" s="24">
        <f t="shared" si="111"/>
        <v>117</v>
      </c>
      <c r="T57" s="24">
        <f t="shared" si="111"/>
        <v>117</v>
      </c>
      <c r="U57" s="24">
        <f t="shared" si="111"/>
        <v>117</v>
      </c>
      <c r="V57" s="24">
        <f t="shared" si="111"/>
        <v>117</v>
      </c>
      <c r="W57" s="24">
        <f t="shared" si="111"/>
        <v>117</v>
      </c>
      <c r="X57" s="24">
        <f t="shared" si="111"/>
        <v>117</v>
      </c>
      <c r="Y57" s="24">
        <f t="shared" si="111"/>
        <v>117</v>
      </c>
      <c r="Z57" s="24">
        <f t="shared" si="111"/>
        <v>117</v>
      </c>
      <c r="AA57" s="24">
        <f t="shared" si="111"/>
        <v>117</v>
      </c>
      <c r="AB57" s="24">
        <f t="shared" si="111"/>
        <v>117</v>
      </c>
      <c r="AC57" s="24">
        <f t="shared" si="111"/>
        <v>117</v>
      </c>
      <c r="AD57" s="24">
        <f t="shared" si="111"/>
        <v>117</v>
      </c>
      <c r="AE57" s="24">
        <f t="shared" si="111"/>
        <v>117</v>
      </c>
      <c r="AF57" s="24">
        <f t="shared" si="111"/>
        <v>117</v>
      </c>
      <c r="AG57" s="24">
        <f t="shared" si="111"/>
        <v>117</v>
      </c>
      <c r="AH57" s="24">
        <f t="shared" si="111"/>
        <v>117</v>
      </c>
      <c r="AI57" s="24">
        <f t="shared" si="111"/>
        <v>117</v>
      </c>
      <c r="AJ57" s="24">
        <f t="shared" si="111"/>
        <v>117</v>
      </c>
      <c r="AK57" s="24">
        <f t="shared" si="111"/>
        <v>117</v>
      </c>
      <c r="AL57" s="24">
        <f t="shared" si="111"/>
        <v>117</v>
      </c>
      <c r="AM57" s="24">
        <f t="shared" si="111"/>
        <v>117</v>
      </c>
      <c r="AN57" s="24">
        <f t="shared" si="111"/>
        <v>117</v>
      </c>
      <c r="AO57" s="24">
        <f t="shared" si="111"/>
        <v>117</v>
      </c>
      <c r="AP57" s="24">
        <f t="shared" si="111"/>
        <v>117</v>
      </c>
      <c r="AQ57" s="24">
        <f t="shared" si="111"/>
        <v>117</v>
      </c>
      <c r="AR57" s="24">
        <f t="shared" si="111"/>
        <v>117</v>
      </c>
      <c r="AS57" s="24">
        <f t="shared" si="111"/>
        <v>117</v>
      </c>
      <c r="AT57" s="24">
        <f t="shared" si="111"/>
        <v>117</v>
      </c>
      <c r="AU57" s="24">
        <f t="shared" si="111"/>
        <v>117</v>
      </c>
      <c r="AV57" s="24">
        <f t="shared" si="111"/>
        <v>117</v>
      </c>
      <c r="AW57" s="24">
        <f t="shared" si="111"/>
        <v>117</v>
      </c>
      <c r="AX57" s="24">
        <f t="shared" si="111"/>
        <v>117</v>
      </c>
      <c r="AY57" s="24">
        <f t="shared" si="111"/>
        <v>117</v>
      </c>
      <c r="AZ57" s="24">
        <f t="shared" si="111"/>
        <v>117</v>
      </c>
      <c r="BA57" s="24">
        <f t="shared" si="111"/>
        <v>117</v>
      </c>
      <c r="BB57" s="24">
        <f t="shared" si="111"/>
        <v>117</v>
      </c>
      <c r="BC57" s="24">
        <f t="shared" si="111"/>
        <v>117</v>
      </c>
      <c r="BD57" s="24">
        <f t="shared" si="111"/>
        <v>117</v>
      </c>
      <c r="BE57" s="24">
        <f t="shared" si="111"/>
        <v>117</v>
      </c>
      <c r="BF57" s="24">
        <f t="shared" si="111"/>
        <v>117</v>
      </c>
      <c r="BG57" s="24">
        <f t="shared" si="111"/>
        <v>117</v>
      </c>
      <c r="BH57" s="24">
        <f t="shared" si="111"/>
        <v>117</v>
      </c>
      <c r="BI57" s="24">
        <f t="shared" si="111"/>
        <v>117</v>
      </c>
      <c r="BJ57" s="24">
        <f t="shared" si="111"/>
        <v>117</v>
      </c>
      <c r="BK57" s="24">
        <f t="shared" si="111"/>
        <v>117</v>
      </c>
      <c r="BL57" s="24">
        <f t="shared" si="111"/>
        <v>117</v>
      </c>
      <c r="BM57" s="24">
        <f t="shared" si="111"/>
        <v>117</v>
      </c>
      <c r="BN57" s="24">
        <f t="shared" si="111"/>
        <v>117</v>
      </c>
      <c r="BO57" s="24">
        <f t="shared" si="111"/>
        <v>117</v>
      </c>
      <c r="BP57" s="24">
        <f t="shared" si="111"/>
        <v>117</v>
      </c>
      <c r="BQ57" s="24">
        <f t="shared" si="111"/>
        <v>117</v>
      </c>
      <c r="BR57" s="24">
        <f t="shared" si="111"/>
        <v>117</v>
      </c>
      <c r="BS57" s="24">
        <f t="shared" si="111"/>
        <v>117</v>
      </c>
      <c r="BT57" s="24">
        <f t="shared" si="111"/>
        <v>117</v>
      </c>
      <c r="BU57" s="24">
        <f t="shared" si="111"/>
        <v>117</v>
      </c>
      <c r="BV57" s="24">
        <f t="shared" si="111"/>
        <v>117</v>
      </c>
      <c r="BW57" s="24">
        <f t="shared" si="111"/>
        <v>117</v>
      </c>
      <c r="BX57" s="24">
        <f t="shared" si="111"/>
        <v>117</v>
      </c>
      <c r="BY57" s="24">
        <f t="shared" si="111"/>
        <v>117</v>
      </c>
      <c r="BZ57" s="24">
        <f t="shared" si="111"/>
        <v>117</v>
      </c>
      <c r="CA57" s="24">
        <f t="shared" si="111"/>
        <v>117</v>
      </c>
      <c r="CB57" s="24">
        <f t="shared" ref="CB57:EM57" si="112">CA57</f>
        <v>117</v>
      </c>
      <c r="CC57" s="24">
        <f t="shared" si="112"/>
        <v>117</v>
      </c>
      <c r="CD57" s="24">
        <f t="shared" si="112"/>
        <v>117</v>
      </c>
      <c r="CE57" s="24">
        <f t="shared" si="112"/>
        <v>117</v>
      </c>
      <c r="CF57" s="24">
        <f t="shared" si="112"/>
        <v>117</v>
      </c>
      <c r="CG57" s="24">
        <f t="shared" si="112"/>
        <v>117</v>
      </c>
      <c r="CH57" s="24">
        <f t="shared" si="112"/>
        <v>117</v>
      </c>
      <c r="CI57" s="24">
        <f t="shared" si="112"/>
        <v>117</v>
      </c>
      <c r="CJ57" s="24">
        <f t="shared" si="112"/>
        <v>117</v>
      </c>
      <c r="CK57" s="24">
        <f t="shared" si="112"/>
        <v>117</v>
      </c>
      <c r="CL57" s="24">
        <f t="shared" si="112"/>
        <v>117</v>
      </c>
      <c r="CM57" s="24">
        <f t="shared" si="112"/>
        <v>117</v>
      </c>
      <c r="CN57" s="24">
        <f t="shared" si="112"/>
        <v>117</v>
      </c>
      <c r="CO57" s="24">
        <f t="shared" si="112"/>
        <v>117</v>
      </c>
      <c r="CP57" s="24">
        <f t="shared" si="112"/>
        <v>117</v>
      </c>
      <c r="CQ57" s="24">
        <f t="shared" si="112"/>
        <v>117</v>
      </c>
      <c r="CR57" s="24">
        <f t="shared" si="112"/>
        <v>117</v>
      </c>
      <c r="CS57" s="24">
        <f t="shared" si="112"/>
        <v>117</v>
      </c>
      <c r="CT57" s="24">
        <f t="shared" si="112"/>
        <v>117</v>
      </c>
      <c r="CU57" s="24">
        <f t="shared" si="112"/>
        <v>117</v>
      </c>
      <c r="CV57" s="24">
        <f t="shared" si="112"/>
        <v>117</v>
      </c>
      <c r="CW57" s="24">
        <f t="shared" si="112"/>
        <v>117</v>
      </c>
      <c r="CX57" s="24">
        <f t="shared" si="112"/>
        <v>117</v>
      </c>
      <c r="CY57" s="24">
        <f t="shared" si="112"/>
        <v>117</v>
      </c>
      <c r="CZ57" s="24">
        <f t="shared" si="112"/>
        <v>117</v>
      </c>
      <c r="DA57" s="24">
        <f t="shared" si="112"/>
        <v>117</v>
      </c>
      <c r="DB57" s="24">
        <f t="shared" si="112"/>
        <v>117</v>
      </c>
      <c r="DC57" s="24">
        <f t="shared" si="112"/>
        <v>117</v>
      </c>
      <c r="DD57" s="24">
        <f t="shared" si="112"/>
        <v>117</v>
      </c>
      <c r="DE57" s="24">
        <f t="shared" si="112"/>
        <v>117</v>
      </c>
      <c r="DF57" s="24">
        <f t="shared" si="112"/>
        <v>117</v>
      </c>
      <c r="DG57" s="24">
        <f t="shared" si="112"/>
        <v>117</v>
      </c>
      <c r="DH57" s="24">
        <f t="shared" si="112"/>
        <v>117</v>
      </c>
      <c r="DI57" s="24">
        <f t="shared" si="112"/>
        <v>117</v>
      </c>
      <c r="DJ57" s="24">
        <f t="shared" si="112"/>
        <v>117</v>
      </c>
      <c r="DK57" s="24">
        <f t="shared" si="112"/>
        <v>117</v>
      </c>
      <c r="DL57" s="24">
        <f t="shared" si="112"/>
        <v>117</v>
      </c>
      <c r="DM57" s="24">
        <f t="shared" si="112"/>
        <v>117</v>
      </c>
      <c r="DN57" s="24">
        <f t="shared" si="112"/>
        <v>117</v>
      </c>
      <c r="DO57" s="24">
        <f t="shared" si="112"/>
        <v>117</v>
      </c>
      <c r="DP57" s="24">
        <f t="shared" si="112"/>
        <v>117</v>
      </c>
      <c r="DQ57" s="24">
        <f t="shared" si="112"/>
        <v>117</v>
      </c>
      <c r="DR57" s="24">
        <f t="shared" si="112"/>
        <v>117</v>
      </c>
      <c r="DS57" s="24">
        <f t="shared" si="112"/>
        <v>117</v>
      </c>
      <c r="DT57" s="24">
        <f t="shared" si="112"/>
        <v>117</v>
      </c>
      <c r="DU57" s="24">
        <f t="shared" si="112"/>
        <v>117</v>
      </c>
      <c r="DV57" s="24">
        <f t="shared" si="112"/>
        <v>117</v>
      </c>
      <c r="DW57" s="24">
        <f t="shared" si="112"/>
        <v>117</v>
      </c>
      <c r="DX57" s="24">
        <f t="shared" si="112"/>
        <v>117</v>
      </c>
      <c r="DY57" s="24">
        <f t="shared" si="112"/>
        <v>117</v>
      </c>
      <c r="DZ57" s="24">
        <f t="shared" si="112"/>
        <v>117</v>
      </c>
      <c r="EA57" s="24">
        <f t="shared" si="112"/>
        <v>117</v>
      </c>
      <c r="EB57" s="24">
        <f t="shared" si="112"/>
        <v>117</v>
      </c>
      <c r="EC57" s="24">
        <f t="shared" si="112"/>
        <v>117</v>
      </c>
      <c r="ED57" s="24">
        <f t="shared" si="112"/>
        <v>117</v>
      </c>
      <c r="EE57" s="24">
        <f t="shared" si="112"/>
        <v>117</v>
      </c>
      <c r="EF57" s="24">
        <f t="shared" si="112"/>
        <v>117</v>
      </c>
      <c r="EG57" s="24">
        <f t="shared" si="112"/>
        <v>117</v>
      </c>
      <c r="EH57" s="24">
        <f t="shared" si="112"/>
        <v>117</v>
      </c>
      <c r="EI57" s="24">
        <f t="shared" si="112"/>
        <v>117</v>
      </c>
      <c r="EJ57" s="24">
        <f t="shared" si="112"/>
        <v>117</v>
      </c>
      <c r="EK57" s="24">
        <f t="shared" si="112"/>
        <v>117</v>
      </c>
      <c r="EL57" s="24">
        <f t="shared" si="112"/>
        <v>117</v>
      </c>
      <c r="EM57" s="24">
        <f t="shared" si="112"/>
        <v>117</v>
      </c>
      <c r="EN57" s="24">
        <f t="shared" ref="EN57:GY57" si="113">EM57</f>
        <v>117</v>
      </c>
      <c r="EO57" s="24">
        <f t="shared" si="113"/>
        <v>117</v>
      </c>
      <c r="EP57" s="24">
        <f t="shared" si="113"/>
        <v>117</v>
      </c>
      <c r="EQ57" s="24">
        <f t="shared" si="113"/>
        <v>117</v>
      </c>
      <c r="ER57" s="24">
        <f t="shared" si="113"/>
        <v>117</v>
      </c>
      <c r="ES57" s="24">
        <f t="shared" si="113"/>
        <v>117</v>
      </c>
      <c r="ET57" s="24">
        <f t="shared" si="113"/>
        <v>117</v>
      </c>
      <c r="EU57" s="24">
        <f t="shared" si="113"/>
        <v>117</v>
      </c>
      <c r="EV57" s="24">
        <f t="shared" si="113"/>
        <v>117</v>
      </c>
      <c r="EW57" s="24">
        <f t="shared" si="113"/>
        <v>117</v>
      </c>
      <c r="EX57" s="24">
        <f t="shared" si="113"/>
        <v>117</v>
      </c>
      <c r="EY57" s="24">
        <f t="shared" si="113"/>
        <v>117</v>
      </c>
      <c r="EZ57" s="24">
        <f t="shared" si="113"/>
        <v>117</v>
      </c>
      <c r="FA57" s="24">
        <f t="shared" si="113"/>
        <v>117</v>
      </c>
      <c r="FB57" s="24">
        <f t="shared" si="113"/>
        <v>117</v>
      </c>
      <c r="FC57" s="24">
        <f t="shared" si="113"/>
        <v>117</v>
      </c>
      <c r="FD57" s="24">
        <f t="shared" si="113"/>
        <v>117</v>
      </c>
      <c r="FE57" s="24">
        <f t="shared" si="113"/>
        <v>117</v>
      </c>
      <c r="FF57" s="24">
        <f t="shared" si="113"/>
        <v>117</v>
      </c>
      <c r="FG57" s="24">
        <f t="shared" si="113"/>
        <v>117</v>
      </c>
      <c r="FH57" s="24">
        <f t="shared" si="113"/>
        <v>117</v>
      </c>
      <c r="FI57" s="24">
        <f t="shared" si="113"/>
        <v>117</v>
      </c>
      <c r="FJ57" s="24">
        <f t="shared" si="113"/>
        <v>117</v>
      </c>
      <c r="FK57" s="24">
        <f t="shared" si="113"/>
        <v>117</v>
      </c>
      <c r="FL57" s="24">
        <f t="shared" si="113"/>
        <v>117</v>
      </c>
      <c r="FM57" s="24">
        <f t="shared" si="113"/>
        <v>117</v>
      </c>
      <c r="FN57" s="24">
        <f t="shared" si="113"/>
        <v>117</v>
      </c>
      <c r="FO57" s="24">
        <f t="shared" si="113"/>
        <v>117</v>
      </c>
      <c r="FP57" s="24">
        <f t="shared" si="113"/>
        <v>117</v>
      </c>
      <c r="FQ57" s="24">
        <f t="shared" si="113"/>
        <v>117</v>
      </c>
      <c r="FR57" s="24">
        <f t="shared" si="113"/>
        <v>117</v>
      </c>
      <c r="FS57" s="24">
        <f t="shared" si="113"/>
        <v>117</v>
      </c>
      <c r="FT57" s="24">
        <f t="shared" si="113"/>
        <v>117</v>
      </c>
      <c r="FU57" s="24">
        <f t="shared" si="113"/>
        <v>117</v>
      </c>
      <c r="FV57" s="24">
        <f t="shared" si="113"/>
        <v>117</v>
      </c>
      <c r="FW57" s="24">
        <f t="shared" si="113"/>
        <v>117</v>
      </c>
      <c r="FX57" s="24">
        <f t="shared" si="113"/>
        <v>117</v>
      </c>
      <c r="FY57" s="24">
        <f t="shared" si="113"/>
        <v>117</v>
      </c>
      <c r="FZ57" s="24">
        <f t="shared" si="113"/>
        <v>117</v>
      </c>
      <c r="GA57" s="24">
        <f t="shared" si="113"/>
        <v>117</v>
      </c>
      <c r="GB57" s="24">
        <f t="shared" si="113"/>
        <v>117</v>
      </c>
      <c r="GC57" s="24">
        <f t="shared" si="113"/>
        <v>117</v>
      </c>
      <c r="GD57" s="24">
        <f t="shared" si="113"/>
        <v>117</v>
      </c>
      <c r="GE57" s="24">
        <f t="shared" si="113"/>
        <v>117</v>
      </c>
      <c r="GF57" s="24">
        <f t="shared" si="113"/>
        <v>117</v>
      </c>
      <c r="GG57" s="24">
        <f t="shared" si="113"/>
        <v>117</v>
      </c>
      <c r="GH57" s="24">
        <f t="shared" si="113"/>
        <v>117</v>
      </c>
      <c r="GI57" s="24">
        <f t="shared" si="113"/>
        <v>117</v>
      </c>
      <c r="GJ57" s="24">
        <f t="shared" si="113"/>
        <v>117</v>
      </c>
      <c r="GK57" s="24">
        <f t="shared" si="113"/>
        <v>117</v>
      </c>
      <c r="GL57" s="24">
        <f t="shared" si="113"/>
        <v>117</v>
      </c>
      <c r="GM57" s="24">
        <f t="shared" si="113"/>
        <v>117</v>
      </c>
      <c r="GN57" s="24">
        <f t="shared" si="113"/>
        <v>117</v>
      </c>
      <c r="GO57" s="24">
        <f t="shared" si="113"/>
        <v>117</v>
      </c>
      <c r="GP57" s="24">
        <f t="shared" si="113"/>
        <v>117</v>
      </c>
      <c r="GQ57" s="24">
        <f t="shared" si="113"/>
        <v>117</v>
      </c>
      <c r="GR57" s="24">
        <f t="shared" si="113"/>
        <v>117</v>
      </c>
      <c r="GS57" s="24">
        <f t="shared" si="113"/>
        <v>117</v>
      </c>
      <c r="GT57" s="24">
        <f t="shared" si="113"/>
        <v>117</v>
      </c>
      <c r="GU57" s="24">
        <f t="shared" si="113"/>
        <v>117</v>
      </c>
      <c r="GV57" s="24">
        <f t="shared" si="113"/>
        <v>117</v>
      </c>
      <c r="GW57" s="24">
        <f t="shared" si="113"/>
        <v>117</v>
      </c>
      <c r="GX57" s="24">
        <f t="shared" si="113"/>
        <v>117</v>
      </c>
      <c r="GY57" s="24">
        <f t="shared" si="113"/>
        <v>117</v>
      </c>
      <c r="GZ57" s="24">
        <f t="shared" ref="GZ57:JK57" si="114">GY57</f>
        <v>117</v>
      </c>
      <c r="HA57" s="24">
        <f t="shared" si="114"/>
        <v>117</v>
      </c>
      <c r="HB57" s="24">
        <f t="shared" si="114"/>
        <v>117</v>
      </c>
      <c r="HC57" s="24">
        <f t="shared" si="114"/>
        <v>117</v>
      </c>
      <c r="HD57" s="24">
        <f t="shared" si="114"/>
        <v>117</v>
      </c>
      <c r="HE57" s="24">
        <f t="shared" si="114"/>
        <v>117</v>
      </c>
      <c r="HF57" s="24">
        <f t="shared" si="114"/>
        <v>117</v>
      </c>
      <c r="HG57" s="24">
        <f t="shared" si="114"/>
        <v>117</v>
      </c>
      <c r="HH57" s="24">
        <f t="shared" si="114"/>
        <v>117</v>
      </c>
      <c r="HI57" s="24">
        <f t="shared" si="114"/>
        <v>117</v>
      </c>
      <c r="HJ57" s="24">
        <f t="shared" si="114"/>
        <v>117</v>
      </c>
      <c r="HK57" s="24">
        <f t="shared" si="114"/>
        <v>117</v>
      </c>
      <c r="HL57" s="24">
        <f t="shared" si="114"/>
        <v>117</v>
      </c>
      <c r="HM57" s="24">
        <f t="shared" si="114"/>
        <v>117</v>
      </c>
      <c r="HN57" s="24">
        <f t="shared" si="114"/>
        <v>117</v>
      </c>
      <c r="HO57" s="24">
        <f t="shared" si="114"/>
        <v>117</v>
      </c>
      <c r="HP57" s="24">
        <f t="shared" si="114"/>
        <v>117</v>
      </c>
      <c r="HQ57" s="24">
        <f t="shared" si="114"/>
        <v>117</v>
      </c>
      <c r="HR57" s="24">
        <f t="shared" si="114"/>
        <v>117</v>
      </c>
      <c r="HS57" s="24">
        <f t="shared" si="114"/>
        <v>117</v>
      </c>
      <c r="HT57" s="24">
        <f t="shared" si="114"/>
        <v>117</v>
      </c>
      <c r="HU57" s="24">
        <f t="shared" si="114"/>
        <v>117</v>
      </c>
      <c r="HV57" s="24">
        <f t="shared" si="114"/>
        <v>117</v>
      </c>
      <c r="HW57" s="24">
        <f t="shared" si="114"/>
        <v>117</v>
      </c>
      <c r="HX57" s="24">
        <f t="shared" si="114"/>
        <v>117</v>
      </c>
      <c r="HY57" s="24">
        <f t="shared" si="114"/>
        <v>117</v>
      </c>
      <c r="HZ57" s="24">
        <f t="shared" si="114"/>
        <v>117</v>
      </c>
      <c r="IA57" s="24">
        <f t="shared" si="114"/>
        <v>117</v>
      </c>
      <c r="IB57" s="24">
        <f t="shared" si="114"/>
        <v>117</v>
      </c>
      <c r="IC57" s="24">
        <f t="shared" si="114"/>
        <v>117</v>
      </c>
      <c r="ID57" s="24">
        <f t="shared" si="114"/>
        <v>117</v>
      </c>
      <c r="IE57" s="24">
        <f t="shared" si="114"/>
        <v>117</v>
      </c>
      <c r="IF57" s="24">
        <f t="shared" si="114"/>
        <v>117</v>
      </c>
      <c r="IG57" s="24">
        <f t="shared" si="114"/>
        <v>117</v>
      </c>
      <c r="IH57" s="24">
        <f t="shared" si="114"/>
        <v>117</v>
      </c>
      <c r="II57" s="24">
        <f t="shared" si="114"/>
        <v>117</v>
      </c>
      <c r="IJ57" s="24">
        <f t="shared" si="114"/>
        <v>117</v>
      </c>
      <c r="IK57" s="24">
        <f t="shared" si="114"/>
        <v>117</v>
      </c>
      <c r="IL57" s="24">
        <f t="shared" si="114"/>
        <v>117</v>
      </c>
      <c r="IM57" s="24">
        <f t="shared" si="114"/>
        <v>117</v>
      </c>
      <c r="IN57" s="24">
        <f t="shared" si="114"/>
        <v>117</v>
      </c>
      <c r="IO57" s="24">
        <f t="shared" si="114"/>
        <v>117</v>
      </c>
      <c r="IP57" s="24">
        <f t="shared" si="114"/>
        <v>117</v>
      </c>
      <c r="IQ57" s="24">
        <f t="shared" si="114"/>
        <v>117</v>
      </c>
      <c r="IR57" s="24">
        <f t="shared" si="114"/>
        <v>117</v>
      </c>
      <c r="IS57" s="24">
        <f t="shared" si="114"/>
        <v>117</v>
      </c>
      <c r="IT57" s="24">
        <f t="shared" si="114"/>
        <v>117</v>
      </c>
      <c r="IU57" s="24">
        <f t="shared" si="114"/>
        <v>117</v>
      </c>
      <c r="IV57" s="24">
        <f t="shared" si="114"/>
        <v>117</v>
      </c>
      <c r="IW57" s="24">
        <f t="shared" si="114"/>
        <v>117</v>
      </c>
      <c r="IX57" s="24">
        <f t="shared" si="114"/>
        <v>117</v>
      </c>
      <c r="IY57" s="24">
        <f t="shared" si="114"/>
        <v>117</v>
      </c>
      <c r="IZ57" s="24">
        <f t="shared" si="114"/>
        <v>117</v>
      </c>
      <c r="JA57" s="24">
        <f t="shared" si="114"/>
        <v>117</v>
      </c>
      <c r="JB57" s="24">
        <f t="shared" si="114"/>
        <v>117</v>
      </c>
      <c r="JC57" s="24">
        <f t="shared" si="114"/>
        <v>117</v>
      </c>
      <c r="JD57" s="24">
        <f t="shared" si="114"/>
        <v>117</v>
      </c>
      <c r="JE57" s="24">
        <f t="shared" si="114"/>
        <v>117</v>
      </c>
      <c r="JF57" s="24">
        <f t="shared" si="114"/>
        <v>117</v>
      </c>
      <c r="JG57" s="24">
        <f t="shared" si="114"/>
        <v>117</v>
      </c>
      <c r="JH57" s="24">
        <f t="shared" si="114"/>
        <v>117</v>
      </c>
      <c r="JI57" s="24">
        <f t="shared" si="114"/>
        <v>117</v>
      </c>
      <c r="JJ57" s="24">
        <f t="shared" si="114"/>
        <v>117</v>
      </c>
      <c r="JK57" s="24">
        <f t="shared" si="114"/>
        <v>117</v>
      </c>
      <c r="JL57" s="24">
        <f t="shared" ref="JL57:KI57" si="115">JK57</f>
        <v>117</v>
      </c>
      <c r="JM57" s="24">
        <f t="shared" si="115"/>
        <v>117</v>
      </c>
      <c r="JN57" s="24">
        <f t="shared" si="115"/>
        <v>117</v>
      </c>
      <c r="JO57" s="24">
        <f t="shared" si="115"/>
        <v>117</v>
      </c>
      <c r="JP57" s="24">
        <f t="shared" si="115"/>
        <v>117</v>
      </c>
      <c r="JQ57" s="24">
        <f t="shared" si="115"/>
        <v>117</v>
      </c>
      <c r="JR57" s="24">
        <f t="shared" si="115"/>
        <v>117</v>
      </c>
      <c r="JS57" s="24">
        <f t="shared" si="115"/>
        <v>117</v>
      </c>
      <c r="JT57" s="24">
        <f t="shared" si="115"/>
        <v>117</v>
      </c>
      <c r="JU57" s="24">
        <f t="shared" si="115"/>
        <v>117</v>
      </c>
      <c r="JV57" s="24">
        <f t="shared" si="115"/>
        <v>117</v>
      </c>
      <c r="JW57" s="24">
        <f t="shared" si="115"/>
        <v>117</v>
      </c>
      <c r="JX57" s="24">
        <f t="shared" si="115"/>
        <v>117</v>
      </c>
      <c r="JY57" s="24">
        <f t="shared" si="115"/>
        <v>117</v>
      </c>
      <c r="JZ57" s="24">
        <f t="shared" si="115"/>
        <v>117</v>
      </c>
      <c r="KA57" s="24">
        <f t="shared" si="115"/>
        <v>117</v>
      </c>
      <c r="KB57" s="24">
        <f t="shared" si="115"/>
        <v>117</v>
      </c>
      <c r="KC57" s="24">
        <f t="shared" si="115"/>
        <v>117</v>
      </c>
      <c r="KD57" s="24">
        <f t="shared" si="115"/>
        <v>117</v>
      </c>
      <c r="KE57" s="24">
        <f t="shared" si="115"/>
        <v>117</v>
      </c>
      <c r="KF57" s="24">
        <f t="shared" si="115"/>
        <v>117</v>
      </c>
      <c r="KG57" s="24">
        <f t="shared" si="115"/>
        <v>117</v>
      </c>
      <c r="KH57" s="24">
        <f t="shared" si="115"/>
        <v>117</v>
      </c>
      <c r="KI57" s="24">
        <f t="shared" si="115"/>
        <v>117</v>
      </c>
      <c r="KJ57" s="1"/>
    </row>
    <row r="58" spans="8:296" x14ac:dyDescent="0.35">
      <c r="H58" s="13" t="s">
        <v>22</v>
      </c>
      <c r="I58" s="1"/>
      <c r="J58" s="1"/>
      <c r="K58" s="1"/>
      <c r="M58" s="29" t="s">
        <v>184</v>
      </c>
      <c r="N58" s="30">
        <f>SUM(N55:N57)</f>
        <v>1579</v>
      </c>
      <c r="O58" s="30">
        <f>SUM(O55:O57)</f>
        <v>1626.9737975083588</v>
      </c>
      <c r="P58" s="30">
        <f t="shared" ref="P58:CA58" si="116">SUM(P55:P57)</f>
        <v>1691.8952865949882</v>
      </c>
      <c r="Q58" s="30">
        <f t="shared" si="116"/>
        <v>1780.6676224918594</v>
      </c>
      <c r="R58" s="30">
        <f t="shared" si="116"/>
        <v>1827.3517195158404</v>
      </c>
      <c r="S58" s="30">
        <f t="shared" si="116"/>
        <v>1835.0944168578296</v>
      </c>
      <c r="T58" s="30">
        <f t="shared" si="116"/>
        <v>1929.1737157148461</v>
      </c>
      <c r="U58" s="30">
        <f t="shared" si="116"/>
        <v>1989.037521766782</v>
      </c>
      <c r="V58" s="30">
        <f t="shared" si="116"/>
        <v>2056.7140569832691</v>
      </c>
      <c r="W58" s="30">
        <f t="shared" si="116"/>
        <v>2152.0451260955233</v>
      </c>
      <c r="X58" s="30">
        <f t="shared" si="116"/>
        <v>2235.257587484748</v>
      </c>
      <c r="Y58" s="30">
        <f t="shared" si="116"/>
        <v>2305.9510246613791</v>
      </c>
      <c r="Z58" s="30">
        <f t="shared" si="116"/>
        <v>2337.0138870147935</v>
      </c>
      <c r="AA58" s="30">
        <f t="shared" si="116"/>
        <v>2427.2535619860118</v>
      </c>
      <c r="AB58" s="30">
        <f t="shared" si="116"/>
        <v>2495.3671309480296</v>
      </c>
      <c r="AC58" s="30">
        <f t="shared" si="116"/>
        <v>2586.743189769426</v>
      </c>
      <c r="AD58" s="30">
        <f t="shared" si="116"/>
        <v>2665.9570489090779</v>
      </c>
      <c r="AE58" s="30">
        <f t="shared" si="116"/>
        <v>2721.9022548779631</v>
      </c>
      <c r="AF58" s="30">
        <f t="shared" si="116"/>
        <v>2767.2380028935986</v>
      </c>
      <c r="AG58" s="30">
        <f t="shared" si="116"/>
        <v>2841.6823200995946</v>
      </c>
      <c r="AH58" s="30">
        <f t="shared" si="116"/>
        <v>2848.1710944085648</v>
      </c>
      <c r="AI58" s="30">
        <f t="shared" si="116"/>
        <v>2923.6748360524471</v>
      </c>
      <c r="AJ58" s="30">
        <f t="shared" si="116"/>
        <v>2959.1615773328667</v>
      </c>
      <c r="AK58" s="30">
        <f t="shared" si="116"/>
        <v>3031.8692912647639</v>
      </c>
      <c r="AL58" s="30">
        <f t="shared" si="116"/>
        <v>3069.7907295792374</v>
      </c>
      <c r="AM58" s="30">
        <f t="shared" si="116"/>
        <v>3145.1717394017783</v>
      </c>
      <c r="AN58" s="30">
        <f t="shared" si="116"/>
        <v>3193.7938022032122</v>
      </c>
      <c r="AO58" s="30">
        <f t="shared" si="116"/>
        <v>3235.6182717877905</v>
      </c>
      <c r="AP58" s="30">
        <f t="shared" si="116"/>
        <v>3280.986042972143</v>
      </c>
      <c r="AQ58" s="30">
        <f t="shared" si="116"/>
        <v>3323.891029093068</v>
      </c>
      <c r="AR58" s="30">
        <f t="shared" si="116"/>
        <v>3355.4430254919034</v>
      </c>
      <c r="AS58" s="30">
        <f t="shared" si="116"/>
        <v>3430.0176109450731</v>
      </c>
      <c r="AT58" s="30">
        <f t="shared" si="116"/>
        <v>3462.089076829282</v>
      </c>
      <c r="AU58" s="30">
        <f t="shared" si="116"/>
        <v>3524.4473737432704</v>
      </c>
      <c r="AV58" s="30">
        <f t="shared" si="116"/>
        <v>3584.8717641745798</v>
      </c>
      <c r="AW58" s="30">
        <f t="shared" si="116"/>
        <v>3663.2027285958156</v>
      </c>
      <c r="AX58" s="30">
        <f t="shared" si="116"/>
        <v>3752.265007890062</v>
      </c>
      <c r="AY58" s="30">
        <f t="shared" si="116"/>
        <v>3822.0460416374249</v>
      </c>
      <c r="AZ58" s="30">
        <f t="shared" si="116"/>
        <v>3882.319131675386</v>
      </c>
      <c r="BA58" s="30">
        <f t="shared" si="116"/>
        <v>3956.9067172961836</v>
      </c>
      <c r="BB58" s="30">
        <f t="shared" si="116"/>
        <v>4050.4579150228142</v>
      </c>
      <c r="BC58" s="30">
        <f t="shared" si="116"/>
        <v>4115.0405539039311</v>
      </c>
      <c r="BD58" s="30">
        <f t="shared" si="116"/>
        <v>4146.6122937282653</v>
      </c>
      <c r="BE58" s="30">
        <f t="shared" si="116"/>
        <v>4226.6851239963862</v>
      </c>
      <c r="BF58" s="30">
        <f t="shared" si="116"/>
        <v>4300.36459104598</v>
      </c>
      <c r="BG58" s="30">
        <f t="shared" si="116"/>
        <v>4355.154748948964</v>
      </c>
      <c r="BH58" s="30">
        <f t="shared" si="116"/>
        <v>4426.8656748687827</v>
      </c>
      <c r="BI58" s="30">
        <f t="shared" si="116"/>
        <v>4491.3802551530807</v>
      </c>
      <c r="BJ58" s="30">
        <f t="shared" si="116"/>
        <v>4576.7188250881582</v>
      </c>
      <c r="BK58" s="30">
        <f t="shared" si="116"/>
        <v>4677.3147374678865</v>
      </c>
      <c r="BL58" s="30">
        <f t="shared" si="116"/>
        <v>4730.4118778891616</v>
      </c>
      <c r="BM58" s="30">
        <f t="shared" si="116"/>
        <v>4776.9968336674847</v>
      </c>
      <c r="BN58" s="30">
        <f t="shared" si="116"/>
        <v>4836.2610697566706</v>
      </c>
      <c r="BO58" s="30">
        <f t="shared" si="116"/>
        <v>4902.9545065127722</v>
      </c>
      <c r="BP58" s="30">
        <f t="shared" si="116"/>
        <v>4960.0462653720369</v>
      </c>
      <c r="BQ58" s="30">
        <f t="shared" si="116"/>
        <v>5033.5578486399008</v>
      </c>
      <c r="BR58" s="30">
        <f t="shared" si="116"/>
        <v>5090.1467732825677</v>
      </c>
      <c r="BS58" s="30">
        <f t="shared" si="116"/>
        <v>5134.3887652185931</v>
      </c>
      <c r="BT58" s="30">
        <f t="shared" si="116"/>
        <v>5177.4434723883533</v>
      </c>
      <c r="BU58" s="30">
        <f t="shared" si="116"/>
        <v>5226.4477193171078</v>
      </c>
      <c r="BV58" s="30">
        <f t="shared" si="116"/>
        <v>5277.737025607933</v>
      </c>
      <c r="BW58" s="30">
        <f t="shared" si="116"/>
        <v>5324.2711396326067</v>
      </c>
      <c r="BX58" s="30">
        <f t="shared" si="116"/>
        <v>5355.2317598908776</v>
      </c>
      <c r="BY58" s="30">
        <f t="shared" si="116"/>
        <v>5444.2323101333186</v>
      </c>
      <c r="BZ58" s="30">
        <f t="shared" si="116"/>
        <v>5516.7911711765519</v>
      </c>
      <c r="CA58" s="30">
        <f t="shared" si="116"/>
        <v>5566.9725120970616</v>
      </c>
      <c r="CB58" s="30">
        <f t="shared" ref="CB58:EM58" si="117">SUM(CB55:CB57)</f>
        <v>5626.27574324955</v>
      </c>
      <c r="CC58" s="30">
        <f t="shared" si="117"/>
        <v>5675.1889047460872</v>
      </c>
      <c r="CD58" s="30">
        <f t="shared" si="117"/>
        <v>5713.2332828711105</v>
      </c>
      <c r="CE58" s="30">
        <f t="shared" si="117"/>
        <v>5751.238224702488</v>
      </c>
      <c r="CF58" s="30">
        <f t="shared" si="117"/>
        <v>5786.729234554733</v>
      </c>
      <c r="CG58" s="30">
        <f t="shared" si="117"/>
        <v>5861.208179266785</v>
      </c>
      <c r="CH58" s="30">
        <f t="shared" si="117"/>
        <v>5907.8448102391403</v>
      </c>
      <c r="CI58" s="30">
        <f t="shared" si="117"/>
        <v>5971.4242136468974</v>
      </c>
      <c r="CJ58" s="30">
        <f t="shared" si="117"/>
        <v>6068.4506250422728</v>
      </c>
      <c r="CK58" s="30">
        <f t="shared" si="117"/>
        <v>6141.9117766321506</v>
      </c>
      <c r="CL58" s="30">
        <f t="shared" si="117"/>
        <v>6215.4432837119493</v>
      </c>
      <c r="CM58" s="30">
        <f t="shared" si="117"/>
        <v>6288.028621732321</v>
      </c>
      <c r="CN58" s="30">
        <f t="shared" si="117"/>
        <v>6368.9744347764363</v>
      </c>
      <c r="CO58" s="30">
        <f t="shared" si="117"/>
        <v>6415.5286575998871</v>
      </c>
      <c r="CP58" s="30">
        <f t="shared" si="117"/>
        <v>6500.5716043603888</v>
      </c>
      <c r="CQ58" s="30">
        <f t="shared" si="117"/>
        <v>6595.4823705526469</v>
      </c>
      <c r="CR58" s="30">
        <f t="shared" si="117"/>
        <v>6697.131173608951</v>
      </c>
      <c r="CS58" s="30">
        <f t="shared" si="117"/>
        <v>6773.4637859181521</v>
      </c>
      <c r="CT58" s="30">
        <f t="shared" si="117"/>
        <v>6858.62623044053</v>
      </c>
      <c r="CU58" s="30">
        <f t="shared" si="117"/>
        <v>6953.5664566239657</v>
      </c>
      <c r="CV58" s="30">
        <f t="shared" si="117"/>
        <v>7046.5121806158604</v>
      </c>
      <c r="CW58" s="30">
        <f t="shared" si="117"/>
        <v>7083.2836835908529</v>
      </c>
      <c r="CX58" s="30">
        <f t="shared" si="117"/>
        <v>7155.0522409042978</v>
      </c>
      <c r="CY58" s="30">
        <f t="shared" si="117"/>
        <v>7201.6961859945523</v>
      </c>
      <c r="CZ58" s="30">
        <f t="shared" si="117"/>
        <v>7286.8187270197122</v>
      </c>
      <c r="DA58" s="30">
        <f t="shared" si="117"/>
        <v>7337.0032540004031</v>
      </c>
      <c r="DB58" s="30">
        <f t="shared" si="117"/>
        <v>7367.1946660220174</v>
      </c>
      <c r="DC58" s="30">
        <f t="shared" si="117"/>
        <v>7460.1983520307485</v>
      </c>
      <c r="DD58" s="30">
        <f t="shared" si="117"/>
        <v>7490.353614848902</v>
      </c>
      <c r="DE58" s="30">
        <f t="shared" si="117"/>
        <v>7580.1890307974063</v>
      </c>
      <c r="DF58" s="30">
        <f t="shared" si="117"/>
        <v>7674.3966862820625</v>
      </c>
      <c r="DG58" s="30">
        <f t="shared" si="117"/>
        <v>7746.8953784625292</v>
      </c>
      <c r="DH58" s="30">
        <f t="shared" si="117"/>
        <v>7806.1968929068762</v>
      </c>
      <c r="DI58" s="30">
        <f t="shared" si="117"/>
        <v>7894.3941710504323</v>
      </c>
      <c r="DJ58" s="30">
        <f t="shared" si="117"/>
        <v>7989.5684320164128</v>
      </c>
      <c r="DK58" s="30">
        <f t="shared" si="117"/>
        <v>8074.6836067576296</v>
      </c>
      <c r="DL58" s="30">
        <f t="shared" si="117"/>
        <v>8142.2539687385643</v>
      </c>
      <c r="DM58" s="30">
        <f t="shared" si="117"/>
        <v>8206.8602872129068</v>
      </c>
      <c r="DN58" s="30">
        <f t="shared" si="117"/>
        <v>8288.6167881013207</v>
      </c>
      <c r="DO58" s="30">
        <f t="shared" si="117"/>
        <v>8385.1346852231618</v>
      </c>
      <c r="DP58" s="30">
        <f t="shared" si="117"/>
        <v>8483.6704597900789</v>
      </c>
      <c r="DQ58" s="30">
        <f t="shared" si="117"/>
        <v>8568.054655018761</v>
      </c>
      <c r="DR58" s="30">
        <f t="shared" si="117"/>
        <v>8639.6627446090952</v>
      </c>
      <c r="DS58" s="30">
        <f t="shared" si="117"/>
        <v>8741.1935710776652</v>
      </c>
      <c r="DT58" s="30">
        <f t="shared" si="117"/>
        <v>8816.799755934222</v>
      </c>
      <c r="DU58" s="30">
        <f t="shared" si="117"/>
        <v>8862.1447050536917</v>
      </c>
      <c r="DV58" s="30">
        <f t="shared" si="117"/>
        <v>8909.9588810379501</v>
      </c>
      <c r="DW58" s="30">
        <f t="shared" si="117"/>
        <v>9000.0300592150743</v>
      </c>
      <c r="DX58" s="30">
        <f t="shared" si="117"/>
        <v>9101.2125057230824</v>
      </c>
      <c r="DY58" s="30">
        <f t="shared" si="117"/>
        <v>9154.785547799529</v>
      </c>
      <c r="DZ58" s="30">
        <f t="shared" si="117"/>
        <v>9216.3060438291832</v>
      </c>
      <c r="EA58" s="30">
        <f t="shared" si="117"/>
        <v>9278.7653304736341</v>
      </c>
      <c r="EB58" s="30">
        <f t="shared" si="117"/>
        <v>9371.7131895904822</v>
      </c>
      <c r="EC58" s="30">
        <f t="shared" si="117"/>
        <v>9456.9687651047861</v>
      </c>
      <c r="ED58" s="30">
        <f t="shared" si="117"/>
        <v>9527.6625148534022</v>
      </c>
      <c r="EE58" s="30">
        <f t="shared" si="117"/>
        <v>9615.3179455426507</v>
      </c>
      <c r="EF58" s="30">
        <f t="shared" si="117"/>
        <v>9664.3113178570602</v>
      </c>
      <c r="EG58" s="30">
        <f t="shared" si="117"/>
        <v>9713.4126139547407</v>
      </c>
      <c r="EH58" s="30">
        <f t="shared" si="117"/>
        <v>9788.7701792609496</v>
      </c>
      <c r="EI58" s="30">
        <f t="shared" si="117"/>
        <v>9842.4063192401918</v>
      </c>
      <c r="EJ58" s="30">
        <f t="shared" si="117"/>
        <v>9880.3823530535465</v>
      </c>
      <c r="EK58" s="30">
        <f t="shared" si="117"/>
        <v>9931.672194329778</v>
      </c>
      <c r="EL58" s="30">
        <f t="shared" si="117"/>
        <v>10003.235368517071</v>
      </c>
      <c r="EM58" s="30">
        <f t="shared" si="117"/>
        <v>10042.485847019258</v>
      </c>
      <c r="EN58" s="30">
        <f t="shared" ref="EN58:GY58" si="118">SUM(EN55:EN57)</f>
        <v>10122.445590163446</v>
      </c>
      <c r="EO58" s="30">
        <f t="shared" si="118"/>
        <v>10194.187669559176</v>
      </c>
      <c r="EP58" s="30">
        <f t="shared" si="118"/>
        <v>10229.668276955163</v>
      </c>
      <c r="EQ58" s="30">
        <f t="shared" si="118"/>
        <v>10263.760418931237</v>
      </c>
      <c r="ER58" s="30">
        <f t="shared" si="118"/>
        <v>10339.069209082758</v>
      </c>
      <c r="ES58" s="30">
        <f t="shared" si="118"/>
        <v>10395.04508413519</v>
      </c>
      <c r="ET58" s="30">
        <f t="shared" si="118"/>
        <v>10489.96816753486</v>
      </c>
      <c r="EU58" s="30">
        <f t="shared" si="118"/>
        <v>10587.336633065655</v>
      </c>
      <c r="EV58" s="30">
        <f t="shared" si="118"/>
        <v>10683.332121693476</v>
      </c>
      <c r="EW58" s="30">
        <f t="shared" si="118"/>
        <v>10784.755035093005</v>
      </c>
      <c r="EX58" s="30">
        <f t="shared" si="118"/>
        <v>10843.941028531026</v>
      </c>
      <c r="EY58" s="30">
        <f t="shared" si="118"/>
        <v>10922.32011202188</v>
      </c>
      <c r="EZ58" s="30">
        <f t="shared" si="118"/>
        <v>10988.841710394998</v>
      </c>
      <c r="FA58" s="30">
        <f t="shared" si="118"/>
        <v>11087.506824063476</v>
      </c>
      <c r="FB58" s="30">
        <f t="shared" si="118"/>
        <v>11125.490074318865</v>
      </c>
      <c r="FC58" s="30">
        <f t="shared" si="118"/>
        <v>11164.760026145716</v>
      </c>
      <c r="FD58" s="30">
        <f t="shared" si="118"/>
        <v>11263.701153543398</v>
      </c>
      <c r="FE58" s="30">
        <f t="shared" si="118"/>
        <v>11358.234257498174</v>
      </c>
      <c r="FF58" s="30">
        <f t="shared" si="118"/>
        <v>11447.531479294816</v>
      </c>
      <c r="FG58" s="30">
        <f t="shared" si="118"/>
        <v>11507.771157876032</v>
      </c>
      <c r="FH58" s="30">
        <f t="shared" si="118"/>
        <v>11548.258798745544</v>
      </c>
      <c r="FI58" s="30">
        <f t="shared" si="118"/>
        <v>11597.204612877022</v>
      </c>
      <c r="FJ58" s="30">
        <f t="shared" si="118"/>
        <v>11689.580016954123</v>
      </c>
      <c r="FK58" s="30">
        <f t="shared" si="118"/>
        <v>11783.850180770803</v>
      </c>
      <c r="FL58" s="30">
        <f t="shared" si="118"/>
        <v>11823.168783290273</v>
      </c>
      <c r="FM58" s="30">
        <f t="shared" si="118"/>
        <v>11903.970063608929</v>
      </c>
      <c r="FN58" s="30">
        <f t="shared" si="118"/>
        <v>11999.011487230429</v>
      </c>
      <c r="FO58" s="30">
        <f t="shared" si="118"/>
        <v>12069.588933788607</v>
      </c>
      <c r="FP58" s="30">
        <f t="shared" si="118"/>
        <v>12169.20584933482</v>
      </c>
      <c r="FQ58" s="30">
        <f t="shared" si="118"/>
        <v>12246.5310491174</v>
      </c>
      <c r="FR58" s="30">
        <f t="shared" si="118"/>
        <v>12315.187403954584</v>
      </c>
      <c r="FS58" s="30">
        <f t="shared" si="118"/>
        <v>12407.299712984097</v>
      </c>
      <c r="FT58" s="30">
        <f t="shared" si="118"/>
        <v>12507.237907829542</v>
      </c>
      <c r="FU58" s="30">
        <f t="shared" si="118"/>
        <v>12584.458516426974</v>
      </c>
      <c r="FV58" s="30">
        <f t="shared" si="118"/>
        <v>12671.92804428833</v>
      </c>
      <c r="FW58" s="30">
        <f t="shared" si="118"/>
        <v>12751.105214064</v>
      </c>
      <c r="FX58" s="30">
        <f t="shared" si="118"/>
        <v>12848.840613769966</v>
      </c>
      <c r="FY58" s="30">
        <f t="shared" si="118"/>
        <v>12941.805106690501</v>
      </c>
      <c r="FZ58" s="30">
        <f t="shared" si="118"/>
        <v>13005.203197080671</v>
      </c>
      <c r="GA58" s="30">
        <f t="shared" si="118"/>
        <v>13094.985569387689</v>
      </c>
      <c r="GB58" s="30">
        <f t="shared" si="118"/>
        <v>13162.674414656562</v>
      </c>
      <c r="GC58" s="30">
        <f t="shared" si="118"/>
        <v>13211.686538359105</v>
      </c>
      <c r="GD58" s="30">
        <f t="shared" si="118"/>
        <v>13245.80635933158</v>
      </c>
      <c r="GE58" s="30">
        <f t="shared" si="118"/>
        <v>13277.362289578929</v>
      </c>
      <c r="GF58" s="30">
        <f t="shared" si="118"/>
        <v>13311.544151403807</v>
      </c>
      <c r="GG58" s="30">
        <f t="shared" si="118"/>
        <v>13404.457364633159</v>
      </c>
      <c r="GH58" s="30">
        <f t="shared" si="118"/>
        <v>13447.412814654608</v>
      </c>
      <c r="GI58" s="30">
        <f t="shared" si="118"/>
        <v>13526.496055636078</v>
      </c>
      <c r="GJ58" s="30">
        <f t="shared" si="118"/>
        <v>13573.034187465048</v>
      </c>
      <c r="GK58" s="30">
        <f t="shared" si="118"/>
        <v>13634.47387179247</v>
      </c>
      <c r="GL58" s="30">
        <f t="shared" si="118"/>
        <v>13697.907165468216</v>
      </c>
      <c r="GM58" s="30">
        <f t="shared" si="118"/>
        <v>13745.661797568149</v>
      </c>
      <c r="GN58" s="30">
        <f t="shared" si="118"/>
        <v>13833.287741176042</v>
      </c>
      <c r="GO58" s="30">
        <f t="shared" si="118"/>
        <v>13934.789785581539</v>
      </c>
      <c r="GP58" s="30">
        <f t="shared" si="118"/>
        <v>14017.446605074161</v>
      </c>
      <c r="GQ58" s="30">
        <f t="shared" si="118"/>
        <v>14107.285902384707</v>
      </c>
      <c r="GR58" s="30">
        <f t="shared" si="118"/>
        <v>14157.434340857162</v>
      </c>
      <c r="GS58" s="30">
        <f t="shared" si="118"/>
        <v>14218.737555473617</v>
      </c>
      <c r="GT58" s="30">
        <f t="shared" si="118"/>
        <v>14271.219464301397</v>
      </c>
      <c r="GU58" s="30">
        <f t="shared" si="118"/>
        <v>14332.71679492616</v>
      </c>
      <c r="GV58" s="30">
        <f t="shared" si="118"/>
        <v>14413.493706014486</v>
      </c>
      <c r="GW58" s="30">
        <f t="shared" si="118"/>
        <v>14468.177905139719</v>
      </c>
      <c r="GX58" s="30">
        <f t="shared" si="118"/>
        <v>14542.620804175018</v>
      </c>
      <c r="GY58" s="30">
        <f t="shared" si="118"/>
        <v>14584.432149812992</v>
      </c>
      <c r="GZ58" s="30">
        <f t="shared" ref="GZ58:JK58" si="119">SUM(GZ55:GZ57)</f>
        <v>14624.97930474749</v>
      </c>
      <c r="HA58" s="30">
        <f t="shared" si="119"/>
        <v>14680.924542913925</v>
      </c>
      <c r="HB58" s="30">
        <f t="shared" si="119"/>
        <v>14773.971014575629</v>
      </c>
      <c r="HC58" s="30">
        <f t="shared" si="119"/>
        <v>14805.450503897735</v>
      </c>
      <c r="HD58" s="30">
        <f t="shared" si="119"/>
        <v>14895.248826134286</v>
      </c>
      <c r="HE58" s="30">
        <f t="shared" si="119"/>
        <v>14988.829728130648</v>
      </c>
      <c r="HF58" s="30">
        <f t="shared" si="119"/>
        <v>15074.744344027384</v>
      </c>
      <c r="HG58" s="30">
        <f t="shared" si="119"/>
        <v>15171.371513574271</v>
      </c>
      <c r="HH58" s="30">
        <f t="shared" si="119"/>
        <v>15258.180150195865</v>
      </c>
      <c r="HI58" s="30">
        <f t="shared" si="119"/>
        <v>15305.987818515101</v>
      </c>
      <c r="HJ58" s="30">
        <f t="shared" si="119"/>
        <v>15393.66936499943</v>
      </c>
      <c r="HK58" s="30">
        <f t="shared" si="119"/>
        <v>15436.664177654986</v>
      </c>
      <c r="HL58" s="30">
        <f t="shared" si="119"/>
        <v>15534.516829983748</v>
      </c>
      <c r="HM58" s="30">
        <f t="shared" si="119"/>
        <v>15626.79265659444</v>
      </c>
      <c r="HN58" s="30">
        <f t="shared" si="119"/>
        <v>15714.368827599385</v>
      </c>
      <c r="HO58" s="30">
        <f t="shared" si="119"/>
        <v>15801.826849800083</v>
      </c>
      <c r="HP58" s="30">
        <f t="shared" si="119"/>
        <v>15845.97792283647</v>
      </c>
      <c r="HQ58" s="30">
        <f t="shared" si="119"/>
        <v>15939.108368300756</v>
      </c>
      <c r="HR58" s="30">
        <f t="shared" si="119"/>
        <v>15992.722706369515</v>
      </c>
      <c r="HS58" s="30">
        <f t="shared" si="119"/>
        <v>16028.121839847874</v>
      </c>
      <c r="HT58" s="30">
        <f t="shared" si="119"/>
        <v>16125.812765118813</v>
      </c>
      <c r="HU58" s="30">
        <f t="shared" si="119"/>
        <v>16168.865242331749</v>
      </c>
      <c r="HV58" s="30">
        <f t="shared" si="119"/>
        <v>16269.903669285215</v>
      </c>
      <c r="HW58" s="30">
        <f t="shared" si="119"/>
        <v>16367.853512480589</v>
      </c>
      <c r="HX58" s="30">
        <f t="shared" si="119"/>
        <v>16444.087579776358</v>
      </c>
      <c r="HY58" s="30">
        <f t="shared" si="119"/>
        <v>16543.40490605884</v>
      </c>
      <c r="HZ58" s="30">
        <f t="shared" si="119"/>
        <v>16578.813532665754</v>
      </c>
      <c r="IA58" s="30">
        <f t="shared" si="119"/>
        <v>16621.835494145522</v>
      </c>
      <c r="IB58" s="30">
        <f t="shared" si="119"/>
        <v>16690.365249020237</v>
      </c>
      <c r="IC58" s="30">
        <f t="shared" si="119"/>
        <v>16742.89615715835</v>
      </c>
      <c r="ID58" s="30">
        <f t="shared" si="119"/>
        <v>16842.841516542809</v>
      </c>
      <c r="IE58" s="30">
        <f t="shared" si="119"/>
        <v>16909.42142159678</v>
      </c>
      <c r="IF58" s="30">
        <f t="shared" si="119"/>
        <v>17002.511671083674</v>
      </c>
      <c r="IG58" s="30">
        <f t="shared" si="119"/>
        <v>17060.717523867163</v>
      </c>
      <c r="IH58" s="30">
        <f t="shared" si="119"/>
        <v>17155.29354056219</v>
      </c>
      <c r="II58" s="30">
        <f t="shared" si="119"/>
        <v>17237.065021253627</v>
      </c>
      <c r="IJ58" s="30">
        <f t="shared" si="119"/>
        <v>17318.998270710872</v>
      </c>
      <c r="IK58" s="30">
        <f t="shared" si="119"/>
        <v>17372.554327271675</v>
      </c>
      <c r="IL58" s="30">
        <f t="shared" si="119"/>
        <v>17452.408618454268</v>
      </c>
      <c r="IM58" s="30">
        <f t="shared" si="119"/>
        <v>17536.827058797899</v>
      </c>
      <c r="IN58" s="30">
        <f t="shared" si="119"/>
        <v>17621.153637902396</v>
      </c>
      <c r="IO58" s="30">
        <f t="shared" si="119"/>
        <v>17717.430245985444</v>
      </c>
      <c r="IP58" s="30">
        <f t="shared" si="119"/>
        <v>17794.65550775102</v>
      </c>
      <c r="IQ58" s="30">
        <f t="shared" si="119"/>
        <v>17854.888177565877</v>
      </c>
      <c r="IR58" s="30">
        <f t="shared" si="119"/>
        <v>17926.470352197324</v>
      </c>
      <c r="IS58" s="30">
        <f t="shared" si="119"/>
        <v>17987.812179105567</v>
      </c>
      <c r="IT58" s="30">
        <f t="shared" si="119"/>
        <v>18055.511549557868</v>
      </c>
      <c r="IU58" s="30">
        <f t="shared" si="119"/>
        <v>18103.380957210564</v>
      </c>
      <c r="IV58" s="30">
        <f t="shared" si="119"/>
        <v>18178.893864414924</v>
      </c>
      <c r="IW58" s="30">
        <f t="shared" si="119"/>
        <v>18280.43232153896</v>
      </c>
      <c r="IX58" s="30">
        <f t="shared" si="119"/>
        <v>18347.152629446304</v>
      </c>
      <c r="IY58" s="30">
        <f t="shared" si="119"/>
        <v>18440.221668380469</v>
      </c>
      <c r="IZ58" s="30">
        <f t="shared" si="119"/>
        <v>18510.946981940742</v>
      </c>
      <c r="JA58" s="30">
        <f t="shared" si="119"/>
        <v>18583.459293347631</v>
      </c>
      <c r="JB58" s="30">
        <f t="shared" si="119"/>
        <v>18620.097316657724</v>
      </c>
      <c r="JC58" s="30">
        <f t="shared" si="119"/>
        <v>18712.495583540142</v>
      </c>
      <c r="JD58" s="30">
        <f t="shared" si="119"/>
        <v>18768.519159816398</v>
      </c>
      <c r="JE58" s="30">
        <f t="shared" si="119"/>
        <v>18824.389620929334</v>
      </c>
      <c r="JF58" s="30">
        <f t="shared" si="119"/>
        <v>18883.661944559048</v>
      </c>
      <c r="JG58" s="30">
        <f t="shared" si="119"/>
        <v>18985.300655265164</v>
      </c>
      <c r="JH58" s="30">
        <f t="shared" si="119"/>
        <v>19028.361891356504</v>
      </c>
      <c r="JI58" s="30">
        <f t="shared" si="119"/>
        <v>19121.922762861439</v>
      </c>
      <c r="JJ58" s="30">
        <f t="shared" si="119"/>
        <v>19168.487186639846</v>
      </c>
      <c r="JK58" s="30">
        <f t="shared" si="119"/>
        <v>19208.951842830291</v>
      </c>
      <c r="JL58" s="30">
        <f t="shared" ref="JL58:KI58" si="120">SUM(JL55:JL57)</f>
        <v>19289.104404830221</v>
      </c>
      <c r="JM58" s="30">
        <f t="shared" si="120"/>
        <v>19386.820699912096</v>
      </c>
      <c r="JN58" s="30">
        <f t="shared" si="120"/>
        <v>19423.578148506542</v>
      </c>
      <c r="JO58" s="30">
        <f t="shared" si="120"/>
        <v>19501.932100509181</v>
      </c>
      <c r="JP58" s="30">
        <f t="shared" si="120"/>
        <v>19532.121218276163</v>
      </c>
      <c r="JQ58" s="30">
        <f t="shared" si="120"/>
        <v>19597.639498414119</v>
      </c>
      <c r="JR58" s="30">
        <f t="shared" si="120"/>
        <v>19693.216423658279</v>
      </c>
      <c r="JS58" s="30">
        <f t="shared" si="120"/>
        <v>19738.694971934168</v>
      </c>
      <c r="JT58" s="30">
        <f t="shared" si="120"/>
        <v>19833.988742351048</v>
      </c>
      <c r="JU58" s="30">
        <f t="shared" si="120"/>
        <v>19927.706095365604</v>
      </c>
      <c r="JV58" s="30">
        <f t="shared" si="120"/>
        <v>19973.081659182397</v>
      </c>
      <c r="JW58" s="30">
        <f t="shared" si="120"/>
        <v>20067.326039897318</v>
      </c>
      <c r="JX58" s="30">
        <f t="shared" si="120"/>
        <v>20098.816003956843</v>
      </c>
      <c r="JY58" s="30">
        <f t="shared" si="120"/>
        <v>20193.149709910624</v>
      </c>
      <c r="JZ58" s="30">
        <f t="shared" si="120"/>
        <v>20260.73952673301</v>
      </c>
      <c r="KA58" s="30">
        <f t="shared" si="120"/>
        <v>20301.314006568522</v>
      </c>
      <c r="KB58" s="30">
        <f t="shared" si="120"/>
        <v>20342.99190462986</v>
      </c>
      <c r="KC58" s="30">
        <f t="shared" si="120"/>
        <v>20440.007825209857</v>
      </c>
      <c r="KD58" s="30">
        <f t="shared" si="120"/>
        <v>20539.177914152588</v>
      </c>
      <c r="KE58" s="30">
        <f t="shared" si="120"/>
        <v>20601.570404964172</v>
      </c>
      <c r="KF58" s="30">
        <f t="shared" si="120"/>
        <v>20693.949359244856</v>
      </c>
      <c r="KG58" s="30">
        <f t="shared" si="120"/>
        <v>20770.37443010027</v>
      </c>
      <c r="KH58" s="30">
        <f t="shared" si="120"/>
        <v>20824.030324481417</v>
      </c>
      <c r="KI58" s="30">
        <f t="shared" si="120"/>
        <v>20887.511330654059</v>
      </c>
      <c r="KJ58" s="1"/>
    </row>
    <row r="59" spans="8:296" x14ac:dyDescent="0.35">
      <c r="H59" s="13" t="s">
        <v>22</v>
      </c>
      <c r="I59" s="1"/>
      <c r="J59" s="1"/>
      <c r="K59" s="1"/>
      <c r="M59" s="15" t="s">
        <v>185</v>
      </c>
      <c r="N59" s="24">
        <f>N83+N113</f>
        <v>245</v>
      </c>
      <c r="O59" s="24">
        <f t="shared" ref="O59:BZ59" si="121">O83+O113</f>
        <v>245</v>
      </c>
      <c r="P59" s="24">
        <f t="shared" si="121"/>
        <v>245</v>
      </c>
      <c r="Q59" s="24">
        <f t="shared" si="121"/>
        <v>245</v>
      </c>
      <c r="R59" s="24">
        <f t="shared" si="121"/>
        <v>245</v>
      </c>
      <c r="S59" s="24">
        <f t="shared" si="121"/>
        <v>210</v>
      </c>
      <c r="T59" s="24">
        <f t="shared" si="121"/>
        <v>250</v>
      </c>
      <c r="U59" s="24">
        <f t="shared" si="121"/>
        <v>250</v>
      </c>
      <c r="V59" s="24">
        <f t="shared" si="121"/>
        <v>225</v>
      </c>
      <c r="W59" s="24">
        <f t="shared" si="121"/>
        <v>225</v>
      </c>
      <c r="X59" s="24">
        <f t="shared" si="121"/>
        <v>225</v>
      </c>
      <c r="Y59" s="24">
        <f t="shared" si="121"/>
        <v>225</v>
      </c>
      <c r="Z59" s="24">
        <f t="shared" si="121"/>
        <v>225</v>
      </c>
      <c r="AA59" s="24">
        <f t="shared" si="121"/>
        <v>225</v>
      </c>
      <c r="AB59" s="24">
        <f t="shared" si="121"/>
        <v>200</v>
      </c>
      <c r="AC59" s="24">
        <f t="shared" si="121"/>
        <v>200</v>
      </c>
      <c r="AD59" s="24">
        <f t="shared" si="121"/>
        <v>200</v>
      </c>
      <c r="AE59" s="24">
        <f t="shared" si="121"/>
        <v>200</v>
      </c>
      <c r="AF59" s="24">
        <f t="shared" si="121"/>
        <v>200</v>
      </c>
      <c r="AG59" s="24">
        <f t="shared" si="121"/>
        <v>200</v>
      </c>
      <c r="AH59" s="24">
        <f t="shared" si="121"/>
        <v>175</v>
      </c>
      <c r="AI59" s="24">
        <f t="shared" si="121"/>
        <v>175</v>
      </c>
      <c r="AJ59" s="24">
        <f t="shared" si="121"/>
        <v>175</v>
      </c>
      <c r="AK59" s="24">
        <f t="shared" si="121"/>
        <v>175</v>
      </c>
      <c r="AL59" s="24">
        <f t="shared" si="121"/>
        <v>175</v>
      </c>
      <c r="AM59" s="24">
        <f t="shared" si="121"/>
        <v>175</v>
      </c>
      <c r="AN59" s="24">
        <f t="shared" si="121"/>
        <v>150</v>
      </c>
      <c r="AO59" s="24">
        <f t="shared" si="121"/>
        <v>150</v>
      </c>
      <c r="AP59" s="24">
        <f t="shared" si="121"/>
        <v>150</v>
      </c>
      <c r="AQ59" s="24">
        <f t="shared" si="121"/>
        <v>150</v>
      </c>
      <c r="AR59" s="24">
        <f t="shared" si="121"/>
        <v>150</v>
      </c>
      <c r="AS59" s="24">
        <f t="shared" si="121"/>
        <v>150</v>
      </c>
      <c r="AT59" s="24">
        <f t="shared" si="121"/>
        <v>125</v>
      </c>
      <c r="AU59" s="24">
        <f t="shared" si="121"/>
        <v>125</v>
      </c>
      <c r="AV59" s="24">
        <f t="shared" si="121"/>
        <v>125</v>
      </c>
      <c r="AW59" s="24">
        <f t="shared" si="121"/>
        <v>125</v>
      </c>
      <c r="AX59" s="24">
        <f t="shared" si="121"/>
        <v>125</v>
      </c>
      <c r="AY59" s="24">
        <f t="shared" si="121"/>
        <v>125</v>
      </c>
      <c r="AZ59" s="24">
        <f t="shared" si="121"/>
        <v>100</v>
      </c>
      <c r="BA59" s="24">
        <f t="shared" si="121"/>
        <v>100</v>
      </c>
      <c r="BB59" s="24">
        <f t="shared" si="121"/>
        <v>100</v>
      </c>
      <c r="BC59" s="24">
        <f t="shared" si="121"/>
        <v>100</v>
      </c>
      <c r="BD59" s="24">
        <f t="shared" si="121"/>
        <v>100</v>
      </c>
      <c r="BE59" s="24">
        <f t="shared" si="121"/>
        <v>100</v>
      </c>
      <c r="BF59" s="24">
        <f t="shared" si="121"/>
        <v>75</v>
      </c>
      <c r="BG59" s="24">
        <f t="shared" si="121"/>
        <v>75</v>
      </c>
      <c r="BH59" s="24">
        <f t="shared" si="121"/>
        <v>75</v>
      </c>
      <c r="BI59" s="24">
        <f t="shared" si="121"/>
        <v>75</v>
      </c>
      <c r="BJ59" s="24">
        <f t="shared" si="121"/>
        <v>75</v>
      </c>
      <c r="BK59" s="24">
        <f t="shared" si="121"/>
        <v>75</v>
      </c>
      <c r="BL59" s="24">
        <f t="shared" si="121"/>
        <v>50</v>
      </c>
      <c r="BM59" s="24">
        <f t="shared" si="121"/>
        <v>50</v>
      </c>
      <c r="BN59" s="24">
        <f t="shared" si="121"/>
        <v>50</v>
      </c>
      <c r="BO59" s="24">
        <f t="shared" si="121"/>
        <v>50</v>
      </c>
      <c r="BP59" s="24">
        <f t="shared" si="121"/>
        <v>50</v>
      </c>
      <c r="BQ59" s="24">
        <f t="shared" si="121"/>
        <v>50</v>
      </c>
      <c r="BR59" s="24">
        <f t="shared" si="121"/>
        <v>25</v>
      </c>
      <c r="BS59" s="24">
        <f t="shared" si="121"/>
        <v>25</v>
      </c>
      <c r="BT59" s="24">
        <f t="shared" si="121"/>
        <v>25</v>
      </c>
      <c r="BU59" s="24">
        <f t="shared" si="121"/>
        <v>25</v>
      </c>
      <c r="BV59" s="24">
        <f t="shared" si="121"/>
        <v>25</v>
      </c>
      <c r="BW59" s="24">
        <f t="shared" si="121"/>
        <v>25</v>
      </c>
      <c r="BX59" s="24">
        <f t="shared" si="121"/>
        <v>0</v>
      </c>
      <c r="BY59" s="24">
        <f t="shared" si="121"/>
        <v>0</v>
      </c>
      <c r="BZ59" s="24">
        <f t="shared" si="121"/>
        <v>0</v>
      </c>
      <c r="CA59" s="24">
        <f t="shared" ref="CA59:EL59" si="122">CA83+CA113</f>
        <v>0</v>
      </c>
      <c r="CB59" s="24">
        <f t="shared" si="122"/>
        <v>0</v>
      </c>
      <c r="CC59" s="24">
        <f t="shared" si="122"/>
        <v>0</v>
      </c>
      <c r="CD59" s="24">
        <f t="shared" si="122"/>
        <v>0</v>
      </c>
      <c r="CE59" s="24">
        <f t="shared" si="122"/>
        <v>0</v>
      </c>
      <c r="CF59" s="24">
        <f t="shared" si="122"/>
        <v>0</v>
      </c>
      <c r="CG59" s="24">
        <f t="shared" si="122"/>
        <v>0</v>
      </c>
      <c r="CH59" s="24">
        <f t="shared" si="122"/>
        <v>0</v>
      </c>
      <c r="CI59" s="24">
        <f t="shared" si="122"/>
        <v>0</v>
      </c>
      <c r="CJ59" s="24">
        <f t="shared" si="122"/>
        <v>0</v>
      </c>
      <c r="CK59" s="24">
        <f t="shared" si="122"/>
        <v>0</v>
      </c>
      <c r="CL59" s="24">
        <f t="shared" si="122"/>
        <v>0</v>
      </c>
      <c r="CM59" s="24">
        <f t="shared" si="122"/>
        <v>0</v>
      </c>
      <c r="CN59" s="24">
        <f t="shared" si="122"/>
        <v>0</v>
      </c>
      <c r="CO59" s="24">
        <f t="shared" si="122"/>
        <v>0</v>
      </c>
      <c r="CP59" s="24">
        <f t="shared" si="122"/>
        <v>0</v>
      </c>
      <c r="CQ59" s="24">
        <f t="shared" si="122"/>
        <v>0</v>
      </c>
      <c r="CR59" s="24">
        <f t="shared" si="122"/>
        <v>0</v>
      </c>
      <c r="CS59" s="24">
        <f t="shared" si="122"/>
        <v>0</v>
      </c>
      <c r="CT59" s="24">
        <f t="shared" si="122"/>
        <v>0</v>
      </c>
      <c r="CU59" s="24">
        <f t="shared" si="122"/>
        <v>0</v>
      </c>
      <c r="CV59" s="24">
        <f t="shared" si="122"/>
        <v>0</v>
      </c>
      <c r="CW59" s="24">
        <f t="shared" si="122"/>
        <v>0</v>
      </c>
      <c r="CX59" s="24">
        <f t="shared" si="122"/>
        <v>0</v>
      </c>
      <c r="CY59" s="24">
        <f t="shared" si="122"/>
        <v>0</v>
      </c>
      <c r="CZ59" s="24">
        <f t="shared" si="122"/>
        <v>0</v>
      </c>
      <c r="DA59" s="24">
        <f t="shared" si="122"/>
        <v>0</v>
      </c>
      <c r="DB59" s="24">
        <f t="shared" si="122"/>
        <v>0</v>
      </c>
      <c r="DC59" s="24">
        <f t="shared" si="122"/>
        <v>0</v>
      </c>
      <c r="DD59" s="24">
        <f t="shared" si="122"/>
        <v>0</v>
      </c>
      <c r="DE59" s="24">
        <f t="shared" si="122"/>
        <v>0</v>
      </c>
      <c r="DF59" s="24">
        <f t="shared" si="122"/>
        <v>0</v>
      </c>
      <c r="DG59" s="24">
        <f t="shared" si="122"/>
        <v>0</v>
      </c>
      <c r="DH59" s="24">
        <f t="shared" si="122"/>
        <v>0</v>
      </c>
      <c r="DI59" s="24">
        <f t="shared" si="122"/>
        <v>0</v>
      </c>
      <c r="DJ59" s="24">
        <f t="shared" si="122"/>
        <v>0</v>
      </c>
      <c r="DK59" s="24">
        <f t="shared" si="122"/>
        <v>0</v>
      </c>
      <c r="DL59" s="24">
        <f t="shared" si="122"/>
        <v>0</v>
      </c>
      <c r="DM59" s="24">
        <f t="shared" si="122"/>
        <v>0</v>
      </c>
      <c r="DN59" s="24">
        <f t="shared" si="122"/>
        <v>0</v>
      </c>
      <c r="DO59" s="24">
        <f t="shared" si="122"/>
        <v>0</v>
      </c>
      <c r="DP59" s="24">
        <f t="shared" si="122"/>
        <v>0</v>
      </c>
      <c r="DQ59" s="24">
        <f t="shared" si="122"/>
        <v>0</v>
      </c>
      <c r="DR59" s="24">
        <f t="shared" si="122"/>
        <v>0</v>
      </c>
      <c r="DS59" s="24">
        <f t="shared" si="122"/>
        <v>0</v>
      </c>
      <c r="DT59" s="24">
        <f t="shared" si="122"/>
        <v>0</v>
      </c>
      <c r="DU59" s="24">
        <f t="shared" si="122"/>
        <v>0</v>
      </c>
      <c r="DV59" s="24">
        <f t="shared" si="122"/>
        <v>0</v>
      </c>
      <c r="DW59" s="24">
        <f t="shared" si="122"/>
        <v>0</v>
      </c>
      <c r="DX59" s="24">
        <f t="shared" si="122"/>
        <v>0</v>
      </c>
      <c r="DY59" s="24">
        <f t="shared" si="122"/>
        <v>0</v>
      </c>
      <c r="DZ59" s="24">
        <f t="shared" si="122"/>
        <v>0</v>
      </c>
      <c r="EA59" s="24">
        <f t="shared" si="122"/>
        <v>0</v>
      </c>
      <c r="EB59" s="24">
        <f t="shared" si="122"/>
        <v>0</v>
      </c>
      <c r="EC59" s="24">
        <f t="shared" si="122"/>
        <v>0</v>
      </c>
      <c r="ED59" s="24">
        <f t="shared" si="122"/>
        <v>0</v>
      </c>
      <c r="EE59" s="24">
        <f t="shared" si="122"/>
        <v>0</v>
      </c>
      <c r="EF59" s="24">
        <f t="shared" si="122"/>
        <v>0</v>
      </c>
      <c r="EG59" s="24">
        <f t="shared" si="122"/>
        <v>0</v>
      </c>
      <c r="EH59" s="24">
        <f t="shared" si="122"/>
        <v>0</v>
      </c>
      <c r="EI59" s="24">
        <f t="shared" si="122"/>
        <v>0</v>
      </c>
      <c r="EJ59" s="24">
        <f t="shared" si="122"/>
        <v>0</v>
      </c>
      <c r="EK59" s="24">
        <f t="shared" si="122"/>
        <v>0</v>
      </c>
      <c r="EL59" s="24">
        <f t="shared" si="122"/>
        <v>0</v>
      </c>
      <c r="EM59" s="24">
        <f t="shared" ref="EM59:GX59" si="123">EM83+EM113</f>
        <v>0</v>
      </c>
      <c r="EN59" s="24">
        <f t="shared" si="123"/>
        <v>0</v>
      </c>
      <c r="EO59" s="24">
        <f t="shared" si="123"/>
        <v>0</v>
      </c>
      <c r="EP59" s="24">
        <f t="shared" si="123"/>
        <v>0</v>
      </c>
      <c r="EQ59" s="24">
        <f t="shared" si="123"/>
        <v>0</v>
      </c>
      <c r="ER59" s="24">
        <f t="shared" si="123"/>
        <v>0</v>
      </c>
      <c r="ES59" s="24">
        <f t="shared" si="123"/>
        <v>0</v>
      </c>
      <c r="ET59" s="24">
        <f t="shared" si="123"/>
        <v>0</v>
      </c>
      <c r="EU59" s="24">
        <f t="shared" si="123"/>
        <v>0</v>
      </c>
      <c r="EV59" s="24">
        <f t="shared" si="123"/>
        <v>0</v>
      </c>
      <c r="EW59" s="24">
        <f t="shared" si="123"/>
        <v>0</v>
      </c>
      <c r="EX59" s="24">
        <f t="shared" si="123"/>
        <v>0</v>
      </c>
      <c r="EY59" s="24">
        <f t="shared" si="123"/>
        <v>0</v>
      </c>
      <c r="EZ59" s="24">
        <f t="shared" si="123"/>
        <v>0</v>
      </c>
      <c r="FA59" s="24">
        <f t="shared" si="123"/>
        <v>0</v>
      </c>
      <c r="FB59" s="24">
        <f t="shared" si="123"/>
        <v>0</v>
      </c>
      <c r="FC59" s="24">
        <f t="shared" si="123"/>
        <v>0</v>
      </c>
      <c r="FD59" s="24">
        <f t="shared" si="123"/>
        <v>0</v>
      </c>
      <c r="FE59" s="24">
        <f t="shared" si="123"/>
        <v>0</v>
      </c>
      <c r="FF59" s="24">
        <f t="shared" si="123"/>
        <v>0</v>
      </c>
      <c r="FG59" s="24">
        <f t="shared" si="123"/>
        <v>0</v>
      </c>
      <c r="FH59" s="24">
        <f t="shared" si="123"/>
        <v>0</v>
      </c>
      <c r="FI59" s="24">
        <f t="shared" si="123"/>
        <v>0</v>
      </c>
      <c r="FJ59" s="24">
        <f t="shared" si="123"/>
        <v>0</v>
      </c>
      <c r="FK59" s="24">
        <f t="shared" si="123"/>
        <v>0</v>
      </c>
      <c r="FL59" s="24">
        <f t="shared" si="123"/>
        <v>0</v>
      </c>
      <c r="FM59" s="24">
        <f t="shared" si="123"/>
        <v>0</v>
      </c>
      <c r="FN59" s="24">
        <f t="shared" si="123"/>
        <v>0</v>
      </c>
      <c r="FO59" s="24">
        <f t="shared" si="123"/>
        <v>0</v>
      </c>
      <c r="FP59" s="24">
        <f t="shared" si="123"/>
        <v>0</v>
      </c>
      <c r="FQ59" s="24">
        <f t="shared" si="123"/>
        <v>0</v>
      </c>
      <c r="FR59" s="24">
        <f t="shared" si="123"/>
        <v>0</v>
      </c>
      <c r="FS59" s="24">
        <f t="shared" si="123"/>
        <v>0</v>
      </c>
      <c r="FT59" s="24">
        <f t="shared" si="123"/>
        <v>0</v>
      </c>
      <c r="FU59" s="24">
        <f t="shared" si="123"/>
        <v>0</v>
      </c>
      <c r="FV59" s="24">
        <f t="shared" si="123"/>
        <v>0</v>
      </c>
      <c r="FW59" s="24">
        <f t="shared" si="123"/>
        <v>0</v>
      </c>
      <c r="FX59" s="24">
        <f t="shared" si="123"/>
        <v>0</v>
      </c>
      <c r="FY59" s="24">
        <f t="shared" si="123"/>
        <v>0</v>
      </c>
      <c r="FZ59" s="24">
        <f t="shared" si="123"/>
        <v>0</v>
      </c>
      <c r="GA59" s="24">
        <f t="shared" si="123"/>
        <v>0</v>
      </c>
      <c r="GB59" s="24">
        <f t="shared" si="123"/>
        <v>0</v>
      </c>
      <c r="GC59" s="24">
        <f t="shared" si="123"/>
        <v>0</v>
      </c>
      <c r="GD59" s="24">
        <f t="shared" si="123"/>
        <v>0</v>
      </c>
      <c r="GE59" s="24">
        <f t="shared" si="123"/>
        <v>0</v>
      </c>
      <c r="GF59" s="24">
        <f t="shared" si="123"/>
        <v>0</v>
      </c>
      <c r="GG59" s="24">
        <f t="shared" si="123"/>
        <v>0</v>
      </c>
      <c r="GH59" s="24">
        <f t="shared" si="123"/>
        <v>0</v>
      </c>
      <c r="GI59" s="24">
        <f t="shared" si="123"/>
        <v>0</v>
      </c>
      <c r="GJ59" s="24">
        <f t="shared" si="123"/>
        <v>0</v>
      </c>
      <c r="GK59" s="24">
        <f t="shared" si="123"/>
        <v>0</v>
      </c>
      <c r="GL59" s="24">
        <f t="shared" si="123"/>
        <v>0</v>
      </c>
      <c r="GM59" s="24">
        <f t="shared" si="123"/>
        <v>0</v>
      </c>
      <c r="GN59" s="24">
        <f t="shared" si="123"/>
        <v>0</v>
      </c>
      <c r="GO59" s="24">
        <f t="shared" si="123"/>
        <v>0</v>
      </c>
      <c r="GP59" s="24">
        <f t="shared" si="123"/>
        <v>0</v>
      </c>
      <c r="GQ59" s="24">
        <f t="shared" si="123"/>
        <v>0</v>
      </c>
      <c r="GR59" s="24">
        <f t="shared" si="123"/>
        <v>0</v>
      </c>
      <c r="GS59" s="24">
        <f t="shared" si="123"/>
        <v>0</v>
      </c>
      <c r="GT59" s="24">
        <f t="shared" si="123"/>
        <v>0</v>
      </c>
      <c r="GU59" s="24">
        <f t="shared" si="123"/>
        <v>0</v>
      </c>
      <c r="GV59" s="24">
        <f t="shared" si="123"/>
        <v>0</v>
      </c>
      <c r="GW59" s="24">
        <f t="shared" si="123"/>
        <v>0</v>
      </c>
      <c r="GX59" s="24">
        <f t="shared" si="123"/>
        <v>0</v>
      </c>
      <c r="GY59" s="24">
        <f t="shared" ref="GY59:JJ59" si="124">GY83+GY113</f>
        <v>0</v>
      </c>
      <c r="GZ59" s="24">
        <f t="shared" si="124"/>
        <v>0</v>
      </c>
      <c r="HA59" s="24">
        <f t="shared" si="124"/>
        <v>0</v>
      </c>
      <c r="HB59" s="24">
        <f t="shared" si="124"/>
        <v>0</v>
      </c>
      <c r="HC59" s="24">
        <f t="shared" si="124"/>
        <v>0</v>
      </c>
      <c r="HD59" s="24">
        <f t="shared" si="124"/>
        <v>0</v>
      </c>
      <c r="HE59" s="24">
        <f t="shared" si="124"/>
        <v>0</v>
      </c>
      <c r="HF59" s="24">
        <f t="shared" si="124"/>
        <v>0</v>
      </c>
      <c r="HG59" s="24">
        <f t="shared" si="124"/>
        <v>0</v>
      </c>
      <c r="HH59" s="24">
        <f t="shared" si="124"/>
        <v>0</v>
      </c>
      <c r="HI59" s="24">
        <f t="shared" si="124"/>
        <v>0</v>
      </c>
      <c r="HJ59" s="24">
        <f t="shared" si="124"/>
        <v>0</v>
      </c>
      <c r="HK59" s="24">
        <f t="shared" si="124"/>
        <v>0</v>
      </c>
      <c r="HL59" s="24">
        <f t="shared" si="124"/>
        <v>0</v>
      </c>
      <c r="HM59" s="24">
        <f t="shared" si="124"/>
        <v>0</v>
      </c>
      <c r="HN59" s="24">
        <f t="shared" si="124"/>
        <v>0</v>
      </c>
      <c r="HO59" s="24">
        <f t="shared" si="124"/>
        <v>0</v>
      </c>
      <c r="HP59" s="24">
        <f t="shared" si="124"/>
        <v>0</v>
      </c>
      <c r="HQ59" s="24">
        <f t="shared" si="124"/>
        <v>0</v>
      </c>
      <c r="HR59" s="24">
        <f t="shared" si="124"/>
        <v>0</v>
      </c>
      <c r="HS59" s="24">
        <f t="shared" si="124"/>
        <v>0</v>
      </c>
      <c r="HT59" s="24">
        <f t="shared" si="124"/>
        <v>0</v>
      </c>
      <c r="HU59" s="24">
        <f t="shared" si="124"/>
        <v>0</v>
      </c>
      <c r="HV59" s="24">
        <f t="shared" si="124"/>
        <v>0</v>
      </c>
      <c r="HW59" s="24">
        <f t="shared" si="124"/>
        <v>0</v>
      </c>
      <c r="HX59" s="24">
        <f t="shared" si="124"/>
        <v>0</v>
      </c>
      <c r="HY59" s="24">
        <f t="shared" si="124"/>
        <v>0</v>
      </c>
      <c r="HZ59" s="24">
        <f t="shared" si="124"/>
        <v>0</v>
      </c>
      <c r="IA59" s="24">
        <f t="shared" si="124"/>
        <v>0</v>
      </c>
      <c r="IB59" s="24">
        <f t="shared" si="124"/>
        <v>0</v>
      </c>
      <c r="IC59" s="24">
        <f t="shared" si="124"/>
        <v>0</v>
      </c>
      <c r="ID59" s="24">
        <f t="shared" si="124"/>
        <v>0</v>
      </c>
      <c r="IE59" s="24">
        <f t="shared" si="124"/>
        <v>0</v>
      </c>
      <c r="IF59" s="24">
        <f t="shared" si="124"/>
        <v>0</v>
      </c>
      <c r="IG59" s="24">
        <f t="shared" si="124"/>
        <v>0</v>
      </c>
      <c r="IH59" s="24">
        <f t="shared" si="124"/>
        <v>0</v>
      </c>
      <c r="II59" s="24">
        <f t="shared" si="124"/>
        <v>0</v>
      </c>
      <c r="IJ59" s="24">
        <f t="shared" si="124"/>
        <v>0</v>
      </c>
      <c r="IK59" s="24">
        <f t="shared" si="124"/>
        <v>0</v>
      </c>
      <c r="IL59" s="24">
        <f t="shared" si="124"/>
        <v>0</v>
      </c>
      <c r="IM59" s="24">
        <f t="shared" si="124"/>
        <v>0</v>
      </c>
      <c r="IN59" s="24">
        <f t="shared" si="124"/>
        <v>0</v>
      </c>
      <c r="IO59" s="24">
        <f t="shared" si="124"/>
        <v>0</v>
      </c>
      <c r="IP59" s="24">
        <f t="shared" si="124"/>
        <v>0</v>
      </c>
      <c r="IQ59" s="24">
        <f t="shared" si="124"/>
        <v>0</v>
      </c>
      <c r="IR59" s="24">
        <f t="shared" si="124"/>
        <v>0</v>
      </c>
      <c r="IS59" s="24">
        <f t="shared" si="124"/>
        <v>0</v>
      </c>
      <c r="IT59" s="24">
        <f t="shared" si="124"/>
        <v>0</v>
      </c>
      <c r="IU59" s="24">
        <f t="shared" si="124"/>
        <v>0</v>
      </c>
      <c r="IV59" s="24">
        <f t="shared" si="124"/>
        <v>0</v>
      </c>
      <c r="IW59" s="24">
        <f t="shared" si="124"/>
        <v>0</v>
      </c>
      <c r="IX59" s="24">
        <f t="shared" si="124"/>
        <v>0</v>
      </c>
      <c r="IY59" s="24">
        <f t="shared" si="124"/>
        <v>0</v>
      </c>
      <c r="IZ59" s="24">
        <f t="shared" si="124"/>
        <v>0</v>
      </c>
      <c r="JA59" s="24">
        <f t="shared" si="124"/>
        <v>0</v>
      </c>
      <c r="JB59" s="24">
        <f t="shared" si="124"/>
        <v>0</v>
      </c>
      <c r="JC59" s="24">
        <f t="shared" si="124"/>
        <v>0</v>
      </c>
      <c r="JD59" s="24">
        <f t="shared" si="124"/>
        <v>0</v>
      </c>
      <c r="JE59" s="24">
        <f t="shared" si="124"/>
        <v>0</v>
      </c>
      <c r="JF59" s="24">
        <f t="shared" si="124"/>
        <v>0</v>
      </c>
      <c r="JG59" s="24">
        <f t="shared" si="124"/>
        <v>0</v>
      </c>
      <c r="JH59" s="24">
        <f t="shared" si="124"/>
        <v>0</v>
      </c>
      <c r="JI59" s="24">
        <f t="shared" si="124"/>
        <v>0</v>
      </c>
      <c r="JJ59" s="24">
        <f t="shared" si="124"/>
        <v>0</v>
      </c>
      <c r="JK59" s="24">
        <f t="shared" ref="JK59:KI59" si="125">JK83+JK113</f>
        <v>0</v>
      </c>
      <c r="JL59" s="24">
        <f t="shared" si="125"/>
        <v>0</v>
      </c>
      <c r="JM59" s="24">
        <f t="shared" si="125"/>
        <v>0</v>
      </c>
      <c r="JN59" s="24">
        <f t="shared" si="125"/>
        <v>0</v>
      </c>
      <c r="JO59" s="24">
        <f t="shared" si="125"/>
        <v>0</v>
      </c>
      <c r="JP59" s="24">
        <f t="shared" si="125"/>
        <v>0</v>
      </c>
      <c r="JQ59" s="24">
        <f t="shared" si="125"/>
        <v>0</v>
      </c>
      <c r="JR59" s="24">
        <f t="shared" si="125"/>
        <v>0</v>
      </c>
      <c r="JS59" s="24">
        <f t="shared" si="125"/>
        <v>0</v>
      </c>
      <c r="JT59" s="24">
        <f t="shared" si="125"/>
        <v>0</v>
      </c>
      <c r="JU59" s="24">
        <f t="shared" si="125"/>
        <v>0</v>
      </c>
      <c r="JV59" s="24">
        <f t="shared" si="125"/>
        <v>0</v>
      </c>
      <c r="JW59" s="24">
        <f t="shared" si="125"/>
        <v>0</v>
      </c>
      <c r="JX59" s="24">
        <f t="shared" si="125"/>
        <v>0</v>
      </c>
      <c r="JY59" s="24">
        <f t="shared" si="125"/>
        <v>0</v>
      </c>
      <c r="JZ59" s="24">
        <f t="shared" si="125"/>
        <v>0</v>
      </c>
      <c r="KA59" s="24">
        <f t="shared" si="125"/>
        <v>0</v>
      </c>
      <c r="KB59" s="24">
        <f t="shared" si="125"/>
        <v>0</v>
      </c>
      <c r="KC59" s="24">
        <f t="shared" si="125"/>
        <v>0</v>
      </c>
      <c r="KD59" s="24">
        <f t="shared" si="125"/>
        <v>0</v>
      </c>
      <c r="KE59" s="24">
        <f t="shared" si="125"/>
        <v>0</v>
      </c>
      <c r="KF59" s="24">
        <f t="shared" si="125"/>
        <v>0</v>
      </c>
      <c r="KG59" s="24">
        <f t="shared" si="125"/>
        <v>0</v>
      </c>
      <c r="KH59" s="24">
        <f t="shared" si="125"/>
        <v>0</v>
      </c>
      <c r="KI59" s="24">
        <f t="shared" si="125"/>
        <v>0</v>
      </c>
      <c r="KJ59" s="1"/>
    </row>
    <row r="60" spans="8:296" x14ac:dyDescent="0.35">
      <c r="H60" s="13" t="s">
        <v>22</v>
      </c>
      <c r="I60" s="1"/>
      <c r="J60" s="1"/>
      <c r="K60" s="1"/>
      <c r="M60" s="15" t="s">
        <v>145</v>
      </c>
      <c r="N60" s="24">
        <f>Control!H146</f>
        <v>35</v>
      </c>
      <c r="O60" s="24">
        <f>N60</f>
        <v>35</v>
      </c>
      <c r="P60" s="24">
        <f t="shared" ref="P60:CA60" si="126">O60</f>
        <v>35</v>
      </c>
      <c r="Q60" s="24">
        <f t="shared" si="126"/>
        <v>35</v>
      </c>
      <c r="R60" s="24">
        <f t="shared" si="126"/>
        <v>35</v>
      </c>
      <c r="S60" s="24">
        <f t="shared" si="126"/>
        <v>35</v>
      </c>
      <c r="T60" s="24">
        <f t="shared" si="126"/>
        <v>35</v>
      </c>
      <c r="U60" s="24">
        <f t="shared" si="126"/>
        <v>35</v>
      </c>
      <c r="V60" s="24">
        <f t="shared" si="126"/>
        <v>35</v>
      </c>
      <c r="W60" s="24">
        <f t="shared" si="126"/>
        <v>35</v>
      </c>
      <c r="X60" s="24">
        <f t="shared" si="126"/>
        <v>35</v>
      </c>
      <c r="Y60" s="24">
        <f t="shared" si="126"/>
        <v>35</v>
      </c>
      <c r="Z60" s="24">
        <f t="shared" si="126"/>
        <v>35</v>
      </c>
      <c r="AA60" s="24">
        <f t="shared" si="126"/>
        <v>35</v>
      </c>
      <c r="AB60" s="24">
        <f t="shared" si="126"/>
        <v>35</v>
      </c>
      <c r="AC60" s="24">
        <f t="shared" si="126"/>
        <v>35</v>
      </c>
      <c r="AD60" s="24">
        <f t="shared" si="126"/>
        <v>35</v>
      </c>
      <c r="AE60" s="24">
        <f t="shared" si="126"/>
        <v>35</v>
      </c>
      <c r="AF60" s="24">
        <f t="shared" si="126"/>
        <v>35</v>
      </c>
      <c r="AG60" s="24">
        <f t="shared" si="126"/>
        <v>35</v>
      </c>
      <c r="AH60" s="24">
        <f t="shared" si="126"/>
        <v>35</v>
      </c>
      <c r="AI60" s="24">
        <f t="shared" si="126"/>
        <v>35</v>
      </c>
      <c r="AJ60" s="24">
        <f t="shared" si="126"/>
        <v>35</v>
      </c>
      <c r="AK60" s="24">
        <f t="shared" si="126"/>
        <v>35</v>
      </c>
      <c r="AL60" s="24">
        <f t="shared" si="126"/>
        <v>35</v>
      </c>
      <c r="AM60" s="24">
        <f t="shared" si="126"/>
        <v>35</v>
      </c>
      <c r="AN60" s="24">
        <f t="shared" si="126"/>
        <v>35</v>
      </c>
      <c r="AO60" s="24">
        <f t="shared" si="126"/>
        <v>35</v>
      </c>
      <c r="AP60" s="24">
        <f t="shared" si="126"/>
        <v>35</v>
      </c>
      <c r="AQ60" s="24">
        <f t="shared" si="126"/>
        <v>35</v>
      </c>
      <c r="AR60" s="24">
        <f t="shared" si="126"/>
        <v>35</v>
      </c>
      <c r="AS60" s="24">
        <f t="shared" si="126"/>
        <v>35</v>
      </c>
      <c r="AT60" s="24">
        <f t="shared" si="126"/>
        <v>35</v>
      </c>
      <c r="AU60" s="24">
        <f t="shared" si="126"/>
        <v>35</v>
      </c>
      <c r="AV60" s="24">
        <f t="shared" si="126"/>
        <v>35</v>
      </c>
      <c r="AW60" s="24">
        <f t="shared" si="126"/>
        <v>35</v>
      </c>
      <c r="AX60" s="24">
        <f t="shared" si="126"/>
        <v>35</v>
      </c>
      <c r="AY60" s="24">
        <f t="shared" si="126"/>
        <v>35</v>
      </c>
      <c r="AZ60" s="24">
        <f t="shared" si="126"/>
        <v>35</v>
      </c>
      <c r="BA60" s="24">
        <f t="shared" si="126"/>
        <v>35</v>
      </c>
      <c r="BB60" s="24">
        <f t="shared" si="126"/>
        <v>35</v>
      </c>
      <c r="BC60" s="24">
        <f t="shared" si="126"/>
        <v>35</v>
      </c>
      <c r="BD60" s="24">
        <f t="shared" si="126"/>
        <v>35</v>
      </c>
      <c r="BE60" s="24">
        <f t="shared" si="126"/>
        <v>35</v>
      </c>
      <c r="BF60" s="24">
        <f t="shared" si="126"/>
        <v>35</v>
      </c>
      <c r="BG60" s="24">
        <f t="shared" si="126"/>
        <v>35</v>
      </c>
      <c r="BH60" s="24">
        <f t="shared" si="126"/>
        <v>35</v>
      </c>
      <c r="BI60" s="24">
        <f t="shared" si="126"/>
        <v>35</v>
      </c>
      <c r="BJ60" s="24">
        <f t="shared" si="126"/>
        <v>35</v>
      </c>
      <c r="BK60" s="24">
        <f t="shared" si="126"/>
        <v>35</v>
      </c>
      <c r="BL60" s="24">
        <f t="shared" si="126"/>
        <v>35</v>
      </c>
      <c r="BM60" s="24">
        <f t="shared" si="126"/>
        <v>35</v>
      </c>
      <c r="BN60" s="24">
        <f t="shared" si="126"/>
        <v>35</v>
      </c>
      <c r="BO60" s="24">
        <f t="shared" si="126"/>
        <v>35</v>
      </c>
      <c r="BP60" s="24">
        <f t="shared" si="126"/>
        <v>35</v>
      </c>
      <c r="BQ60" s="24">
        <f t="shared" si="126"/>
        <v>35</v>
      </c>
      <c r="BR60" s="24">
        <f t="shared" si="126"/>
        <v>35</v>
      </c>
      <c r="BS60" s="24">
        <f t="shared" si="126"/>
        <v>35</v>
      </c>
      <c r="BT60" s="24">
        <f t="shared" si="126"/>
        <v>35</v>
      </c>
      <c r="BU60" s="24">
        <f t="shared" si="126"/>
        <v>35</v>
      </c>
      <c r="BV60" s="24">
        <f t="shared" si="126"/>
        <v>35</v>
      </c>
      <c r="BW60" s="24">
        <f t="shared" si="126"/>
        <v>35</v>
      </c>
      <c r="BX60" s="24">
        <f t="shared" si="126"/>
        <v>35</v>
      </c>
      <c r="BY60" s="24">
        <f t="shared" si="126"/>
        <v>35</v>
      </c>
      <c r="BZ60" s="24">
        <f t="shared" si="126"/>
        <v>35</v>
      </c>
      <c r="CA60" s="24">
        <f t="shared" si="126"/>
        <v>35</v>
      </c>
      <c r="CB60" s="24">
        <f t="shared" ref="CB60:EM60" si="127">CA60</f>
        <v>35</v>
      </c>
      <c r="CC60" s="24">
        <f t="shared" si="127"/>
        <v>35</v>
      </c>
      <c r="CD60" s="24">
        <f t="shared" si="127"/>
        <v>35</v>
      </c>
      <c r="CE60" s="24">
        <f t="shared" si="127"/>
        <v>35</v>
      </c>
      <c r="CF60" s="24">
        <f t="shared" si="127"/>
        <v>35</v>
      </c>
      <c r="CG60" s="24">
        <f t="shared" si="127"/>
        <v>35</v>
      </c>
      <c r="CH60" s="24">
        <f t="shared" si="127"/>
        <v>35</v>
      </c>
      <c r="CI60" s="24">
        <f t="shared" si="127"/>
        <v>35</v>
      </c>
      <c r="CJ60" s="24">
        <f t="shared" si="127"/>
        <v>35</v>
      </c>
      <c r="CK60" s="24">
        <f t="shared" si="127"/>
        <v>35</v>
      </c>
      <c r="CL60" s="24">
        <f t="shared" si="127"/>
        <v>35</v>
      </c>
      <c r="CM60" s="24">
        <f t="shared" si="127"/>
        <v>35</v>
      </c>
      <c r="CN60" s="24">
        <f t="shared" si="127"/>
        <v>35</v>
      </c>
      <c r="CO60" s="24">
        <f t="shared" si="127"/>
        <v>35</v>
      </c>
      <c r="CP60" s="24">
        <f t="shared" si="127"/>
        <v>35</v>
      </c>
      <c r="CQ60" s="24">
        <f t="shared" si="127"/>
        <v>35</v>
      </c>
      <c r="CR60" s="24">
        <f t="shared" si="127"/>
        <v>35</v>
      </c>
      <c r="CS60" s="24">
        <f t="shared" si="127"/>
        <v>35</v>
      </c>
      <c r="CT60" s="24">
        <f t="shared" si="127"/>
        <v>35</v>
      </c>
      <c r="CU60" s="24">
        <f t="shared" si="127"/>
        <v>35</v>
      </c>
      <c r="CV60" s="24">
        <f t="shared" si="127"/>
        <v>35</v>
      </c>
      <c r="CW60" s="24">
        <f t="shared" si="127"/>
        <v>35</v>
      </c>
      <c r="CX60" s="24">
        <f t="shared" si="127"/>
        <v>35</v>
      </c>
      <c r="CY60" s="24">
        <f t="shared" si="127"/>
        <v>35</v>
      </c>
      <c r="CZ60" s="24">
        <f t="shared" si="127"/>
        <v>35</v>
      </c>
      <c r="DA60" s="24">
        <f t="shared" si="127"/>
        <v>35</v>
      </c>
      <c r="DB60" s="24">
        <f t="shared" si="127"/>
        <v>35</v>
      </c>
      <c r="DC60" s="24">
        <f t="shared" si="127"/>
        <v>35</v>
      </c>
      <c r="DD60" s="24">
        <f t="shared" si="127"/>
        <v>35</v>
      </c>
      <c r="DE60" s="24">
        <f t="shared" si="127"/>
        <v>35</v>
      </c>
      <c r="DF60" s="24">
        <f t="shared" si="127"/>
        <v>35</v>
      </c>
      <c r="DG60" s="24">
        <f t="shared" si="127"/>
        <v>35</v>
      </c>
      <c r="DH60" s="24">
        <f t="shared" si="127"/>
        <v>35</v>
      </c>
      <c r="DI60" s="24">
        <f t="shared" si="127"/>
        <v>35</v>
      </c>
      <c r="DJ60" s="24">
        <f t="shared" si="127"/>
        <v>35</v>
      </c>
      <c r="DK60" s="24">
        <f t="shared" si="127"/>
        <v>35</v>
      </c>
      <c r="DL60" s="24">
        <f t="shared" si="127"/>
        <v>35</v>
      </c>
      <c r="DM60" s="24">
        <f t="shared" si="127"/>
        <v>35</v>
      </c>
      <c r="DN60" s="24">
        <f t="shared" si="127"/>
        <v>35</v>
      </c>
      <c r="DO60" s="24">
        <f t="shared" si="127"/>
        <v>35</v>
      </c>
      <c r="DP60" s="24">
        <f t="shared" si="127"/>
        <v>35</v>
      </c>
      <c r="DQ60" s="24">
        <f t="shared" si="127"/>
        <v>35</v>
      </c>
      <c r="DR60" s="24">
        <f t="shared" si="127"/>
        <v>35</v>
      </c>
      <c r="DS60" s="24">
        <f t="shared" si="127"/>
        <v>35</v>
      </c>
      <c r="DT60" s="24">
        <f t="shared" si="127"/>
        <v>35</v>
      </c>
      <c r="DU60" s="24">
        <f t="shared" si="127"/>
        <v>35</v>
      </c>
      <c r="DV60" s="24">
        <f t="shared" si="127"/>
        <v>35</v>
      </c>
      <c r="DW60" s="24">
        <f t="shared" si="127"/>
        <v>35</v>
      </c>
      <c r="DX60" s="24">
        <f t="shared" si="127"/>
        <v>35</v>
      </c>
      <c r="DY60" s="24">
        <f t="shared" si="127"/>
        <v>35</v>
      </c>
      <c r="DZ60" s="24">
        <f t="shared" si="127"/>
        <v>35</v>
      </c>
      <c r="EA60" s="24">
        <f t="shared" si="127"/>
        <v>35</v>
      </c>
      <c r="EB60" s="24">
        <f t="shared" si="127"/>
        <v>35</v>
      </c>
      <c r="EC60" s="24">
        <f t="shared" si="127"/>
        <v>35</v>
      </c>
      <c r="ED60" s="24">
        <f t="shared" si="127"/>
        <v>35</v>
      </c>
      <c r="EE60" s="24">
        <f t="shared" si="127"/>
        <v>35</v>
      </c>
      <c r="EF60" s="24">
        <f t="shared" si="127"/>
        <v>35</v>
      </c>
      <c r="EG60" s="24">
        <f t="shared" si="127"/>
        <v>35</v>
      </c>
      <c r="EH60" s="24">
        <f t="shared" si="127"/>
        <v>35</v>
      </c>
      <c r="EI60" s="24">
        <f t="shared" si="127"/>
        <v>35</v>
      </c>
      <c r="EJ60" s="24">
        <f t="shared" si="127"/>
        <v>35</v>
      </c>
      <c r="EK60" s="24">
        <f t="shared" si="127"/>
        <v>35</v>
      </c>
      <c r="EL60" s="24">
        <f t="shared" si="127"/>
        <v>35</v>
      </c>
      <c r="EM60" s="24">
        <f t="shared" si="127"/>
        <v>35</v>
      </c>
      <c r="EN60" s="24">
        <f t="shared" ref="EN60:GY60" si="128">EM60</f>
        <v>35</v>
      </c>
      <c r="EO60" s="24">
        <f t="shared" si="128"/>
        <v>35</v>
      </c>
      <c r="EP60" s="24">
        <f t="shared" si="128"/>
        <v>35</v>
      </c>
      <c r="EQ60" s="24">
        <f t="shared" si="128"/>
        <v>35</v>
      </c>
      <c r="ER60" s="24">
        <f t="shared" si="128"/>
        <v>35</v>
      </c>
      <c r="ES60" s="24">
        <f t="shared" si="128"/>
        <v>35</v>
      </c>
      <c r="ET60" s="24">
        <f t="shared" si="128"/>
        <v>35</v>
      </c>
      <c r="EU60" s="24">
        <f t="shared" si="128"/>
        <v>35</v>
      </c>
      <c r="EV60" s="24">
        <f t="shared" si="128"/>
        <v>35</v>
      </c>
      <c r="EW60" s="24">
        <f t="shared" si="128"/>
        <v>35</v>
      </c>
      <c r="EX60" s="24">
        <f t="shared" si="128"/>
        <v>35</v>
      </c>
      <c r="EY60" s="24">
        <f t="shared" si="128"/>
        <v>35</v>
      </c>
      <c r="EZ60" s="24">
        <f t="shared" si="128"/>
        <v>35</v>
      </c>
      <c r="FA60" s="24">
        <f t="shared" si="128"/>
        <v>35</v>
      </c>
      <c r="FB60" s="24">
        <f t="shared" si="128"/>
        <v>35</v>
      </c>
      <c r="FC60" s="24">
        <f t="shared" si="128"/>
        <v>35</v>
      </c>
      <c r="FD60" s="24">
        <f t="shared" si="128"/>
        <v>35</v>
      </c>
      <c r="FE60" s="24">
        <f t="shared" si="128"/>
        <v>35</v>
      </c>
      <c r="FF60" s="24">
        <f t="shared" si="128"/>
        <v>35</v>
      </c>
      <c r="FG60" s="24">
        <f t="shared" si="128"/>
        <v>35</v>
      </c>
      <c r="FH60" s="24">
        <f t="shared" si="128"/>
        <v>35</v>
      </c>
      <c r="FI60" s="24">
        <f t="shared" si="128"/>
        <v>35</v>
      </c>
      <c r="FJ60" s="24">
        <f t="shared" si="128"/>
        <v>35</v>
      </c>
      <c r="FK60" s="24">
        <f t="shared" si="128"/>
        <v>35</v>
      </c>
      <c r="FL60" s="24">
        <f t="shared" si="128"/>
        <v>35</v>
      </c>
      <c r="FM60" s="24">
        <f t="shared" si="128"/>
        <v>35</v>
      </c>
      <c r="FN60" s="24">
        <f t="shared" si="128"/>
        <v>35</v>
      </c>
      <c r="FO60" s="24">
        <f t="shared" si="128"/>
        <v>35</v>
      </c>
      <c r="FP60" s="24">
        <f t="shared" si="128"/>
        <v>35</v>
      </c>
      <c r="FQ60" s="24">
        <f t="shared" si="128"/>
        <v>35</v>
      </c>
      <c r="FR60" s="24">
        <f t="shared" si="128"/>
        <v>35</v>
      </c>
      <c r="FS60" s="24">
        <f t="shared" si="128"/>
        <v>35</v>
      </c>
      <c r="FT60" s="24">
        <f t="shared" si="128"/>
        <v>35</v>
      </c>
      <c r="FU60" s="24">
        <f t="shared" si="128"/>
        <v>35</v>
      </c>
      <c r="FV60" s="24">
        <f t="shared" si="128"/>
        <v>35</v>
      </c>
      <c r="FW60" s="24">
        <f t="shared" si="128"/>
        <v>35</v>
      </c>
      <c r="FX60" s="24">
        <f t="shared" si="128"/>
        <v>35</v>
      </c>
      <c r="FY60" s="24">
        <f t="shared" si="128"/>
        <v>35</v>
      </c>
      <c r="FZ60" s="24">
        <f t="shared" si="128"/>
        <v>35</v>
      </c>
      <c r="GA60" s="24">
        <f t="shared" si="128"/>
        <v>35</v>
      </c>
      <c r="GB60" s="24">
        <f t="shared" si="128"/>
        <v>35</v>
      </c>
      <c r="GC60" s="24">
        <f t="shared" si="128"/>
        <v>35</v>
      </c>
      <c r="GD60" s="24">
        <f t="shared" si="128"/>
        <v>35</v>
      </c>
      <c r="GE60" s="24">
        <f t="shared" si="128"/>
        <v>35</v>
      </c>
      <c r="GF60" s="24">
        <f t="shared" si="128"/>
        <v>35</v>
      </c>
      <c r="GG60" s="24">
        <f t="shared" si="128"/>
        <v>35</v>
      </c>
      <c r="GH60" s="24">
        <f t="shared" si="128"/>
        <v>35</v>
      </c>
      <c r="GI60" s="24">
        <f t="shared" si="128"/>
        <v>35</v>
      </c>
      <c r="GJ60" s="24">
        <f t="shared" si="128"/>
        <v>35</v>
      </c>
      <c r="GK60" s="24">
        <f t="shared" si="128"/>
        <v>35</v>
      </c>
      <c r="GL60" s="24">
        <f t="shared" si="128"/>
        <v>35</v>
      </c>
      <c r="GM60" s="24">
        <f t="shared" si="128"/>
        <v>35</v>
      </c>
      <c r="GN60" s="24">
        <f t="shared" si="128"/>
        <v>35</v>
      </c>
      <c r="GO60" s="24">
        <f t="shared" si="128"/>
        <v>35</v>
      </c>
      <c r="GP60" s="24">
        <f t="shared" si="128"/>
        <v>35</v>
      </c>
      <c r="GQ60" s="24">
        <f t="shared" si="128"/>
        <v>35</v>
      </c>
      <c r="GR60" s="24">
        <f t="shared" si="128"/>
        <v>35</v>
      </c>
      <c r="GS60" s="24">
        <f t="shared" si="128"/>
        <v>35</v>
      </c>
      <c r="GT60" s="24">
        <f t="shared" si="128"/>
        <v>35</v>
      </c>
      <c r="GU60" s="24">
        <f t="shared" si="128"/>
        <v>35</v>
      </c>
      <c r="GV60" s="24">
        <f t="shared" si="128"/>
        <v>35</v>
      </c>
      <c r="GW60" s="24">
        <f t="shared" si="128"/>
        <v>35</v>
      </c>
      <c r="GX60" s="24">
        <f t="shared" si="128"/>
        <v>35</v>
      </c>
      <c r="GY60" s="24">
        <f t="shared" si="128"/>
        <v>35</v>
      </c>
      <c r="GZ60" s="24">
        <f t="shared" ref="GZ60:JK60" si="129">GY60</f>
        <v>35</v>
      </c>
      <c r="HA60" s="24">
        <f t="shared" si="129"/>
        <v>35</v>
      </c>
      <c r="HB60" s="24">
        <f t="shared" si="129"/>
        <v>35</v>
      </c>
      <c r="HC60" s="24">
        <f t="shared" si="129"/>
        <v>35</v>
      </c>
      <c r="HD60" s="24">
        <f t="shared" si="129"/>
        <v>35</v>
      </c>
      <c r="HE60" s="24">
        <f t="shared" si="129"/>
        <v>35</v>
      </c>
      <c r="HF60" s="24">
        <f t="shared" si="129"/>
        <v>35</v>
      </c>
      <c r="HG60" s="24">
        <f t="shared" si="129"/>
        <v>35</v>
      </c>
      <c r="HH60" s="24">
        <f t="shared" si="129"/>
        <v>35</v>
      </c>
      <c r="HI60" s="24">
        <f t="shared" si="129"/>
        <v>35</v>
      </c>
      <c r="HJ60" s="24">
        <f t="shared" si="129"/>
        <v>35</v>
      </c>
      <c r="HK60" s="24">
        <f t="shared" si="129"/>
        <v>35</v>
      </c>
      <c r="HL60" s="24">
        <f t="shared" si="129"/>
        <v>35</v>
      </c>
      <c r="HM60" s="24">
        <f t="shared" si="129"/>
        <v>35</v>
      </c>
      <c r="HN60" s="24">
        <f t="shared" si="129"/>
        <v>35</v>
      </c>
      <c r="HO60" s="24">
        <f t="shared" si="129"/>
        <v>35</v>
      </c>
      <c r="HP60" s="24">
        <f t="shared" si="129"/>
        <v>35</v>
      </c>
      <c r="HQ60" s="24">
        <f t="shared" si="129"/>
        <v>35</v>
      </c>
      <c r="HR60" s="24">
        <f t="shared" si="129"/>
        <v>35</v>
      </c>
      <c r="HS60" s="24">
        <f t="shared" si="129"/>
        <v>35</v>
      </c>
      <c r="HT60" s="24">
        <f t="shared" si="129"/>
        <v>35</v>
      </c>
      <c r="HU60" s="24">
        <f t="shared" si="129"/>
        <v>35</v>
      </c>
      <c r="HV60" s="24">
        <f t="shared" si="129"/>
        <v>35</v>
      </c>
      <c r="HW60" s="24">
        <f t="shared" si="129"/>
        <v>35</v>
      </c>
      <c r="HX60" s="24">
        <f t="shared" si="129"/>
        <v>35</v>
      </c>
      <c r="HY60" s="24">
        <f t="shared" si="129"/>
        <v>35</v>
      </c>
      <c r="HZ60" s="24">
        <f t="shared" si="129"/>
        <v>35</v>
      </c>
      <c r="IA60" s="24">
        <f t="shared" si="129"/>
        <v>35</v>
      </c>
      <c r="IB60" s="24">
        <f t="shared" si="129"/>
        <v>35</v>
      </c>
      <c r="IC60" s="24">
        <f t="shared" si="129"/>
        <v>35</v>
      </c>
      <c r="ID60" s="24">
        <f t="shared" si="129"/>
        <v>35</v>
      </c>
      <c r="IE60" s="24">
        <f t="shared" si="129"/>
        <v>35</v>
      </c>
      <c r="IF60" s="24">
        <f t="shared" si="129"/>
        <v>35</v>
      </c>
      <c r="IG60" s="24">
        <f t="shared" si="129"/>
        <v>35</v>
      </c>
      <c r="IH60" s="24">
        <f t="shared" si="129"/>
        <v>35</v>
      </c>
      <c r="II60" s="24">
        <f t="shared" si="129"/>
        <v>35</v>
      </c>
      <c r="IJ60" s="24">
        <f t="shared" si="129"/>
        <v>35</v>
      </c>
      <c r="IK60" s="24">
        <f t="shared" si="129"/>
        <v>35</v>
      </c>
      <c r="IL60" s="24">
        <f t="shared" si="129"/>
        <v>35</v>
      </c>
      <c r="IM60" s="24">
        <f t="shared" si="129"/>
        <v>35</v>
      </c>
      <c r="IN60" s="24">
        <f t="shared" si="129"/>
        <v>35</v>
      </c>
      <c r="IO60" s="24">
        <f t="shared" si="129"/>
        <v>35</v>
      </c>
      <c r="IP60" s="24">
        <f t="shared" si="129"/>
        <v>35</v>
      </c>
      <c r="IQ60" s="24">
        <f t="shared" si="129"/>
        <v>35</v>
      </c>
      <c r="IR60" s="24">
        <f t="shared" si="129"/>
        <v>35</v>
      </c>
      <c r="IS60" s="24">
        <f t="shared" si="129"/>
        <v>35</v>
      </c>
      <c r="IT60" s="24">
        <f t="shared" si="129"/>
        <v>35</v>
      </c>
      <c r="IU60" s="24">
        <f t="shared" si="129"/>
        <v>35</v>
      </c>
      <c r="IV60" s="24">
        <f t="shared" si="129"/>
        <v>35</v>
      </c>
      <c r="IW60" s="24">
        <f t="shared" si="129"/>
        <v>35</v>
      </c>
      <c r="IX60" s="24">
        <f t="shared" si="129"/>
        <v>35</v>
      </c>
      <c r="IY60" s="24">
        <f t="shared" si="129"/>
        <v>35</v>
      </c>
      <c r="IZ60" s="24">
        <f t="shared" si="129"/>
        <v>35</v>
      </c>
      <c r="JA60" s="24">
        <f t="shared" si="129"/>
        <v>35</v>
      </c>
      <c r="JB60" s="24">
        <f t="shared" si="129"/>
        <v>35</v>
      </c>
      <c r="JC60" s="24">
        <f t="shared" si="129"/>
        <v>35</v>
      </c>
      <c r="JD60" s="24">
        <f t="shared" si="129"/>
        <v>35</v>
      </c>
      <c r="JE60" s="24">
        <f t="shared" si="129"/>
        <v>35</v>
      </c>
      <c r="JF60" s="24">
        <f t="shared" si="129"/>
        <v>35</v>
      </c>
      <c r="JG60" s="24">
        <f t="shared" si="129"/>
        <v>35</v>
      </c>
      <c r="JH60" s="24">
        <f t="shared" si="129"/>
        <v>35</v>
      </c>
      <c r="JI60" s="24">
        <f t="shared" si="129"/>
        <v>35</v>
      </c>
      <c r="JJ60" s="24">
        <f t="shared" si="129"/>
        <v>35</v>
      </c>
      <c r="JK60" s="24">
        <f t="shared" si="129"/>
        <v>35</v>
      </c>
      <c r="JL60" s="24">
        <f t="shared" ref="JL60:KI60" si="130">JK60</f>
        <v>35</v>
      </c>
      <c r="JM60" s="24">
        <f t="shared" si="130"/>
        <v>35</v>
      </c>
      <c r="JN60" s="24">
        <f t="shared" si="130"/>
        <v>35</v>
      </c>
      <c r="JO60" s="24">
        <f t="shared" si="130"/>
        <v>35</v>
      </c>
      <c r="JP60" s="24">
        <f t="shared" si="130"/>
        <v>35</v>
      </c>
      <c r="JQ60" s="24">
        <f t="shared" si="130"/>
        <v>35</v>
      </c>
      <c r="JR60" s="24">
        <f t="shared" si="130"/>
        <v>35</v>
      </c>
      <c r="JS60" s="24">
        <f t="shared" si="130"/>
        <v>35</v>
      </c>
      <c r="JT60" s="24">
        <f t="shared" si="130"/>
        <v>35</v>
      </c>
      <c r="JU60" s="24">
        <f t="shared" si="130"/>
        <v>35</v>
      </c>
      <c r="JV60" s="24">
        <f t="shared" si="130"/>
        <v>35</v>
      </c>
      <c r="JW60" s="24">
        <f t="shared" si="130"/>
        <v>35</v>
      </c>
      <c r="JX60" s="24">
        <f t="shared" si="130"/>
        <v>35</v>
      </c>
      <c r="JY60" s="24">
        <f t="shared" si="130"/>
        <v>35</v>
      </c>
      <c r="JZ60" s="24">
        <f t="shared" si="130"/>
        <v>35</v>
      </c>
      <c r="KA60" s="24">
        <f t="shared" si="130"/>
        <v>35</v>
      </c>
      <c r="KB60" s="24">
        <f t="shared" si="130"/>
        <v>35</v>
      </c>
      <c r="KC60" s="24">
        <f t="shared" si="130"/>
        <v>35</v>
      </c>
      <c r="KD60" s="24">
        <f t="shared" si="130"/>
        <v>35</v>
      </c>
      <c r="KE60" s="24">
        <f t="shared" si="130"/>
        <v>35</v>
      </c>
      <c r="KF60" s="24">
        <f t="shared" si="130"/>
        <v>35</v>
      </c>
      <c r="KG60" s="24">
        <f t="shared" si="130"/>
        <v>35</v>
      </c>
      <c r="KH60" s="24">
        <f t="shared" si="130"/>
        <v>35</v>
      </c>
      <c r="KI60" s="24">
        <f t="shared" si="130"/>
        <v>35</v>
      </c>
      <c r="KJ60" s="1"/>
    </row>
    <row r="61" spans="8:296" x14ac:dyDescent="0.35">
      <c r="H61" s="13" t="s">
        <v>22</v>
      </c>
      <c r="I61" s="1"/>
      <c r="J61" s="1"/>
      <c r="K61" s="1"/>
      <c r="L61" s="1"/>
      <c r="M61" s="29" t="s">
        <v>186</v>
      </c>
      <c r="N61" s="30">
        <f>SUM(N59:N60)</f>
        <v>280</v>
      </c>
      <c r="O61" s="30">
        <f t="shared" ref="O61:BZ61" si="131">SUM(O59:O60)</f>
        <v>280</v>
      </c>
      <c r="P61" s="30">
        <f t="shared" si="131"/>
        <v>280</v>
      </c>
      <c r="Q61" s="30">
        <f t="shared" si="131"/>
        <v>280</v>
      </c>
      <c r="R61" s="30">
        <f t="shared" si="131"/>
        <v>280</v>
      </c>
      <c r="S61" s="30">
        <f t="shared" si="131"/>
        <v>245</v>
      </c>
      <c r="T61" s="30">
        <f t="shared" si="131"/>
        <v>285</v>
      </c>
      <c r="U61" s="30">
        <f t="shared" si="131"/>
        <v>285</v>
      </c>
      <c r="V61" s="30">
        <f t="shared" si="131"/>
        <v>260</v>
      </c>
      <c r="W61" s="30">
        <f t="shared" si="131"/>
        <v>260</v>
      </c>
      <c r="X61" s="30">
        <f t="shared" si="131"/>
        <v>260</v>
      </c>
      <c r="Y61" s="30">
        <f t="shared" si="131"/>
        <v>260</v>
      </c>
      <c r="Z61" s="30">
        <f t="shared" si="131"/>
        <v>260</v>
      </c>
      <c r="AA61" s="30">
        <f t="shared" si="131"/>
        <v>260</v>
      </c>
      <c r="AB61" s="30">
        <f t="shared" si="131"/>
        <v>235</v>
      </c>
      <c r="AC61" s="30">
        <f t="shared" si="131"/>
        <v>235</v>
      </c>
      <c r="AD61" s="30">
        <f t="shared" si="131"/>
        <v>235</v>
      </c>
      <c r="AE61" s="30">
        <f t="shared" si="131"/>
        <v>235</v>
      </c>
      <c r="AF61" s="30">
        <f t="shared" si="131"/>
        <v>235</v>
      </c>
      <c r="AG61" s="30">
        <f t="shared" si="131"/>
        <v>235</v>
      </c>
      <c r="AH61" s="30">
        <f t="shared" si="131"/>
        <v>210</v>
      </c>
      <c r="AI61" s="30">
        <f t="shared" si="131"/>
        <v>210</v>
      </c>
      <c r="AJ61" s="30">
        <f t="shared" si="131"/>
        <v>210</v>
      </c>
      <c r="AK61" s="30">
        <f t="shared" si="131"/>
        <v>210</v>
      </c>
      <c r="AL61" s="30">
        <f t="shared" si="131"/>
        <v>210</v>
      </c>
      <c r="AM61" s="30">
        <f t="shared" si="131"/>
        <v>210</v>
      </c>
      <c r="AN61" s="30">
        <f t="shared" si="131"/>
        <v>185</v>
      </c>
      <c r="AO61" s="30">
        <f t="shared" si="131"/>
        <v>185</v>
      </c>
      <c r="AP61" s="30">
        <f t="shared" si="131"/>
        <v>185</v>
      </c>
      <c r="AQ61" s="30">
        <f t="shared" si="131"/>
        <v>185</v>
      </c>
      <c r="AR61" s="30">
        <f t="shared" si="131"/>
        <v>185</v>
      </c>
      <c r="AS61" s="30">
        <f t="shared" si="131"/>
        <v>185</v>
      </c>
      <c r="AT61" s="30">
        <f t="shared" si="131"/>
        <v>160</v>
      </c>
      <c r="AU61" s="30">
        <f t="shared" si="131"/>
        <v>160</v>
      </c>
      <c r="AV61" s="30">
        <f t="shared" si="131"/>
        <v>160</v>
      </c>
      <c r="AW61" s="30">
        <f t="shared" si="131"/>
        <v>160</v>
      </c>
      <c r="AX61" s="30">
        <f t="shared" si="131"/>
        <v>160</v>
      </c>
      <c r="AY61" s="30">
        <f t="shared" si="131"/>
        <v>160</v>
      </c>
      <c r="AZ61" s="30">
        <f t="shared" si="131"/>
        <v>135</v>
      </c>
      <c r="BA61" s="30">
        <f t="shared" si="131"/>
        <v>135</v>
      </c>
      <c r="BB61" s="30">
        <f t="shared" si="131"/>
        <v>135</v>
      </c>
      <c r="BC61" s="30">
        <f t="shared" si="131"/>
        <v>135</v>
      </c>
      <c r="BD61" s="30">
        <f t="shared" si="131"/>
        <v>135</v>
      </c>
      <c r="BE61" s="30">
        <f t="shared" si="131"/>
        <v>135</v>
      </c>
      <c r="BF61" s="30">
        <f t="shared" si="131"/>
        <v>110</v>
      </c>
      <c r="BG61" s="30">
        <f t="shared" si="131"/>
        <v>110</v>
      </c>
      <c r="BH61" s="30">
        <f t="shared" si="131"/>
        <v>110</v>
      </c>
      <c r="BI61" s="30">
        <f t="shared" si="131"/>
        <v>110</v>
      </c>
      <c r="BJ61" s="30">
        <f t="shared" si="131"/>
        <v>110</v>
      </c>
      <c r="BK61" s="30">
        <f t="shared" si="131"/>
        <v>110</v>
      </c>
      <c r="BL61" s="30">
        <f t="shared" si="131"/>
        <v>85</v>
      </c>
      <c r="BM61" s="30">
        <f t="shared" si="131"/>
        <v>85</v>
      </c>
      <c r="BN61" s="30">
        <f t="shared" si="131"/>
        <v>85</v>
      </c>
      <c r="BO61" s="30">
        <f t="shared" si="131"/>
        <v>85</v>
      </c>
      <c r="BP61" s="30">
        <f t="shared" si="131"/>
        <v>85</v>
      </c>
      <c r="BQ61" s="30">
        <f t="shared" si="131"/>
        <v>85</v>
      </c>
      <c r="BR61" s="30">
        <f t="shared" si="131"/>
        <v>60</v>
      </c>
      <c r="BS61" s="30">
        <f t="shared" si="131"/>
        <v>60</v>
      </c>
      <c r="BT61" s="30">
        <f t="shared" si="131"/>
        <v>60</v>
      </c>
      <c r="BU61" s="30">
        <f t="shared" si="131"/>
        <v>60</v>
      </c>
      <c r="BV61" s="30">
        <f t="shared" si="131"/>
        <v>60</v>
      </c>
      <c r="BW61" s="30">
        <f t="shared" si="131"/>
        <v>60</v>
      </c>
      <c r="BX61" s="30">
        <f t="shared" si="131"/>
        <v>35</v>
      </c>
      <c r="BY61" s="30">
        <f t="shared" si="131"/>
        <v>35</v>
      </c>
      <c r="BZ61" s="30">
        <f t="shared" si="131"/>
        <v>35</v>
      </c>
      <c r="CA61" s="30">
        <f t="shared" ref="CA61:EL61" si="132">SUM(CA59:CA60)</f>
        <v>35</v>
      </c>
      <c r="CB61" s="30">
        <f t="shared" si="132"/>
        <v>35</v>
      </c>
      <c r="CC61" s="30">
        <f t="shared" si="132"/>
        <v>35</v>
      </c>
      <c r="CD61" s="30">
        <f t="shared" si="132"/>
        <v>35</v>
      </c>
      <c r="CE61" s="30">
        <f t="shared" si="132"/>
        <v>35</v>
      </c>
      <c r="CF61" s="30">
        <f t="shared" si="132"/>
        <v>35</v>
      </c>
      <c r="CG61" s="30">
        <f t="shared" si="132"/>
        <v>35</v>
      </c>
      <c r="CH61" s="30">
        <f t="shared" si="132"/>
        <v>35</v>
      </c>
      <c r="CI61" s="30">
        <f t="shared" si="132"/>
        <v>35</v>
      </c>
      <c r="CJ61" s="30">
        <f t="shared" si="132"/>
        <v>35</v>
      </c>
      <c r="CK61" s="30">
        <f t="shared" si="132"/>
        <v>35</v>
      </c>
      <c r="CL61" s="30">
        <f t="shared" si="132"/>
        <v>35</v>
      </c>
      <c r="CM61" s="30">
        <f t="shared" si="132"/>
        <v>35</v>
      </c>
      <c r="CN61" s="30">
        <f t="shared" si="132"/>
        <v>35</v>
      </c>
      <c r="CO61" s="30">
        <f t="shared" si="132"/>
        <v>35</v>
      </c>
      <c r="CP61" s="30">
        <f t="shared" si="132"/>
        <v>35</v>
      </c>
      <c r="CQ61" s="30">
        <f t="shared" si="132"/>
        <v>35</v>
      </c>
      <c r="CR61" s="30">
        <f t="shared" si="132"/>
        <v>35</v>
      </c>
      <c r="CS61" s="30">
        <f t="shared" si="132"/>
        <v>35</v>
      </c>
      <c r="CT61" s="30">
        <f t="shared" si="132"/>
        <v>35</v>
      </c>
      <c r="CU61" s="30">
        <f t="shared" si="132"/>
        <v>35</v>
      </c>
      <c r="CV61" s="30">
        <f t="shared" si="132"/>
        <v>35</v>
      </c>
      <c r="CW61" s="30">
        <f t="shared" si="132"/>
        <v>35</v>
      </c>
      <c r="CX61" s="30">
        <f t="shared" si="132"/>
        <v>35</v>
      </c>
      <c r="CY61" s="30">
        <f t="shared" si="132"/>
        <v>35</v>
      </c>
      <c r="CZ61" s="30">
        <f t="shared" si="132"/>
        <v>35</v>
      </c>
      <c r="DA61" s="30">
        <f t="shared" si="132"/>
        <v>35</v>
      </c>
      <c r="DB61" s="30">
        <f t="shared" si="132"/>
        <v>35</v>
      </c>
      <c r="DC61" s="30">
        <f t="shared" si="132"/>
        <v>35</v>
      </c>
      <c r="DD61" s="30">
        <f t="shared" si="132"/>
        <v>35</v>
      </c>
      <c r="DE61" s="30">
        <f t="shared" si="132"/>
        <v>35</v>
      </c>
      <c r="DF61" s="30">
        <f t="shared" si="132"/>
        <v>35</v>
      </c>
      <c r="DG61" s="30">
        <f t="shared" si="132"/>
        <v>35</v>
      </c>
      <c r="DH61" s="30">
        <f t="shared" si="132"/>
        <v>35</v>
      </c>
      <c r="DI61" s="30">
        <f t="shared" si="132"/>
        <v>35</v>
      </c>
      <c r="DJ61" s="30">
        <f t="shared" si="132"/>
        <v>35</v>
      </c>
      <c r="DK61" s="30">
        <f t="shared" si="132"/>
        <v>35</v>
      </c>
      <c r="DL61" s="30">
        <f t="shared" si="132"/>
        <v>35</v>
      </c>
      <c r="DM61" s="30">
        <f t="shared" si="132"/>
        <v>35</v>
      </c>
      <c r="DN61" s="30">
        <f t="shared" si="132"/>
        <v>35</v>
      </c>
      <c r="DO61" s="30">
        <f t="shared" si="132"/>
        <v>35</v>
      </c>
      <c r="DP61" s="30">
        <f t="shared" si="132"/>
        <v>35</v>
      </c>
      <c r="DQ61" s="30">
        <f t="shared" si="132"/>
        <v>35</v>
      </c>
      <c r="DR61" s="30">
        <f t="shared" si="132"/>
        <v>35</v>
      </c>
      <c r="DS61" s="30">
        <f t="shared" si="132"/>
        <v>35</v>
      </c>
      <c r="DT61" s="30">
        <f t="shared" si="132"/>
        <v>35</v>
      </c>
      <c r="DU61" s="30">
        <f t="shared" si="132"/>
        <v>35</v>
      </c>
      <c r="DV61" s="30">
        <f t="shared" si="132"/>
        <v>35</v>
      </c>
      <c r="DW61" s="30">
        <f t="shared" si="132"/>
        <v>35</v>
      </c>
      <c r="DX61" s="30">
        <f t="shared" si="132"/>
        <v>35</v>
      </c>
      <c r="DY61" s="30">
        <f t="shared" si="132"/>
        <v>35</v>
      </c>
      <c r="DZ61" s="30">
        <f t="shared" si="132"/>
        <v>35</v>
      </c>
      <c r="EA61" s="30">
        <f t="shared" si="132"/>
        <v>35</v>
      </c>
      <c r="EB61" s="30">
        <f t="shared" si="132"/>
        <v>35</v>
      </c>
      <c r="EC61" s="30">
        <f t="shared" si="132"/>
        <v>35</v>
      </c>
      <c r="ED61" s="30">
        <f t="shared" si="132"/>
        <v>35</v>
      </c>
      <c r="EE61" s="30">
        <f t="shared" si="132"/>
        <v>35</v>
      </c>
      <c r="EF61" s="30">
        <f t="shared" si="132"/>
        <v>35</v>
      </c>
      <c r="EG61" s="30">
        <f t="shared" si="132"/>
        <v>35</v>
      </c>
      <c r="EH61" s="30">
        <f t="shared" si="132"/>
        <v>35</v>
      </c>
      <c r="EI61" s="30">
        <f t="shared" si="132"/>
        <v>35</v>
      </c>
      <c r="EJ61" s="30">
        <f t="shared" si="132"/>
        <v>35</v>
      </c>
      <c r="EK61" s="30">
        <f t="shared" si="132"/>
        <v>35</v>
      </c>
      <c r="EL61" s="30">
        <f t="shared" si="132"/>
        <v>35</v>
      </c>
      <c r="EM61" s="30">
        <f t="shared" ref="EM61:GX61" si="133">SUM(EM59:EM60)</f>
        <v>35</v>
      </c>
      <c r="EN61" s="30">
        <f t="shared" si="133"/>
        <v>35</v>
      </c>
      <c r="EO61" s="30">
        <f t="shared" si="133"/>
        <v>35</v>
      </c>
      <c r="EP61" s="30">
        <f t="shared" si="133"/>
        <v>35</v>
      </c>
      <c r="EQ61" s="30">
        <f t="shared" si="133"/>
        <v>35</v>
      </c>
      <c r="ER61" s="30">
        <f t="shared" si="133"/>
        <v>35</v>
      </c>
      <c r="ES61" s="30">
        <f t="shared" si="133"/>
        <v>35</v>
      </c>
      <c r="ET61" s="30">
        <f t="shared" si="133"/>
        <v>35</v>
      </c>
      <c r="EU61" s="30">
        <f t="shared" si="133"/>
        <v>35</v>
      </c>
      <c r="EV61" s="30">
        <f t="shared" si="133"/>
        <v>35</v>
      </c>
      <c r="EW61" s="30">
        <f t="shared" si="133"/>
        <v>35</v>
      </c>
      <c r="EX61" s="30">
        <f t="shared" si="133"/>
        <v>35</v>
      </c>
      <c r="EY61" s="30">
        <f t="shared" si="133"/>
        <v>35</v>
      </c>
      <c r="EZ61" s="30">
        <f t="shared" si="133"/>
        <v>35</v>
      </c>
      <c r="FA61" s="30">
        <f t="shared" si="133"/>
        <v>35</v>
      </c>
      <c r="FB61" s="30">
        <f t="shared" si="133"/>
        <v>35</v>
      </c>
      <c r="FC61" s="30">
        <f t="shared" si="133"/>
        <v>35</v>
      </c>
      <c r="FD61" s="30">
        <f t="shared" si="133"/>
        <v>35</v>
      </c>
      <c r="FE61" s="30">
        <f t="shared" si="133"/>
        <v>35</v>
      </c>
      <c r="FF61" s="30">
        <f t="shared" si="133"/>
        <v>35</v>
      </c>
      <c r="FG61" s="30">
        <f t="shared" si="133"/>
        <v>35</v>
      </c>
      <c r="FH61" s="30">
        <f t="shared" si="133"/>
        <v>35</v>
      </c>
      <c r="FI61" s="30">
        <f t="shared" si="133"/>
        <v>35</v>
      </c>
      <c r="FJ61" s="30">
        <f t="shared" si="133"/>
        <v>35</v>
      </c>
      <c r="FK61" s="30">
        <f t="shared" si="133"/>
        <v>35</v>
      </c>
      <c r="FL61" s="30">
        <f t="shared" si="133"/>
        <v>35</v>
      </c>
      <c r="FM61" s="30">
        <f t="shared" si="133"/>
        <v>35</v>
      </c>
      <c r="FN61" s="30">
        <f t="shared" si="133"/>
        <v>35</v>
      </c>
      <c r="FO61" s="30">
        <f t="shared" si="133"/>
        <v>35</v>
      </c>
      <c r="FP61" s="30">
        <f t="shared" si="133"/>
        <v>35</v>
      </c>
      <c r="FQ61" s="30">
        <f t="shared" si="133"/>
        <v>35</v>
      </c>
      <c r="FR61" s="30">
        <f t="shared" si="133"/>
        <v>35</v>
      </c>
      <c r="FS61" s="30">
        <f t="shared" si="133"/>
        <v>35</v>
      </c>
      <c r="FT61" s="30">
        <f t="shared" si="133"/>
        <v>35</v>
      </c>
      <c r="FU61" s="30">
        <f t="shared" si="133"/>
        <v>35</v>
      </c>
      <c r="FV61" s="30">
        <f t="shared" si="133"/>
        <v>35</v>
      </c>
      <c r="FW61" s="30">
        <f t="shared" si="133"/>
        <v>35</v>
      </c>
      <c r="FX61" s="30">
        <f t="shared" si="133"/>
        <v>35</v>
      </c>
      <c r="FY61" s="30">
        <f t="shared" si="133"/>
        <v>35</v>
      </c>
      <c r="FZ61" s="30">
        <f t="shared" si="133"/>
        <v>35</v>
      </c>
      <c r="GA61" s="30">
        <f t="shared" si="133"/>
        <v>35</v>
      </c>
      <c r="GB61" s="30">
        <f t="shared" si="133"/>
        <v>35</v>
      </c>
      <c r="GC61" s="30">
        <f t="shared" si="133"/>
        <v>35</v>
      </c>
      <c r="GD61" s="30">
        <f t="shared" si="133"/>
        <v>35</v>
      </c>
      <c r="GE61" s="30">
        <f t="shared" si="133"/>
        <v>35</v>
      </c>
      <c r="GF61" s="30">
        <f t="shared" si="133"/>
        <v>35</v>
      </c>
      <c r="GG61" s="30">
        <f t="shared" si="133"/>
        <v>35</v>
      </c>
      <c r="GH61" s="30">
        <f t="shared" si="133"/>
        <v>35</v>
      </c>
      <c r="GI61" s="30">
        <f t="shared" si="133"/>
        <v>35</v>
      </c>
      <c r="GJ61" s="30">
        <f t="shared" si="133"/>
        <v>35</v>
      </c>
      <c r="GK61" s="30">
        <f t="shared" si="133"/>
        <v>35</v>
      </c>
      <c r="GL61" s="30">
        <f t="shared" si="133"/>
        <v>35</v>
      </c>
      <c r="GM61" s="30">
        <f t="shared" si="133"/>
        <v>35</v>
      </c>
      <c r="GN61" s="30">
        <f t="shared" si="133"/>
        <v>35</v>
      </c>
      <c r="GO61" s="30">
        <f t="shared" si="133"/>
        <v>35</v>
      </c>
      <c r="GP61" s="30">
        <f t="shared" si="133"/>
        <v>35</v>
      </c>
      <c r="GQ61" s="30">
        <f t="shared" si="133"/>
        <v>35</v>
      </c>
      <c r="GR61" s="30">
        <f t="shared" si="133"/>
        <v>35</v>
      </c>
      <c r="GS61" s="30">
        <f t="shared" si="133"/>
        <v>35</v>
      </c>
      <c r="GT61" s="30">
        <f t="shared" si="133"/>
        <v>35</v>
      </c>
      <c r="GU61" s="30">
        <f t="shared" si="133"/>
        <v>35</v>
      </c>
      <c r="GV61" s="30">
        <f t="shared" si="133"/>
        <v>35</v>
      </c>
      <c r="GW61" s="30">
        <f t="shared" si="133"/>
        <v>35</v>
      </c>
      <c r="GX61" s="30">
        <f t="shared" si="133"/>
        <v>35</v>
      </c>
      <c r="GY61" s="30">
        <f t="shared" ref="GY61:JJ61" si="134">SUM(GY59:GY60)</f>
        <v>35</v>
      </c>
      <c r="GZ61" s="30">
        <f t="shared" si="134"/>
        <v>35</v>
      </c>
      <c r="HA61" s="30">
        <f t="shared" si="134"/>
        <v>35</v>
      </c>
      <c r="HB61" s="30">
        <f t="shared" si="134"/>
        <v>35</v>
      </c>
      <c r="HC61" s="30">
        <f t="shared" si="134"/>
        <v>35</v>
      </c>
      <c r="HD61" s="30">
        <f t="shared" si="134"/>
        <v>35</v>
      </c>
      <c r="HE61" s="30">
        <f t="shared" si="134"/>
        <v>35</v>
      </c>
      <c r="HF61" s="30">
        <f t="shared" si="134"/>
        <v>35</v>
      </c>
      <c r="HG61" s="30">
        <f t="shared" si="134"/>
        <v>35</v>
      </c>
      <c r="HH61" s="30">
        <f t="shared" si="134"/>
        <v>35</v>
      </c>
      <c r="HI61" s="30">
        <f t="shared" si="134"/>
        <v>35</v>
      </c>
      <c r="HJ61" s="30">
        <f t="shared" si="134"/>
        <v>35</v>
      </c>
      <c r="HK61" s="30">
        <f t="shared" si="134"/>
        <v>35</v>
      </c>
      <c r="HL61" s="30">
        <f t="shared" si="134"/>
        <v>35</v>
      </c>
      <c r="HM61" s="30">
        <f t="shared" si="134"/>
        <v>35</v>
      </c>
      <c r="HN61" s="30">
        <f t="shared" si="134"/>
        <v>35</v>
      </c>
      <c r="HO61" s="30">
        <f t="shared" si="134"/>
        <v>35</v>
      </c>
      <c r="HP61" s="30">
        <f t="shared" si="134"/>
        <v>35</v>
      </c>
      <c r="HQ61" s="30">
        <f t="shared" si="134"/>
        <v>35</v>
      </c>
      <c r="HR61" s="30">
        <f t="shared" si="134"/>
        <v>35</v>
      </c>
      <c r="HS61" s="30">
        <f t="shared" si="134"/>
        <v>35</v>
      </c>
      <c r="HT61" s="30">
        <f t="shared" si="134"/>
        <v>35</v>
      </c>
      <c r="HU61" s="30">
        <f t="shared" si="134"/>
        <v>35</v>
      </c>
      <c r="HV61" s="30">
        <f t="shared" si="134"/>
        <v>35</v>
      </c>
      <c r="HW61" s="30">
        <f t="shared" si="134"/>
        <v>35</v>
      </c>
      <c r="HX61" s="30">
        <f t="shared" si="134"/>
        <v>35</v>
      </c>
      <c r="HY61" s="30">
        <f t="shared" si="134"/>
        <v>35</v>
      </c>
      <c r="HZ61" s="30">
        <f t="shared" si="134"/>
        <v>35</v>
      </c>
      <c r="IA61" s="30">
        <f t="shared" si="134"/>
        <v>35</v>
      </c>
      <c r="IB61" s="30">
        <f t="shared" si="134"/>
        <v>35</v>
      </c>
      <c r="IC61" s="30">
        <f t="shared" si="134"/>
        <v>35</v>
      </c>
      <c r="ID61" s="30">
        <f t="shared" si="134"/>
        <v>35</v>
      </c>
      <c r="IE61" s="30">
        <f t="shared" si="134"/>
        <v>35</v>
      </c>
      <c r="IF61" s="30">
        <f t="shared" si="134"/>
        <v>35</v>
      </c>
      <c r="IG61" s="30">
        <f t="shared" si="134"/>
        <v>35</v>
      </c>
      <c r="IH61" s="30">
        <f t="shared" si="134"/>
        <v>35</v>
      </c>
      <c r="II61" s="30">
        <f t="shared" si="134"/>
        <v>35</v>
      </c>
      <c r="IJ61" s="30">
        <f t="shared" si="134"/>
        <v>35</v>
      </c>
      <c r="IK61" s="30">
        <f t="shared" si="134"/>
        <v>35</v>
      </c>
      <c r="IL61" s="30">
        <f t="shared" si="134"/>
        <v>35</v>
      </c>
      <c r="IM61" s="30">
        <f t="shared" si="134"/>
        <v>35</v>
      </c>
      <c r="IN61" s="30">
        <f t="shared" si="134"/>
        <v>35</v>
      </c>
      <c r="IO61" s="30">
        <f t="shared" si="134"/>
        <v>35</v>
      </c>
      <c r="IP61" s="30">
        <f t="shared" si="134"/>
        <v>35</v>
      </c>
      <c r="IQ61" s="30">
        <f t="shared" si="134"/>
        <v>35</v>
      </c>
      <c r="IR61" s="30">
        <f t="shared" si="134"/>
        <v>35</v>
      </c>
      <c r="IS61" s="30">
        <f t="shared" si="134"/>
        <v>35</v>
      </c>
      <c r="IT61" s="30">
        <f t="shared" si="134"/>
        <v>35</v>
      </c>
      <c r="IU61" s="30">
        <f t="shared" si="134"/>
        <v>35</v>
      </c>
      <c r="IV61" s="30">
        <f t="shared" si="134"/>
        <v>35</v>
      </c>
      <c r="IW61" s="30">
        <f t="shared" si="134"/>
        <v>35</v>
      </c>
      <c r="IX61" s="30">
        <f t="shared" si="134"/>
        <v>35</v>
      </c>
      <c r="IY61" s="30">
        <f t="shared" si="134"/>
        <v>35</v>
      </c>
      <c r="IZ61" s="30">
        <f t="shared" si="134"/>
        <v>35</v>
      </c>
      <c r="JA61" s="30">
        <f t="shared" si="134"/>
        <v>35</v>
      </c>
      <c r="JB61" s="30">
        <f t="shared" si="134"/>
        <v>35</v>
      </c>
      <c r="JC61" s="30">
        <f t="shared" si="134"/>
        <v>35</v>
      </c>
      <c r="JD61" s="30">
        <f t="shared" si="134"/>
        <v>35</v>
      </c>
      <c r="JE61" s="30">
        <f t="shared" si="134"/>
        <v>35</v>
      </c>
      <c r="JF61" s="30">
        <f t="shared" si="134"/>
        <v>35</v>
      </c>
      <c r="JG61" s="30">
        <f t="shared" si="134"/>
        <v>35</v>
      </c>
      <c r="JH61" s="30">
        <f t="shared" si="134"/>
        <v>35</v>
      </c>
      <c r="JI61" s="30">
        <f t="shared" si="134"/>
        <v>35</v>
      </c>
      <c r="JJ61" s="30">
        <f t="shared" si="134"/>
        <v>35</v>
      </c>
      <c r="JK61" s="30">
        <f t="shared" ref="JK61:KI61" si="135">SUM(JK59:JK60)</f>
        <v>35</v>
      </c>
      <c r="JL61" s="30">
        <f t="shared" si="135"/>
        <v>35</v>
      </c>
      <c r="JM61" s="30">
        <f t="shared" si="135"/>
        <v>35</v>
      </c>
      <c r="JN61" s="30">
        <f t="shared" si="135"/>
        <v>35</v>
      </c>
      <c r="JO61" s="30">
        <f t="shared" si="135"/>
        <v>35</v>
      </c>
      <c r="JP61" s="30">
        <f t="shared" si="135"/>
        <v>35</v>
      </c>
      <c r="JQ61" s="30">
        <f t="shared" si="135"/>
        <v>35</v>
      </c>
      <c r="JR61" s="30">
        <f t="shared" si="135"/>
        <v>35</v>
      </c>
      <c r="JS61" s="30">
        <f t="shared" si="135"/>
        <v>35</v>
      </c>
      <c r="JT61" s="30">
        <f t="shared" si="135"/>
        <v>35</v>
      </c>
      <c r="JU61" s="30">
        <f t="shared" si="135"/>
        <v>35</v>
      </c>
      <c r="JV61" s="30">
        <f t="shared" si="135"/>
        <v>35</v>
      </c>
      <c r="JW61" s="30">
        <f t="shared" si="135"/>
        <v>35</v>
      </c>
      <c r="JX61" s="30">
        <f t="shared" si="135"/>
        <v>35</v>
      </c>
      <c r="JY61" s="30">
        <f t="shared" si="135"/>
        <v>35</v>
      </c>
      <c r="JZ61" s="30">
        <f t="shared" si="135"/>
        <v>35</v>
      </c>
      <c r="KA61" s="30">
        <f t="shared" si="135"/>
        <v>35</v>
      </c>
      <c r="KB61" s="30">
        <f t="shared" si="135"/>
        <v>35</v>
      </c>
      <c r="KC61" s="30">
        <f t="shared" si="135"/>
        <v>35</v>
      </c>
      <c r="KD61" s="30">
        <f t="shared" si="135"/>
        <v>35</v>
      </c>
      <c r="KE61" s="30">
        <f t="shared" si="135"/>
        <v>35</v>
      </c>
      <c r="KF61" s="30">
        <f t="shared" si="135"/>
        <v>35</v>
      </c>
      <c r="KG61" s="30">
        <f t="shared" si="135"/>
        <v>35</v>
      </c>
      <c r="KH61" s="30">
        <f t="shared" si="135"/>
        <v>35</v>
      </c>
      <c r="KI61" s="30">
        <f t="shared" si="135"/>
        <v>35</v>
      </c>
      <c r="KJ61" s="1"/>
    </row>
    <row r="62" spans="8:296" x14ac:dyDescent="0.35">
      <c r="H62" s="13" t="s">
        <v>22</v>
      </c>
      <c r="M62" s="15" t="s">
        <v>187</v>
      </c>
      <c r="N62" s="24">
        <f>Control!H149</f>
        <v>700</v>
      </c>
      <c r="O62" s="24">
        <f>N62</f>
        <v>700</v>
      </c>
      <c r="P62" s="24">
        <f t="shared" ref="P62:CA62" si="136">O62</f>
        <v>700</v>
      </c>
      <c r="Q62" s="24">
        <f t="shared" si="136"/>
        <v>700</v>
      </c>
      <c r="R62" s="24">
        <f t="shared" si="136"/>
        <v>700</v>
      </c>
      <c r="S62" s="24">
        <f t="shared" si="136"/>
        <v>700</v>
      </c>
      <c r="T62" s="24">
        <f t="shared" si="136"/>
        <v>700</v>
      </c>
      <c r="U62" s="24">
        <f t="shared" si="136"/>
        <v>700</v>
      </c>
      <c r="V62" s="24">
        <f t="shared" si="136"/>
        <v>700</v>
      </c>
      <c r="W62" s="24">
        <f t="shared" si="136"/>
        <v>700</v>
      </c>
      <c r="X62" s="24">
        <f t="shared" si="136"/>
        <v>700</v>
      </c>
      <c r="Y62" s="24">
        <f t="shared" si="136"/>
        <v>700</v>
      </c>
      <c r="Z62" s="24">
        <f t="shared" si="136"/>
        <v>700</v>
      </c>
      <c r="AA62" s="24">
        <f t="shared" si="136"/>
        <v>700</v>
      </c>
      <c r="AB62" s="24">
        <f t="shared" si="136"/>
        <v>700</v>
      </c>
      <c r="AC62" s="24">
        <f t="shared" si="136"/>
        <v>700</v>
      </c>
      <c r="AD62" s="24">
        <f t="shared" si="136"/>
        <v>700</v>
      </c>
      <c r="AE62" s="24">
        <f t="shared" si="136"/>
        <v>700</v>
      </c>
      <c r="AF62" s="24">
        <f t="shared" si="136"/>
        <v>700</v>
      </c>
      <c r="AG62" s="24">
        <f t="shared" si="136"/>
        <v>700</v>
      </c>
      <c r="AH62" s="24">
        <f t="shared" si="136"/>
        <v>700</v>
      </c>
      <c r="AI62" s="24">
        <f t="shared" si="136"/>
        <v>700</v>
      </c>
      <c r="AJ62" s="24">
        <f t="shared" si="136"/>
        <v>700</v>
      </c>
      <c r="AK62" s="24">
        <f t="shared" si="136"/>
        <v>700</v>
      </c>
      <c r="AL62" s="24">
        <f t="shared" si="136"/>
        <v>700</v>
      </c>
      <c r="AM62" s="24">
        <f t="shared" si="136"/>
        <v>700</v>
      </c>
      <c r="AN62" s="24">
        <f t="shared" si="136"/>
        <v>700</v>
      </c>
      <c r="AO62" s="24">
        <f t="shared" si="136"/>
        <v>700</v>
      </c>
      <c r="AP62" s="24">
        <f t="shared" si="136"/>
        <v>700</v>
      </c>
      <c r="AQ62" s="24">
        <f t="shared" si="136"/>
        <v>700</v>
      </c>
      <c r="AR62" s="24">
        <f t="shared" si="136"/>
        <v>700</v>
      </c>
      <c r="AS62" s="24">
        <f t="shared" si="136"/>
        <v>700</v>
      </c>
      <c r="AT62" s="24">
        <f t="shared" si="136"/>
        <v>700</v>
      </c>
      <c r="AU62" s="24">
        <f t="shared" si="136"/>
        <v>700</v>
      </c>
      <c r="AV62" s="24">
        <f t="shared" si="136"/>
        <v>700</v>
      </c>
      <c r="AW62" s="24">
        <f t="shared" si="136"/>
        <v>700</v>
      </c>
      <c r="AX62" s="24">
        <f t="shared" si="136"/>
        <v>700</v>
      </c>
      <c r="AY62" s="24">
        <f t="shared" si="136"/>
        <v>700</v>
      </c>
      <c r="AZ62" s="24">
        <f t="shared" si="136"/>
        <v>700</v>
      </c>
      <c r="BA62" s="24">
        <f t="shared" si="136"/>
        <v>700</v>
      </c>
      <c r="BB62" s="24">
        <f t="shared" si="136"/>
        <v>700</v>
      </c>
      <c r="BC62" s="24">
        <f t="shared" si="136"/>
        <v>700</v>
      </c>
      <c r="BD62" s="24">
        <f t="shared" si="136"/>
        <v>700</v>
      </c>
      <c r="BE62" s="24">
        <f t="shared" si="136"/>
        <v>700</v>
      </c>
      <c r="BF62" s="24">
        <f t="shared" si="136"/>
        <v>700</v>
      </c>
      <c r="BG62" s="24">
        <f t="shared" si="136"/>
        <v>700</v>
      </c>
      <c r="BH62" s="24">
        <f t="shared" si="136"/>
        <v>700</v>
      </c>
      <c r="BI62" s="24">
        <f t="shared" si="136"/>
        <v>700</v>
      </c>
      <c r="BJ62" s="24">
        <f t="shared" si="136"/>
        <v>700</v>
      </c>
      <c r="BK62" s="24">
        <f t="shared" si="136"/>
        <v>700</v>
      </c>
      <c r="BL62" s="24">
        <f t="shared" si="136"/>
        <v>700</v>
      </c>
      <c r="BM62" s="24">
        <f t="shared" si="136"/>
        <v>700</v>
      </c>
      <c r="BN62" s="24">
        <f t="shared" si="136"/>
        <v>700</v>
      </c>
      <c r="BO62" s="24">
        <f t="shared" si="136"/>
        <v>700</v>
      </c>
      <c r="BP62" s="24">
        <f t="shared" si="136"/>
        <v>700</v>
      </c>
      <c r="BQ62" s="24">
        <f t="shared" si="136"/>
        <v>700</v>
      </c>
      <c r="BR62" s="24">
        <f t="shared" si="136"/>
        <v>700</v>
      </c>
      <c r="BS62" s="24">
        <f t="shared" si="136"/>
        <v>700</v>
      </c>
      <c r="BT62" s="24">
        <f t="shared" si="136"/>
        <v>700</v>
      </c>
      <c r="BU62" s="24">
        <f t="shared" si="136"/>
        <v>700</v>
      </c>
      <c r="BV62" s="24">
        <f t="shared" si="136"/>
        <v>700</v>
      </c>
      <c r="BW62" s="24">
        <f t="shared" si="136"/>
        <v>700</v>
      </c>
      <c r="BX62" s="24">
        <f t="shared" si="136"/>
        <v>700</v>
      </c>
      <c r="BY62" s="24">
        <f t="shared" si="136"/>
        <v>700</v>
      </c>
      <c r="BZ62" s="24">
        <f t="shared" si="136"/>
        <v>700</v>
      </c>
      <c r="CA62" s="24">
        <f t="shared" si="136"/>
        <v>700</v>
      </c>
      <c r="CB62" s="24">
        <f t="shared" ref="CB62:EM62" si="137">CA62</f>
        <v>700</v>
      </c>
      <c r="CC62" s="24">
        <f t="shared" si="137"/>
        <v>700</v>
      </c>
      <c r="CD62" s="24">
        <f t="shared" si="137"/>
        <v>700</v>
      </c>
      <c r="CE62" s="24">
        <f t="shared" si="137"/>
        <v>700</v>
      </c>
      <c r="CF62" s="24">
        <f t="shared" si="137"/>
        <v>700</v>
      </c>
      <c r="CG62" s="24">
        <f t="shared" si="137"/>
        <v>700</v>
      </c>
      <c r="CH62" s="24">
        <f t="shared" si="137"/>
        <v>700</v>
      </c>
      <c r="CI62" s="24">
        <f t="shared" si="137"/>
        <v>700</v>
      </c>
      <c r="CJ62" s="24">
        <f t="shared" si="137"/>
        <v>700</v>
      </c>
      <c r="CK62" s="24">
        <f t="shared" si="137"/>
        <v>700</v>
      </c>
      <c r="CL62" s="24">
        <f t="shared" si="137"/>
        <v>700</v>
      </c>
      <c r="CM62" s="24">
        <f t="shared" si="137"/>
        <v>700</v>
      </c>
      <c r="CN62" s="24">
        <f t="shared" si="137"/>
        <v>700</v>
      </c>
      <c r="CO62" s="24">
        <f t="shared" si="137"/>
        <v>700</v>
      </c>
      <c r="CP62" s="24">
        <f t="shared" si="137"/>
        <v>700</v>
      </c>
      <c r="CQ62" s="24">
        <f t="shared" si="137"/>
        <v>700</v>
      </c>
      <c r="CR62" s="24">
        <f t="shared" si="137"/>
        <v>700</v>
      </c>
      <c r="CS62" s="24">
        <f t="shared" si="137"/>
        <v>700</v>
      </c>
      <c r="CT62" s="24">
        <f t="shared" si="137"/>
        <v>700</v>
      </c>
      <c r="CU62" s="24">
        <f t="shared" si="137"/>
        <v>700</v>
      </c>
      <c r="CV62" s="24">
        <f t="shared" si="137"/>
        <v>700</v>
      </c>
      <c r="CW62" s="24">
        <f t="shared" si="137"/>
        <v>700</v>
      </c>
      <c r="CX62" s="24">
        <f t="shared" si="137"/>
        <v>700</v>
      </c>
      <c r="CY62" s="24">
        <f t="shared" si="137"/>
        <v>700</v>
      </c>
      <c r="CZ62" s="24">
        <f t="shared" si="137"/>
        <v>700</v>
      </c>
      <c r="DA62" s="24">
        <f t="shared" si="137"/>
        <v>700</v>
      </c>
      <c r="DB62" s="24">
        <f t="shared" si="137"/>
        <v>700</v>
      </c>
      <c r="DC62" s="24">
        <f t="shared" si="137"/>
        <v>700</v>
      </c>
      <c r="DD62" s="24">
        <f t="shared" si="137"/>
        <v>700</v>
      </c>
      <c r="DE62" s="24">
        <f t="shared" si="137"/>
        <v>700</v>
      </c>
      <c r="DF62" s="24">
        <f t="shared" si="137"/>
        <v>700</v>
      </c>
      <c r="DG62" s="24">
        <f t="shared" si="137"/>
        <v>700</v>
      </c>
      <c r="DH62" s="24">
        <f t="shared" si="137"/>
        <v>700</v>
      </c>
      <c r="DI62" s="24">
        <f t="shared" si="137"/>
        <v>700</v>
      </c>
      <c r="DJ62" s="24">
        <f t="shared" si="137"/>
        <v>700</v>
      </c>
      <c r="DK62" s="24">
        <f t="shared" si="137"/>
        <v>700</v>
      </c>
      <c r="DL62" s="24">
        <f t="shared" si="137"/>
        <v>700</v>
      </c>
      <c r="DM62" s="24">
        <f t="shared" si="137"/>
        <v>700</v>
      </c>
      <c r="DN62" s="24">
        <f t="shared" si="137"/>
        <v>700</v>
      </c>
      <c r="DO62" s="24">
        <f t="shared" si="137"/>
        <v>700</v>
      </c>
      <c r="DP62" s="24">
        <f t="shared" si="137"/>
        <v>700</v>
      </c>
      <c r="DQ62" s="24">
        <f t="shared" si="137"/>
        <v>700</v>
      </c>
      <c r="DR62" s="24">
        <f t="shared" si="137"/>
        <v>700</v>
      </c>
      <c r="DS62" s="24">
        <f t="shared" si="137"/>
        <v>700</v>
      </c>
      <c r="DT62" s="24">
        <f t="shared" si="137"/>
        <v>700</v>
      </c>
      <c r="DU62" s="24">
        <f t="shared" si="137"/>
        <v>700</v>
      </c>
      <c r="DV62" s="24">
        <f t="shared" si="137"/>
        <v>700</v>
      </c>
      <c r="DW62" s="24">
        <f t="shared" si="137"/>
        <v>700</v>
      </c>
      <c r="DX62" s="24">
        <f t="shared" si="137"/>
        <v>700</v>
      </c>
      <c r="DY62" s="24">
        <f t="shared" si="137"/>
        <v>700</v>
      </c>
      <c r="DZ62" s="24">
        <f t="shared" si="137"/>
        <v>700</v>
      </c>
      <c r="EA62" s="24">
        <f t="shared" si="137"/>
        <v>700</v>
      </c>
      <c r="EB62" s="24">
        <f t="shared" si="137"/>
        <v>700</v>
      </c>
      <c r="EC62" s="24">
        <f t="shared" si="137"/>
        <v>700</v>
      </c>
      <c r="ED62" s="24">
        <f t="shared" si="137"/>
        <v>700</v>
      </c>
      <c r="EE62" s="24">
        <f t="shared" si="137"/>
        <v>700</v>
      </c>
      <c r="EF62" s="24">
        <f t="shared" si="137"/>
        <v>700</v>
      </c>
      <c r="EG62" s="24">
        <f t="shared" si="137"/>
        <v>700</v>
      </c>
      <c r="EH62" s="24">
        <f t="shared" si="137"/>
        <v>700</v>
      </c>
      <c r="EI62" s="24">
        <f t="shared" si="137"/>
        <v>700</v>
      </c>
      <c r="EJ62" s="24">
        <f t="shared" si="137"/>
        <v>700</v>
      </c>
      <c r="EK62" s="24">
        <f t="shared" si="137"/>
        <v>700</v>
      </c>
      <c r="EL62" s="24">
        <f t="shared" si="137"/>
        <v>700</v>
      </c>
      <c r="EM62" s="24">
        <f t="shared" si="137"/>
        <v>700</v>
      </c>
      <c r="EN62" s="24">
        <f t="shared" ref="EN62:GY62" si="138">EM62</f>
        <v>700</v>
      </c>
      <c r="EO62" s="24">
        <f t="shared" si="138"/>
        <v>700</v>
      </c>
      <c r="EP62" s="24">
        <f t="shared" si="138"/>
        <v>700</v>
      </c>
      <c r="EQ62" s="24">
        <f t="shared" si="138"/>
        <v>700</v>
      </c>
      <c r="ER62" s="24">
        <f t="shared" si="138"/>
        <v>700</v>
      </c>
      <c r="ES62" s="24">
        <f t="shared" si="138"/>
        <v>700</v>
      </c>
      <c r="ET62" s="24">
        <f t="shared" si="138"/>
        <v>700</v>
      </c>
      <c r="EU62" s="24">
        <f t="shared" si="138"/>
        <v>700</v>
      </c>
      <c r="EV62" s="24">
        <f t="shared" si="138"/>
        <v>700</v>
      </c>
      <c r="EW62" s="24">
        <f t="shared" si="138"/>
        <v>700</v>
      </c>
      <c r="EX62" s="24">
        <f t="shared" si="138"/>
        <v>700</v>
      </c>
      <c r="EY62" s="24">
        <f t="shared" si="138"/>
        <v>700</v>
      </c>
      <c r="EZ62" s="24">
        <f t="shared" si="138"/>
        <v>700</v>
      </c>
      <c r="FA62" s="24">
        <f t="shared" si="138"/>
        <v>700</v>
      </c>
      <c r="FB62" s="24">
        <f t="shared" si="138"/>
        <v>700</v>
      </c>
      <c r="FC62" s="24">
        <f t="shared" si="138"/>
        <v>700</v>
      </c>
      <c r="FD62" s="24">
        <f t="shared" si="138"/>
        <v>700</v>
      </c>
      <c r="FE62" s="24">
        <f t="shared" si="138"/>
        <v>700</v>
      </c>
      <c r="FF62" s="24">
        <f t="shared" si="138"/>
        <v>700</v>
      </c>
      <c r="FG62" s="24">
        <f t="shared" si="138"/>
        <v>700</v>
      </c>
      <c r="FH62" s="24">
        <f t="shared" si="138"/>
        <v>700</v>
      </c>
      <c r="FI62" s="24">
        <f t="shared" si="138"/>
        <v>700</v>
      </c>
      <c r="FJ62" s="24">
        <f t="shared" si="138"/>
        <v>700</v>
      </c>
      <c r="FK62" s="24">
        <f t="shared" si="138"/>
        <v>700</v>
      </c>
      <c r="FL62" s="24">
        <f t="shared" si="138"/>
        <v>700</v>
      </c>
      <c r="FM62" s="24">
        <f t="shared" si="138"/>
        <v>700</v>
      </c>
      <c r="FN62" s="24">
        <f t="shared" si="138"/>
        <v>700</v>
      </c>
      <c r="FO62" s="24">
        <f t="shared" si="138"/>
        <v>700</v>
      </c>
      <c r="FP62" s="24">
        <f t="shared" si="138"/>
        <v>700</v>
      </c>
      <c r="FQ62" s="24">
        <f t="shared" si="138"/>
        <v>700</v>
      </c>
      <c r="FR62" s="24">
        <f t="shared" si="138"/>
        <v>700</v>
      </c>
      <c r="FS62" s="24">
        <f t="shared" si="138"/>
        <v>700</v>
      </c>
      <c r="FT62" s="24">
        <f t="shared" si="138"/>
        <v>700</v>
      </c>
      <c r="FU62" s="24">
        <f t="shared" si="138"/>
        <v>700</v>
      </c>
      <c r="FV62" s="24">
        <f t="shared" si="138"/>
        <v>700</v>
      </c>
      <c r="FW62" s="24">
        <f t="shared" si="138"/>
        <v>700</v>
      </c>
      <c r="FX62" s="24">
        <f t="shared" si="138"/>
        <v>700</v>
      </c>
      <c r="FY62" s="24">
        <f t="shared" si="138"/>
        <v>700</v>
      </c>
      <c r="FZ62" s="24">
        <f t="shared" si="138"/>
        <v>700</v>
      </c>
      <c r="GA62" s="24">
        <f t="shared" si="138"/>
        <v>700</v>
      </c>
      <c r="GB62" s="24">
        <f t="shared" si="138"/>
        <v>700</v>
      </c>
      <c r="GC62" s="24">
        <f t="shared" si="138"/>
        <v>700</v>
      </c>
      <c r="GD62" s="24">
        <f t="shared" si="138"/>
        <v>700</v>
      </c>
      <c r="GE62" s="24">
        <f t="shared" si="138"/>
        <v>700</v>
      </c>
      <c r="GF62" s="24">
        <f t="shared" si="138"/>
        <v>700</v>
      </c>
      <c r="GG62" s="24">
        <f t="shared" si="138"/>
        <v>700</v>
      </c>
      <c r="GH62" s="24">
        <f t="shared" si="138"/>
        <v>700</v>
      </c>
      <c r="GI62" s="24">
        <f t="shared" si="138"/>
        <v>700</v>
      </c>
      <c r="GJ62" s="24">
        <f t="shared" si="138"/>
        <v>700</v>
      </c>
      <c r="GK62" s="24">
        <f t="shared" si="138"/>
        <v>700</v>
      </c>
      <c r="GL62" s="24">
        <f t="shared" si="138"/>
        <v>700</v>
      </c>
      <c r="GM62" s="24">
        <f t="shared" si="138"/>
        <v>700</v>
      </c>
      <c r="GN62" s="24">
        <f t="shared" si="138"/>
        <v>700</v>
      </c>
      <c r="GO62" s="24">
        <f t="shared" si="138"/>
        <v>700</v>
      </c>
      <c r="GP62" s="24">
        <f t="shared" si="138"/>
        <v>700</v>
      </c>
      <c r="GQ62" s="24">
        <f t="shared" si="138"/>
        <v>700</v>
      </c>
      <c r="GR62" s="24">
        <f t="shared" si="138"/>
        <v>700</v>
      </c>
      <c r="GS62" s="24">
        <f t="shared" si="138"/>
        <v>700</v>
      </c>
      <c r="GT62" s="24">
        <f t="shared" si="138"/>
        <v>700</v>
      </c>
      <c r="GU62" s="24">
        <f t="shared" si="138"/>
        <v>700</v>
      </c>
      <c r="GV62" s="24">
        <f t="shared" si="138"/>
        <v>700</v>
      </c>
      <c r="GW62" s="24">
        <f t="shared" si="138"/>
        <v>700</v>
      </c>
      <c r="GX62" s="24">
        <f t="shared" si="138"/>
        <v>700</v>
      </c>
      <c r="GY62" s="24">
        <f t="shared" si="138"/>
        <v>700</v>
      </c>
      <c r="GZ62" s="24">
        <f t="shared" ref="GZ62:JK62" si="139">GY62</f>
        <v>700</v>
      </c>
      <c r="HA62" s="24">
        <f t="shared" si="139"/>
        <v>700</v>
      </c>
      <c r="HB62" s="24">
        <f t="shared" si="139"/>
        <v>700</v>
      </c>
      <c r="HC62" s="24">
        <f t="shared" si="139"/>
        <v>700</v>
      </c>
      <c r="HD62" s="24">
        <f t="shared" si="139"/>
        <v>700</v>
      </c>
      <c r="HE62" s="24">
        <f t="shared" si="139"/>
        <v>700</v>
      </c>
      <c r="HF62" s="24">
        <f t="shared" si="139"/>
        <v>700</v>
      </c>
      <c r="HG62" s="24">
        <f t="shared" si="139"/>
        <v>700</v>
      </c>
      <c r="HH62" s="24">
        <f t="shared" si="139"/>
        <v>700</v>
      </c>
      <c r="HI62" s="24">
        <f t="shared" si="139"/>
        <v>700</v>
      </c>
      <c r="HJ62" s="24">
        <f t="shared" si="139"/>
        <v>700</v>
      </c>
      <c r="HK62" s="24">
        <f t="shared" si="139"/>
        <v>700</v>
      </c>
      <c r="HL62" s="24">
        <f t="shared" si="139"/>
        <v>700</v>
      </c>
      <c r="HM62" s="24">
        <f t="shared" si="139"/>
        <v>700</v>
      </c>
      <c r="HN62" s="24">
        <f t="shared" si="139"/>
        <v>700</v>
      </c>
      <c r="HO62" s="24">
        <f t="shared" si="139"/>
        <v>700</v>
      </c>
      <c r="HP62" s="24">
        <f t="shared" si="139"/>
        <v>700</v>
      </c>
      <c r="HQ62" s="24">
        <f t="shared" si="139"/>
        <v>700</v>
      </c>
      <c r="HR62" s="24">
        <f t="shared" si="139"/>
        <v>700</v>
      </c>
      <c r="HS62" s="24">
        <f t="shared" si="139"/>
        <v>700</v>
      </c>
      <c r="HT62" s="24">
        <f t="shared" si="139"/>
        <v>700</v>
      </c>
      <c r="HU62" s="24">
        <f t="shared" si="139"/>
        <v>700</v>
      </c>
      <c r="HV62" s="24">
        <f t="shared" si="139"/>
        <v>700</v>
      </c>
      <c r="HW62" s="24">
        <f t="shared" si="139"/>
        <v>700</v>
      </c>
      <c r="HX62" s="24">
        <f t="shared" si="139"/>
        <v>700</v>
      </c>
      <c r="HY62" s="24">
        <f t="shared" si="139"/>
        <v>700</v>
      </c>
      <c r="HZ62" s="24">
        <f t="shared" si="139"/>
        <v>700</v>
      </c>
      <c r="IA62" s="24">
        <f t="shared" si="139"/>
        <v>700</v>
      </c>
      <c r="IB62" s="24">
        <f t="shared" si="139"/>
        <v>700</v>
      </c>
      <c r="IC62" s="24">
        <f t="shared" si="139"/>
        <v>700</v>
      </c>
      <c r="ID62" s="24">
        <f t="shared" si="139"/>
        <v>700</v>
      </c>
      <c r="IE62" s="24">
        <f t="shared" si="139"/>
        <v>700</v>
      </c>
      <c r="IF62" s="24">
        <f t="shared" si="139"/>
        <v>700</v>
      </c>
      <c r="IG62" s="24">
        <f t="shared" si="139"/>
        <v>700</v>
      </c>
      <c r="IH62" s="24">
        <f t="shared" si="139"/>
        <v>700</v>
      </c>
      <c r="II62" s="24">
        <f t="shared" si="139"/>
        <v>700</v>
      </c>
      <c r="IJ62" s="24">
        <f t="shared" si="139"/>
        <v>700</v>
      </c>
      <c r="IK62" s="24">
        <f t="shared" si="139"/>
        <v>700</v>
      </c>
      <c r="IL62" s="24">
        <f t="shared" si="139"/>
        <v>700</v>
      </c>
      <c r="IM62" s="24">
        <f t="shared" si="139"/>
        <v>700</v>
      </c>
      <c r="IN62" s="24">
        <f t="shared" si="139"/>
        <v>700</v>
      </c>
      <c r="IO62" s="24">
        <f t="shared" si="139"/>
        <v>700</v>
      </c>
      <c r="IP62" s="24">
        <f t="shared" si="139"/>
        <v>700</v>
      </c>
      <c r="IQ62" s="24">
        <f t="shared" si="139"/>
        <v>700</v>
      </c>
      <c r="IR62" s="24">
        <f t="shared" si="139"/>
        <v>700</v>
      </c>
      <c r="IS62" s="24">
        <f t="shared" si="139"/>
        <v>700</v>
      </c>
      <c r="IT62" s="24">
        <f t="shared" si="139"/>
        <v>700</v>
      </c>
      <c r="IU62" s="24">
        <f t="shared" si="139"/>
        <v>700</v>
      </c>
      <c r="IV62" s="24">
        <f t="shared" si="139"/>
        <v>700</v>
      </c>
      <c r="IW62" s="24">
        <f t="shared" si="139"/>
        <v>700</v>
      </c>
      <c r="IX62" s="24">
        <f t="shared" si="139"/>
        <v>700</v>
      </c>
      <c r="IY62" s="24">
        <f t="shared" si="139"/>
        <v>700</v>
      </c>
      <c r="IZ62" s="24">
        <f t="shared" si="139"/>
        <v>700</v>
      </c>
      <c r="JA62" s="24">
        <f t="shared" si="139"/>
        <v>700</v>
      </c>
      <c r="JB62" s="24">
        <f t="shared" si="139"/>
        <v>700</v>
      </c>
      <c r="JC62" s="24">
        <f t="shared" si="139"/>
        <v>700</v>
      </c>
      <c r="JD62" s="24">
        <f t="shared" si="139"/>
        <v>700</v>
      </c>
      <c r="JE62" s="24">
        <f t="shared" si="139"/>
        <v>700</v>
      </c>
      <c r="JF62" s="24">
        <f t="shared" si="139"/>
        <v>700</v>
      </c>
      <c r="JG62" s="24">
        <f t="shared" si="139"/>
        <v>700</v>
      </c>
      <c r="JH62" s="24">
        <f t="shared" si="139"/>
        <v>700</v>
      </c>
      <c r="JI62" s="24">
        <f t="shared" si="139"/>
        <v>700</v>
      </c>
      <c r="JJ62" s="24">
        <f t="shared" si="139"/>
        <v>700</v>
      </c>
      <c r="JK62" s="24">
        <f t="shared" si="139"/>
        <v>700</v>
      </c>
      <c r="JL62" s="24">
        <f t="shared" ref="JL62:KI62" si="140">JK62</f>
        <v>700</v>
      </c>
      <c r="JM62" s="24">
        <f t="shared" si="140"/>
        <v>700</v>
      </c>
      <c r="JN62" s="24">
        <f t="shared" si="140"/>
        <v>700</v>
      </c>
      <c r="JO62" s="24">
        <f t="shared" si="140"/>
        <v>700</v>
      </c>
      <c r="JP62" s="24">
        <f t="shared" si="140"/>
        <v>700</v>
      </c>
      <c r="JQ62" s="24">
        <f t="shared" si="140"/>
        <v>700</v>
      </c>
      <c r="JR62" s="24">
        <f t="shared" si="140"/>
        <v>700</v>
      </c>
      <c r="JS62" s="24">
        <f t="shared" si="140"/>
        <v>700</v>
      </c>
      <c r="JT62" s="24">
        <f t="shared" si="140"/>
        <v>700</v>
      </c>
      <c r="JU62" s="24">
        <f t="shared" si="140"/>
        <v>700</v>
      </c>
      <c r="JV62" s="24">
        <f t="shared" si="140"/>
        <v>700</v>
      </c>
      <c r="JW62" s="24">
        <f t="shared" si="140"/>
        <v>700</v>
      </c>
      <c r="JX62" s="24">
        <f t="shared" si="140"/>
        <v>700</v>
      </c>
      <c r="JY62" s="24">
        <f t="shared" si="140"/>
        <v>700</v>
      </c>
      <c r="JZ62" s="24">
        <f t="shared" si="140"/>
        <v>700</v>
      </c>
      <c r="KA62" s="24">
        <f t="shared" si="140"/>
        <v>700</v>
      </c>
      <c r="KB62" s="24">
        <f t="shared" si="140"/>
        <v>700</v>
      </c>
      <c r="KC62" s="24">
        <f t="shared" si="140"/>
        <v>700</v>
      </c>
      <c r="KD62" s="24">
        <f t="shared" si="140"/>
        <v>700</v>
      </c>
      <c r="KE62" s="24">
        <f t="shared" si="140"/>
        <v>700</v>
      </c>
      <c r="KF62" s="24">
        <f t="shared" si="140"/>
        <v>700</v>
      </c>
      <c r="KG62" s="24">
        <f t="shared" si="140"/>
        <v>700</v>
      </c>
      <c r="KH62" s="24">
        <f t="shared" si="140"/>
        <v>700</v>
      </c>
      <c r="KI62" s="24">
        <f t="shared" si="140"/>
        <v>700</v>
      </c>
      <c r="KJ62" s="1"/>
    </row>
    <row r="63" spans="8:296" x14ac:dyDescent="0.35">
      <c r="H63" s="13" t="s">
        <v>22</v>
      </c>
      <c r="M63" s="15" t="s">
        <v>150</v>
      </c>
      <c r="N63" s="24">
        <f>Control!H150</f>
        <v>599</v>
      </c>
      <c r="O63" s="24">
        <f>N63+O40</f>
        <v>646.97379750835876</v>
      </c>
      <c r="P63" s="24">
        <f t="shared" ref="P63:CA63" si="141">O63+P40</f>
        <v>711.89528659498819</v>
      </c>
      <c r="Q63" s="24">
        <f t="shared" si="141"/>
        <v>800.66762249185945</v>
      </c>
      <c r="R63" s="24">
        <f t="shared" si="141"/>
        <v>847.35171951584039</v>
      </c>
      <c r="S63" s="24">
        <f>R63+S40</f>
        <v>890.09441685782963</v>
      </c>
      <c r="T63" s="24">
        <f t="shared" si="141"/>
        <v>944.17371571484614</v>
      </c>
      <c r="U63" s="24">
        <f t="shared" si="141"/>
        <v>1004.037521766782</v>
      </c>
      <c r="V63" s="24">
        <f t="shared" si="141"/>
        <v>1096.7140569832691</v>
      </c>
      <c r="W63" s="24">
        <f t="shared" si="141"/>
        <v>1192.0451260955231</v>
      </c>
      <c r="X63" s="24">
        <f t="shared" si="141"/>
        <v>1275.2575874847478</v>
      </c>
      <c r="Y63" s="24">
        <f t="shared" si="141"/>
        <v>1345.9510246613791</v>
      </c>
      <c r="Z63" s="24">
        <f t="shared" si="141"/>
        <v>1377.0138870147932</v>
      </c>
      <c r="AA63" s="24">
        <f t="shared" si="141"/>
        <v>1467.2535619860116</v>
      </c>
      <c r="AB63" s="24">
        <f t="shared" si="141"/>
        <v>1560.3671309480294</v>
      </c>
      <c r="AC63" s="24">
        <f t="shared" si="141"/>
        <v>1651.743189769426</v>
      </c>
      <c r="AD63" s="24">
        <f t="shared" si="141"/>
        <v>1730.9570489090777</v>
      </c>
      <c r="AE63" s="24">
        <f t="shared" si="141"/>
        <v>1786.9022548779631</v>
      </c>
      <c r="AF63" s="24">
        <f t="shared" si="141"/>
        <v>1832.2380028935986</v>
      </c>
      <c r="AG63" s="24">
        <f t="shared" si="141"/>
        <v>1906.6823200995943</v>
      </c>
      <c r="AH63" s="24">
        <f t="shared" si="141"/>
        <v>1938.1710944085646</v>
      </c>
      <c r="AI63" s="24">
        <f t="shared" si="141"/>
        <v>2013.6748360524468</v>
      </c>
      <c r="AJ63" s="24">
        <f t="shared" si="141"/>
        <v>2049.1615773328663</v>
      </c>
      <c r="AK63" s="24">
        <f t="shared" si="141"/>
        <v>2121.8692912647639</v>
      </c>
      <c r="AL63" s="24">
        <f t="shared" si="141"/>
        <v>2159.790729579237</v>
      </c>
      <c r="AM63" s="24">
        <f t="shared" si="141"/>
        <v>2235.1717394017778</v>
      </c>
      <c r="AN63" s="24">
        <f t="shared" si="141"/>
        <v>2308.7938022032117</v>
      </c>
      <c r="AO63" s="24">
        <f t="shared" si="141"/>
        <v>2350.6182717877896</v>
      </c>
      <c r="AP63" s="24">
        <f t="shared" si="141"/>
        <v>2395.9860429721421</v>
      </c>
      <c r="AQ63" s="24">
        <f t="shared" si="141"/>
        <v>2438.8910290930671</v>
      </c>
      <c r="AR63" s="24">
        <f t="shared" si="141"/>
        <v>2470.4430254919025</v>
      </c>
      <c r="AS63" s="24">
        <f t="shared" si="141"/>
        <v>2545.0176109450726</v>
      </c>
      <c r="AT63" s="24">
        <f t="shared" si="141"/>
        <v>2602.0890768292811</v>
      </c>
      <c r="AU63" s="24">
        <f t="shared" si="141"/>
        <v>2664.4473737432695</v>
      </c>
      <c r="AV63" s="24">
        <f t="shared" si="141"/>
        <v>2724.8717641745789</v>
      </c>
      <c r="AW63" s="24">
        <f t="shared" si="141"/>
        <v>2803.2027285958147</v>
      </c>
      <c r="AX63" s="24">
        <f t="shared" si="141"/>
        <v>2892.265007890061</v>
      </c>
      <c r="AY63" s="24">
        <f t="shared" si="141"/>
        <v>2962.046041637424</v>
      </c>
      <c r="AZ63" s="24">
        <f t="shared" si="141"/>
        <v>3047.3191316753851</v>
      </c>
      <c r="BA63" s="24">
        <f t="shared" si="141"/>
        <v>3121.9067172961827</v>
      </c>
      <c r="BB63" s="24">
        <f t="shared" si="141"/>
        <v>3215.4579150228133</v>
      </c>
      <c r="BC63" s="24">
        <f t="shared" si="141"/>
        <v>3280.0405539039302</v>
      </c>
      <c r="BD63" s="24">
        <f t="shared" si="141"/>
        <v>3311.6122937282644</v>
      </c>
      <c r="BE63" s="24">
        <f t="shared" si="141"/>
        <v>3391.6851239963853</v>
      </c>
      <c r="BF63" s="24">
        <f t="shared" si="141"/>
        <v>3490.3645910459795</v>
      </c>
      <c r="BG63" s="24">
        <f t="shared" si="141"/>
        <v>3545.1547489489635</v>
      </c>
      <c r="BH63" s="24">
        <f t="shared" si="141"/>
        <v>3616.8656748687818</v>
      </c>
      <c r="BI63" s="24">
        <f t="shared" si="141"/>
        <v>3681.3802551530794</v>
      </c>
      <c r="BJ63" s="24">
        <f t="shared" si="141"/>
        <v>3766.7188250881572</v>
      </c>
      <c r="BK63" s="24">
        <f t="shared" si="141"/>
        <v>3867.3147374678856</v>
      </c>
      <c r="BL63" s="24">
        <f t="shared" si="141"/>
        <v>3945.4118778891607</v>
      </c>
      <c r="BM63" s="24">
        <f t="shared" si="141"/>
        <v>3991.9968336674833</v>
      </c>
      <c r="BN63" s="24">
        <f t="shared" si="141"/>
        <v>4051.2610697566697</v>
      </c>
      <c r="BO63" s="24">
        <f t="shared" si="141"/>
        <v>4117.9545065127713</v>
      </c>
      <c r="BP63" s="24">
        <f t="shared" si="141"/>
        <v>4175.046265372036</v>
      </c>
      <c r="BQ63" s="24">
        <f t="shared" si="141"/>
        <v>4248.5578486398999</v>
      </c>
      <c r="BR63" s="24">
        <f t="shared" si="141"/>
        <v>4330.1467732825668</v>
      </c>
      <c r="BS63" s="24">
        <f t="shared" si="141"/>
        <v>4374.3887652185922</v>
      </c>
      <c r="BT63" s="24">
        <f t="shared" si="141"/>
        <v>4417.4434723883523</v>
      </c>
      <c r="BU63" s="24">
        <f t="shared" si="141"/>
        <v>4466.447719317106</v>
      </c>
      <c r="BV63" s="24">
        <f t="shared" si="141"/>
        <v>4517.7370256079312</v>
      </c>
      <c r="BW63" s="24">
        <f t="shared" si="141"/>
        <v>4564.2711396326049</v>
      </c>
      <c r="BX63" s="24">
        <f t="shared" si="141"/>
        <v>4620.2317598908758</v>
      </c>
      <c r="BY63" s="24">
        <f t="shared" si="141"/>
        <v>4709.2323101333168</v>
      </c>
      <c r="BZ63" s="24">
        <f t="shared" si="141"/>
        <v>4781.7911711765501</v>
      </c>
      <c r="CA63" s="24">
        <f t="shared" si="141"/>
        <v>4831.9725120970597</v>
      </c>
      <c r="CB63" s="24">
        <f t="shared" ref="CB63:EM63" si="142">CA63+CB40</f>
        <v>4891.2757432495482</v>
      </c>
      <c r="CC63" s="24">
        <f t="shared" si="142"/>
        <v>4940.1889047460854</v>
      </c>
      <c r="CD63" s="24">
        <f t="shared" si="142"/>
        <v>4978.2332828711087</v>
      </c>
      <c r="CE63" s="24">
        <f t="shared" si="142"/>
        <v>5016.2382247024861</v>
      </c>
      <c r="CF63" s="24">
        <f t="shared" si="142"/>
        <v>5051.7292345547312</v>
      </c>
      <c r="CG63" s="24">
        <f t="shared" si="142"/>
        <v>5126.2081792667832</v>
      </c>
      <c r="CH63" s="24">
        <f t="shared" si="142"/>
        <v>5172.8448102391385</v>
      </c>
      <c r="CI63" s="24">
        <f t="shared" si="142"/>
        <v>5236.4242136468956</v>
      </c>
      <c r="CJ63" s="24">
        <f t="shared" si="142"/>
        <v>5333.450625042271</v>
      </c>
      <c r="CK63" s="24">
        <f t="shared" si="142"/>
        <v>5406.9117766321488</v>
      </c>
      <c r="CL63" s="24">
        <f t="shared" si="142"/>
        <v>5480.4432837119475</v>
      </c>
      <c r="CM63" s="24">
        <f t="shared" si="142"/>
        <v>5553.0286217323192</v>
      </c>
      <c r="CN63" s="24">
        <f t="shared" si="142"/>
        <v>5633.9744347764345</v>
      </c>
      <c r="CO63" s="24">
        <f t="shared" si="142"/>
        <v>5680.5286575998853</v>
      </c>
      <c r="CP63" s="24">
        <f t="shared" si="142"/>
        <v>5765.571604360387</v>
      </c>
      <c r="CQ63" s="24">
        <f t="shared" si="142"/>
        <v>5860.4823705526451</v>
      </c>
      <c r="CR63" s="24">
        <f t="shared" si="142"/>
        <v>5962.1311736089492</v>
      </c>
      <c r="CS63" s="24">
        <f t="shared" si="142"/>
        <v>6038.4637859181503</v>
      </c>
      <c r="CT63" s="24">
        <f t="shared" si="142"/>
        <v>6123.6262304405282</v>
      </c>
      <c r="CU63" s="24">
        <f t="shared" si="142"/>
        <v>6218.5664566239639</v>
      </c>
      <c r="CV63" s="24">
        <f t="shared" si="142"/>
        <v>6311.5121806158586</v>
      </c>
      <c r="CW63" s="24">
        <f t="shared" si="142"/>
        <v>6348.2836835908511</v>
      </c>
      <c r="CX63" s="24">
        <f t="shared" si="142"/>
        <v>6420.052240904296</v>
      </c>
      <c r="CY63" s="24">
        <f t="shared" si="142"/>
        <v>6466.6961859945504</v>
      </c>
      <c r="CZ63" s="24">
        <f t="shared" si="142"/>
        <v>6551.8187270197104</v>
      </c>
      <c r="DA63" s="24">
        <f t="shared" si="142"/>
        <v>6602.0032540004013</v>
      </c>
      <c r="DB63" s="24">
        <f t="shared" si="142"/>
        <v>6632.1946660220156</v>
      </c>
      <c r="DC63" s="24">
        <f t="shared" si="142"/>
        <v>6725.1983520307467</v>
      </c>
      <c r="DD63" s="24">
        <f t="shared" si="142"/>
        <v>6755.3536148489002</v>
      </c>
      <c r="DE63" s="24">
        <f t="shared" si="142"/>
        <v>6845.1890307974045</v>
      </c>
      <c r="DF63" s="24">
        <f t="shared" si="142"/>
        <v>6939.3966862820607</v>
      </c>
      <c r="DG63" s="24">
        <f t="shared" si="142"/>
        <v>7011.8953784625273</v>
      </c>
      <c r="DH63" s="24">
        <f t="shared" si="142"/>
        <v>7071.1968929068744</v>
      </c>
      <c r="DI63" s="24">
        <f t="shared" si="142"/>
        <v>7159.3941710504305</v>
      </c>
      <c r="DJ63" s="24">
        <f t="shared" si="142"/>
        <v>7254.568432016411</v>
      </c>
      <c r="DK63" s="24">
        <f t="shared" si="142"/>
        <v>7339.6836067576278</v>
      </c>
      <c r="DL63" s="24">
        <f t="shared" si="142"/>
        <v>7407.2539687385624</v>
      </c>
      <c r="DM63" s="24">
        <f t="shared" si="142"/>
        <v>7471.860287212905</v>
      </c>
      <c r="DN63" s="24">
        <f t="shared" si="142"/>
        <v>7553.6167881013198</v>
      </c>
      <c r="DO63" s="24">
        <f t="shared" si="142"/>
        <v>7650.13468522316</v>
      </c>
      <c r="DP63" s="24">
        <f t="shared" si="142"/>
        <v>7748.6704597900762</v>
      </c>
      <c r="DQ63" s="24">
        <f t="shared" si="142"/>
        <v>7833.0546550187601</v>
      </c>
      <c r="DR63" s="24">
        <f t="shared" si="142"/>
        <v>7904.6627446090934</v>
      </c>
      <c r="DS63" s="24">
        <f t="shared" si="142"/>
        <v>8006.1935710776634</v>
      </c>
      <c r="DT63" s="24">
        <f t="shared" si="142"/>
        <v>8081.7997559342202</v>
      </c>
      <c r="DU63" s="24">
        <f t="shared" si="142"/>
        <v>8127.1447050536908</v>
      </c>
      <c r="DV63" s="24">
        <f t="shared" si="142"/>
        <v>8174.9588810379482</v>
      </c>
      <c r="DW63" s="24">
        <f t="shared" si="142"/>
        <v>8265.0300592150725</v>
      </c>
      <c r="DX63" s="24">
        <f t="shared" si="142"/>
        <v>8366.2125057230824</v>
      </c>
      <c r="DY63" s="24">
        <f t="shared" si="142"/>
        <v>8419.785547799529</v>
      </c>
      <c r="DZ63" s="24">
        <f t="shared" si="142"/>
        <v>8481.306043829185</v>
      </c>
      <c r="EA63" s="24">
        <f t="shared" si="142"/>
        <v>8543.7653304736359</v>
      </c>
      <c r="EB63" s="24">
        <f t="shared" si="142"/>
        <v>8636.713189590484</v>
      </c>
      <c r="EC63" s="24">
        <f t="shared" si="142"/>
        <v>8721.968765104788</v>
      </c>
      <c r="ED63" s="24">
        <f t="shared" si="142"/>
        <v>8792.6625148534058</v>
      </c>
      <c r="EE63" s="24">
        <f t="shared" si="142"/>
        <v>8880.3179455426562</v>
      </c>
      <c r="EF63" s="24">
        <f t="shared" si="142"/>
        <v>8929.3113178570657</v>
      </c>
      <c r="EG63" s="24">
        <f t="shared" si="142"/>
        <v>8978.4126139547461</v>
      </c>
      <c r="EH63" s="24">
        <f t="shared" si="142"/>
        <v>9053.770179260955</v>
      </c>
      <c r="EI63" s="24">
        <f t="shared" si="142"/>
        <v>9107.4063192401973</v>
      </c>
      <c r="EJ63" s="24">
        <f t="shared" si="142"/>
        <v>9145.3823530535519</v>
      </c>
      <c r="EK63" s="24">
        <f t="shared" si="142"/>
        <v>9196.6721943297835</v>
      </c>
      <c r="EL63" s="24">
        <f t="shared" si="142"/>
        <v>9268.2353685170765</v>
      </c>
      <c r="EM63" s="24">
        <f t="shared" si="142"/>
        <v>9307.485847019263</v>
      </c>
      <c r="EN63" s="24">
        <f t="shared" ref="EN63:GY63" si="143">EM63+EN40</f>
        <v>9387.4455901634519</v>
      </c>
      <c r="EO63" s="24">
        <f t="shared" si="143"/>
        <v>9459.1876695591818</v>
      </c>
      <c r="EP63" s="24">
        <f t="shared" si="143"/>
        <v>9494.668276955168</v>
      </c>
      <c r="EQ63" s="24">
        <f t="shared" si="143"/>
        <v>9528.7604189312424</v>
      </c>
      <c r="ER63" s="24">
        <f t="shared" si="143"/>
        <v>9604.0692090827633</v>
      </c>
      <c r="ES63" s="24">
        <f t="shared" si="143"/>
        <v>9660.0450841351958</v>
      </c>
      <c r="ET63" s="24">
        <f t="shared" si="143"/>
        <v>9754.9681675348656</v>
      </c>
      <c r="EU63" s="24">
        <f t="shared" si="143"/>
        <v>9852.3366330656609</v>
      </c>
      <c r="EV63" s="24">
        <f t="shared" si="143"/>
        <v>9948.3321216934819</v>
      </c>
      <c r="EW63" s="24">
        <f t="shared" si="143"/>
        <v>10049.755035093011</v>
      </c>
      <c r="EX63" s="24">
        <f t="shared" si="143"/>
        <v>10108.941028531031</v>
      </c>
      <c r="EY63" s="24">
        <f t="shared" si="143"/>
        <v>10187.320112021886</v>
      </c>
      <c r="EZ63" s="24">
        <f t="shared" si="143"/>
        <v>10253.841710395003</v>
      </c>
      <c r="FA63" s="24">
        <f t="shared" si="143"/>
        <v>10352.506824063481</v>
      </c>
      <c r="FB63" s="24">
        <f t="shared" si="143"/>
        <v>10390.49007431887</v>
      </c>
      <c r="FC63" s="24">
        <f t="shared" si="143"/>
        <v>10429.760026145721</v>
      </c>
      <c r="FD63" s="24">
        <f t="shared" si="143"/>
        <v>10528.701153543403</v>
      </c>
      <c r="FE63" s="24">
        <f t="shared" si="143"/>
        <v>10623.234257498179</v>
      </c>
      <c r="FF63" s="24">
        <f t="shared" si="143"/>
        <v>10712.531479294821</v>
      </c>
      <c r="FG63" s="24">
        <f t="shared" si="143"/>
        <v>10772.771157876037</v>
      </c>
      <c r="FH63" s="24">
        <f t="shared" si="143"/>
        <v>10813.25879874555</v>
      </c>
      <c r="FI63" s="24">
        <f t="shared" si="143"/>
        <v>10862.204612877027</v>
      </c>
      <c r="FJ63" s="24">
        <f t="shared" si="143"/>
        <v>10954.580016954129</v>
      </c>
      <c r="FK63" s="24">
        <f t="shared" si="143"/>
        <v>11048.850180770809</v>
      </c>
      <c r="FL63" s="24">
        <f t="shared" si="143"/>
        <v>11088.168783290279</v>
      </c>
      <c r="FM63" s="24">
        <f t="shared" si="143"/>
        <v>11168.970063608935</v>
      </c>
      <c r="FN63" s="24">
        <f t="shared" si="143"/>
        <v>11264.011487230435</v>
      </c>
      <c r="FO63" s="24">
        <f t="shared" si="143"/>
        <v>11334.588933788613</v>
      </c>
      <c r="FP63" s="24">
        <f t="shared" si="143"/>
        <v>11434.205849334825</v>
      </c>
      <c r="FQ63" s="24">
        <f t="shared" si="143"/>
        <v>11511.531049117406</v>
      </c>
      <c r="FR63" s="24">
        <f t="shared" si="143"/>
        <v>11580.187403954589</v>
      </c>
      <c r="FS63" s="24">
        <f t="shared" si="143"/>
        <v>11672.299712984102</v>
      </c>
      <c r="FT63" s="24">
        <f t="shared" si="143"/>
        <v>11772.237907829547</v>
      </c>
      <c r="FU63" s="24">
        <f t="shared" si="143"/>
        <v>11849.458516426979</v>
      </c>
      <c r="FV63" s="24">
        <f t="shared" si="143"/>
        <v>11936.928044288336</v>
      </c>
      <c r="FW63" s="24">
        <f t="shared" si="143"/>
        <v>12016.105214064006</v>
      </c>
      <c r="FX63" s="24">
        <f t="shared" si="143"/>
        <v>12113.840613769971</v>
      </c>
      <c r="FY63" s="24">
        <f t="shared" si="143"/>
        <v>12206.805106690506</v>
      </c>
      <c r="FZ63" s="24">
        <f t="shared" si="143"/>
        <v>12270.203197080677</v>
      </c>
      <c r="GA63" s="24">
        <f t="shared" si="143"/>
        <v>12359.985569387694</v>
      </c>
      <c r="GB63" s="24">
        <f t="shared" si="143"/>
        <v>12427.674414656567</v>
      </c>
      <c r="GC63" s="24">
        <f t="shared" si="143"/>
        <v>12476.68653835911</v>
      </c>
      <c r="GD63" s="24">
        <f t="shared" si="143"/>
        <v>12510.806359331586</v>
      </c>
      <c r="GE63" s="24">
        <f t="shared" si="143"/>
        <v>12542.362289578934</v>
      </c>
      <c r="GF63" s="24">
        <f t="shared" si="143"/>
        <v>12576.544151403812</v>
      </c>
      <c r="GG63" s="24">
        <f t="shared" si="143"/>
        <v>12669.457364633165</v>
      </c>
      <c r="GH63" s="24">
        <f t="shared" si="143"/>
        <v>12712.412814654614</v>
      </c>
      <c r="GI63" s="24">
        <f t="shared" si="143"/>
        <v>12791.496055636084</v>
      </c>
      <c r="GJ63" s="24">
        <f t="shared" si="143"/>
        <v>12838.034187465053</v>
      </c>
      <c r="GK63" s="24">
        <f t="shared" si="143"/>
        <v>12899.473871792476</v>
      </c>
      <c r="GL63" s="24">
        <f t="shared" si="143"/>
        <v>12962.907165468221</v>
      </c>
      <c r="GM63" s="24">
        <f t="shared" si="143"/>
        <v>13010.661797568155</v>
      </c>
      <c r="GN63" s="24">
        <f t="shared" si="143"/>
        <v>13098.287741176047</v>
      </c>
      <c r="GO63" s="24">
        <f t="shared" si="143"/>
        <v>13199.789785581544</v>
      </c>
      <c r="GP63" s="24">
        <f t="shared" si="143"/>
        <v>13282.446605074167</v>
      </c>
      <c r="GQ63" s="24">
        <f t="shared" si="143"/>
        <v>13372.285902384712</v>
      </c>
      <c r="GR63" s="24">
        <f t="shared" si="143"/>
        <v>13422.434340857168</v>
      </c>
      <c r="GS63" s="24">
        <f t="shared" si="143"/>
        <v>13483.737555473623</v>
      </c>
      <c r="GT63" s="24">
        <f t="shared" si="143"/>
        <v>13536.219464301403</v>
      </c>
      <c r="GU63" s="24">
        <f t="shared" si="143"/>
        <v>13597.716794926166</v>
      </c>
      <c r="GV63" s="24">
        <f t="shared" si="143"/>
        <v>13678.493706014491</v>
      </c>
      <c r="GW63" s="24">
        <f t="shared" si="143"/>
        <v>13733.177905139724</v>
      </c>
      <c r="GX63" s="24">
        <f t="shared" si="143"/>
        <v>13807.620804175023</v>
      </c>
      <c r="GY63" s="24">
        <f t="shared" si="143"/>
        <v>13849.432149812998</v>
      </c>
      <c r="GZ63" s="24">
        <f t="shared" ref="GZ63:JK63" si="144">GY63+GZ40</f>
        <v>13889.979304747496</v>
      </c>
      <c r="HA63" s="24">
        <f t="shared" si="144"/>
        <v>13945.92454291393</v>
      </c>
      <c r="HB63" s="24">
        <f t="shared" si="144"/>
        <v>14038.971014575634</v>
      </c>
      <c r="HC63" s="24">
        <f t="shared" si="144"/>
        <v>14070.45050389774</v>
      </c>
      <c r="HD63" s="24">
        <f t="shared" si="144"/>
        <v>14160.248826134291</v>
      </c>
      <c r="HE63" s="24">
        <f t="shared" si="144"/>
        <v>14253.829728130653</v>
      </c>
      <c r="HF63" s="24">
        <f t="shared" si="144"/>
        <v>14339.744344027389</v>
      </c>
      <c r="HG63" s="24">
        <f t="shared" si="144"/>
        <v>14436.371513574277</v>
      </c>
      <c r="HH63" s="24">
        <f t="shared" si="144"/>
        <v>14523.180150195871</v>
      </c>
      <c r="HI63" s="24">
        <f t="shared" si="144"/>
        <v>14570.987818515106</v>
      </c>
      <c r="HJ63" s="24">
        <f t="shared" si="144"/>
        <v>14658.669364999436</v>
      </c>
      <c r="HK63" s="24">
        <f t="shared" si="144"/>
        <v>14701.664177654991</v>
      </c>
      <c r="HL63" s="24">
        <f t="shared" si="144"/>
        <v>14799.516829983753</v>
      </c>
      <c r="HM63" s="24">
        <f t="shared" si="144"/>
        <v>14891.792656594445</v>
      </c>
      <c r="HN63" s="24">
        <f t="shared" si="144"/>
        <v>14979.36882759939</v>
      </c>
      <c r="HO63" s="24">
        <f t="shared" si="144"/>
        <v>15066.826849800089</v>
      </c>
      <c r="HP63" s="24">
        <f t="shared" si="144"/>
        <v>15110.977922836475</v>
      </c>
      <c r="HQ63" s="24">
        <f t="shared" si="144"/>
        <v>15204.108368300762</v>
      </c>
      <c r="HR63" s="24">
        <f t="shared" si="144"/>
        <v>15257.722706369521</v>
      </c>
      <c r="HS63" s="24">
        <f t="shared" si="144"/>
        <v>15293.12183984788</v>
      </c>
      <c r="HT63" s="24">
        <f t="shared" si="144"/>
        <v>15390.812765118819</v>
      </c>
      <c r="HU63" s="24">
        <f t="shared" si="144"/>
        <v>15433.865242331754</v>
      </c>
      <c r="HV63" s="24">
        <f t="shared" si="144"/>
        <v>15534.903669285221</v>
      </c>
      <c r="HW63" s="24">
        <f t="shared" si="144"/>
        <v>15632.853512480595</v>
      </c>
      <c r="HX63" s="24">
        <f t="shared" si="144"/>
        <v>15709.087579776366</v>
      </c>
      <c r="HY63" s="24">
        <f t="shared" si="144"/>
        <v>15808.404906058846</v>
      </c>
      <c r="HZ63" s="24">
        <f t="shared" si="144"/>
        <v>15843.813532665759</v>
      </c>
      <c r="IA63" s="24">
        <f t="shared" si="144"/>
        <v>15886.835494145527</v>
      </c>
      <c r="IB63" s="24">
        <f t="shared" si="144"/>
        <v>15955.365249020242</v>
      </c>
      <c r="IC63" s="24">
        <f t="shared" si="144"/>
        <v>16007.896157158353</v>
      </c>
      <c r="ID63" s="24">
        <f t="shared" si="144"/>
        <v>16107.841516542814</v>
      </c>
      <c r="IE63" s="24">
        <f t="shared" si="144"/>
        <v>16174.421421596788</v>
      </c>
      <c r="IF63" s="24">
        <f t="shared" si="144"/>
        <v>16267.511671083679</v>
      </c>
      <c r="IG63" s="24">
        <f t="shared" si="144"/>
        <v>16325.717523867168</v>
      </c>
      <c r="IH63" s="24">
        <f t="shared" si="144"/>
        <v>16420.293540562194</v>
      </c>
      <c r="II63" s="24">
        <f t="shared" si="144"/>
        <v>16502.065021253631</v>
      </c>
      <c r="IJ63" s="24">
        <f t="shared" si="144"/>
        <v>16583.998270710879</v>
      </c>
      <c r="IK63" s="24">
        <f t="shared" si="144"/>
        <v>16637.554327271682</v>
      </c>
      <c r="IL63" s="24">
        <f t="shared" si="144"/>
        <v>16717.408618454276</v>
      </c>
      <c r="IM63" s="24">
        <f t="shared" si="144"/>
        <v>16801.82705879791</v>
      </c>
      <c r="IN63" s="24">
        <f t="shared" si="144"/>
        <v>16886.153637902404</v>
      </c>
      <c r="IO63" s="24">
        <f t="shared" si="144"/>
        <v>16982.430245985452</v>
      </c>
      <c r="IP63" s="24">
        <f t="shared" si="144"/>
        <v>17059.655507751027</v>
      </c>
      <c r="IQ63" s="24">
        <f t="shared" si="144"/>
        <v>17119.888177565885</v>
      </c>
      <c r="IR63" s="24">
        <f t="shared" si="144"/>
        <v>17191.470352197332</v>
      </c>
      <c r="IS63" s="24">
        <f t="shared" si="144"/>
        <v>17252.812179105575</v>
      </c>
      <c r="IT63" s="24">
        <f t="shared" si="144"/>
        <v>17320.511549557876</v>
      </c>
      <c r="IU63" s="24">
        <f t="shared" si="144"/>
        <v>17368.380957210571</v>
      </c>
      <c r="IV63" s="24">
        <f t="shared" si="144"/>
        <v>17443.893864414931</v>
      </c>
      <c r="IW63" s="24">
        <f t="shared" si="144"/>
        <v>17545.432321538967</v>
      </c>
      <c r="IX63" s="24">
        <f t="shared" si="144"/>
        <v>17612.152629446311</v>
      </c>
      <c r="IY63" s="24">
        <f t="shared" si="144"/>
        <v>17705.221668380476</v>
      </c>
      <c r="IZ63" s="24">
        <f t="shared" si="144"/>
        <v>17775.94698194075</v>
      </c>
      <c r="JA63" s="24">
        <f t="shared" si="144"/>
        <v>17848.459293347638</v>
      </c>
      <c r="JB63" s="24">
        <f t="shared" si="144"/>
        <v>17885.097316657731</v>
      </c>
      <c r="JC63" s="24">
        <f t="shared" si="144"/>
        <v>17977.495583540149</v>
      </c>
      <c r="JD63" s="24">
        <f t="shared" si="144"/>
        <v>18033.519159816406</v>
      </c>
      <c r="JE63" s="24">
        <f t="shared" si="144"/>
        <v>18089.389620929342</v>
      </c>
      <c r="JF63" s="24">
        <f t="shared" si="144"/>
        <v>18148.661944559055</v>
      </c>
      <c r="JG63" s="24">
        <f t="shared" si="144"/>
        <v>18250.300655265171</v>
      </c>
      <c r="JH63" s="24">
        <f t="shared" si="144"/>
        <v>18293.361891356511</v>
      </c>
      <c r="JI63" s="24">
        <f t="shared" si="144"/>
        <v>18386.922762861446</v>
      </c>
      <c r="JJ63" s="24">
        <f t="shared" si="144"/>
        <v>18433.487186639853</v>
      </c>
      <c r="JK63" s="24">
        <f t="shared" si="144"/>
        <v>18473.951842830298</v>
      </c>
      <c r="JL63" s="24">
        <f t="shared" ref="JL63:KI63" si="145">JK63+JL40</f>
        <v>18554.104404830228</v>
      </c>
      <c r="JM63" s="24">
        <f t="shared" si="145"/>
        <v>18651.820699912103</v>
      </c>
      <c r="JN63" s="24">
        <f t="shared" si="145"/>
        <v>18688.578148506549</v>
      </c>
      <c r="JO63" s="24">
        <f t="shared" si="145"/>
        <v>18766.932100509188</v>
      </c>
      <c r="JP63" s="24">
        <f t="shared" si="145"/>
        <v>18797.12121827617</v>
      </c>
      <c r="JQ63" s="24">
        <f t="shared" si="145"/>
        <v>18862.639498414126</v>
      </c>
      <c r="JR63" s="24">
        <f t="shared" si="145"/>
        <v>18958.216423658287</v>
      </c>
      <c r="JS63" s="24">
        <f t="shared" si="145"/>
        <v>19003.694971934176</v>
      </c>
      <c r="JT63" s="24">
        <f t="shared" si="145"/>
        <v>19098.988742351055</v>
      </c>
      <c r="JU63" s="24">
        <f t="shared" si="145"/>
        <v>19192.706095365611</v>
      </c>
      <c r="JV63" s="24">
        <f t="shared" si="145"/>
        <v>19238.081659182404</v>
      </c>
      <c r="JW63" s="24">
        <f t="shared" si="145"/>
        <v>19332.326039897325</v>
      </c>
      <c r="JX63" s="24">
        <f t="shared" si="145"/>
        <v>19363.81600395685</v>
      </c>
      <c r="JY63" s="24">
        <f t="shared" si="145"/>
        <v>19458.149709910631</v>
      </c>
      <c r="JZ63" s="24">
        <f t="shared" si="145"/>
        <v>19525.739526733018</v>
      </c>
      <c r="KA63" s="24">
        <f t="shared" si="145"/>
        <v>19566.314006568529</v>
      </c>
      <c r="KB63" s="24">
        <f t="shared" si="145"/>
        <v>19607.991904629867</v>
      </c>
      <c r="KC63" s="24">
        <f t="shared" si="145"/>
        <v>19705.007825209865</v>
      </c>
      <c r="KD63" s="24">
        <f t="shared" si="145"/>
        <v>19804.177914152595</v>
      </c>
      <c r="KE63" s="24">
        <f t="shared" si="145"/>
        <v>19866.570404964179</v>
      </c>
      <c r="KF63" s="24">
        <f t="shared" si="145"/>
        <v>19958.949359244863</v>
      </c>
      <c r="KG63" s="24">
        <f t="shared" si="145"/>
        <v>20035.374430100277</v>
      </c>
      <c r="KH63" s="24">
        <f t="shared" si="145"/>
        <v>20089.030324481424</v>
      </c>
      <c r="KI63" s="24">
        <f t="shared" si="145"/>
        <v>20152.511330654066</v>
      </c>
      <c r="KJ63" s="1"/>
    </row>
    <row r="64" spans="8:296" x14ac:dyDescent="0.35">
      <c r="H64" s="13" t="s">
        <v>22</v>
      </c>
      <c r="M64" s="29" t="s">
        <v>188</v>
      </c>
      <c r="N64" s="30">
        <f>SUM(N62:N63)</f>
        <v>1299</v>
      </c>
      <c r="O64" s="30">
        <f>SUM(O62:O63)</f>
        <v>1346.9737975083588</v>
      </c>
      <c r="P64" s="30">
        <f t="shared" ref="P64:CA64" si="146">SUM(P62:P63)</f>
        <v>1411.8952865949882</v>
      </c>
      <c r="Q64" s="30">
        <f t="shared" si="146"/>
        <v>1500.6676224918594</v>
      </c>
      <c r="R64" s="30">
        <f t="shared" si="146"/>
        <v>1547.3517195158404</v>
      </c>
      <c r="S64" s="30">
        <f t="shared" si="146"/>
        <v>1590.0944168578296</v>
      </c>
      <c r="T64" s="30">
        <f t="shared" si="146"/>
        <v>1644.1737157148461</v>
      </c>
      <c r="U64" s="30">
        <f t="shared" si="146"/>
        <v>1704.037521766782</v>
      </c>
      <c r="V64" s="30">
        <f t="shared" si="146"/>
        <v>1796.7140569832691</v>
      </c>
      <c r="W64" s="30">
        <f t="shared" si="146"/>
        <v>1892.0451260955231</v>
      </c>
      <c r="X64" s="30">
        <f t="shared" si="146"/>
        <v>1975.2575874847478</v>
      </c>
      <c r="Y64" s="30">
        <f t="shared" si="146"/>
        <v>2045.9510246613791</v>
      </c>
      <c r="Z64" s="30">
        <f t="shared" si="146"/>
        <v>2077.013887014793</v>
      </c>
      <c r="AA64" s="30">
        <f t="shared" si="146"/>
        <v>2167.2535619860118</v>
      </c>
      <c r="AB64" s="30">
        <f t="shared" si="146"/>
        <v>2260.3671309480296</v>
      </c>
      <c r="AC64" s="30">
        <f t="shared" si="146"/>
        <v>2351.743189769426</v>
      </c>
      <c r="AD64" s="30">
        <f t="shared" si="146"/>
        <v>2430.9570489090775</v>
      </c>
      <c r="AE64" s="30">
        <f t="shared" si="146"/>
        <v>2486.9022548779631</v>
      </c>
      <c r="AF64" s="30">
        <f t="shared" si="146"/>
        <v>2532.2380028935986</v>
      </c>
      <c r="AG64" s="30">
        <f t="shared" si="146"/>
        <v>2606.6823200995941</v>
      </c>
      <c r="AH64" s="30">
        <f t="shared" si="146"/>
        <v>2638.1710944085644</v>
      </c>
      <c r="AI64" s="30">
        <f t="shared" si="146"/>
        <v>2713.6748360524471</v>
      </c>
      <c r="AJ64" s="30">
        <f t="shared" si="146"/>
        <v>2749.1615773328663</v>
      </c>
      <c r="AK64" s="30">
        <f t="shared" si="146"/>
        <v>2821.8692912647639</v>
      </c>
      <c r="AL64" s="30">
        <f t="shared" si="146"/>
        <v>2859.790729579237</v>
      </c>
      <c r="AM64" s="30">
        <f t="shared" si="146"/>
        <v>2935.1717394017778</v>
      </c>
      <c r="AN64" s="30">
        <f t="shared" si="146"/>
        <v>3008.7938022032117</v>
      </c>
      <c r="AO64" s="30">
        <f t="shared" si="146"/>
        <v>3050.6182717877896</v>
      </c>
      <c r="AP64" s="30">
        <f t="shared" si="146"/>
        <v>3095.9860429721421</v>
      </c>
      <c r="AQ64" s="30">
        <f t="shared" si="146"/>
        <v>3138.8910290930671</v>
      </c>
      <c r="AR64" s="30">
        <f t="shared" si="146"/>
        <v>3170.4430254919025</v>
      </c>
      <c r="AS64" s="30">
        <f t="shared" si="146"/>
        <v>3245.0176109450726</v>
      </c>
      <c r="AT64" s="30">
        <f t="shared" si="146"/>
        <v>3302.0890768292811</v>
      </c>
      <c r="AU64" s="30">
        <f t="shared" si="146"/>
        <v>3364.4473737432695</v>
      </c>
      <c r="AV64" s="30">
        <f t="shared" si="146"/>
        <v>3424.8717641745789</v>
      </c>
      <c r="AW64" s="30">
        <f t="shared" si="146"/>
        <v>3503.2027285958147</v>
      </c>
      <c r="AX64" s="30">
        <f t="shared" si="146"/>
        <v>3592.265007890061</v>
      </c>
      <c r="AY64" s="30">
        <f t="shared" si="146"/>
        <v>3662.046041637424</v>
      </c>
      <c r="AZ64" s="30">
        <f t="shared" si="146"/>
        <v>3747.3191316753851</v>
      </c>
      <c r="BA64" s="30">
        <f t="shared" si="146"/>
        <v>3821.9067172961827</v>
      </c>
      <c r="BB64" s="30">
        <f t="shared" si="146"/>
        <v>3915.4579150228133</v>
      </c>
      <c r="BC64" s="30">
        <f t="shared" si="146"/>
        <v>3980.0405539039302</v>
      </c>
      <c r="BD64" s="30">
        <f t="shared" si="146"/>
        <v>4011.6122937282644</v>
      </c>
      <c r="BE64" s="30">
        <f t="shared" si="146"/>
        <v>4091.6851239963853</v>
      </c>
      <c r="BF64" s="30">
        <f t="shared" si="146"/>
        <v>4190.36459104598</v>
      </c>
      <c r="BG64" s="30">
        <f t="shared" si="146"/>
        <v>4245.154748948964</v>
      </c>
      <c r="BH64" s="30">
        <f t="shared" si="146"/>
        <v>4316.8656748687818</v>
      </c>
      <c r="BI64" s="30">
        <f t="shared" si="146"/>
        <v>4381.3802551530789</v>
      </c>
      <c r="BJ64" s="30">
        <f t="shared" si="146"/>
        <v>4466.7188250881572</v>
      </c>
      <c r="BK64" s="30">
        <f t="shared" si="146"/>
        <v>4567.3147374678856</v>
      </c>
      <c r="BL64" s="30">
        <f t="shared" si="146"/>
        <v>4645.4118778891607</v>
      </c>
      <c r="BM64" s="30">
        <f t="shared" si="146"/>
        <v>4691.9968336674829</v>
      </c>
      <c r="BN64" s="30">
        <f t="shared" si="146"/>
        <v>4751.2610697566697</v>
      </c>
      <c r="BO64" s="30">
        <f t="shared" si="146"/>
        <v>4817.9545065127713</v>
      </c>
      <c r="BP64" s="30">
        <f t="shared" si="146"/>
        <v>4875.046265372036</v>
      </c>
      <c r="BQ64" s="30">
        <f t="shared" si="146"/>
        <v>4948.5578486398999</v>
      </c>
      <c r="BR64" s="30">
        <f t="shared" si="146"/>
        <v>5030.1467732825668</v>
      </c>
      <c r="BS64" s="30">
        <f t="shared" si="146"/>
        <v>5074.3887652185922</v>
      </c>
      <c r="BT64" s="30">
        <f t="shared" si="146"/>
        <v>5117.4434723883523</v>
      </c>
      <c r="BU64" s="30">
        <f t="shared" si="146"/>
        <v>5166.447719317106</v>
      </c>
      <c r="BV64" s="30">
        <f t="shared" si="146"/>
        <v>5217.7370256079312</v>
      </c>
      <c r="BW64" s="30">
        <f t="shared" si="146"/>
        <v>5264.2711396326049</v>
      </c>
      <c r="BX64" s="30">
        <f t="shared" si="146"/>
        <v>5320.2317598908758</v>
      </c>
      <c r="BY64" s="30">
        <f t="shared" si="146"/>
        <v>5409.2323101333168</v>
      </c>
      <c r="BZ64" s="30">
        <f t="shared" si="146"/>
        <v>5481.7911711765501</v>
      </c>
      <c r="CA64" s="30">
        <f t="shared" si="146"/>
        <v>5531.9725120970597</v>
      </c>
      <c r="CB64" s="30">
        <f t="shared" ref="CB64:EM64" si="147">SUM(CB62:CB63)</f>
        <v>5591.2757432495482</v>
      </c>
      <c r="CC64" s="30">
        <f t="shared" si="147"/>
        <v>5640.1889047460854</v>
      </c>
      <c r="CD64" s="30">
        <f t="shared" si="147"/>
        <v>5678.2332828711087</v>
      </c>
      <c r="CE64" s="30">
        <f t="shared" si="147"/>
        <v>5716.2382247024861</v>
      </c>
      <c r="CF64" s="30">
        <f t="shared" si="147"/>
        <v>5751.7292345547312</v>
      </c>
      <c r="CG64" s="30">
        <f t="shared" si="147"/>
        <v>5826.2081792667832</v>
      </c>
      <c r="CH64" s="30">
        <f t="shared" si="147"/>
        <v>5872.8448102391385</v>
      </c>
      <c r="CI64" s="30">
        <f t="shared" si="147"/>
        <v>5936.4242136468956</v>
      </c>
      <c r="CJ64" s="30">
        <f t="shared" si="147"/>
        <v>6033.450625042271</v>
      </c>
      <c r="CK64" s="30">
        <f t="shared" si="147"/>
        <v>6106.9117766321488</v>
      </c>
      <c r="CL64" s="30">
        <f t="shared" si="147"/>
        <v>6180.4432837119475</v>
      </c>
      <c r="CM64" s="30">
        <f t="shared" si="147"/>
        <v>6253.0286217323192</v>
      </c>
      <c r="CN64" s="30">
        <f t="shared" si="147"/>
        <v>6333.9744347764345</v>
      </c>
      <c r="CO64" s="30">
        <f t="shared" si="147"/>
        <v>6380.5286575998853</v>
      </c>
      <c r="CP64" s="30">
        <f t="shared" si="147"/>
        <v>6465.571604360387</v>
      </c>
      <c r="CQ64" s="30">
        <f t="shared" si="147"/>
        <v>6560.4823705526451</v>
      </c>
      <c r="CR64" s="30">
        <f t="shared" si="147"/>
        <v>6662.1311736089492</v>
      </c>
      <c r="CS64" s="30">
        <f t="shared" si="147"/>
        <v>6738.4637859181503</v>
      </c>
      <c r="CT64" s="30">
        <f t="shared" si="147"/>
        <v>6823.6262304405282</v>
      </c>
      <c r="CU64" s="30">
        <f t="shared" si="147"/>
        <v>6918.5664566239639</v>
      </c>
      <c r="CV64" s="30">
        <f t="shared" si="147"/>
        <v>7011.5121806158586</v>
      </c>
      <c r="CW64" s="30">
        <f t="shared" si="147"/>
        <v>7048.2836835908511</v>
      </c>
      <c r="CX64" s="30">
        <f t="shared" si="147"/>
        <v>7120.052240904296</v>
      </c>
      <c r="CY64" s="30">
        <f t="shared" si="147"/>
        <v>7166.6961859945504</v>
      </c>
      <c r="CZ64" s="30">
        <f t="shared" si="147"/>
        <v>7251.8187270197104</v>
      </c>
      <c r="DA64" s="30">
        <f t="shared" si="147"/>
        <v>7302.0032540004013</v>
      </c>
      <c r="DB64" s="30">
        <f t="shared" si="147"/>
        <v>7332.1946660220156</v>
      </c>
      <c r="DC64" s="30">
        <f t="shared" si="147"/>
        <v>7425.1983520307467</v>
      </c>
      <c r="DD64" s="30">
        <f t="shared" si="147"/>
        <v>7455.3536148489002</v>
      </c>
      <c r="DE64" s="30">
        <f t="shared" si="147"/>
        <v>7545.1890307974045</v>
      </c>
      <c r="DF64" s="30">
        <f t="shared" si="147"/>
        <v>7639.3966862820607</v>
      </c>
      <c r="DG64" s="30">
        <f t="shared" si="147"/>
        <v>7711.8953784625273</v>
      </c>
      <c r="DH64" s="30">
        <f t="shared" si="147"/>
        <v>7771.1968929068744</v>
      </c>
      <c r="DI64" s="30">
        <f t="shared" si="147"/>
        <v>7859.3941710504305</v>
      </c>
      <c r="DJ64" s="30">
        <f t="shared" si="147"/>
        <v>7954.568432016411</v>
      </c>
      <c r="DK64" s="30">
        <f t="shared" si="147"/>
        <v>8039.6836067576278</v>
      </c>
      <c r="DL64" s="30">
        <f t="shared" si="147"/>
        <v>8107.2539687385624</v>
      </c>
      <c r="DM64" s="30">
        <f t="shared" si="147"/>
        <v>8171.860287212905</v>
      </c>
      <c r="DN64" s="30">
        <f t="shared" si="147"/>
        <v>8253.6167881013207</v>
      </c>
      <c r="DO64" s="30">
        <f t="shared" si="147"/>
        <v>8350.13468522316</v>
      </c>
      <c r="DP64" s="30">
        <f t="shared" si="147"/>
        <v>8448.6704597900753</v>
      </c>
      <c r="DQ64" s="30">
        <f t="shared" si="147"/>
        <v>8533.054655018761</v>
      </c>
      <c r="DR64" s="30">
        <f t="shared" si="147"/>
        <v>8604.6627446090934</v>
      </c>
      <c r="DS64" s="30">
        <f t="shared" si="147"/>
        <v>8706.1935710776634</v>
      </c>
      <c r="DT64" s="30">
        <f t="shared" si="147"/>
        <v>8781.7997559342202</v>
      </c>
      <c r="DU64" s="30">
        <f t="shared" si="147"/>
        <v>8827.1447050536917</v>
      </c>
      <c r="DV64" s="30">
        <f t="shared" si="147"/>
        <v>8874.9588810379482</v>
      </c>
      <c r="DW64" s="30">
        <f t="shared" si="147"/>
        <v>8965.0300592150725</v>
      </c>
      <c r="DX64" s="30">
        <f t="shared" si="147"/>
        <v>9066.2125057230824</v>
      </c>
      <c r="DY64" s="30">
        <f t="shared" si="147"/>
        <v>9119.785547799529</v>
      </c>
      <c r="DZ64" s="30">
        <f t="shared" si="147"/>
        <v>9181.306043829185</v>
      </c>
      <c r="EA64" s="30">
        <f t="shared" si="147"/>
        <v>9243.7653304736359</v>
      </c>
      <c r="EB64" s="30">
        <f t="shared" si="147"/>
        <v>9336.713189590484</v>
      </c>
      <c r="EC64" s="30">
        <f t="shared" si="147"/>
        <v>9421.968765104788</v>
      </c>
      <c r="ED64" s="30">
        <f t="shared" si="147"/>
        <v>9492.6625148534058</v>
      </c>
      <c r="EE64" s="30">
        <f t="shared" si="147"/>
        <v>9580.3179455426562</v>
      </c>
      <c r="EF64" s="30">
        <f t="shared" si="147"/>
        <v>9629.3113178570657</v>
      </c>
      <c r="EG64" s="30">
        <f t="shared" si="147"/>
        <v>9678.4126139547461</v>
      </c>
      <c r="EH64" s="30">
        <f t="shared" si="147"/>
        <v>9753.770179260955</v>
      </c>
      <c r="EI64" s="30">
        <f t="shared" si="147"/>
        <v>9807.4063192401973</v>
      </c>
      <c r="EJ64" s="30">
        <f t="shared" si="147"/>
        <v>9845.3823530535519</v>
      </c>
      <c r="EK64" s="30">
        <f t="shared" si="147"/>
        <v>9896.6721943297835</v>
      </c>
      <c r="EL64" s="30">
        <f t="shared" si="147"/>
        <v>9968.2353685170765</v>
      </c>
      <c r="EM64" s="30">
        <f t="shared" si="147"/>
        <v>10007.485847019263</v>
      </c>
      <c r="EN64" s="30">
        <f t="shared" ref="EN64:GY64" si="148">SUM(EN62:EN63)</f>
        <v>10087.445590163452</v>
      </c>
      <c r="EO64" s="30">
        <f t="shared" si="148"/>
        <v>10159.187669559182</v>
      </c>
      <c r="EP64" s="30">
        <f t="shared" si="148"/>
        <v>10194.668276955168</v>
      </c>
      <c r="EQ64" s="30">
        <f t="shared" si="148"/>
        <v>10228.760418931242</v>
      </c>
      <c r="ER64" s="30">
        <f t="shared" si="148"/>
        <v>10304.069209082763</v>
      </c>
      <c r="ES64" s="30">
        <f t="shared" si="148"/>
        <v>10360.045084135196</v>
      </c>
      <c r="ET64" s="30">
        <f t="shared" si="148"/>
        <v>10454.968167534866</v>
      </c>
      <c r="EU64" s="30">
        <f t="shared" si="148"/>
        <v>10552.336633065661</v>
      </c>
      <c r="EV64" s="30">
        <f t="shared" si="148"/>
        <v>10648.332121693482</v>
      </c>
      <c r="EW64" s="30">
        <f t="shared" si="148"/>
        <v>10749.755035093011</v>
      </c>
      <c r="EX64" s="30">
        <f t="shared" si="148"/>
        <v>10808.941028531031</v>
      </c>
      <c r="EY64" s="30">
        <f t="shared" si="148"/>
        <v>10887.320112021886</v>
      </c>
      <c r="EZ64" s="30">
        <f t="shared" si="148"/>
        <v>10953.841710395003</v>
      </c>
      <c r="FA64" s="30">
        <f t="shared" si="148"/>
        <v>11052.506824063481</v>
      </c>
      <c r="FB64" s="30">
        <f t="shared" si="148"/>
        <v>11090.49007431887</v>
      </c>
      <c r="FC64" s="30">
        <f t="shared" si="148"/>
        <v>11129.760026145721</v>
      </c>
      <c r="FD64" s="30">
        <f t="shared" si="148"/>
        <v>11228.701153543403</v>
      </c>
      <c r="FE64" s="30">
        <f t="shared" si="148"/>
        <v>11323.234257498179</v>
      </c>
      <c r="FF64" s="30">
        <f t="shared" si="148"/>
        <v>11412.531479294821</v>
      </c>
      <c r="FG64" s="30">
        <f t="shared" si="148"/>
        <v>11472.771157876037</v>
      </c>
      <c r="FH64" s="30">
        <f t="shared" si="148"/>
        <v>11513.25879874555</v>
      </c>
      <c r="FI64" s="30">
        <f t="shared" si="148"/>
        <v>11562.204612877027</v>
      </c>
      <c r="FJ64" s="30">
        <f t="shared" si="148"/>
        <v>11654.580016954129</v>
      </c>
      <c r="FK64" s="30">
        <f t="shared" si="148"/>
        <v>11748.850180770809</v>
      </c>
      <c r="FL64" s="30">
        <f t="shared" si="148"/>
        <v>11788.168783290279</v>
      </c>
      <c r="FM64" s="30">
        <f t="shared" si="148"/>
        <v>11868.970063608935</v>
      </c>
      <c r="FN64" s="30">
        <f t="shared" si="148"/>
        <v>11964.011487230435</v>
      </c>
      <c r="FO64" s="30">
        <f t="shared" si="148"/>
        <v>12034.588933788613</v>
      </c>
      <c r="FP64" s="30">
        <f t="shared" si="148"/>
        <v>12134.205849334825</v>
      </c>
      <c r="FQ64" s="30">
        <f t="shared" si="148"/>
        <v>12211.531049117406</v>
      </c>
      <c r="FR64" s="30">
        <f t="shared" si="148"/>
        <v>12280.187403954589</v>
      </c>
      <c r="FS64" s="30">
        <f t="shared" si="148"/>
        <v>12372.299712984102</v>
      </c>
      <c r="FT64" s="30">
        <f t="shared" si="148"/>
        <v>12472.237907829547</v>
      </c>
      <c r="FU64" s="30">
        <f t="shared" si="148"/>
        <v>12549.458516426979</v>
      </c>
      <c r="FV64" s="30">
        <f t="shared" si="148"/>
        <v>12636.928044288336</v>
      </c>
      <c r="FW64" s="30">
        <f t="shared" si="148"/>
        <v>12716.105214064006</v>
      </c>
      <c r="FX64" s="30">
        <f t="shared" si="148"/>
        <v>12813.840613769971</v>
      </c>
      <c r="FY64" s="30">
        <f t="shared" si="148"/>
        <v>12906.805106690506</v>
      </c>
      <c r="FZ64" s="30">
        <f t="shared" si="148"/>
        <v>12970.203197080677</v>
      </c>
      <c r="GA64" s="30">
        <f t="shared" si="148"/>
        <v>13059.985569387694</v>
      </c>
      <c r="GB64" s="30">
        <f t="shared" si="148"/>
        <v>13127.674414656567</v>
      </c>
      <c r="GC64" s="30">
        <f t="shared" si="148"/>
        <v>13176.68653835911</v>
      </c>
      <c r="GD64" s="30">
        <f t="shared" si="148"/>
        <v>13210.806359331586</v>
      </c>
      <c r="GE64" s="30">
        <f t="shared" si="148"/>
        <v>13242.362289578934</v>
      </c>
      <c r="GF64" s="30">
        <f t="shared" si="148"/>
        <v>13276.544151403812</v>
      </c>
      <c r="GG64" s="30">
        <f t="shared" si="148"/>
        <v>13369.457364633165</v>
      </c>
      <c r="GH64" s="30">
        <f t="shared" si="148"/>
        <v>13412.412814654614</v>
      </c>
      <c r="GI64" s="30">
        <f t="shared" si="148"/>
        <v>13491.496055636084</v>
      </c>
      <c r="GJ64" s="30">
        <f t="shared" si="148"/>
        <v>13538.034187465053</v>
      </c>
      <c r="GK64" s="30">
        <f t="shared" si="148"/>
        <v>13599.473871792476</v>
      </c>
      <c r="GL64" s="30">
        <f t="shared" si="148"/>
        <v>13662.907165468221</v>
      </c>
      <c r="GM64" s="30">
        <f t="shared" si="148"/>
        <v>13710.661797568155</v>
      </c>
      <c r="GN64" s="30">
        <f t="shared" si="148"/>
        <v>13798.287741176047</v>
      </c>
      <c r="GO64" s="30">
        <f t="shared" si="148"/>
        <v>13899.789785581544</v>
      </c>
      <c r="GP64" s="30">
        <f t="shared" si="148"/>
        <v>13982.446605074167</v>
      </c>
      <c r="GQ64" s="30">
        <f t="shared" si="148"/>
        <v>14072.285902384712</v>
      </c>
      <c r="GR64" s="30">
        <f t="shared" si="148"/>
        <v>14122.434340857168</v>
      </c>
      <c r="GS64" s="30">
        <f t="shared" si="148"/>
        <v>14183.737555473623</v>
      </c>
      <c r="GT64" s="30">
        <f t="shared" si="148"/>
        <v>14236.219464301403</v>
      </c>
      <c r="GU64" s="30">
        <f t="shared" si="148"/>
        <v>14297.716794926166</v>
      </c>
      <c r="GV64" s="30">
        <f t="shared" si="148"/>
        <v>14378.493706014491</v>
      </c>
      <c r="GW64" s="30">
        <f t="shared" si="148"/>
        <v>14433.177905139724</v>
      </c>
      <c r="GX64" s="30">
        <f t="shared" si="148"/>
        <v>14507.620804175023</v>
      </c>
      <c r="GY64" s="30">
        <f t="shared" si="148"/>
        <v>14549.432149812998</v>
      </c>
      <c r="GZ64" s="30">
        <f t="shared" ref="GZ64:JK64" si="149">SUM(GZ62:GZ63)</f>
        <v>14589.979304747496</v>
      </c>
      <c r="HA64" s="30">
        <f t="shared" si="149"/>
        <v>14645.92454291393</v>
      </c>
      <c r="HB64" s="30">
        <f t="shared" si="149"/>
        <v>14738.971014575634</v>
      </c>
      <c r="HC64" s="30">
        <f t="shared" si="149"/>
        <v>14770.45050389774</v>
      </c>
      <c r="HD64" s="30">
        <f t="shared" si="149"/>
        <v>14860.248826134291</v>
      </c>
      <c r="HE64" s="30">
        <f t="shared" si="149"/>
        <v>14953.829728130653</v>
      </c>
      <c r="HF64" s="30">
        <f t="shared" si="149"/>
        <v>15039.744344027389</v>
      </c>
      <c r="HG64" s="30">
        <f t="shared" si="149"/>
        <v>15136.371513574277</v>
      </c>
      <c r="HH64" s="30">
        <f t="shared" si="149"/>
        <v>15223.180150195871</v>
      </c>
      <c r="HI64" s="30">
        <f t="shared" si="149"/>
        <v>15270.987818515106</v>
      </c>
      <c r="HJ64" s="30">
        <f t="shared" si="149"/>
        <v>15358.669364999436</v>
      </c>
      <c r="HK64" s="30">
        <f t="shared" si="149"/>
        <v>15401.664177654991</v>
      </c>
      <c r="HL64" s="30">
        <f t="shared" si="149"/>
        <v>15499.516829983753</v>
      </c>
      <c r="HM64" s="30">
        <f t="shared" si="149"/>
        <v>15591.792656594445</v>
      </c>
      <c r="HN64" s="30">
        <f t="shared" si="149"/>
        <v>15679.36882759939</v>
      </c>
      <c r="HO64" s="30">
        <f t="shared" si="149"/>
        <v>15766.826849800089</v>
      </c>
      <c r="HP64" s="30">
        <f t="shared" si="149"/>
        <v>15810.977922836475</v>
      </c>
      <c r="HQ64" s="30">
        <f t="shared" si="149"/>
        <v>15904.108368300762</v>
      </c>
      <c r="HR64" s="30">
        <f t="shared" si="149"/>
        <v>15957.722706369521</v>
      </c>
      <c r="HS64" s="30">
        <f t="shared" si="149"/>
        <v>15993.12183984788</v>
      </c>
      <c r="HT64" s="30">
        <f t="shared" si="149"/>
        <v>16090.812765118819</v>
      </c>
      <c r="HU64" s="30">
        <f t="shared" si="149"/>
        <v>16133.865242331754</v>
      </c>
      <c r="HV64" s="30">
        <f t="shared" si="149"/>
        <v>16234.903669285221</v>
      </c>
      <c r="HW64" s="30">
        <f t="shared" si="149"/>
        <v>16332.853512480595</v>
      </c>
      <c r="HX64" s="30">
        <f t="shared" si="149"/>
        <v>16409.087579776366</v>
      </c>
      <c r="HY64" s="30">
        <f t="shared" si="149"/>
        <v>16508.404906058844</v>
      </c>
      <c r="HZ64" s="30">
        <f t="shared" si="149"/>
        <v>16543.813532665758</v>
      </c>
      <c r="IA64" s="30">
        <f t="shared" si="149"/>
        <v>16586.835494145525</v>
      </c>
      <c r="IB64" s="30">
        <f t="shared" si="149"/>
        <v>16655.365249020244</v>
      </c>
      <c r="IC64" s="30">
        <f t="shared" si="149"/>
        <v>16707.896157158353</v>
      </c>
      <c r="ID64" s="30">
        <f t="shared" si="149"/>
        <v>16807.841516542816</v>
      </c>
      <c r="IE64" s="30">
        <f t="shared" si="149"/>
        <v>16874.421421596788</v>
      </c>
      <c r="IF64" s="30">
        <f t="shared" si="149"/>
        <v>16967.511671083681</v>
      </c>
      <c r="IG64" s="30">
        <f t="shared" si="149"/>
        <v>17025.71752386717</v>
      </c>
      <c r="IH64" s="30">
        <f t="shared" si="149"/>
        <v>17120.293540562194</v>
      </c>
      <c r="II64" s="30">
        <f t="shared" si="149"/>
        <v>17202.065021253631</v>
      </c>
      <c r="IJ64" s="30">
        <f t="shared" si="149"/>
        <v>17283.998270710879</v>
      </c>
      <c r="IK64" s="30">
        <f t="shared" si="149"/>
        <v>17337.554327271682</v>
      </c>
      <c r="IL64" s="30">
        <f t="shared" si="149"/>
        <v>17417.408618454276</v>
      </c>
      <c r="IM64" s="30">
        <f t="shared" si="149"/>
        <v>17501.82705879791</v>
      </c>
      <c r="IN64" s="30">
        <f t="shared" si="149"/>
        <v>17586.153637902404</v>
      </c>
      <c r="IO64" s="30">
        <f t="shared" si="149"/>
        <v>17682.430245985452</v>
      </c>
      <c r="IP64" s="30">
        <f t="shared" si="149"/>
        <v>17759.655507751027</v>
      </c>
      <c r="IQ64" s="30">
        <f t="shared" si="149"/>
        <v>17819.888177565885</v>
      </c>
      <c r="IR64" s="30">
        <f t="shared" si="149"/>
        <v>17891.470352197332</v>
      </c>
      <c r="IS64" s="30">
        <f t="shared" si="149"/>
        <v>17952.812179105575</v>
      </c>
      <c r="IT64" s="30">
        <f t="shared" si="149"/>
        <v>18020.511549557876</v>
      </c>
      <c r="IU64" s="30">
        <f t="shared" si="149"/>
        <v>18068.380957210571</v>
      </c>
      <c r="IV64" s="30">
        <f t="shared" si="149"/>
        <v>18143.893864414931</v>
      </c>
      <c r="IW64" s="30">
        <f t="shared" si="149"/>
        <v>18245.432321538967</v>
      </c>
      <c r="IX64" s="30">
        <f t="shared" si="149"/>
        <v>18312.152629446311</v>
      </c>
      <c r="IY64" s="30">
        <f t="shared" si="149"/>
        <v>18405.221668380476</v>
      </c>
      <c r="IZ64" s="30">
        <f t="shared" si="149"/>
        <v>18475.94698194075</v>
      </c>
      <c r="JA64" s="30">
        <f t="shared" si="149"/>
        <v>18548.459293347638</v>
      </c>
      <c r="JB64" s="30">
        <f t="shared" si="149"/>
        <v>18585.097316657731</v>
      </c>
      <c r="JC64" s="30">
        <f t="shared" si="149"/>
        <v>18677.495583540149</v>
      </c>
      <c r="JD64" s="30">
        <f t="shared" si="149"/>
        <v>18733.519159816406</v>
      </c>
      <c r="JE64" s="30">
        <f t="shared" si="149"/>
        <v>18789.389620929342</v>
      </c>
      <c r="JF64" s="30">
        <f t="shared" si="149"/>
        <v>18848.661944559055</v>
      </c>
      <c r="JG64" s="30">
        <f t="shared" si="149"/>
        <v>18950.300655265171</v>
      </c>
      <c r="JH64" s="30">
        <f t="shared" si="149"/>
        <v>18993.361891356511</v>
      </c>
      <c r="JI64" s="30">
        <f t="shared" si="149"/>
        <v>19086.922762861446</v>
      </c>
      <c r="JJ64" s="30">
        <f t="shared" si="149"/>
        <v>19133.487186639853</v>
      </c>
      <c r="JK64" s="30">
        <f t="shared" si="149"/>
        <v>19173.951842830298</v>
      </c>
      <c r="JL64" s="30">
        <f t="shared" ref="JL64:KI64" si="150">SUM(JL62:JL63)</f>
        <v>19254.104404830228</v>
      </c>
      <c r="JM64" s="30">
        <f t="shared" si="150"/>
        <v>19351.820699912103</v>
      </c>
      <c r="JN64" s="30">
        <f t="shared" si="150"/>
        <v>19388.578148506549</v>
      </c>
      <c r="JO64" s="30">
        <f t="shared" si="150"/>
        <v>19466.932100509188</v>
      </c>
      <c r="JP64" s="30">
        <f t="shared" si="150"/>
        <v>19497.12121827617</v>
      </c>
      <c r="JQ64" s="30">
        <f t="shared" si="150"/>
        <v>19562.639498414126</v>
      </c>
      <c r="JR64" s="30">
        <f t="shared" si="150"/>
        <v>19658.216423658287</v>
      </c>
      <c r="JS64" s="30">
        <f t="shared" si="150"/>
        <v>19703.694971934176</v>
      </c>
      <c r="JT64" s="30">
        <f t="shared" si="150"/>
        <v>19798.988742351055</v>
      </c>
      <c r="JU64" s="30">
        <f t="shared" si="150"/>
        <v>19892.706095365611</v>
      </c>
      <c r="JV64" s="30">
        <f t="shared" si="150"/>
        <v>19938.081659182404</v>
      </c>
      <c r="JW64" s="30">
        <f t="shared" si="150"/>
        <v>20032.326039897325</v>
      </c>
      <c r="JX64" s="30">
        <f t="shared" si="150"/>
        <v>20063.81600395685</v>
      </c>
      <c r="JY64" s="30">
        <f t="shared" si="150"/>
        <v>20158.149709910631</v>
      </c>
      <c r="JZ64" s="30">
        <f t="shared" si="150"/>
        <v>20225.739526733018</v>
      </c>
      <c r="KA64" s="30">
        <f t="shared" si="150"/>
        <v>20266.314006568529</v>
      </c>
      <c r="KB64" s="30">
        <f t="shared" si="150"/>
        <v>20307.991904629867</v>
      </c>
      <c r="KC64" s="30">
        <f t="shared" si="150"/>
        <v>20405.007825209865</v>
      </c>
      <c r="KD64" s="30">
        <f t="shared" si="150"/>
        <v>20504.177914152595</v>
      </c>
      <c r="KE64" s="30">
        <f t="shared" si="150"/>
        <v>20566.570404964179</v>
      </c>
      <c r="KF64" s="30">
        <f t="shared" si="150"/>
        <v>20658.949359244863</v>
      </c>
      <c r="KG64" s="30">
        <f t="shared" si="150"/>
        <v>20735.374430100277</v>
      </c>
      <c r="KH64" s="30">
        <f t="shared" si="150"/>
        <v>20789.030324481424</v>
      </c>
      <c r="KI64" s="30">
        <f t="shared" si="150"/>
        <v>20852.511330654066</v>
      </c>
      <c r="KJ64" s="1"/>
    </row>
    <row r="65" spans="7:296" x14ac:dyDescent="0.35">
      <c r="KJ65" s="1"/>
    </row>
    <row r="66" spans="7:296" x14ac:dyDescent="0.35">
      <c r="M66" s="29" t="s">
        <v>194</v>
      </c>
      <c r="N66" s="30">
        <f t="shared" ref="N66:R66" si="151">N58-N61-N64</f>
        <v>0</v>
      </c>
      <c r="O66" s="30">
        <f t="shared" si="151"/>
        <v>0</v>
      </c>
      <c r="P66" s="30">
        <f t="shared" si="151"/>
        <v>0</v>
      </c>
      <c r="Q66" s="30">
        <f t="shared" si="151"/>
        <v>0</v>
      </c>
      <c r="R66" s="30">
        <f t="shared" si="151"/>
        <v>0</v>
      </c>
      <c r="S66" s="30">
        <f>S58-S61-S64</f>
        <v>0</v>
      </c>
      <c r="T66" s="30">
        <f t="shared" ref="T66:CE66" si="152">T58-T61-T64</f>
        <v>0</v>
      </c>
      <c r="U66" s="30">
        <f t="shared" si="152"/>
        <v>0</v>
      </c>
      <c r="V66" s="30">
        <f t="shared" si="152"/>
        <v>0</v>
      </c>
      <c r="W66" s="30">
        <f t="shared" si="152"/>
        <v>0</v>
      </c>
      <c r="X66" s="30">
        <f t="shared" si="152"/>
        <v>0</v>
      </c>
      <c r="Y66" s="30">
        <f t="shared" si="152"/>
        <v>0</v>
      </c>
      <c r="Z66" s="30">
        <f t="shared" si="152"/>
        <v>0</v>
      </c>
      <c r="AA66" s="30">
        <f t="shared" si="152"/>
        <v>0</v>
      </c>
      <c r="AB66" s="30">
        <f t="shared" si="152"/>
        <v>0</v>
      </c>
      <c r="AC66" s="30">
        <f t="shared" si="152"/>
        <v>0</v>
      </c>
      <c r="AD66" s="30">
        <f t="shared" si="152"/>
        <v>0</v>
      </c>
      <c r="AE66" s="30">
        <f t="shared" si="152"/>
        <v>0</v>
      </c>
      <c r="AF66" s="30">
        <f t="shared" si="152"/>
        <v>0</v>
      </c>
      <c r="AG66" s="30">
        <f t="shared" si="152"/>
        <v>0</v>
      </c>
      <c r="AH66" s="30">
        <f t="shared" si="152"/>
        <v>0</v>
      </c>
      <c r="AI66" s="30">
        <f t="shared" si="152"/>
        <v>0</v>
      </c>
      <c r="AJ66" s="30">
        <f t="shared" si="152"/>
        <v>0</v>
      </c>
      <c r="AK66" s="30">
        <f t="shared" si="152"/>
        <v>0</v>
      </c>
      <c r="AL66" s="30">
        <f t="shared" si="152"/>
        <v>0</v>
      </c>
      <c r="AM66" s="30">
        <f t="shared" si="152"/>
        <v>0</v>
      </c>
      <c r="AN66" s="30">
        <f t="shared" si="152"/>
        <v>0</v>
      </c>
      <c r="AO66" s="30">
        <f t="shared" si="152"/>
        <v>0</v>
      </c>
      <c r="AP66" s="30">
        <f t="shared" si="152"/>
        <v>0</v>
      </c>
      <c r="AQ66" s="30">
        <f t="shared" si="152"/>
        <v>0</v>
      </c>
      <c r="AR66" s="30">
        <f t="shared" si="152"/>
        <v>0</v>
      </c>
      <c r="AS66" s="30">
        <f t="shared" si="152"/>
        <v>0</v>
      </c>
      <c r="AT66" s="30">
        <f t="shared" si="152"/>
        <v>0</v>
      </c>
      <c r="AU66" s="30">
        <f t="shared" si="152"/>
        <v>0</v>
      </c>
      <c r="AV66" s="30">
        <f t="shared" si="152"/>
        <v>0</v>
      </c>
      <c r="AW66" s="30">
        <f t="shared" si="152"/>
        <v>0</v>
      </c>
      <c r="AX66" s="30">
        <f t="shared" si="152"/>
        <v>0</v>
      </c>
      <c r="AY66" s="30">
        <f t="shared" si="152"/>
        <v>0</v>
      </c>
      <c r="AZ66" s="30">
        <f t="shared" si="152"/>
        <v>0</v>
      </c>
      <c r="BA66" s="30">
        <f t="shared" si="152"/>
        <v>0</v>
      </c>
      <c r="BB66" s="30">
        <f t="shared" si="152"/>
        <v>0</v>
      </c>
      <c r="BC66" s="30">
        <f t="shared" si="152"/>
        <v>0</v>
      </c>
      <c r="BD66" s="30">
        <f t="shared" si="152"/>
        <v>0</v>
      </c>
      <c r="BE66" s="30">
        <f t="shared" si="152"/>
        <v>0</v>
      </c>
      <c r="BF66" s="30">
        <f t="shared" si="152"/>
        <v>0</v>
      </c>
      <c r="BG66" s="30">
        <f t="shared" si="152"/>
        <v>0</v>
      </c>
      <c r="BH66" s="30">
        <f t="shared" si="152"/>
        <v>0</v>
      </c>
      <c r="BI66" s="30">
        <f t="shared" si="152"/>
        <v>0</v>
      </c>
      <c r="BJ66" s="30">
        <f t="shared" si="152"/>
        <v>0</v>
      </c>
      <c r="BK66" s="30">
        <f t="shared" si="152"/>
        <v>0</v>
      </c>
      <c r="BL66" s="30">
        <f t="shared" si="152"/>
        <v>0</v>
      </c>
      <c r="BM66" s="30">
        <f t="shared" si="152"/>
        <v>0</v>
      </c>
      <c r="BN66" s="30">
        <f t="shared" si="152"/>
        <v>0</v>
      </c>
      <c r="BO66" s="30">
        <f t="shared" si="152"/>
        <v>0</v>
      </c>
      <c r="BP66" s="30">
        <f t="shared" si="152"/>
        <v>0</v>
      </c>
      <c r="BQ66" s="30">
        <f t="shared" si="152"/>
        <v>0</v>
      </c>
      <c r="BR66" s="30">
        <f t="shared" si="152"/>
        <v>0</v>
      </c>
      <c r="BS66" s="30">
        <f t="shared" si="152"/>
        <v>0</v>
      </c>
      <c r="BT66" s="30">
        <f t="shared" si="152"/>
        <v>0</v>
      </c>
      <c r="BU66" s="30">
        <f t="shared" si="152"/>
        <v>0</v>
      </c>
      <c r="BV66" s="30">
        <f t="shared" si="152"/>
        <v>0</v>
      </c>
      <c r="BW66" s="30">
        <f t="shared" si="152"/>
        <v>0</v>
      </c>
      <c r="BX66" s="30">
        <f t="shared" si="152"/>
        <v>0</v>
      </c>
      <c r="BY66" s="30">
        <f t="shared" si="152"/>
        <v>0</v>
      </c>
      <c r="BZ66" s="30">
        <f t="shared" si="152"/>
        <v>0</v>
      </c>
      <c r="CA66" s="30">
        <f t="shared" si="152"/>
        <v>0</v>
      </c>
      <c r="CB66" s="30">
        <f t="shared" si="152"/>
        <v>0</v>
      </c>
      <c r="CC66" s="30">
        <f t="shared" si="152"/>
        <v>0</v>
      </c>
      <c r="CD66" s="30">
        <f t="shared" si="152"/>
        <v>0</v>
      </c>
      <c r="CE66" s="30">
        <f t="shared" si="152"/>
        <v>0</v>
      </c>
      <c r="CF66" s="30">
        <f t="shared" ref="CF66:EQ66" si="153">CF58-CF61-CF64</f>
        <v>0</v>
      </c>
      <c r="CG66" s="30">
        <f t="shared" si="153"/>
        <v>0</v>
      </c>
      <c r="CH66" s="30">
        <f t="shared" si="153"/>
        <v>0</v>
      </c>
      <c r="CI66" s="30">
        <f t="shared" si="153"/>
        <v>0</v>
      </c>
      <c r="CJ66" s="30">
        <f t="shared" si="153"/>
        <v>0</v>
      </c>
      <c r="CK66" s="30">
        <f t="shared" si="153"/>
        <v>0</v>
      </c>
      <c r="CL66" s="30">
        <f t="shared" si="153"/>
        <v>0</v>
      </c>
      <c r="CM66" s="30">
        <f t="shared" si="153"/>
        <v>0</v>
      </c>
      <c r="CN66" s="30">
        <f t="shared" si="153"/>
        <v>0</v>
      </c>
      <c r="CO66" s="30">
        <f t="shared" si="153"/>
        <v>0</v>
      </c>
      <c r="CP66" s="30">
        <f t="shared" si="153"/>
        <v>0</v>
      </c>
      <c r="CQ66" s="30">
        <f t="shared" si="153"/>
        <v>0</v>
      </c>
      <c r="CR66" s="30">
        <f t="shared" si="153"/>
        <v>0</v>
      </c>
      <c r="CS66" s="30">
        <f t="shared" si="153"/>
        <v>0</v>
      </c>
      <c r="CT66" s="30">
        <f t="shared" si="153"/>
        <v>0</v>
      </c>
      <c r="CU66" s="30">
        <f t="shared" si="153"/>
        <v>0</v>
      </c>
      <c r="CV66" s="30">
        <f t="shared" si="153"/>
        <v>0</v>
      </c>
      <c r="CW66" s="30">
        <f t="shared" si="153"/>
        <v>0</v>
      </c>
      <c r="CX66" s="30">
        <f t="shared" si="153"/>
        <v>0</v>
      </c>
      <c r="CY66" s="30">
        <f t="shared" si="153"/>
        <v>0</v>
      </c>
      <c r="CZ66" s="30">
        <f t="shared" si="153"/>
        <v>0</v>
      </c>
      <c r="DA66" s="30">
        <f t="shared" si="153"/>
        <v>0</v>
      </c>
      <c r="DB66" s="30">
        <f t="shared" si="153"/>
        <v>0</v>
      </c>
      <c r="DC66" s="30">
        <f t="shared" si="153"/>
        <v>0</v>
      </c>
      <c r="DD66" s="30">
        <f t="shared" si="153"/>
        <v>0</v>
      </c>
      <c r="DE66" s="30">
        <f t="shared" si="153"/>
        <v>0</v>
      </c>
      <c r="DF66" s="30">
        <f t="shared" si="153"/>
        <v>0</v>
      </c>
      <c r="DG66" s="30">
        <f t="shared" si="153"/>
        <v>0</v>
      </c>
      <c r="DH66" s="30">
        <f t="shared" si="153"/>
        <v>0</v>
      </c>
      <c r="DI66" s="30">
        <f t="shared" si="153"/>
        <v>0</v>
      </c>
      <c r="DJ66" s="30">
        <f t="shared" si="153"/>
        <v>0</v>
      </c>
      <c r="DK66" s="30">
        <f t="shared" si="153"/>
        <v>0</v>
      </c>
      <c r="DL66" s="30">
        <f t="shared" si="153"/>
        <v>0</v>
      </c>
      <c r="DM66" s="30">
        <f t="shared" si="153"/>
        <v>0</v>
      </c>
      <c r="DN66" s="30">
        <f t="shared" si="153"/>
        <v>0</v>
      </c>
      <c r="DO66" s="30">
        <f t="shared" si="153"/>
        <v>0</v>
      </c>
      <c r="DP66" s="30">
        <f t="shared" si="153"/>
        <v>0</v>
      </c>
      <c r="DQ66" s="30">
        <f t="shared" si="153"/>
        <v>0</v>
      </c>
      <c r="DR66" s="30">
        <f t="shared" si="153"/>
        <v>0</v>
      </c>
      <c r="DS66" s="30">
        <f t="shared" si="153"/>
        <v>0</v>
      </c>
      <c r="DT66" s="30">
        <f t="shared" si="153"/>
        <v>0</v>
      </c>
      <c r="DU66" s="30">
        <f t="shared" si="153"/>
        <v>0</v>
      </c>
      <c r="DV66" s="30">
        <f t="shared" si="153"/>
        <v>0</v>
      </c>
      <c r="DW66" s="30">
        <f t="shared" si="153"/>
        <v>0</v>
      </c>
      <c r="DX66" s="30">
        <f t="shared" si="153"/>
        <v>0</v>
      </c>
      <c r="DY66" s="30">
        <f t="shared" si="153"/>
        <v>0</v>
      </c>
      <c r="DZ66" s="30">
        <f t="shared" si="153"/>
        <v>0</v>
      </c>
      <c r="EA66" s="30">
        <f t="shared" si="153"/>
        <v>0</v>
      </c>
      <c r="EB66" s="30">
        <f t="shared" si="153"/>
        <v>0</v>
      </c>
      <c r="EC66" s="30">
        <f t="shared" si="153"/>
        <v>0</v>
      </c>
      <c r="ED66" s="30">
        <f t="shared" si="153"/>
        <v>0</v>
      </c>
      <c r="EE66" s="30">
        <f t="shared" si="153"/>
        <v>0</v>
      </c>
      <c r="EF66" s="30">
        <f t="shared" si="153"/>
        <v>0</v>
      </c>
      <c r="EG66" s="30">
        <f t="shared" si="153"/>
        <v>0</v>
      </c>
      <c r="EH66" s="30">
        <f t="shared" si="153"/>
        <v>0</v>
      </c>
      <c r="EI66" s="30">
        <f t="shared" si="153"/>
        <v>0</v>
      </c>
      <c r="EJ66" s="30">
        <f t="shared" si="153"/>
        <v>0</v>
      </c>
      <c r="EK66" s="30">
        <f t="shared" si="153"/>
        <v>0</v>
      </c>
      <c r="EL66" s="30">
        <f t="shared" si="153"/>
        <v>0</v>
      </c>
      <c r="EM66" s="30">
        <f t="shared" si="153"/>
        <v>0</v>
      </c>
      <c r="EN66" s="30">
        <f t="shared" si="153"/>
        <v>0</v>
      </c>
      <c r="EO66" s="30">
        <f t="shared" si="153"/>
        <v>0</v>
      </c>
      <c r="EP66" s="30">
        <f t="shared" si="153"/>
        <v>0</v>
      </c>
      <c r="EQ66" s="30">
        <f t="shared" si="153"/>
        <v>0</v>
      </c>
      <c r="ER66" s="30">
        <f t="shared" ref="ER66:HC66" si="154">ER58-ER61-ER64</f>
        <v>0</v>
      </c>
      <c r="ES66" s="30">
        <f t="shared" si="154"/>
        <v>0</v>
      </c>
      <c r="ET66" s="30">
        <f t="shared" si="154"/>
        <v>0</v>
      </c>
      <c r="EU66" s="30">
        <f t="shared" si="154"/>
        <v>0</v>
      </c>
      <c r="EV66" s="30">
        <f t="shared" si="154"/>
        <v>0</v>
      </c>
      <c r="EW66" s="30">
        <f t="shared" si="154"/>
        <v>0</v>
      </c>
      <c r="EX66" s="30">
        <f t="shared" si="154"/>
        <v>0</v>
      </c>
      <c r="EY66" s="30">
        <f t="shared" si="154"/>
        <v>0</v>
      </c>
      <c r="EZ66" s="30">
        <f t="shared" si="154"/>
        <v>0</v>
      </c>
      <c r="FA66" s="30">
        <f t="shared" si="154"/>
        <v>0</v>
      </c>
      <c r="FB66" s="30">
        <f t="shared" si="154"/>
        <v>0</v>
      </c>
      <c r="FC66" s="30">
        <f t="shared" si="154"/>
        <v>0</v>
      </c>
      <c r="FD66" s="30">
        <f t="shared" si="154"/>
        <v>0</v>
      </c>
      <c r="FE66" s="30">
        <f t="shared" si="154"/>
        <v>0</v>
      </c>
      <c r="FF66" s="30">
        <f t="shared" si="154"/>
        <v>0</v>
      </c>
      <c r="FG66" s="30">
        <f t="shared" si="154"/>
        <v>0</v>
      </c>
      <c r="FH66" s="30">
        <f t="shared" si="154"/>
        <v>0</v>
      </c>
      <c r="FI66" s="30">
        <f t="shared" si="154"/>
        <v>0</v>
      </c>
      <c r="FJ66" s="30">
        <f t="shared" si="154"/>
        <v>0</v>
      </c>
      <c r="FK66" s="30">
        <f t="shared" si="154"/>
        <v>0</v>
      </c>
      <c r="FL66" s="30">
        <f t="shared" si="154"/>
        <v>0</v>
      </c>
      <c r="FM66" s="30">
        <f t="shared" si="154"/>
        <v>0</v>
      </c>
      <c r="FN66" s="30">
        <f t="shared" si="154"/>
        <v>0</v>
      </c>
      <c r="FO66" s="30">
        <f t="shared" si="154"/>
        <v>0</v>
      </c>
      <c r="FP66" s="30">
        <f t="shared" si="154"/>
        <v>0</v>
      </c>
      <c r="FQ66" s="30">
        <f t="shared" si="154"/>
        <v>0</v>
      </c>
      <c r="FR66" s="30">
        <f t="shared" si="154"/>
        <v>0</v>
      </c>
      <c r="FS66" s="30">
        <f t="shared" si="154"/>
        <v>0</v>
      </c>
      <c r="FT66" s="30">
        <f t="shared" si="154"/>
        <v>0</v>
      </c>
      <c r="FU66" s="30">
        <f t="shared" si="154"/>
        <v>0</v>
      </c>
      <c r="FV66" s="30">
        <f t="shared" si="154"/>
        <v>0</v>
      </c>
      <c r="FW66" s="30">
        <f t="shared" si="154"/>
        <v>0</v>
      </c>
      <c r="FX66" s="30">
        <f t="shared" si="154"/>
        <v>0</v>
      </c>
      <c r="FY66" s="30">
        <f t="shared" si="154"/>
        <v>0</v>
      </c>
      <c r="FZ66" s="30">
        <f t="shared" si="154"/>
        <v>0</v>
      </c>
      <c r="GA66" s="30">
        <f t="shared" si="154"/>
        <v>0</v>
      </c>
      <c r="GB66" s="30">
        <f t="shared" si="154"/>
        <v>0</v>
      </c>
      <c r="GC66" s="30">
        <f t="shared" si="154"/>
        <v>0</v>
      </c>
      <c r="GD66" s="30">
        <f t="shared" si="154"/>
        <v>0</v>
      </c>
      <c r="GE66" s="30">
        <f t="shared" si="154"/>
        <v>0</v>
      </c>
      <c r="GF66" s="30">
        <f t="shared" si="154"/>
        <v>0</v>
      </c>
      <c r="GG66" s="30">
        <f t="shared" si="154"/>
        <v>0</v>
      </c>
      <c r="GH66" s="30">
        <f t="shared" si="154"/>
        <v>0</v>
      </c>
      <c r="GI66" s="30">
        <f t="shared" si="154"/>
        <v>0</v>
      </c>
      <c r="GJ66" s="30">
        <f t="shared" si="154"/>
        <v>0</v>
      </c>
      <c r="GK66" s="30">
        <f t="shared" si="154"/>
        <v>0</v>
      </c>
      <c r="GL66" s="30">
        <f t="shared" si="154"/>
        <v>0</v>
      </c>
      <c r="GM66" s="30">
        <f t="shared" si="154"/>
        <v>0</v>
      </c>
      <c r="GN66" s="30">
        <f t="shared" si="154"/>
        <v>0</v>
      </c>
      <c r="GO66" s="30">
        <f t="shared" si="154"/>
        <v>0</v>
      </c>
      <c r="GP66" s="30">
        <f t="shared" si="154"/>
        <v>0</v>
      </c>
      <c r="GQ66" s="30">
        <f t="shared" si="154"/>
        <v>0</v>
      </c>
      <c r="GR66" s="30">
        <f t="shared" si="154"/>
        <v>0</v>
      </c>
      <c r="GS66" s="30">
        <f t="shared" si="154"/>
        <v>0</v>
      </c>
      <c r="GT66" s="30">
        <f t="shared" si="154"/>
        <v>0</v>
      </c>
      <c r="GU66" s="30">
        <f t="shared" si="154"/>
        <v>0</v>
      </c>
      <c r="GV66" s="30">
        <f t="shared" si="154"/>
        <v>0</v>
      </c>
      <c r="GW66" s="30">
        <f t="shared" si="154"/>
        <v>0</v>
      </c>
      <c r="GX66" s="30">
        <f t="shared" si="154"/>
        <v>0</v>
      </c>
      <c r="GY66" s="30">
        <f t="shared" si="154"/>
        <v>0</v>
      </c>
      <c r="GZ66" s="30">
        <f t="shared" si="154"/>
        <v>0</v>
      </c>
      <c r="HA66" s="30">
        <f t="shared" si="154"/>
        <v>0</v>
      </c>
      <c r="HB66" s="30">
        <f t="shared" si="154"/>
        <v>0</v>
      </c>
      <c r="HC66" s="30">
        <f t="shared" si="154"/>
        <v>0</v>
      </c>
      <c r="HD66" s="30">
        <f t="shared" ref="HD66:JO66" si="155">HD58-HD61-HD64</f>
        <v>0</v>
      </c>
      <c r="HE66" s="30">
        <f t="shared" si="155"/>
        <v>0</v>
      </c>
      <c r="HF66" s="30">
        <f t="shared" si="155"/>
        <v>0</v>
      </c>
      <c r="HG66" s="30">
        <f t="shared" si="155"/>
        <v>0</v>
      </c>
      <c r="HH66" s="30">
        <f t="shared" si="155"/>
        <v>0</v>
      </c>
      <c r="HI66" s="30">
        <f t="shared" si="155"/>
        <v>0</v>
      </c>
      <c r="HJ66" s="30">
        <f t="shared" si="155"/>
        <v>0</v>
      </c>
      <c r="HK66" s="30">
        <f t="shared" si="155"/>
        <v>0</v>
      </c>
      <c r="HL66" s="30">
        <f t="shared" si="155"/>
        <v>0</v>
      </c>
      <c r="HM66" s="30">
        <f t="shared" si="155"/>
        <v>0</v>
      </c>
      <c r="HN66" s="30">
        <f t="shared" si="155"/>
        <v>0</v>
      </c>
      <c r="HO66" s="30">
        <f t="shared" si="155"/>
        <v>0</v>
      </c>
      <c r="HP66" s="30">
        <f t="shared" si="155"/>
        <v>0</v>
      </c>
      <c r="HQ66" s="30">
        <f t="shared" si="155"/>
        <v>0</v>
      </c>
      <c r="HR66" s="30">
        <f t="shared" si="155"/>
        <v>0</v>
      </c>
      <c r="HS66" s="30">
        <f t="shared" si="155"/>
        <v>0</v>
      </c>
      <c r="HT66" s="30">
        <f t="shared" si="155"/>
        <v>0</v>
      </c>
      <c r="HU66" s="30">
        <f t="shared" si="155"/>
        <v>0</v>
      </c>
      <c r="HV66" s="30">
        <f t="shared" si="155"/>
        <v>0</v>
      </c>
      <c r="HW66" s="30">
        <f t="shared" si="155"/>
        <v>0</v>
      </c>
      <c r="HX66" s="30">
        <f t="shared" si="155"/>
        <v>0</v>
      </c>
      <c r="HY66" s="30">
        <f t="shared" si="155"/>
        <v>0</v>
      </c>
      <c r="HZ66" s="30">
        <f t="shared" si="155"/>
        <v>0</v>
      </c>
      <c r="IA66" s="30">
        <f t="shared" si="155"/>
        <v>0</v>
      </c>
      <c r="IB66" s="30">
        <f t="shared" si="155"/>
        <v>0</v>
      </c>
      <c r="IC66" s="30">
        <f t="shared" si="155"/>
        <v>0</v>
      </c>
      <c r="ID66" s="30">
        <f t="shared" si="155"/>
        <v>0</v>
      </c>
      <c r="IE66" s="30">
        <f t="shared" si="155"/>
        <v>0</v>
      </c>
      <c r="IF66" s="30">
        <f t="shared" si="155"/>
        <v>0</v>
      </c>
      <c r="IG66" s="30">
        <f t="shared" si="155"/>
        <v>0</v>
      </c>
      <c r="IH66" s="30">
        <f t="shared" si="155"/>
        <v>0</v>
      </c>
      <c r="II66" s="30">
        <f t="shared" si="155"/>
        <v>0</v>
      </c>
      <c r="IJ66" s="30">
        <f t="shared" si="155"/>
        <v>0</v>
      </c>
      <c r="IK66" s="30">
        <f t="shared" si="155"/>
        <v>0</v>
      </c>
      <c r="IL66" s="30">
        <f t="shared" si="155"/>
        <v>0</v>
      </c>
      <c r="IM66" s="30">
        <f t="shared" si="155"/>
        <v>0</v>
      </c>
      <c r="IN66" s="30">
        <f t="shared" si="155"/>
        <v>0</v>
      </c>
      <c r="IO66" s="30">
        <f t="shared" si="155"/>
        <v>0</v>
      </c>
      <c r="IP66" s="30">
        <f t="shared" si="155"/>
        <v>0</v>
      </c>
      <c r="IQ66" s="30">
        <f t="shared" si="155"/>
        <v>0</v>
      </c>
      <c r="IR66" s="30">
        <f t="shared" si="155"/>
        <v>0</v>
      </c>
      <c r="IS66" s="30">
        <f t="shared" si="155"/>
        <v>0</v>
      </c>
      <c r="IT66" s="30">
        <f t="shared" si="155"/>
        <v>0</v>
      </c>
      <c r="IU66" s="30">
        <f t="shared" si="155"/>
        <v>0</v>
      </c>
      <c r="IV66" s="30">
        <f t="shared" si="155"/>
        <v>0</v>
      </c>
      <c r="IW66" s="30">
        <f t="shared" si="155"/>
        <v>0</v>
      </c>
      <c r="IX66" s="30">
        <f t="shared" si="155"/>
        <v>0</v>
      </c>
      <c r="IY66" s="30">
        <f t="shared" si="155"/>
        <v>0</v>
      </c>
      <c r="IZ66" s="30">
        <f t="shared" si="155"/>
        <v>0</v>
      </c>
      <c r="JA66" s="30">
        <f t="shared" si="155"/>
        <v>0</v>
      </c>
      <c r="JB66" s="30">
        <f t="shared" si="155"/>
        <v>0</v>
      </c>
      <c r="JC66" s="30">
        <f t="shared" si="155"/>
        <v>0</v>
      </c>
      <c r="JD66" s="30">
        <f t="shared" si="155"/>
        <v>0</v>
      </c>
      <c r="JE66" s="30">
        <f t="shared" si="155"/>
        <v>0</v>
      </c>
      <c r="JF66" s="30">
        <f t="shared" si="155"/>
        <v>0</v>
      </c>
      <c r="JG66" s="30">
        <f t="shared" si="155"/>
        <v>0</v>
      </c>
      <c r="JH66" s="30">
        <f t="shared" si="155"/>
        <v>0</v>
      </c>
      <c r="JI66" s="30">
        <f t="shared" si="155"/>
        <v>0</v>
      </c>
      <c r="JJ66" s="30">
        <f t="shared" si="155"/>
        <v>0</v>
      </c>
      <c r="JK66" s="30">
        <f t="shared" si="155"/>
        <v>0</v>
      </c>
      <c r="JL66" s="30">
        <f t="shared" si="155"/>
        <v>0</v>
      </c>
      <c r="JM66" s="30">
        <f t="shared" si="155"/>
        <v>0</v>
      </c>
      <c r="JN66" s="30">
        <f t="shared" si="155"/>
        <v>0</v>
      </c>
      <c r="JO66" s="30">
        <f t="shared" si="155"/>
        <v>0</v>
      </c>
      <c r="JP66" s="30">
        <f t="shared" ref="JP66:KI66" si="156">JP58-JP61-JP64</f>
        <v>0</v>
      </c>
      <c r="JQ66" s="30">
        <f t="shared" si="156"/>
        <v>0</v>
      </c>
      <c r="JR66" s="30">
        <f t="shared" si="156"/>
        <v>0</v>
      </c>
      <c r="JS66" s="30">
        <f t="shared" si="156"/>
        <v>0</v>
      </c>
      <c r="JT66" s="30">
        <f t="shared" si="156"/>
        <v>0</v>
      </c>
      <c r="JU66" s="30">
        <f t="shared" si="156"/>
        <v>0</v>
      </c>
      <c r="JV66" s="30">
        <f t="shared" si="156"/>
        <v>0</v>
      </c>
      <c r="JW66" s="30">
        <f t="shared" si="156"/>
        <v>0</v>
      </c>
      <c r="JX66" s="30">
        <f t="shared" si="156"/>
        <v>0</v>
      </c>
      <c r="JY66" s="30">
        <f t="shared" si="156"/>
        <v>0</v>
      </c>
      <c r="JZ66" s="30">
        <f t="shared" si="156"/>
        <v>0</v>
      </c>
      <c r="KA66" s="30">
        <f t="shared" si="156"/>
        <v>0</v>
      </c>
      <c r="KB66" s="30">
        <f t="shared" si="156"/>
        <v>0</v>
      </c>
      <c r="KC66" s="30">
        <f t="shared" si="156"/>
        <v>0</v>
      </c>
      <c r="KD66" s="30">
        <f t="shared" si="156"/>
        <v>0</v>
      </c>
      <c r="KE66" s="30">
        <f t="shared" si="156"/>
        <v>0</v>
      </c>
      <c r="KF66" s="30">
        <f t="shared" si="156"/>
        <v>0</v>
      </c>
      <c r="KG66" s="30">
        <f t="shared" si="156"/>
        <v>0</v>
      </c>
      <c r="KH66" s="30">
        <f t="shared" si="156"/>
        <v>0</v>
      </c>
      <c r="KI66" s="30">
        <f t="shared" si="156"/>
        <v>0</v>
      </c>
      <c r="KJ66" s="1"/>
    </row>
    <row r="67" spans="7:296" x14ac:dyDescent="0.35">
      <c r="KJ67" s="1"/>
    </row>
    <row r="68" spans="7:296" x14ac:dyDescent="0.35">
      <c r="J68" s="10" t="s">
        <v>173</v>
      </c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 s="10"/>
      <c r="GM68" s="10"/>
      <c r="GN68" s="10"/>
      <c r="GO68" s="10"/>
      <c r="GP68" s="10"/>
      <c r="GQ68" s="10"/>
      <c r="GR68" s="10"/>
      <c r="GS68" s="10"/>
      <c r="GT68" s="10"/>
      <c r="GU68" s="10"/>
      <c r="GV68" s="10"/>
      <c r="GW68" s="10"/>
      <c r="GX68" s="10"/>
      <c r="GY68" s="10"/>
      <c r="GZ68" s="10"/>
      <c r="HA68" s="10"/>
      <c r="HB68" s="10"/>
      <c r="HC68" s="10"/>
      <c r="HD68" s="10"/>
      <c r="HE68" s="10"/>
      <c r="HF68" s="10"/>
      <c r="HG68" s="10"/>
      <c r="HH68" s="10"/>
      <c r="HI68" s="10"/>
      <c r="HJ68" s="10"/>
      <c r="HK68" s="10"/>
      <c r="HL68" s="10"/>
      <c r="HM68" s="10"/>
      <c r="HN68" s="10"/>
      <c r="HO68" s="10"/>
      <c r="HP68" s="10"/>
      <c r="HQ68" s="10"/>
      <c r="HR68" s="10"/>
      <c r="HS68" s="10"/>
      <c r="HT68" s="10"/>
      <c r="HU68" s="10"/>
      <c r="HV68" s="10"/>
      <c r="HW68" s="10"/>
      <c r="HX68" s="10"/>
      <c r="HY68" s="10"/>
      <c r="HZ68" s="10"/>
      <c r="IA68" s="10"/>
      <c r="IB68" s="10"/>
      <c r="IC68" s="10"/>
      <c r="ID68" s="10"/>
      <c r="IE68" s="10"/>
      <c r="IF68" s="10"/>
      <c r="IG68" s="10"/>
      <c r="IH68" s="10"/>
      <c r="II68" s="10"/>
      <c r="IJ68" s="10"/>
      <c r="IK68" s="10"/>
      <c r="IL68" s="10"/>
      <c r="IM68" s="10"/>
      <c r="IN68" s="10"/>
      <c r="IO68" s="10"/>
      <c r="IP68" s="10"/>
      <c r="IQ68" s="10"/>
      <c r="IR68" s="10"/>
      <c r="IS68" s="10"/>
      <c r="IT68" s="10"/>
      <c r="IU68" s="10"/>
      <c r="IV68" s="10"/>
      <c r="IW68" s="10"/>
      <c r="IX68" s="10"/>
      <c r="IY68" s="10"/>
      <c r="IZ68" s="10"/>
      <c r="JA68" s="10"/>
      <c r="JB68" s="10"/>
      <c r="JC68" s="10"/>
      <c r="JD68" s="10"/>
      <c r="JE68" s="10"/>
      <c r="JF68" s="10"/>
      <c r="JG68" s="10"/>
      <c r="JH68" s="10"/>
      <c r="JI68" s="10"/>
      <c r="JJ68" s="10"/>
      <c r="JK68" s="10"/>
      <c r="JL68" s="10"/>
      <c r="JM68" s="10"/>
      <c r="JN68" s="10"/>
      <c r="JO68" s="10"/>
      <c r="JP68" s="10"/>
      <c r="JQ68" s="10"/>
      <c r="JR68" s="10"/>
      <c r="JS68" s="10"/>
      <c r="JT68" s="10"/>
      <c r="JU68" s="10"/>
      <c r="JV68" s="10"/>
      <c r="JW68" s="10"/>
      <c r="JX68" s="10"/>
      <c r="JY68" s="10"/>
      <c r="JZ68" s="10"/>
      <c r="KA68" s="10"/>
      <c r="KB68" s="10"/>
      <c r="KC68" s="10"/>
      <c r="KD68" s="10"/>
      <c r="KE68" s="10"/>
      <c r="KF68" s="10"/>
      <c r="KG68" s="10"/>
      <c r="KH68" s="10"/>
      <c r="KI68" s="10"/>
      <c r="KJ68" s="1"/>
    </row>
    <row r="69" spans="7:296" x14ac:dyDescent="0.35">
      <c r="KJ69" s="1"/>
    </row>
    <row r="70" spans="7:296" x14ac:dyDescent="0.35">
      <c r="K70" s="19" t="s">
        <v>113</v>
      </c>
      <c r="L70" s="19"/>
      <c r="M70" s="16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7"/>
      <c r="DP70" s="17"/>
      <c r="DQ70" s="17"/>
      <c r="DR70" s="17"/>
      <c r="DS70" s="17"/>
      <c r="DT70" s="17"/>
      <c r="DU70" s="17"/>
      <c r="DV70" s="17"/>
      <c r="DW70" s="17"/>
      <c r="DX70" s="17"/>
      <c r="DY70" s="17"/>
      <c r="DZ70" s="17"/>
      <c r="EA70" s="17"/>
      <c r="EB70" s="17"/>
      <c r="EC70" s="17"/>
      <c r="ED70" s="17"/>
      <c r="EE70" s="17"/>
      <c r="EF70" s="17"/>
      <c r="EG70" s="17"/>
      <c r="EH70" s="17"/>
      <c r="EI70" s="17"/>
      <c r="EJ70" s="17"/>
      <c r="EK70" s="17"/>
      <c r="EL70" s="17"/>
      <c r="EM70" s="17"/>
      <c r="EN70" s="17"/>
      <c r="EO70" s="17"/>
      <c r="EP70" s="17"/>
      <c r="EQ70" s="17"/>
      <c r="ER70" s="17"/>
      <c r="ES70" s="17"/>
      <c r="ET70" s="17"/>
      <c r="EU70" s="17"/>
      <c r="EV70" s="17"/>
      <c r="EW70" s="17"/>
      <c r="EX70" s="17"/>
      <c r="EY70" s="17"/>
      <c r="EZ70" s="17"/>
      <c r="FA70" s="17"/>
      <c r="FB70" s="17"/>
      <c r="FC70" s="17"/>
      <c r="FD70" s="17"/>
      <c r="FE70" s="17"/>
      <c r="FF70" s="17"/>
      <c r="FG70" s="17"/>
      <c r="FH70" s="17"/>
      <c r="FI70" s="17"/>
      <c r="FJ70" s="17"/>
      <c r="FK70" s="17"/>
      <c r="FL70" s="17"/>
      <c r="FM70" s="17"/>
      <c r="FN70" s="17"/>
      <c r="FO70" s="17"/>
      <c r="FP70" s="17"/>
      <c r="FQ70" s="17"/>
      <c r="FR70" s="17"/>
      <c r="FS70" s="17"/>
      <c r="FT70" s="17"/>
      <c r="FU70" s="17"/>
      <c r="FV70" s="17"/>
      <c r="FW70" s="17"/>
      <c r="FX70" s="17"/>
      <c r="FY70" s="17"/>
      <c r="FZ70" s="17"/>
      <c r="GA70" s="17"/>
      <c r="GB70" s="17"/>
      <c r="GC70" s="17"/>
      <c r="GD70" s="17"/>
      <c r="GE70" s="17"/>
      <c r="GF70" s="17"/>
      <c r="GG70" s="17"/>
      <c r="GH70" s="17"/>
      <c r="GI70" s="17"/>
      <c r="GJ70" s="17"/>
      <c r="GK70" s="17"/>
      <c r="GL70" s="17"/>
      <c r="GM70" s="17"/>
      <c r="GN70" s="17"/>
      <c r="GO70" s="17"/>
      <c r="GP70" s="17"/>
      <c r="GQ70" s="17"/>
      <c r="GR70" s="17"/>
      <c r="GS70" s="17"/>
      <c r="GT70" s="17"/>
      <c r="GU70" s="17"/>
      <c r="GV70" s="17"/>
      <c r="GW70" s="17"/>
      <c r="GX70" s="17"/>
      <c r="GY70" s="17"/>
      <c r="GZ70" s="17"/>
      <c r="HA70" s="17"/>
      <c r="HB70" s="17"/>
      <c r="HC70" s="17"/>
      <c r="HD70" s="17"/>
      <c r="HE70" s="17"/>
      <c r="HF70" s="17"/>
      <c r="HG70" s="17"/>
      <c r="HH70" s="17"/>
      <c r="HI70" s="17"/>
      <c r="HJ70" s="17"/>
      <c r="HK70" s="17"/>
      <c r="HL70" s="17"/>
      <c r="HM70" s="17"/>
      <c r="HN70" s="17"/>
      <c r="HO70" s="17"/>
      <c r="HP70" s="17"/>
      <c r="HQ70" s="17"/>
      <c r="HR70" s="17"/>
      <c r="HS70" s="17"/>
      <c r="HT70" s="17"/>
      <c r="HU70" s="17"/>
      <c r="HV70" s="17"/>
      <c r="HW70" s="17"/>
      <c r="HX70" s="17"/>
      <c r="HY70" s="17"/>
      <c r="HZ70" s="17"/>
      <c r="IA70" s="17"/>
      <c r="IB70" s="17"/>
      <c r="IC70" s="17"/>
      <c r="ID70" s="17"/>
      <c r="IE70" s="17"/>
      <c r="IF70" s="17"/>
      <c r="IG70" s="17"/>
      <c r="IH70" s="17"/>
      <c r="II70" s="17"/>
      <c r="IJ70" s="17"/>
      <c r="IK70" s="17"/>
      <c r="IL70" s="17"/>
      <c r="IM70" s="17"/>
      <c r="IN70" s="17"/>
      <c r="IO70" s="17"/>
      <c r="IP70" s="17"/>
      <c r="IQ70" s="17"/>
      <c r="IR70" s="17"/>
      <c r="IS70" s="17"/>
      <c r="IT70" s="17"/>
      <c r="IU70" s="17"/>
      <c r="IV70" s="17"/>
      <c r="IW70" s="17"/>
      <c r="IX70" s="17"/>
      <c r="IY70" s="17"/>
      <c r="IZ70" s="17"/>
      <c r="JA70" s="17"/>
      <c r="JB70" s="17"/>
      <c r="JC70" s="17"/>
      <c r="JD70" s="17"/>
      <c r="JE70" s="17"/>
      <c r="JF70" s="17"/>
      <c r="JG70" s="17"/>
      <c r="JH70" s="17"/>
      <c r="JI70" s="17"/>
      <c r="JJ70" s="17"/>
      <c r="JK70" s="17"/>
      <c r="JL70" s="17"/>
      <c r="JM70" s="17"/>
      <c r="JN70" s="17"/>
      <c r="JO70" s="17"/>
      <c r="JP70" s="17"/>
      <c r="JQ70" s="17"/>
      <c r="JR70" s="17"/>
      <c r="JS70" s="17"/>
      <c r="JT70" s="17"/>
      <c r="JU70" s="17"/>
      <c r="JV70" s="17"/>
      <c r="JW70" s="17"/>
      <c r="JX70" s="17"/>
      <c r="JY70" s="17"/>
      <c r="JZ70" s="17"/>
      <c r="KA70" s="17"/>
      <c r="KB70" s="17"/>
      <c r="KC70" s="17"/>
      <c r="KD70" s="17"/>
      <c r="KE70" s="17"/>
      <c r="KF70" s="17"/>
      <c r="KG70" s="17"/>
      <c r="KH70" s="17"/>
      <c r="KI70" s="17"/>
      <c r="KJ70" s="1"/>
    </row>
    <row r="71" spans="7:296" x14ac:dyDescent="0.35">
      <c r="KJ71" s="1"/>
    </row>
    <row r="72" spans="7:296" x14ac:dyDescent="0.35">
      <c r="L72" s="22" t="s">
        <v>92</v>
      </c>
      <c r="M72" s="5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</row>
    <row r="73" spans="7:296" x14ac:dyDescent="0.35">
      <c r="G73" s="36">
        <f>Control!H39</f>
        <v>45565</v>
      </c>
      <c r="H73" s="13" t="s">
        <v>110</v>
      </c>
      <c r="M73" s="15" t="s">
        <v>93</v>
      </c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4"/>
      <c r="BC73" s="24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4"/>
      <c r="EC73" s="24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4"/>
      <c r="EP73" s="24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4"/>
      <c r="FC73" s="24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4"/>
      <c r="FP73" s="24"/>
      <c r="FQ73" s="24"/>
      <c r="FR73" s="24"/>
      <c r="FS73" s="24"/>
      <c r="FT73" s="24"/>
      <c r="FU73" s="24"/>
      <c r="FV73" s="24"/>
      <c r="FW73" s="24"/>
      <c r="FX73" s="24"/>
      <c r="FY73" s="24"/>
      <c r="FZ73" s="24"/>
      <c r="GA73" s="24"/>
      <c r="GB73" s="24"/>
      <c r="GC73" s="24"/>
      <c r="GD73" s="24"/>
      <c r="GE73" s="24"/>
      <c r="GF73" s="24"/>
      <c r="GG73" s="24"/>
      <c r="GH73" s="24"/>
      <c r="GI73" s="24"/>
      <c r="GJ73" s="24"/>
      <c r="GK73" s="24"/>
      <c r="GL73" s="24"/>
      <c r="GM73" s="24"/>
      <c r="GN73" s="24"/>
      <c r="GO73" s="24"/>
      <c r="GP73" s="24"/>
      <c r="GQ73" s="24"/>
      <c r="GR73" s="24"/>
      <c r="GS73" s="24"/>
      <c r="GT73" s="24"/>
      <c r="GU73" s="24"/>
      <c r="GV73" s="24"/>
      <c r="GW73" s="24"/>
      <c r="GX73" s="24"/>
      <c r="GY73" s="24"/>
      <c r="GZ73" s="24"/>
      <c r="HA73" s="24"/>
      <c r="HB73" s="24"/>
      <c r="HC73" s="24"/>
      <c r="HD73" s="24"/>
      <c r="HE73" s="24"/>
      <c r="HF73" s="24"/>
      <c r="HG73" s="24"/>
      <c r="HH73" s="24"/>
      <c r="HI73" s="24"/>
      <c r="HJ73" s="24"/>
      <c r="HK73" s="24"/>
      <c r="HL73" s="24"/>
      <c r="HM73" s="24"/>
      <c r="HN73" s="24"/>
      <c r="HO73" s="24"/>
      <c r="HP73" s="24"/>
      <c r="HQ73" s="24"/>
      <c r="HR73" s="24"/>
      <c r="HS73" s="24"/>
      <c r="HT73" s="24"/>
      <c r="HU73" s="24"/>
      <c r="HV73" s="24"/>
      <c r="HW73" s="24"/>
      <c r="HX73" s="24"/>
      <c r="HY73" s="24"/>
      <c r="HZ73" s="24"/>
      <c r="IA73" s="24"/>
      <c r="IB73" s="24"/>
      <c r="IC73" s="24"/>
      <c r="ID73" s="24"/>
      <c r="IE73" s="24"/>
      <c r="IF73" s="24"/>
      <c r="IG73" s="24"/>
      <c r="IH73" s="24"/>
      <c r="II73" s="24"/>
      <c r="IJ73" s="24"/>
      <c r="IK73" s="24"/>
      <c r="IL73" s="24"/>
      <c r="IM73" s="24"/>
      <c r="IN73" s="24"/>
      <c r="IO73" s="24"/>
      <c r="IP73" s="24"/>
      <c r="IQ73" s="24"/>
      <c r="IR73" s="24"/>
      <c r="IS73" s="24"/>
      <c r="IT73" s="24"/>
      <c r="IU73" s="24"/>
      <c r="IV73" s="24"/>
      <c r="IW73" s="24"/>
      <c r="IX73" s="24"/>
      <c r="IY73" s="24"/>
      <c r="IZ73" s="24"/>
      <c r="JA73" s="24"/>
      <c r="JB73" s="24"/>
      <c r="JC73" s="24"/>
      <c r="JD73" s="24"/>
      <c r="JE73" s="24"/>
      <c r="JF73" s="24"/>
      <c r="JG73" s="24"/>
      <c r="JH73" s="24"/>
      <c r="JI73" s="24"/>
      <c r="JJ73" s="24"/>
      <c r="JK73" s="24"/>
      <c r="JL73" s="24"/>
      <c r="JM73" s="24"/>
      <c r="JN73" s="24"/>
      <c r="JO73" s="24"/>
      <c r="JP73" s="24"/>
      <c r="JQ73" s="24"/>
      <c r="JR73" s="24"/>
      <c r="JS73" s="24"/>
      <c r="JT73" s="24"/>
      <c r="JU73" s="24"/>
      <c r="JV73" s="24"/>
      <c r="JW73" s="24"/>
      <c r="JX73" s="24"/>
      <c r="JY73" s="24"/>
      <c r="JZ73" s="24"/>
      <c r="KA73" s="24"/>
      <c r="KB73" s="24"/>
      <c r="KC73" s="24"/>
      <c r="KD73" s="24"/>
      <c r="KE73" s="24"/>
      <c r="KF73" s="24"/>
      <c r="KG73" s="24"/>
      <c r="KH73" s="24"/>
      <c r="KI73" s="24"/>
      <c r="KJ73" s="1"/>
    </row>
    <row r="74" spans="7:296" x14ac:dyDescent="0.35">
      <c r="G74" s="36">
        <f>MIN(EOMONTH(G102,-1),Control!H41)</f>
        <v>46387</v>
      </c>
      <c r="H74" s="13" t="s">
        <v>110</v>
      </c>
      <c r="M74" s="15" t="s">
        <v>112</v>
      </c>
      <c r="N74" s="46">
        <f>IF(AND(N$12&gt;=$G73,N$12&lt;=$G74),1,0)</f>
        <v>1</v>
      </c>
      <c r="O74" s="46">
        <f t="shared" ref="O74:BZ74" si="157">IF(AND(O$12&gt;=$G73,O$12&lt;=$G74),1,0)</f>
        <v>1</v>
      </c>
      <c r="P74" s="46">
        <f t="shared" si="157"/>
        <v>1</v>
      </c>
      <c r="Q74" s="46">
        <f t="shared" si="157"/>
        <v>1</v>
      </c>
      <c r="R74" s="46">
        <f t="shared" si="157"/>
        <v>1</v>
      </c>
      <c r="S74" s="46">
        <f t="shared" si="157"/>
        <v>1</v>
      </c>
      <c r="T74" s="46">
        <f t="shared" si="157"/>
        <v>0</v>
      </c>
      <c r="U74" s="46">
        <f t="shared" si="157"/>
        <v>0</v>
      </c>
      <c r="V74" s="46">
        <f t="shared" si="157"/>
        <v>0</v>
      </c>
      <c r="W74" s="46">
        <f t="shared" si="157"/>
        <v>0</v>
      </c>
      <c r="X74" s="46">
        <f t="shared" si="157"/>
        <v>0</v>
      </c>
      <c r="Y74" s="46">
        <f t="shared" si="157"/>
        <v>0</v>
      </c>
      <c r="Z74" s="46">
        <f t="shared" si="157"/>
        <v>0</v>
      </c>
      <c r="AA74" s="46">
        <f t="shared" si="157"/>
        <v>0</v>
      </c>
      <c r="AB74" s="46">
        <f t="shared" si="157"/>
        <v>0</v>
      </c>
      <c r="AC74" s="46">
        <f t="shared" si="157"/>
        <v>0</v>
      </c>
      <c r="AD74" s="46">
        <f t="shared" si="157"/>
        <v>0</v>
      </c>
      <c r="AE74" s="46">
        <f t="shared" si="157"/>
        <v>0</v>
      </c>
      <c r="AF74" s="46">
        <f t="shared" si="157"/>
        <v>0</v>
      </c>
      <c r="AG74" s="46">
        <f t="shared" si="157"/>
        <v>0</v>
      </c>
      <c r="AH74" s="46">
        <f t="shared" si="157"/>
        <v>0</v>
      </c>
      <c r="AI74" s="46">
        <f t="shared" si="157"/>
        <v>0</v>
      </c>
      <c r="AJ74" s="46">
        <f t="shared" si="157"/>
        <v>0</v>
      </c>
      <c r="AK74" s="46">
        <f t="shared" si="157"/>
        <v>0</v>
      </c>
      <c r="AL74" s="46">
        <f t="shared" si="157"/>
        <v>0</v>
      </c>
      <c r="AM74" s="46">
        <f t="shared" si="157"/>
        <v>0</v>
      </c>
      <c r="AN74" s="46">
        <f t="shared" si="157"/>
        <v>0</v>
      </c>
      <c r="AO74" s="46">
        <f t="shared" si="157"/>
        <v>0</v>
      </c>
      <c r="AP74" s="46">
        <f t="shared" si="157"/>
        <v>0</v>
      </c>
      <c r="AQ74" s="46">
        <f t="shared" si="157"/>
        <v>0</v>
      </c>
      <c r="AR74" s="46">
        <f t="shared" si="157"/>
        <v>0</v>
      </c>
      <c r="AS74" s="46">
        <f t="shared" si="157"/>
        <v>0</v>
      </c>
      <c r="AT74" s="46">
        <f t="shared" si="157"/>
        <v>0</v>
      </c>
      <c r="AU74" s="46">
        <f t="shared" si="157"/>
        <v>0</v>
      </c>
      <c r="AV74" s="46">
        <f t="shared" si="157"/>
        <v>0</v>
      </c>
      <c r="AW74" s="46">
        <f t="shared" si="157"/>
        <v>0</v>
      </c>
      <c r="AX74" s="46">
        <f t="shared" si="157"/>
        <v>0</v>
      </c>
      <c r="AY74" s="46">
        <f t="shared" si="157"/>
        <v>0</v>
      </c>
      <c r="AZ74" s="46">
        <f t="shared" si="157"/>
        <v>0</v>
      </c>
      <c r="BA74" s="46">
        <f t="shared" si="157"/>
        <v>0</v>
      </c>
      <c r="BB74" s="46">
        <f t="shared" si="157"/>
        <v>0</v>
      </c>
      <c r="BC74" s="46">
        <f t="shared" si="157"/>
        <v>0</v>
      </c>
      <c r="BD74" s="46">
        <f t="shared" si="157"/>
        <v>0</v>
      </c>
      <c r="BE74" s="46">
        <f t="shared" si="157"/>
        <v>0</v>
      </c>
      <c r="BF74" s="46">
        <f t="shared" si="157"/>
        <v>0</v>
      </c>
      <c r="BG74" s="46">
        <f t="shared" si="157"/>
        <v>0</v>
      </c>
      <c r="BH74" s="46">
        <f t="shared" si="157"/>
        <v>0</v>
      </c>
      <c r="BI74" s="46">
        <f t="shared" si="157"/>
        <v>0</v>
      </c>
      <c r="BJ74" s="46">
        <f t="shared" si="157"/>
        <v>0</v>
      </c>
      <c r="BK74" s="46">
        <f t="shared" si="157"/>
        <v>0</v>
      </c>
      <c r="BL74" s="46">
        <f t="shared" si="157"/>
        <v>0</v>
      </c>
      <c r="BM74" s="46">
        <f t="shared" si="157"/>
        <v>0</v>
      </c>
      <c r="BN74" s="46">
        <f t="shared" si="157"/>
        <v>0</v>
      </c>
      <c r="BO74" s="46">
        <f t="shared" si="157"/>
        <v>0</v>
      </c>
      <c r="BP74" s="46">
        <f t="shared" si="157"/>
        <v>0</v>
      </c>
      <c r="BQ74" s="46">
        <f t="shared" si="157"/>
        <v>0</v>
      </c>
      <c r="BR74" s="46">
        <f t="shared" si="157"/>
        <v>0</v>
      </c>
      <c r="BS74" s="46">
        <f t="shared" si="157"/>
        <v>0</v>
      </c>
      <c r="BT74" s="46">
        <f t="shared" si="157"/>
        <v>0</v>
      </c>
      <c r="BU74" s="46">
        <f t="shared" si="157"/>
        <v>0</v>
      </c>
      <c r="BV74" s="46">
        <f t="shared" si="157"/>
        <v>0</v>
      </c>
      <c r="BW74" s="46">
        <f t="shared" si="157"/>
        <v>0</v>
      </c>
      <c r="BX74" s="46">
        <f t="shared" si="157"/>
        <v>0</v>
      </c>
      <c r="BY74" s="46">
        <f t="shared" si="157"/>
        <v>0</v>
      </c>
      <c r="BZ74" s="46">
        <f t="shared" si="157"/>
        <v>0</v>
      </c>
      <c r="CA74" s="46">
        <f t="shared" ref="CA74:EL74" si="158">IF(AND(CA$12&gt;=$G73,CA$12&lt;=$G74),1,0)</f>
        <v>0</v>
      </c>
      <c r="CB74" s="46">
        <f t="shared" si="158"/>
        <v>0</v>
      </c>
      <c r="CC74" s="46">
        <f t="shared" si="158"/>
        <v>0</v>
      </c>
      <c r="CD74" s="46">
        <f t="shared" si="158"/>
        <v>0</v>
      </c>
      <c r="CE74" s="46">
        <f t="shared" si="158"/>
        <v>0</v>
      </c>
      <c r="CF74" s="46">
        <f t="shared" si="158"/>
        <v>0</v>
      </c>
      <c r="CG74" s="46">
        <f t="shared" si="158"/>
        <v>0</v>
      </c>
      <c r="CH74" s="46">
        <f t="shared" si="158"/>
        <v>0</v>
      </c>
      <c r="CI74" s="46">
        <f t="shared" si="158"/>
        <v>0</v>
      </c>
      <c r="CJ74" s="46">
        <f t="shared" si="158"/>
        <v>0</v>
      </c>
      <c r="CK74" s="46">
        <f t="shared" si="158"/>
        <v>0</v>
      </c>
      <c r="CL74" s="46">
        <f t="shared" si="158"/>
        <v>0</v>
      </c>
      <c r="CM74" s="46">
        <f t="shared" si="158"/>
        <v>0</v>
      </c>
      <c r="CN74" s="46">
        <f t="shared" si="158"/>
        <v>0</v>
      </c>
      <c r="CO74" s="46">
        <f t="shared" si="158"/>
        <v>0</v>
      </c>
      <c r="CP74" s="46">
        <f t="shared" si="158"/>
        <v>0</v>
      </c>
      <c r="CQ74" s="46">
        <f t="shared" si="158"/>
        <v>0</v>
      </c>
      <c r="CR74" s="46">
        <f t="shared" si="158"/>
        <v>0</v>
      </c>
      <c r="CS74" s="46">
        <f t="shared" si="158"/>
        <v>0</v>
      </c>
      <c r="CT74" s="46">
        <f t="shared" si="158"/>
        <v>0</v>
      </c>
      <c r="CU74" s="46">
        <f t="shared" si="158"/>
        <v>0</v>
      </c>
      <c r="CV74" s="46">
        <f t="shared" si="158"/>
        <v>0</v>
      </c>
      <c r="CW74" s="46">
        <f t="shared" si="158"/>
        <v>0</v>
      </c>
      <c r="CX74" s="46">
        <f t="shared" si="158"/>
        <v>0</v>
      </c>
      <c r="CY74" s="46">
        <f t="shared" si="158"/>
        <v>0</v>
      </c>
      <c r="CZ74" s="46">
        <f t="shared" si="158"/>
        <v>0</v>
      </c>
      <c r="DA74" s="46">
        <f t="shared" si="158"/>
        <v>0</v>
      </c>
      <c r="DB74" s="46">
        <f t="shared" si="158"/>
        <v>0</v>
      </c>
      <c r="DC74" s="46">
        <f t="shared" si="158"/>
        <v>0</v>
      </c>
      <c r="DD74" s="46">
        <f t="shared" si="158"/>
        <v>0</v>
      </c>
      <c r="DE74" s="46">
        <f t="shared" si="158"/>
        <v>0</v>
      </c>
      <c r="DF74" s="46">
        <f t="shared" si="158"/>
        <v>0</v>
      </c>
      <c r="DG74" s="46">
        <f t="shared" si="158"/>
        <v>0</v>
      </c>
      <c r="DH74" s="46">
        <f t="shared" si="158"/>
        <v>0</v>
      </c>
      <c r="DI74" s="46">
        <f t="shared" si="158"/>
        <v>0</v>
      </c>
      <c r="DJ74" s="46">
        <f t="shared" si="158"/>
        <v>0</v>
      </c>
      <c r="DK74" s="46">
        <f t="shared" si="158"/>
        <v>0</v>
      </c>
      <c r="DL74" s="46">
        <f t="shared" si="158"/>
        <v>0</v>
      </c>
      <c r="DM74" s="46">
        <f t="shared" si="158"/>
        <v>0</v>
      </c>
      <c r="DN74" s="46">
        <f t="shared" si="158"/>
        <v>0</v>
      </c>
      <c r="DO74" s="46">
        <f t="shared" si="158"/>
        <v>0</v>
      </c>
      <c r="DP74" s="46">
        <f t="shared" si="158"/>
        <v>0</v>
      </c>
      <c r="DQ74" s="46">
        <f t="shared" si="158"/>
        <v>0</v>
      </c>
      <c r="DR74" s="46">
        <f t="shared" si="158"/>
        <v>0</v>
      </c>
      <c r="DS74" s="46">
        <f t="shared" si="158"/>
        <v>0</v>
      </c>
      <c r="DT74" s="46">
        <f t="shared" si="158"/>
        <v>0</v>
      </c>
      <c r="DU74" s="46">
        <f t="shared" si="158"/>
        <v>0</v>
      </c>
      <c r="DV74" s="46">
        <f t="shared" si="158"/>
        <v>0</v>
      </c>
      <c r="DW74" s="46">
        <f t="shared" si="158"/>
        <v>0</v>
      </c>
      <c r="DX74" s="46">
        <f t="shared" si="158"/>
        <v>0</v>
      </c>
      <c r="DY74" s="46">
        <f t="shared" si="158"/>
        <v>0</v>
      </c>
      <c r="DZ74" s="46">
        <f t="shared" si="158"/>
        <v>0</v>
      </c>
      <c r="EA74" s="46">
        <f t="shared" si="158"/>
        <v>0</v>
      </c>
      <c r="EB74" s="46">
        <f t="shared" si="158"/>
        <v>0</v>
      </c>
      <c r="EC74" s="46">
        <f t="shared" si="158"/>
        <v>0</v>
      </c>
      <c r="ED74" s="46">
        <f t="shared" si="158"/>
        <v>0</v>
      </c>
      <c r="EE74" s="46">
        <f t="shared" si="158"/>
        <v>0</v>
      </c>
      <c r="EF74" s="46">
        <f t="shared" si="158"/>
        <v>0</v>
      </c>
      <c r="EG74" s="46">
        <f t="shared" si="158"/>
        <v>0</v>
      </c>
      <c r="EH74" s="46">
        <f t="shared" si="158"/>
        <v>0</v>
      </c>
      <c r="EI74" s="46">
        <f t="shared" si="158"/>
        <v>0</v>
      </c>
      <c r="EJ74" s="46">
        <f t="shared" si="158"/>
        <v>0</v>
      </c>
      <c r="EK74" s="46">
        <f t="shared" si="158"/>
        <v>0</v>
      </c>
      <c r="EL74" s="46">
        <f t="shared" si="158"/>
        <v>0</v>
      </c>
      <c r="EM74" s="46">
        <f t="shared" ref="EM74:GX74" si="159">IF(AND(EM$12&gt;=$G73,EM$12&lt;=$G74),1,0)</f>
        <v>0</v>
      </c>
      <c r="EN74" s="46">
        <f t="shared" si="159"/>
        <v>0</v>
      </c>
      <c r="EO74" s="46">
        <f t="shared" si="159"/>
        <v>0</v>
      </c>
      <c r="EP74" s="46">
        <f t="shared" si="159"/>
        <v>0</v>
      </c>
      <c r="EQ74" s="46">
        <f t="shared" si="159"/>
        <v>0</v>
      </c>
      <c r="ER74" s="46">
        <f t="shared" si="159"/>
        <v>0</v>
      </c>
      <c r="ES74" s="46">
        <f t="shared" si="159"/>
        <v>0</v>
      </c>
      <c r="ET74" s="46">
        <f t="shared" si="159"/>
        <v>0</v>
      </c>
      <c r="EU74" s="46">
        <f t="shared" si="159"/>
        <v>0</v>
      </c>
      <c r="EV74" s="46">
        <f t="shared" si="159"/>
        <v>0</v>
      </c>
      <c r="EW74" s="46">
        <f t="shared" si="159"/>
        <v>0</v>
      </c>
      <c r="EX74" s="46">
        <f t="shared" si="159"/>
        <v>0</v>
      </c>
      <c r="EY74" s="46">
        <f t="shared" si="159"/>
        <v>0</v>
      </c>
      <c r="EZ74" s="46">
        <f t="shared" si="159"/>
        <v>0</v>
      </c>
      <c r="FA74" s="46">
        <f t="shared" si="159"/>
        <v>0</v>
      </c>
      <c r="FB74" s="46">
        <f t="shared" si="159"/>
        <v>0</v>
      </c>
      <c r="FC74" s="46">
        <f t="shared" si="159"/>
        <v>0</v>
      </c>
      <c r="FD74" s="46">
        <f t="shared" si="159"/>
        <v>0</v>
      </c>
      <c r="FE74" s="46">
        <f t="shared" si="159"/>
        <v>0</v>
      </c>
      <c r="FF74" s="46">
        <f t="shared" si="159"/>
        <v>0</v>
      </c>
      <c r="FG74" s="46">
        <f t="shared" si="159"/>
        <v>0</v>
      </c>
      <c r="FH74" s="46">
        <f t="shared" si="159"/>
        <v>0</v>
      </c>
      <c r="FI74" s="46">
        <f t="shared" si="159"/>
        <v>0</v>
      </c>
      <c r="FJ74" s="46">
        <f t="shared" si="159"/>
        <v>0</v>
      </c>
      <c r="FK74" s="46">
        <f t="shared" si="159"/>
        <v>0</v>
      </c>
      <c r="FL74" s="46">
        <f t="shared" si="159"/>
        <v>0</v>
      </c>
      <c r="FM74" s="46">
        <f t="shared" si="159"/>
        <v>0</v>
      </c>
      <c r="FN74" s="46">
        <f t="shared" si="159"/>
        <v>0</v>
      </c>
      <c r="FO74" s="46">
        <f t="shared" si="159"/>
        <v>0</v>
      </c>
      <c r="FP74" s="46">
        <f t="shared" si="159"/>
        <v>0</v>
      </c>
      <c r="FQ74" s="46">
        <f t="shared" si="159"/>
        <v>0</v>
      </c>
      <c r="FR74" s="46">
        <f t="shared" si="159"/>
        <v>0</v>
      </c>
      <c r="FS74" s="46">
        <f t="shared" si="159"/>
        <v>0</v>
      </c>
      <c r="FT74" s="46">
        <f t="shared" si="159"/>
        <v>0</v>
      </c>
      <c r="FU74" s="46">
        <f t="shared" si="159"/>
        <v>0</v>
      </c>
      <c r="FV74" s="46">
        <f t="shared" si="159"/>
        <v>0</v>
      </c>
      <c r="FW74" s="46">
        <f t="shared" si="159"/>
        <v>0</v>
      </c>
      <c r="FX74" s="46">
        <f t="shared" si="159"/>
        <v>0</v>
      </c>
      <c r="FY74" s="46">
        <f t="shared" si="159"/>
        <v>0</v>
      </c>
      <c r="FZ74" s="46">
        <f t="shared" si="159"/>
        <v>0</v>
      </c>
      <c r="GA74" s="46">
        <f t="shared" si="159"/>
        <v>0</v>
      </c>
      <c r="GB74" s="46">
        <f t="shared" si="159"/>
        <v>0</v>
      </c>
      <c r="GC74" s="46">
        <f t="shared" si="159"/>
        <v>0</v>
      </c>
      <c r="GD74" s="46">
        <f t="shared" si="159"/>
        <v>0</v>
      </c>
      <c r="GE74" s="46">
        <f t="shared" si="159"/>
        <v>0</v>
      </c>
      <c r="GF74" s="46">
        <f t="shared" si="159"/>
        <v>0</v>
      </c>
      <c r="GG74" s="46">
        <f t="shared" si="159"/>
        <v>0</v>
      </c>
      <c r="GH74" s="46">
        <f t="shared" si="159"/>
        <v>0</v>
      </c>
      <c r="GI74" s="46">
        <f t="shared" si="159"/>
        <v>0</v>
      </c>
      <c r="GJ74" s="46">
        <f t="shared" si="159"/>
        <v>0</v>
      </c>
      <c r="GK74" s="46">
        <f t="shared" si="159"/>
        <v>0</v>
      </c>
      <c r="GL74" s="46">
        <f t="shared" si="159"/>
        <v>0</v>
      </c>
      <c r="GM74" s="46">
        <f t="shared" si="159"/>
        <v>0</v>
      </c>
      <c r="GN74" s="46">
        <f t="shared" si="159"/>
        <v>0</v>
      </c>
      <c r="GO74" s="46">
        <f t="shared" si="159"/>
        <v>0</v>
      </c>
      <c r="GP74" s="46">
        <f t="shared" si="159"/>
        <v>0</v>
      </c>
      <c r="GQ74" s="46">
        <f t="shared" si="159"/>
        <v>0</v>
      </c>
      <c r="GR74" s="46">
        <f t="shared" si="159"/>
        <v>0</v>
      </c>
      <c r="GS74" s="46">
        <f t="shared" si="159"/>
        <v>0</v>
      </c>
      <c r="GT74" s="46">
        <f t="shared" si="159"/>
        <v>0</v>
      </c>
      <c r="GU74" s="46">
        <f t="shared" si="159"/>
        <v>0</v>
      </c>
      <c r="GV74" s="46">
        <f t="shared" si="159"/>
        <v>0</v>
      </c>
      <c r="GW74" s="46">
        <f t="shared" si="159"/>
        <v>0</v>
      </c>
      <c r="GX74" s="46">
        <f t="shared" si="159"/>
        <v>0</v>
      </c>
      <c r="GY74" s="46">
        <f t="shared" ref="GY74:JJ74" si="160">IF(AND(GY$12&gt;=$G73,GY$12&lt;=$G74),1,0)</f>
        <v>0</v>
      </c>
      <c r="GZ74" s="46">
        <f t="shared" si="160"/>
        <v>0</v>
      </c>
      <c r="HA74" s="46">
        <f t="shared" si="160"/>
        <v>0</v>
      </c>
      <c r="HB74" s="46">
        <f t="shared" si="160"/>
        <v>0</v>
      </c>
      <c r="HC74" s="46">
        <f t="shared" si="160"/>
        <v>0</v>
      </c>
      <c r="HD74" s="46">
        <f t="shared" si="160"/>
        <v>0</v>
      </c>
      <c r="HE74" s="46">
        <f t="shared" si="160"/>
        <v>0</v>
      </c>
      <c r="HF74" s="46">
        <f t="shared" si="160"/>
        <v>0</v>
      </c>
      <c r="HG74" s="46">
        <f t="shared" si="160"/>
        <v>0</v>
      </c>
      <c r="HH74" s="46">
        <f t="shared" si="160"/>
        <v>0</v>
      </c>
      <c r="HI74" s="46">
        <f t="shared" si="160"/>
        <v>0</v>
      </c>
      <c r="HJ74" s="46">
        <f t="shared" si="160"/>
        <v>0</v>
      </c>
      <c r="HK74" s="46">
        <f t="shared" si="160"/>
        <v>0</v>
      </c>
      <c r="HL74" s="46">
        <f t="shared" si="160"/>
        <v>0</v>
      </c>
      <c r="HM74" s="46">
        <f t="shared" si="160"/>
        <v>0</v>
      </c>
      <c r="HN74" s="46">
        <f t="shared" si="160"/>
        <v>0</v>
      </c>
      <c r="HO74" s="46">
        <f t="shared" si="160"/>
        <v>0</v>
      </c>
      <c r="HP74" s="46">
        <f t="shared" si="160"/>
        <v>0</v>
      </c>
      <c r="HQ74" s="46">
        <f t="shared" si="160"/>
        <v>0</v>
      </c>
      <c r="HR74" s="46">
        <f t="shared" si="160"/>
        <v>0</v>
      </c>
      <c r="HS74" s="46">
        <f t="shared" si="160"/>
        <v>0</v>
      </c>
      <c r="HT74" s="46">
        <f t="shared" si="160"/>
        <v>0</v>
      </c>
      <c r="HU74" s="46">
        <f t="shared" si="160"/>
        <v>0</v>
      </c>
      <c r="HV74" s="46">
        <f t="shared" si="160"/>
        <v>0</v>
      </c>
      <c r="HW74" s="46">
        <f t="shared" si="160"/>
        <v>0</v>
      </c>
      <c r="HX74" s="46">
        <f t="shared" si="160"/>
        <v>0</v>
      </c>
      <c r="HY74" s="46">
        <f t="shared" si="160"/>
        <v>0</v>
      </c>
      <c r="HZ74" s="46">
        <f t="shared" si="160"/>
        <v>0</v>
      </c>
      <c r="IA74" s="46">
        <f t="shared" si="160"/>
        <v>0</v>
      </c>
      <c r="IB74" s="46">
        <f t="shared" si="160"/>
        <v>0</v>
      </c>
      <c r="IC74" s="46">
        <f t="shared" si="160"/>
        <v>0</v>
      </c>
      <c r="ID74" s="46">
        <f t="shared" si="160"/>
        <v>0</v>
      </c>
      <c r="IE74" s="46">
        <f t="shared" si="160"/>
        <v>0</v>
      </c>
      <c r="IF74" s="46">
        <f t="shared" si="160"/>
        <v>0</v>
      </c>
      <c r="IG74" s="46">
        <f t="shared" si="160"/>
        <v>0</v>
      </c>
      <c r="IH74" s="46">
        <f t="shared" si="160"/>
        <v>0</v>
      </c>
      <c r="II74" s="46">
        <f t="shared" si="160"/>
        <v>0</v>
      </c>
      <c r="IJ74" s="46">
        <f t="shared" si="160"/>
        <v>0</v>
      </c>
      <c r="IK74" s="46">
        <f t="shared" si="160"/>
        <v>0</v>
      </c>
      <c r="IL74" s="46">
        <f t="shared" si="160"/>
        <v>0</v>
      </c>
      <c r="IM74" s="46">
        <f t="shared" si="160"/>
        <v>0</v>
      </c>
      <c r="IN74" s="46">
        <f t="shared" si="160"/>
        <v>0</v>
      </c>
      <c r="IO74" s="46">
        <f t="shared" si="160"/>
        <v>0</v>
      </c>
      <c r="IP74" s="46">
        <f t="shared" si="160"/>
        <v>0</v>
      </c>
      <c r="IQ74" s="46">
        <f t="shared" si="160"/>
        <v>0</v>
      </c>
      <c r="IR74" s="46">
        <f t="shared" si="160"/>
        <v>0</v>
      </c>
      <c r="IS74" s="46">
        <f t="shared" si="160"/>
        <v>0</v>
      </c>
      <c r="IT74" s="46">
        <f t="shared" si="160"/>
        <v>0</v>
      </c>
      <c r="IU74" s="46">
        <f t="shared" si="160"/>
        <v>0</v>
      </c>
      <c r="IV74" s="46">
        <f t="shared" si="160"/>
        <v>0</v>
      </c>
      <c r="IW74" s="46">
        <f t="shared" si="160"/>
        <v>0</v>
      </c>
      <c r="IX74" s="46">
        <f t="shared" si="160"/>
        <v>0</v>
      </c>
      <c r="IY74" s="46">
        <f t="shared" si="160"/>
        <v>0</v>
      </c>
      <c r="IZ74" s="46">
        <f t="shared" si="160"/>
        <v>0</v>
      </c>
      <c r="JA74" s="46">
        <f t="shared" si="160"/>
        <v>0</v>
      </c>
      <c r="JB74" s="46">
        <f t="shared" si="160"/>
        <v>0</v>
      </c>
      <c r="JC74" s="46">
        <f t="shared" si="160"/>
        <v>0</v>
      </c>
      <c r="JD74" s="46">
        <f t="shared" si="160"/>
        <v>0</v>
      </c>
      <c r="JE74" s="46">
        <f t="shared" si="160"/>
        <v>0</v>
      </c>
      <c r="JF74" s="46">
        <f t="shared" si="160"/>
        <v>0</v>
      </c>
      <c r="JG74" s="46">
        <f t="shared" si="160"/>
        <v>0</v>
      </c>
      <c r="JH74" s="46">
        <f t="shared" si="160"/>
        <v>0</v>
      </c>
      <c r="JI74" s="46">
        <f t="shared" si="160"/>
        <v>0</v>
      </c>
      <c r="JJ74" s="46">
        <f t="shared" si="160"/>
        <v>0</v>
      </c>
      <c r="JK74" s="46">
        <f t="shared" ref="JK74:KI74" si="161">IF(AND(JK$12&gt;=$G73,JK$12&lt;=$G74),1,0)</f>
        <v>0</v>
      </c>
      <c r="JL74" s="46">
        <f t="shared" si="161"/>
        <v>0</v>
      </c>
      <c r="JM74" s="46">
        <f t="shared" si="161"/>
        <v>0</v>
      </c>
      <c r="JN74" s="46">
        <f t="shared" si="161"/>
        <v>0</v>
      </c>
      <c r="JO74" s="46">
        <f t="shared" si="161"/>
        <v>0</v>
      </c>
      <c r="JP74" s="46">
        <f t="shared" si="161"/>
        <v>0</v>
      </c>
      <c r="JQ74" s="46">
        <f t="shared" si="161"/>
        <v>0</v>
      </c>
      <c r="JR74" s="46">
        <f t="shared" si="161"/>
        <v>0</v>
      </c>
      <c r="JS74" s="46">
        <f t="shared" si="161"/>
        <v>0</v>
      </c>
      <c r="JT74" s="46">
        <f t="shared" si="161"/>
        <v>0</v>
      </c>
      <c r="JU74" s="46">
        <f t="shared" si="161"/>
        <v>0</v>
      </c>
      <c r="JV74" s="46">
        <f t="shared" si="161"/>
        <v>0</v>
      </c>
      <c r="JW74" s="46">
        <f t="shared" si="161"/>
        <v>0</v>
      </c>
      <c r="JX74" s="46">
        <f t="shared" si="161"/>
        <v>0</v>
      </c>
      <c r="JY74" s="46">
        <f t="shared" si="161"/>
        <v>0</v>
      </c>
      <c r="JZ74" s="46">
        <f t="shared" si="161"/>
        <v>0</v>
      </c>
      <c r="KA74" s="46">
        <f t="shared" si="161"/>
        <v>0</v>
      </c>
      <c r="KB74" s="46">
        <f t="shared" si="161"/>
        <v>0</v>
      </c>
      <c r="KC74" s="46">
        <f t="shared" si="161"/>
        <v>0</v>
      </c>
      <c r="KD74" s="46">
        <f t="shared" si="161"/>
        <v>0</v>
      </c>
      <c r="KE74" s="46">
        <f t="shared" si="161"/>
        <v>0</v>
      </c>
      <c r="KF74" s="46">
        <f t="shared" si="161"/>
        <v>0</v>
      </c>
      <c r="KG74" s="46">
        <f t="shared" si="161"/>
        <v>0</v>
      </c>
      <c r="KH74" s="46">
        <f t="shared" si="161"/>
        <v>0</v>
      </c>
      <c r="KI74" s="46">
        <f t="shared" si="161"/>
        <v>0</v>
      </c>
      <c r="KJ74" s="1"/>
    </row>
    <row r="75" spans="7:296" x14ac:dyDescent="0.35">
      <c r="G75" s="36">
        <f>EOMONTH(G74,1)</f>
        <v>46418</v>
      </c>
      <c r="H75" s="13" t="s">
        <v>110</v>
      </c>
      <c r="M75" s="15" t="s">
        <v>94</v>
      </c>
      <c r="N75" s="46">
        <f>IF(AND(N$11&lt;=$G75,N$12&gt;=$G75),1,0)</f>
        <v>0</v>
      </c>
      <c r="O75" s="46">
        <f t="shared" ref="O75:BZ75" si="162">IF(AND(O$11&lt;=$G75,O$12&gt;=$G75),1,0)</f>
        <v>0</v>
      </c>
      <c r="P75" s="46">
        <f t="shared" si="162"/>
        <v>0</v>
      </c>
      <c r="Q75" s="46">
        <f t="shared" si="162"/>
        <v>0</v>
      </c>
      <c r="R75" s="46">
        <f t="shared" si="162"/>
        <v>0</v>
      </c>
      <c r="S75" s="46">
        <f t="shared" si="162"/>
        <v>0</v>
      </c>
      <c r="T75" s="46">
        <f t="shared" si="162"/>
        <v>1</v>
      </c>
      <c r="U75" s="46">
        <f t="shared" si="162"/>
        <v>0</v>
      </c>
      <c r="V75" s="46">
        <f t="shared" si="162"/>
        <v>0</v>
      </c>
      <c r="W75" s="46">
        <f t="shared" si="162"/>
        <v>0</v>
      </c>
      <c r="X75" s="46">
        <f t="shared" si="162"/>
        <v>0</v>
      </c>
      <c r="Y75" s="46">
        <f t="shared" si="162"/>
        <v>0</v>
      </c>
      <c r="Z75" s="46">
        <f t="shared" si="162"/>
        <v>0</v>
      </c>
      <c r="AA75" s="46">
        <f t="shared" si="162"/>
        <v>0</v>
      </c>
      <c r="AB75" s="46">
        <f t="shared" si="162"/>
        <v>0</v>
      </c>
      <c r="AC75" s="46">
        <f t="shared" si="162"/>
        <v>0</v>
      </c>
      <c r="AD75" s="46">
        <f t="shared" si="162"/>
        <v>0</v>
      </c>
      <c r="AE75" s="46">
        <f t="shared" si="162"/>
        <v>0</v>
      </c>
      <c r="AF75" s="46">
        <f t="shared" si="162"/>
        <v>0</v>
      </c>
      <c r="AG75" s="46">
        <f t="shared" si="162"/>
        <v>0</v>
      </c>
      <c r="AH75" s="46">
        <f t="shared" si="162"/>
        <v>0</v>
      </c>
      <c r="AI75" s="46">
        <f t="shared" si="162"/>
        <v>0</v>
      </c>
      <c r="AJ75" s="46">
        <f t="shared" si="162"/>
        <v>0</v>
      </c>
      <c r="AK75" s="46">
        <f t="shared" si="162"/>
        <v>0</v>
      </c>
      <c r="AL75" s="46">
        <f t="shared" si="162"/>
        <v>0</v>
      </c>
      <c r="AM75" s="46">
        <f t="shared" si="162"/>
        <v>0</v>
      </c>
      <c r="AN75" s="46">
        <f t="shared" si="162"/>
        <v>0</v>
      </c>
      <c r="AO75" s="46">
        <f t="shared" si="162"/>
        <v>0</v>
      </c>
      <c r="AP75" s="46">
        <f t="shared" si="162"/>
        <v>0</v>
      </c>
      <c r="AQ75" s="46">
        <f t="shared" si="162"/>
        <v>0</v>
      </c>
      <c r="AR75" s="46">
        <f t="shared" si="162"/>
        <v>0</v>
      </c>
      <c r="AS75" s="46">
        <f t="shared" si="162"/>
        <v>0</v>
      </c>
      <c r="AT75" s="46">
        <f t="shared" si="162"/>
        <v>0</v>
      </c>
      <c r="AU75" s="46">
        <f t="shared" si="162"/>
        <v>0</v>
      </c>
      <c r="AV75" s="46">
        <f t="shared" si="162"/>
        <v>0</v>
      </c>
      <c r="AW75" s="46">
        <f t="shared" si="162"/>
        <v>0</v>
      </c>
      <c r="AX75" s="46">
        <f t="shared" si="162"/>
        <v>0</v>
      </c>
      <c r="AY75" s="46">
        <f t="shared" si="162"/>
        <v>0</v>
      </c>
      <c r="AZ75" s="46">
        <f t="shared" si="162"/>
        <v>0</v>
      </c>
      <c r="BA75" s="46">
        <f t="shared" si="162"/>
        <v>0</v>
      </c>
      <c r="BB75" s="46">
        <f t="shared" si="162"/>
        <v>0</v>
      </c>
      <c r="BC75" s="46">
        <f t="shared" si="162"/>
        <v>0</v>
      </c>
      <c r="BD75" s="46">
        <f t="shared" si="162"/>
        <v>0</v>
      </c>
      <c r="BE75" s="46">
        <f t="shared" si="162"/>
        <v>0</v>
      </c>
      <c r="BF75" s="46">
        <f t="shared" si="162"/>
        <v>0</v>
      </c>
      <c r="BG75" s="46">
        <f t="shared" si="162"/>
        <v>0</v>
      </c>
      <c r="BH75" s="46">
        <f t="shared" si="162"/>
        <v>0</v>
      </c>
      <c r="BI75" s="46">
        <f t="shared" si="162"/>
        <v>0</v>
      </c>
      <c r="BJ75" s="46">
        <f t="shared" si="162"/>
        <v>0</v>
      </c>
      <c r="BK75" s="46">
        <f t="shared" si="162"/>
        <v>0</v>
      </c>
      <c r="BL75" s="46">
        <f t="shared" si="162"/>
        <v>0</v>
      </c>
      <c r="BM75" s="46">
        <f t="shared" si="162"/>
        <v>0</v>
      </c>
      <c r="BN75" s="46">
        <f t="shared" si="162"/>
        <v>0</v>
      </c>
      <c r="BO75" s="46">
        <f t="shared" si="162"/>
        <v>0</v>
      </c>
      <c r="BP75" s="46">
        <f t="shared" si="162"/>
        <v>0</v>
      </c>
      <c r="BQ75" s="46">
        <f t="shared" si="162"/>
        <v>0</v>
      </c>
      <c r="BR75" s="46">
        <f t="shared" si="162"/>
        <v>0</v>
      </c>
      <c r="BS75" s="46">
        <f t="shared" si="162"/>
        <v>0</v>
      </c>
      <c r="BT75" s="46">
        <f t="shared" si="162"/>
        <v>0</v>
      </c>
      <c r="BU75" s="46">
        <f t="shared" si="162"/>
        <v>0</v>
      </c>
      <c r="BV75" s="46">
        <f t="shared" si="162"/>
        <v>0</v>
      </c>
      <c r="BW75" s="46">
        <f t="shared" si="162"/>
        <v>0</v>
      </c>
      <c r="BX75" s="46">
        <f t="shared" si="162"/>
        <v>0</v>
      </c>
      <c r="BY75" s="46">
        <f t="shared" si="162"/>
        <v>0</v>
      </c>
      <c r="BZ75" s="46">
        <f t="shared" si="162"/>
        <v>0</v>
      </c>
      <c r="CA75" s="46">
        <f t="shared" ref="CA75:EL75" si="163">IF(AND(CA$11&lt;=$G75,CA$12&gt;=$G75),1,0)</f>
        <v>0</v>
      </c>
      <c r="CB75" s="46">
        <f t="shared" si="163"/>
        <v>0</v>
      </c>
      <c r="CC75" s="46">
        <f t="shared" si="163"/>
        <v>0</v>
      </c>
      <c r="CD75" s="46">
        <f t="shared" si="163"/>
        <v>0</v>
      </c>
      <c r="CE75" s="46">
        <f t="shared" si="163"/>
        <v>0</v>
      </c>
      <c r="CF75" s="46">
        <f t="shared" si="163"/>
        <v>0</v>
      </c>
      <c r="CG75" s="46">
        <f t="shared" si="163"/>
        <v>0</v>
      </c>
      <c r="CH75" s="46">
        <f t="shared" si="163"/>
        <v>0</v>
      </c>
      <c r="CI75" s="46">
        <f t="shared" si="163"/>
        <v>0</v>
      </c>
      <c r="CJ75" s="46">
        <f t="shared" si="163"/>
        <v>0</v>
      </c>
      <c r="CK75" s="46">
        <f t="shared" si="163"/>
        <v>0</v>
      </c>
      <c r="CL75" s="46">
        <f t="shared" si="163"/>
        <v>0</v>
      </c>
      <c r="CM75" s="46">
        <f t="shared" si="163"/>
        <v>0</v>
      </c>
      <c r="CN75" s="46">
        <f t="shared" si="163"/>
        <v>0</v>
      </c>
      <c r="CO75" s="46">
        <f t="shared" si="163"/>
        <v>0</v>
      </c>
      <c r="CP75" s="46">
        <f t="shared" si="163"/>
        <v>0</v>
      </c>
      <c r="CQ75" s="46">
        <f t="shared" si="163"/>
        <v>0</v>
      </c>
      <c r="CR75" s="46">
        <f t="shared" si="163"/>
        <v>0</v>
      </c>
      <c r="CS75" s="46">
        <f t="shared" si="163"/>
        <v>0</v>
      </c>
      <c r="CT75" s="46">
        <f t="shared" si="163"/>
        <v>0</v>
      </c>
      <c r="CU75" s="46">
        <f t="shared" si="163"/>
        <v>0</v>
      </c>
      <c r="CV75" s="46">
        <f t="shared" si="163"/>
        <v>0</v>
      </c>
      <c r="CW75" s="46">
        <f t="shared" si="163"/>
        <v>0</v>
      </c>
      <c r="CX75" s="46">
        <f t="shared" si="163"/>
        <v>0</v>
      </c>
      <c r="CY75" s="46">
        <f t="shared" si="163"/>
        <v>0</v>
      </c>
      <c r="CZ75" s="46">
        <f t="shared" si="163"/>
        <v>0</v>
      </c>
      <c r="DA75" s="46">
        <f t="shared" si="163"/>
        <v>0</v>
      </c>
      <c r="DB75" s="46">
        <f t="shared" si="163"/>
        <v>0</v>
      </c>
      <c r="DC75" s="46">
        <f t="shared" si="163"/>
        <v>0</v>
      </c>
      <c r="DD75" s="46">
        <f t="shared" si="163"/>
        <v>0</v>
      </c>
      <c r="DE75" s="46">
        <f t="shared" si="163"/>
        <v>0</v>
      </c>
      <c r="DF75" s="46">
        <f t="shared" si="163"/>
        <v>0</v>
      </c>
      <c r="DG75" s="46">
        <f t="shared" si="163"/>
        <v>0</v>
      </c>
      <c r="DH75" s="46">
        <f t="shared" si="163"/>
        <v>0</v>
      </c>
      <c r="DI75" s="46">
        <f t="shared" si="163"/>
        <v>0</v>
      </c>
      <c r="DJ75" s="46">
        <f t="shared" si="163"/>
        <v>0</v>
      </c>
      <c r="DK75" s="46">
        <f t="shared" si="163"/>
        <v>0</v>
      </c>
      <c r="DL75" s="46">
        <f t="shared" si="163"/>
        <v>0</v>
      </c>
      <c r="DM75" s="46">
        <f t="shared" si="163"/>
        <v>0</v>
      </c>
      <c r="DN75" s="46">
        <f t="shared" si="163"/>
        <v>0</v>
      </c>
      <c r="DO75" s="46">
        <f t="shared" si="163"/>
        <v>0</v>
      </c>
      <c r="DP75" s="46">
        <f t="shared" si="163"/>
        <v>0</v>
      </c>
      <c r="DQ75" s="46">
        <f t="shared" si="163"/>
        <v>0</v>
      </c>
      <c r="DR75" s="46">
        <f t="shared" si="163"/>
        <v>0</v>
      </c>
      <c r="DS75" s="46">
        <f t="shared" si="163"/>
        <v>0</v>
      </c>
      <c r="DT75" s="46">
        <f t="shared" si="163"/>
        <v>0</v>
      </c>
      <c r="DU75" s="46">
        <f t="shared" si="163"/>
        <v>0</v>
      </c>
      <c r="DV75" s="46">
        <f t="shared" si="163"/>
        <v>0</v>
      </c>
      <c r="DW75" s="46">
        <f t="shared" si="163"/>
        <v>0</v>
      </c>
      <c r="DX75" s="46">
        <f t="shared" si="163"/>
        <v>0</v>
      </c>
      <c r="DY75" s="46">
        <f t="shared" si="163"/>
        <v>0</v>
      </c>
      <c r="DZ75" s="46">
        <f t="shared" si="163"/>
        <v>0</v>
      </c>
      <c r="EA75" s="46">
        <f t="shared" si="163"/>
        <v>0</v>
      </c>
      <c r="EB75" s="46">
        <f t="shared" si="163"/>
        <v>0</v>
      </c>
      <c r="EC75" s="46">
        <f t="shared" si="163"/>
        <v>0</v>
      </c>
      <c r="ED75" s="46">
        <f t="shared" si="163"/>
        <v>0</v>
      </c>
      <c r="EE75" s="46">
        <f t="shared" si="163"/>
        <v>0</v>
      </c>
      <c r="EF75" s="46">
        <f t="shared" si="163"/>
        <v>0</v>
      </c>
      <c r="EG75" s="46">
        <f t="shared" si="163"/>
        <v>0</v>
      </c>
      <c r="EH75" s="46">
        <f t="shared" si="163"/>
        <v>0</v>
      </c>
      <c r="EI75" s="46">
        <f t="shared" si="163"/>
        <v>0</v>
      </c>
      <c r="EJ75" s="46">
        <f t="shared" si="163"/>
        <v>0</v>
      </c>
      <c r="EK75" s="46">
        <f t="shared" si="163"/>
        <v>0</v>
      </c>
      <c r="EL75" s="46">
        <f t="shared" si="163"/>
        <v>0</v>
      </c>
      <c r="EM75" s="46">
        <f t="shared" ref="EM75:GX75" si="164">IF(AND(EM$11&lt;=$G75,EM$12&gt;=$G75),1,0)</f>
        <v>0</v>
      </c>
      <c r="EN75" s="46">
        <f t="shared" si="164"/>
        <v>0</v>
      </c>
      <c r="EO75" s="46">
        <f t="shared" si="164"/>
        <v>0</v>
      </c>
      <c r="EP75" s="46">
        <f t="shared" si="164"/>
        <v>0</v>
      </c>
      <c r="EQ75" s="46">
        <f t="shared" si="164"/>
        <v>0</v>
      </c>
      <c r="ER75" s="46">
        <f t="shared" si="164"/>
        <v>0</v>
      </c>
      <c r="ES75" s="46">
        <f t="shared" si="164"/>
        <v>0</v>
      </c>
      <c r="ET75" s="46">
        <f t="shared" si="164"/>
        <v>0</v>
      </c>
      <c r="EU75" s="46">
        <f t="shared" si="164"/>
        <v>0</v>
      </c>
      <c r="EV75" s="46">
        <f t="shared" si="164"/>
        <v>0</v>
      </c>
      <c r="EW75" s="46">
        <f t="shared" si="164"/>
        <v>0</v>
      </c>
      <c r="EX75" s="46">
        <f t="shared" si="164"/>
        <v>0</v>
      </c>
      <c r="EY75" s="46">
        <f t="shared" si="164"/>
        <v>0</v>
      </c>
      <c r="EZ75" s="46">
        <f t="shared" si="164"/>
        <v>0</v>
      </c>
      <c r="FA75" s="46">
        <f t="shared" si="164"/>
        <v>0</v>
      </c>
      <c r="FB75" s="46">
        <f t="shared" si="164"/>
        <v>0</v>
      </c>
      <c r="FC75" s="46">
        <f t="shared" si="164"/>
        <v>0</v>
      </c>
      <c r="FD75" s="46">
        <f t="shared" si="164"/>
        <v>0</v>
      </c>
      <c r="FE75" s="46">
        <f t="shared" si="164"/>
        <v>0</v>
      </c>
      <c r="FF75" s="46">
        <f t="shared" si="164"/>
        <v>0</v>
      </c>
      <c r="FG75" s="46">
        <f t="shared" si="164"/>
        <v>0</v>
      </c>
      <c r="FH75" s="46">
        <f t="shared" si="164"/>
        <v>0</v>
      </c>
      <c r="FI75" s="46">
        <f t="shared" si="164"/>
        <v>0</v>
      </c>
      <c r="FJ75" s="46">
        <f t="shared" si="164"/>
        <v>0</v>
      </c>
      <c r="FK75" s="46">
        <f t="shared" si="164"/>
        <v>0</v>
      </c>
      <c r="FL75" s="46">
        <f t="shared" si="164"/>
        <v>0</v>
      </c>
      <c r="FM75" s="46">
        <f t="shared" si="164"/>
        <v>0</v>
      </c>
      <c r="FN75" s="46">
        <f t="shared" si="164"/>
        <v>0</v>
      </c>
      <c r="FO75" s="46">
        <f t="shared" si="164"/>
        <v>0</v>
      </c>
      <c r="FP75" s="46">
        <f t="shared" si="164"/>
        <v>0</v>
      </c>
      <c r="FQ75" s="46">
        <f t="shared" si="164"/>
        <v>0</v>
      </c>
      <c r="FR75" s="46">
        <f t="shared" si="164"/>
        <v>0</v>
      </c>
      <c r="FS75" s="46">
        <f t="shared" si="164"/>
        <v>0</v>
      </c>
      <c r="FT75" s="46">
        <f t="shared" si="164"/>
        <v>0</v>
      </c>
      <c r="FU75" s="46">
        <f t="shared" si="164"/>
        <v>0</v>
      </c>
      <c r="FV75" s="46">
        <f t="shared" si="164"/>
        <v>0</v>
      </c>
      <c r="FW75" s="46">
        <f t="shared" si="164"/>
        <v>0</v>
      </c>
      <c r="FX75" s="46">
        <f t="shared" si="164"/>
        <v>0</v>
      </c>
      <c r="FY75" s="46">
        <f t="shared" si="164"/>
        <v>0</v>
      </c>
      <c r="FZ75" s="46">
        <f t="shared" si="164"/>
        <v>0</v>
      </c>
      <c r="GA75" s="46">
        <f t="shared" si="164"/>
        <v>0</v>
      </c>
      <c r="GB75" s="46">
        <f t="shared" si="164"/>
        <v>0</v>
      </c>
      <c r="GC75" s="46">
        <f t="shared" si="164"/>
        <v>0</v>
      </c>
      <c r="GD75" s="46">
        <f t="shared" si="164"/>
        <v>0</v>
      </c>
      <c r="GE75" s="46">
        <f t="shared" si="164"/>
        <v>0</v>
      </c>
      <c r="GF75" s="46">
        <f t="shared" si="164"/>
        <v>0</v>
      </c>
      <c r="GG75" s="46">
        <f t="shared" si="164"/>
        <v>0</v>
      </c>
      <c r="GH75" s="46">
        <f t="shared" si="164"/>
        <v>0</v>
      </c>
      <c r="GI75" s="46">
        <f t="shared" si="164"/>
        <v>0</v>
      </c>
      <c r="GJ75" s="46">
        <f t="shared" si="164"/>
        <v>0</v>
      </c>
      <c r="GK75" s="46">
        <f t="shared" si="164"/>
        <v>0</v>
      </c>
      <c r="GL75" s="46">
        <f t="shared" si="164"/>
        <v>0</v>
      </c>
      <c r="GM75" s="46">
        <f t="shared" si="164"/>
        <v>0</v>
      </c>
      <c r="GN75" s="46">
        <f t="shared" si="164"/>
        <v>0</v>
      </c>
      <c r="GO75" s="46">
        <f t="shared" si="164"/>
        <v>0</v>
      </c>
      <c r="GP75" s="46">
        <f t="shared" si="164"/>
        <v>0</v>
      </c>
      <c r="GQ75" s="46">
        <f t="shared" si="164"/>
        <v>0</v>
      </c>
      <c r="GR75" s="46">
        <f t="shared" si="164"/>
        <v>0</v>
      </c>
      <c r="GS75" s="46">
        <f t="shared" si="164"/>
        <v>0</v>
      </c>
      <c r="GT75" s="46">
        <f t="shared" si="164"/>
        <v>0</v>
      </c>
      <c r="GU75" s="46">
        <f t="shared" si="164"/>
        <v>0</v>
      </c>
      <c r="GV75" s="46">
        <f t="shared" si="164"/>
        <v>0</v>
      </c>
      <c r="GW75" s="46">
        <f t="shared" si="164"/>
        <v>0</v>
      </c>
      <c r="GX75" s="46">
        <f t="shared" si="164"/>
        <v>0</v>
      </c>
      <c r="GY75" s="46">
        <f t="shared" ref="GY75:JJ75" si="165">IF(AND(GY$11&lt;=$G75,GY$12&gt;=$G75),1,0)</f>
        <v>0</v>
      </c>
      <c r="GZ75" s="46">
        <f t="shared" si="165"/>
        <v>0</v>
      </c>
      <c r="HA75" s="46">
        <f t="shared" si="165"/>
        <v>0</v>
      </c>
      <c r="HB75" s="46">
        <f t="shared" si="165"/>
        <v>0</v>
      </c>
      <c r="HC75" s="46">
        <f t="shared" si="165"/>
        <v>0</v>
      </c>
      <c r="HD75" s="46">
        <f t="shared" si="165"/>
        <v>0</v>
      </c>
      <c r="HE75" s="46">
        <f t="shared" si="165"/>
        <v>0</v>
      </c>
      <c r="HF75" s="46">
        <f t="shared" si="165"/>
        <v>0</v>
      </c>
      <c r="HG75" s="46">
        <f t="shared" si="165"/>
        <v>0</v>
      </c>
      <c r="HH75" s="46">
        <f t="shared" si="165"/>
        <v>0</v>
      </c>
      <c r="HI75" s="46">
        <f t="shared" si="165"/>
        <v>0</v>
      </c>
      <c r="HJ75" s="46">
        <f t="shared" si="165"/>
        <v>0</v>
      </c>
      <c r="HK75" s="46">
        <f t="shared" si="165"/>
        <v>0</v>
      </c>
      <c r="HL75" s="46">
        <f t="shared" si="165"/>
        <v>0</v>
      </c>
      <c r="HM75" s="46">
        <f t="shared" si="165"/>
        <v>0</v>
      </c>
      <c r="HN75" s="46">
        <f t="shared" si="165"/>
        <v>0</v>
      </c>
      <c r="HO75" s="46">
        <f t="shared" si="165"/>
        <v>0</v>
      </c>
      <c r="HP75" s="46">
        <f t="shared" si="165"/>
        <v>0</v>
      </c>
      <c r="HQ75" s="46">
        <f t="shared" si="165"/>
        <v>0</v>
      </c>
      <c r="HR75" s="46">
        <f t="shared" si="165"/>
        <v>0</v>
      </c>
      <c r="HS75" s="46">
        <f t="shared" si="165"/>
        <v>0</v>
      </c>
      <c r="HT75" s="46">
        <f t="shared" si="165"/>
        <v>0</v>
      </c>
      <c r="HU75" s="46">
        <f t="shared" si="165"/>
        <v>0</v>
      </c>
      <c r="HV75" s="46">
        <f t="shared" si="165"/>
        <v>0</v>
      </c>
      <c r="HW75" s="46">
        <f t="shared" si="165"/>
        <v>0</v>
      </c>
      <c r="HX75" s="46">
        <f t="shared" si="165"/>
        <v>0</v>
      </c>
      <c r="HY75" s="46">
        <f t="shared" si="165"/>
        <v>0</v>
      </c>
      <c r="HZ75" s="46">
        <f t="shared" si="165"/>
        <v>0</v>
      </c>
      <c r="IA75" s="46">
        <f t="shared" si="165"/>
        <v>0</v>
      </c>
      <c r="IB75" s="46">
        <f t="shared" si="165"/>
        <v>0</v>
      </c>
      <c r="IC75" s="46">
        <f t="shared" si="165"/>
        <v>0</v>
      </c>
      <c r="ID75" s="46">
        <f t="shared" si="165"/>
        <v>0</v>
      </c>
      <c r="IE75" s="46">
        <f t="shared" si="165"/>
        <v>0</v>
      </c>
      <c r="IF75" s="46">
        <f t="shared" si="165"/>
        <v>0</v>
      </c>
      <c r="IG75" s="46">
        <f t="shared" si="165"/>
        <v>0</v>
      </c>
      <c r="IH75" s="46">
        <f t="shared" si="165"/>
        <v>0</v>
      </c>
      <c r="II75" s="46">
        <f t="shared" si="165"/>
        <v>0</v>
      </c>
      <c r="IJ75" s="46">
        <f t="shared" si="165"/>
        <v>0</v>
      </c>
      <c r="IK75" s="46">
        <f t="shared" si="165"/>
        <v>0</v>
      </c>
      <c r="IL75" s="46">
        <f t="shared" si="165"/>
        <v>0</v>
      </c>
      <c r="IM75" s="46">
        <f t="shared" si="165"/>
        <v>0</v>
      </c>
      <c r="IN75" s="46">
        <f t="shared" si="165"/>
        <v>0</v>
      </c>
      <c r="IO75" s="46">
        <f t="shared" si="165"/>
        <v>0</v>
      </c>
      <c r="IP75" s="46">
        <f t="shared" si="165"/>
        <v>0</v>
      </c>
      <c r="IQ75" s="46">
        <f t="shared" si="165"/>
        <v>0</v>
      </c>
      <c r="IR75" s="46">
        <f t="shared" si="165"/>
        <v>0</v>
      </c>
      <c r="IS75" s="46">
        <f t="shared" si="165"/>
        <v>0</v>
      </c>
      <c r="IT75" s="46">
        <f t="shared" si="165"/>
        <v>0</v>
      </c>
      <c r="IU75" s="46">
        <f t="shared" si="165"/>
        <v>0</v>
      </c>
      <c r="IV75" s="46">
        <f t="shared" si="165"/>
        <v>0</v>
      </c>
      <c r="IW75" s="46">
        <f t="shared" si="165"/>
        <v>0</v>
      </c>
      <c r="IX75" s="46">
        <f t="shared" si="165"/>
        <v>0</v>
      </c>
      <c r="IY75" s="46">
        <f t="shared" si="165"/>
        <v>0</v>
      </c>
      <c r="IZ75" s="46">
        <f t="shared" si="165"/>
        <v>0</v>
      </c>
      <c r="JA75" s="46">
        <f t="shared" si="165"/>
        <v>0</v>
      </c>
      <c r="JB75" s="46">
        <f t="shared" si="165"/>
        <v>0</v>
      </c>
      <c r="JC75" s="46">
        <f t="shared" si="165"/>
        <v>0</v>
      </c>
      <c r="JD75" s="46">
        <f t="shared" si="165"/>
        <v>0</v>
      </c>
      <c r="JE75" s="46">
        <f t="shared" si="165"/>
        <v>0</v>
      </c>
      <c r="JF75" s="46">
        <f t="shared" si="165"/>
        <v>0</v>
      </c>
      <c r="JG75" s="46">
        <f t="shared" si="165"/>
        <v>0</v>
      </c>
      <c r="JH75" s="46">
        <f t="shared" si="165"/>
        <v>0</v>
      </c>
      <c r="JI75" s="46">
        <f t="shared" si="165"/>
        <v>0</v>
      </c>
      <c r="JJ75" s="46">
        <f t="shared" si="165"/>
        <v>0</v>
      </c>
      <c r="JK75" s="46">
        <f t="shared" ref="JK75:KI75" si="166">IF(AND(JK$11&lt;=$G75,JK$12&gt;=$G75),1,0)</f>
        <v>0</v>
      </c>
      <c r="JL75" s="46">
        <f t="shared" si="166"/>
        <v>0</v>
      </c>
      <c r="JM75" s="46">
        <f t="shared" si="166"/>
        <v>0</v>
      </c>
      <c r="JN75" s="46">
        <f t="shared" si="166"/>
        <v>0</v>
      </c>
      <c r="JO75" s="46">
        <f t="shared" si="166"/>
        <v>0</v>
      </c>
      <c r="JP75" s="46">
        <f t="shared" si="166"/>
        <v>0</v>
      </c>
      <c r="JQ75" s="46">
        <f t="shared" si="166"/>
        <v>0</v>
      </c>
      <c r="JR75" s="46">
        <f t="shared" si="166"/>
        <v>0</v>
      </c>
      <c r="JS75" s="46">
        <f t="shared" si="166"/>
        <v>0</v>
      </c>
      <c r="JT75" s="46">
        <f t="shared" si="166"/>
        <v>0</v>
      </c>
      <c r="JU75" s="46">
        <f t="shared" si="166"/>
        <v>0</v>
      </c>
      <c r="JV75" s="46">
        <f t="shared" si="166"/>
        <v>0</v>
      </c>
      <c r="JW75" s="46">
        <f t="shared" si="166"/>
        <v>0</v>
      </c>
      <c r="JX75" s="46">
        <f t="shared" si="166"/>
        <v>0</v>
      </c>
      <c r="JY75" s="46">
        <f t="shared" si="166"/>
        <v>0</v>
      </c>
      <c r="JZ75" s="46">
        <f t="shared" si="166"/>
        <v>0</v>
      </c>
      <c r="KA75" s="46">
        <f t="shared" si="166"/>
        <v>0</v>
      </c>
      <c r="KB75" s="46">
        <f t="shared" si="166"/>
        <v>0</v>
      </c>
      <c r="KC75" s="46">
        <f t="shared" si="166"/>
        <v>0</v>
      </c>
      <c r="KD75" s="46">
        <f t="shared" si="166"/>
        <v>0</v>
      </c>
      <c r="KE75" s="46">
        <f t="shared" si="166"/>
        <v>0</v>
      </c>
      <c r="KF75" s="46">
        <f t="shared" si="166"/>
        <v>0</v>
      </c>
      <c r="KG75" s="46">
        <f t="shared" si="166"/>
        <v>0</v>
      </c>
      <c r="KH75" s="46">
        <f t="shared" si="166"/>
        <v>0</v>
      </c>
      <c r="KI75" s="46">
        <f t="shared" si="166"/>
        <v>0</v>
      </c>
      <c r="KJ75" s="1"/>
    </row>
    <row r="76" spans="7:296" x14ac:dyDescent="0.35">
      <c r="H76" s="13" t="s">
        <v>26</v>
      </c>
      <c r="M76" s="15" t="s">
        <v>96</v>
      </c>
      <c r="N76" s="46">
        <f>IF(N74=1,YEARFRAC($G73,N$12)*12,0)</f>
        <v>22</v>
      </c>
      <c r="O76" s="46">
        <f t="shared" ref="O76:BZ76" si="167">IF(O74=1,YEARFRAC($G73,O$12)*12,0)</f>
        <v>23</v>
      </c>
      <c r="P76" s="46">
        <f t="shared" si="167"/>
        <v>24</v>
      </c>
      <c r="Q76" s="46">
        <f t="shared" si="167"/>
        <v>25</v>
      </c>
      <c r="R76" s="46">
        <f t="shared" si="167"/>
        <v>26</v>
      </c>
      <c r="S76" s="46">
        <f t="shared" si="167"/>
        <v>27</v>
      </c>
      <c r="T76" s="46">
        <f t="shared" si="167"/>
        <v>0</v>
      </c>
      <c r="U76" s="46">
        <f t="shared" si="167"/>
        <v>0</v>
      </c>
      <c r="V76" s="46">
        <f t="shared" si="167"/>
        <v>0</v>
      </c>
      <c r="W76" s="46">
        <f t="shared" si="167"/>
        <v>0</v>
      </c>
      <c r="X76" s="46">
        <f t="shared" si="167"/>
        <v>0</v>
      </c>
      <c r="Y76" s="46">
        <f t="shared" si="167"/>
        <v>0</v>
      </c>
      <c r="Z76" s="46">
        <f t="shared" si="167"/>
        <v>0</v>
      </c>
      <c r="AA76" s="46">
        <f t="shared" si="167"/>
        <v>0</v>
      </c>
      <c r="AB76" s="46">
        <f t="shared" si="167"/>
        <v>0</v>
      </c>
      <c r="AC76" s="46">
        <f t="shared" si="167"/>
        <v>0</v>
      </c>
      <c r="AD76" s="46">
        <f t="shared" si="167"/>
        <v>0</v>
      </c>
      <c r="AE76" s="46">
        <f t="shared" si="167"/>
        <v>0</v>
      </c>
      <c r="AF76" s="46">
        <f t="shared" si="167"/>
        <v>0</v>
      </c>
      <c r="AG76" s="46">
        <f t="shared" si="167"/>
        <v>0</v>
      </c>
      <c r="AH76" s="46">
        <f t="shared" si="167"/>
        <v>0</v>
      </c>
      <c r="AI76" s="46">
        <f t="shared" si="167"/>
        <v>0</v>
      </c>
      <c r="AJ76" s="46">
        <f t="shared" si="167"/>
        <v>0</v>
      </c>
      <c r="AK76" s="46">
        <f t="shared" si="167"/>
        <v>0</v>
      </c>
      <c r="AL76" s="46">
        <f t="shared" si="167"/>
        <v>0</v>
      </c>
      <c r="AM76" s="46">
        <f t="shared" si="167"/>
        <v>0</v>
      </c>
      <c r="AN76" s="46">
        <f t="shared" si="167"/>
        <v>0</v>
      </c>
      <c r="AO76" s="46">
        <f t="shared" si="167"/>
        <v>0</v>
      </c>
      <c r="AP76" s="46">
        <f t="shared" si="167"/>
        <v>0</v>
      </c>
      <c r="AQ76" s="46">
        <f t="shared" si="167"/>
        <v>0</v>
      </c>
      <c r="AR76" s="46">
        <f t="shared" si="167"/>
        <v>0</v>
      </c>
      <c r="AS76" s="46">
        <f t="shared" si="167"/>
        <v>0</v>
      </c>
      <c r="AT76" s="46">
        <f t="shared" si="167"/>
        <v>0</v>
      </c>
      <c r="AU76" s="46">
        <f t="shared" si="167"/>
        <v>0</v>
      </c>
      <c r="AV76" s="46">
        <f t="shared" si="167"/>
        <v>0</v>
      </c>
      <c r="AW76" s="46">
        <f t="shared" si="167"/>
        <v>0</v>
      </c>
      <c r="AX76" s="46">
        <f t="shared" si="167"/>
        <v>0</v>
      </c>
      <c r="AY76" s="46">
        <f t="shared" si="167"/>
        <v>0</v>
      </c>
      <c r="AZ76" s="46">
        <f t="shared" si="167"/>
        <v>0</v>
      </c>
      <c r="BA76" s="46">
        <f t="shared" si="167"/>
        <v>0</v>
      </c>
      <c r="BB76" s="46">
        <f t="shared" si="167"/>
        <v>0</v>
      </c>
      <c r="BC76" s="46">
        <f t="shared" si="167"/>
        <v>0</v>
      </c>
      <c r="BD76" s="46">
        <f t="shared" si="167"/>
        <v>0</v>
      </c>
      <c r="BE76" s="46">
        <f t="shared" si="167"/>
        <v>0</v>
      </c>
      <c r="BF76" s="46">
        <f t="shared" si="167"/>
        <v>0</v>
      </c>
      <c r="BG76" s="46">
        <f t="shared" si="167"/>
        <v>0</v>
      </c>
      <c r="BH76" s="46">
        <f t="shared" si="167"/>
        <v>0</v>
      </c>
      <c r="BI76" s="46">
        <f t="shared" si="167"/>
        <v>0</v>
      </c>
      <c r="BJ76" s="46">
        <f t="shared" si="167"/>
        <v>0</v>
      </c>
      <c r="BK76" s="46">
        <f t="shared" si="167"/>
        <v>0</v>
      </c>
      <c r="BL76" s="46">
        <f t="shared" si="167"/>
        <v>0</v>
      </c>
      <c r="BM76" s="46">
        <f t="shared" si="167"/>
        <v>0</v>
      </c>
      <c r="BN76" s="46">
        <f t="shared" si="167"/>
        <v>0</v>
      </c>
      <c r="BO76" s="46">
        <f t="shared" si="167"/>
        <v>0</v>
      </c>
      <c r="BP76" s="46">
        <f t="shared" si="167"/>
        <v>0</v>
      </c>
      <c r="BQ76" s="46">
        <f t="shared" si="167"/>
        <v>0</v>
      </c>
      <c r="BR76" s="46">
        <f t="shared" si="167"/>
        <v>0</v>
      </c>
      <c r="BS76" s="46">
        <f t="shared" si="167"/>
        <v>0</v>
      </c>
      <c r="BT76" s="46">
        <f t="shared" si="167"/>
        <v>0</v>
      </c>
      <c r="BU76" s="46">
        <f t="shared" si="167"/>
        <v>0</v>
      </c>
      <c r="BV76" s="46">
        <f t="shared" si="167"/>
        <v>0</v>
      </c>
      <c r="BW76" s="46">
        <f t="shared" si="167"/>
        <v>0</v>
      </c>
      <c r="BX76" s="46">
        <f t="shared" si="167"/>
        <v>0</v>
      </c>
      <c r="BY76" s="46">
        <f t="shared" si="167"/>
        <v>0</v>
      </c>
      <c r="BZ76" s="46">
        <f t="shared" si="167"/>
        <v>0</v>
      </c>
      <c r="CA76" s="46">
        <f t="shared" ref="CA76:EL76" si="168">IF(CA74=1,YEARFRAC($G73,CA$12)*12,0)</f>
        <v>0</v>
      </c>
      <c r="CB76" s="46">
        <f t="shared" si="168"/>
        <v>0</v>
      </c>
      <c r="CC76" s="46">
        <f t="shared" si="168"/>
        <v>0</v>
      </c>
      <c r="CD76" s="46">
        <f t="shared" si="168"/>
        <v>0</v>
      </c>
      <c r="CE76" s="46">
        <f t="shared" si="168"/>
        <v>0</v>
      </c>
      <c r="CF76" s="46">
        <f t="shared" si="168"/>
        <v>0</v>
      </c>
      <c r="CG76" s="46">
        <f t="shared" si="168"/>
        <v>0</v>
      </c>
      <c r="CH76" s="46">
        <f t="shared" si="168"/>
        <v>0</v>
      </c>
      <c r="CI76" s="46">
        <f t="shared" si="168"/>
        <v>0</v>
      </c>
      <c r="CJ76" s="46">
        <f t="shared" si="168"/>
        <v>0</v>
      </c>
      <c r="CK76" s="46">
        <f t="shared" si="168"/>
        <v>0</v>
      </c>
      <c r="CL76" s="46">
        <f t="shared" si="168"/>
        <v>0</v>
      </c>
      <c r="CM76" s="46">
        <f t="shared" si="168"/>
        <v>0</v>
      </c>
      <c r="CN76" s="46">
        <f t="shared" si="168"/>
        <v>0</v>
      </c>
      <c r="CO76" s="46">
        <f t="shared" si="168"/>
        <v>0</v>
      </c>
      <c r="CP76" s="46">
        <f t="shared" si="168"/>
        <v>0</v>
      </c>
      <c r="CQ76" s="46">
        <f t="shared" si="168"/>
        <v>0</v>
      </c>
      <c r="CR76" s="46">
        <f t="shared" si="168"/>
        <v>0</v>
      </c>
      <c r="CS76" s="46">
        <f t="shared" si="168"/>
        <v>0</v>
      </c>
      <c r="CT76" s="46">
        <f t="shared" si="168"/>
        <v>0</v>
      </c>
      <c r="CU76" s="46">
        <f t="shared" si="168"/>
        <v>0</v>
      </c>
      <c r="CV76" s="46">
        <f t="shared" si="168"/>
        <v>0</v>
      </c>
      <c r="CW76" s="46">
        <f t="shared" si="168"/>
        <v>0</v>
      </c>
      <c r="CX76" s="46">
        <f t="shared" si="168"/>
        <v>0</v>
      </c>
      <c r="CY76" s="46">
        <f t="shared" si="168"/>
        <v>0</v>
      </c>
      <c r="CZ76" s="46">
        <f t="shared" si="168"/>
        <v>0</v>
      </c>
      <c r="DA76" s="46">
        <f t="shared" si="168"/>
        <v>0</v>
      </c>
      <c r="DB76" s="46">
        <f t="shared" si="168"/>
        <v>0</v>
      </c>
      <c r="DC76" s="46">
        <f t="shared" si="168"/>
        <v>0</v>
      </c>
      <c r="DD76" s="46">
        <f t="shared" si="168"/>
        <v>0</v>
      </c>
      <c r="DE76" s="46">
        <f t="shared" si="168"/>
        <v>0</v>
      </c>
      <c r="DF76" s="46">
        <f t="shared" si="168"/>
        <v>0</v>
      </c>
      <c r="DG76" s="46">
        <f t="shared" si="168"/>
        <v>0</v>
      </c>
      <c r="DH76" s="46">
        <f t="shared" si="168"/>
        <v>0</v>
      </c>
      <c r="DI76" s="46">
        <f t="shared" si="168"/>
        <v>0</v>
      </c>
      <c r="DJ76" s="46">
        <f t="shared" si="168"/>
        <v>0</v>
      </c>
      <c r="DK76" s="46">
        <f t="shared" si="168"/>
        <v>0</v>
      </c>
      <c r="DL76" s="46">
        <f t="shared" si="168"/>
        <v>0</v>
      </c>
      <c r="DM76" s="46">
        <f t="shared" si="168"/>
        <v>0</v>
      </c>
      <c r="DN76" s="46">
        <f t="shared" si="168"/>
        <v>0</v>
      </c>
      <c r="DO76" s="46">
        <f t="shared" si="168"/>
        <v>0</v>
      </c>
      <c r="DP76" s="46">
        <f t="shared" si="168"/>
        <v>0</v>
      </c>
      <c r="DQ76" s="46">
        <f t="shared" si="168"/>
        <v>0</v>
      </c>
      <c r="DR76" s="46">
        <f t="shared" si="168"/>
        <v>0</v>
      </c>
      <c r="DS76" s="46">
        <f t="shared" si="168"/>
        <v>0</v>
      </c>
      <c r="DT76" s="46">
        <f t="shared" si="168"/>
        <v>0</v>
      </c>
      <c r="DU76" s="46">
        <f t="shared" si="168"/>
        <v>0</v>
      </c>
      <c r="DV76" s="46">
        <f t="shared" si="168"/>
        <v>0</v>
      </c>
      <c r="DW76" s="46">
        <f t="shared" si="168"/>
        <v>0</v>
      </c>
      <c r="DX76" s="46">
        <f t="shared" si="168"/>
        <v>0</v>
      </c>
      <c r="DY76" s="46">
        <f t="shared" si="168"/>
        <v>0</v>
      </c>
      <c r="DZ76" s="46">
        <f t="shared" si="168"/>
        <v>0</v>
      </c>
      <c r="EA76" s="46">
        <f t="shared" si="168"/>
        <v>0</v>
      </c>
      <c r="EB76" s="46">
        <f t="shared" si="168"/>
        <v>0</v>
      </c>
      <c r="EC76" s="46">
        <f t="shared" si="168"/>
        <v>0</v>
      </c>
      <c r="ED76" s="46">
        <f t="shared" si="168"/>
        <v>0</v>
      </c>
      <c r="EE76" s="46">
        <f t="shared" si="168"/>
        <v>0</v>
      </c>
      <c r="EF76" s="46">
        <f t="shared" si="168"/>
        <v>0</v>
      </c>
      <c r="EG76" s="46">
        <f t="shared" si="168"/>
        <v>0</v>
      </c>
      <c r="EH76" s="46">
        <f t="shared" si="168"/>
        <v>0</v>
      </c>
      <c r="EI76" s="46">
        <f t="shared" si="168"/>
        <v>0</v>
      </c>
      <c r="EJ76" s="46">
        <f t="shared" si="168"/>
        <v>0</v>
      </c>
      <c r="EK76" s="46">
        <f t="shared" si="168"/>
        <v>0</v>
      </c>
      <c r="EL76" s="46">
        <f t="shared" si="168"/>
        <v>0</v>
      </c>
      <c r="EM76" s="46">
        <f t="shared" ref="EM76:GX76" si="169">IF(EM74=1,YEARFRAC($G73,EM$12)*12,0)</f>
        <v>0</v>
      </c>
      <c r="EN76" s="46">
        <f t="shared" si="169"/>
        <v>0</v>
      </c>
      <c r="EO76" s="46">
        <f t="shared" si="169"/>
        <v>0</v>
      </c>
      <c r="EP76" s="46">
        <f t="shared" si="169"/>
        <v>0</v>
      </c>
      <c r="EQ76" s="46">
        <f t="shared" si="169"/>
        <v>0</v>
      </c>
      <c r="ER76" s="46">
        <f t="shared" si="169"/>
        <v>0</v>
      </c>
      <c r="ES76" s="46">
        <f t="shared" si="169"/>
        <v>0</v>
      </c>
      <c r="ET76" s="46">
        <f t="shared" si="169"/>
        <v>0</v>
      </c>
      <c r="EU76" s="46">
        <f t="shared" si="169"/>
        <v>0</v>
      </c>
      <c r="EV76" s="46">
        <f t="shared" si="169"/>
        <v>0</v>
      </c>
      <c r="EW76" s="46">
        <f t="shared" si="169"/>
        <v>0</v>
      </c>
      <c r="EX76" s="46">
        <f t="shared" si="169"/>
        <v>0</v>
      </c>
      <c r="EY76" s="46">
        <f t="shared" si="169"/>
        <v>0</v>
      </c>
      <c r="EZ76" s="46">
        <f t="shared" si="169"/>
        <v>0</v>
      </c>
      <c r="FA76" s="46">
        <f t="shared" si="169"/>
        <v>0</v>
      </c>
      <c r="FB76" s="46">
        <f t="shared" si="169"/>
        <v>0</v>
      </c>
      <c r="FC76" s="46">
        <f t="shared" si="169"/>
        <v>0</v>
      </c>
      <c r="FD76" s="46">
        <f t="shared" si="169"/>
        <v>0</v>
      </c>
      <c r="FE76" s="46">
        <f t="shared" si="169"/>
        <v>0</v>
      </c>
      <c r="FF76" s="46">
        <f t="shared" si="169"/>
        <v>0</v>
      </c>
      <c r="FG76" s="46">
        <f t="shared" si="169"/>
        <v>0</v>
      </c>
      <c r="FH76" s="46">
        <f t="shared" si="169"/>
        <v>0</v>
      </c>
      <c r="FI76" s="46">
        <f t="shared" si="169"/>
        <v>0</v>
      </c>
      <c r="FJ76" s="46">
        <f t="shared" si="169"/>
        <v>0</v>
      </c>
      <c r="FK76" s="46">
        <f t="shared" si="169"/>
        <v>0</v>
      </c>
      <c r="FL76" s="46">
        <f t="shared" si="169"/>
        <v>0</v>
      </c>
      <c r="FM76" s="46">
        <f t="shared" si="169"/>
        <v>0</v>
      </c>
      <c r="FN76" s="46">
        <f t="shared" si="169"/>
        <v>0</v>
      </c>
      <c r="FO76" s="46">
        <f t="shared" si="169"/>
        <v>0</v>
      </c>
      <c r="FP76" s="46">
        <f t="shared" si="169"/>
        <v>0</v>
      </c>
      <c r="FQ76" s="46">
        <f t="shared" si="169"/>
        <v>0</v>
      </c>
      <c r="FR76" s="46">
        <f t="shared" si="169"/>
        <v>0</v>
      </c>
      <c r="FS76" s="46">
        <f t="shared" si="169"/>
        <v>0</v>
      </c>
      <c r="FT76" s="46">
        <f t="shared" si="169"/>
        <v>0</v>
      </c>
      <c r="FU76" s="46">
        <f t="shared" si="169"/>
        <v>0</v>
      </c>
      <c r="FV76" s="46">
        <f t="shared" si="169"/>
        <v>0</v>
      </c>
      <c r="FW76" s="46">
        <f t="shared" si="169"/>
        <v>0</v>
      </c>
      <c r="FX76" s="46">
        <f t="shared" si="169"/>
        <v>0</v>
      </c>
      <c r="FY76" s="46">
        <f t="shared" si="169"/>
        <v>0</v>
      </c>
      <c r="FZ76" s="46">
        <f t="shared" si="169"/>
        <v>0</v>
      </c>
      <c r="GA76" s="46">
        <f t="shared" si="169"/>
        <v>0</v>
      </c>
      <c r="GB76" s="46">
        <f t="shared" si="169"/>
        <v>0</v>
      </c>
      <c r="GC76" s="46">
        <f t="shared" si="169"/>
        <v>0</v>
      </c>
      <c r="GD76" s="46">
        <f t="shared" si="169"/>
        <v>0</v>
      </c>
      <c r="GE76" s="46">
        <f t="shared" si="169"/>
        <v>0</v>
      </c>
      <c r="GF76" s="46">
        <f t="shared" si="169"/>
        <v>0</v>
      </c>
      <c r="GG76" s="46">
        <f t="shared" si="169"/>
        <v>0</v>
      </c>
      <c r="GH76" s="46">
        <f t="shared" si="169"/>
        <v>0</v>
      </c>
      <c r="GI76" s="46">
        <f t="shared" si="169"/>
        <v>0</v>
      </c>
      <c r="GJ76" s="46">
        <f t="shared" si="169"/>
        <v>0</v>
      </c>
      <c r="GK76" s="46">
        <f t="shared" si="169"/>
        <v>0</v>
      </c>
      <c r="GL76" s="46">
        <f t="shared" si="169"/>
        <v>0</v>
      </c>
      <c r="GM76" s="46">
        <f t="shared" si="169"/>
        <v>0</v>
      </c>
      <c r="GN76" s="46">
        <f t="shared" si="169"/>
        <v>0</v>
      </c>
      <c r="GO76" s="46">
        <f t="shared" si="169"/>
        <v>0</v>
      </c>
      <c r="GP76" s="46">
        <f t="shared" si="169"/>
        <v>0</v>
      </c>
      <c r="GQ76" s="46">
        <f t="shared" si="169"/>
        <v>0</v>
      </c>
      <c r="GR76" s="46">
        <f t="shared" si="169"/>
        <v>0</v>
      </c>
      <c r="GS76" s="46">
        <f t="shared" si="169"/>
        <v>0</v>
      </c>
      <c r="GT76" s="46">
        <f t="shared" si="169"/>
        <v>0</v>
      </c>
      <c r="GU76" s="46">
        <f t="shared" si="169"/>
        <v>0</v>
      </c>
      <c r="GV76" s="46">
        <f t="shared" si="169"/>
        <v>0</v>
      </c>
      <c r="GW76" s="46">
        <f t="shared" si="169"/>
        <v>0</v>
      </c>
      <c r="GX76" s="46">
        <f t="shared" si="169"/>
        <v>0</v>
      </c>
      <c r="GY76" s="46">
        <f t="shared" ref="GY76:JJ76" si="170">IF(GY74=1,YEARFRAC($G73,GY$12)*12,0)</f>
        <v>0</v>
      </c>
      <c r="GZ76" s="46">
        <f t="shared" si="170"/>
        <v>0</v>
      </c>
      <c r="HA76" s="46">
        <f t="shared" si="170"/>
        <v>0</v>
      </c>
      <c r="HB76" s="46">
        <f t="shared" si="170"/>
        <v>0</v>
      </c>
      <c r="HC76" s="46">
        <f t="shared" si="170"/>
        <v>0</v>
      </c>
      <c r="HD76" s="46">
        <f t="shared" si="170"/>
        <v>0</v>
      </c>
      <c r="HE76" s="46">
        <f t="shared" si="170"/>
        <v>0</v>
      </c>
      <c r="HF76" s="46">
        <f t="shared" si="170"/>
        <v>0</v>
      </c>
      <c r="HG76" s="46">
        <f t="shared" si="170"/>
        <v>0</v>
      </c>
      <c r="HH76" s="46">
        <f t="shared" si="170"/>
        <v>0</v>
      </c>
      <c r="HI76" s="46">
        <f t="shared" si="170"/>
        <v>0</v>
      </c>
      <c r="HJ76" s="46">
        <f t="shared" si="170"/>
        <v>0</v>
      </c>
      <c r="HK76" s="46">
        <f t="shared" si="170"/>
        <v>0</v>
      </c>
      <c r="HL76" s="46">
        <f t="shared" si="170"/>
        <v>0</v>
      </c>
      <c r="HM76" s="46">
        <f t="shared" si="170"/>
        <v>0</v>
      </c>
      <c r="HN76" s="46">
        <f t="shared" si="170"/>
        <v>0</v>
      </c>
      <c r="HO76" s="46">
        <f t="shared" si="170"/>
        <v>0</v>
      </c>
      <c r="HP76" s="46">
        <f t="shared" si="170"/>
        <v>0</v>
      </c>
      <c r="HQ76" s="46">
        <f t="shared" si="170"/>
        <v>0</v>
      </c>
      <c r="HR76" s="46">
        <f t="shared" si="170"/>
        <v>0</v>
      </c>
      <c r="HS76" s="46">
        <f t="shared" si="170"/>
        <v>0</v>
      </c>
      <c r="HT76" s="46">
        <f t="shared" si="170"/>
        <v>0</v>
      </c>
      <c r="HU76" s="46">
        <f t="shared" si="170"/>
        <v>0</v>
      </c>
      <c r="HV76" s="46">
        <f t="shared" si="170"/>
        <v>0</v>
      </c>
      <c r="HW76" s="46">
        <f t="shared" si="170"/>
        <v>0</v>
      </c>
      <c r="HX76" s="46">
        <f t="shared" si="170"/>
        <v>0</v>
      </c>
      <c r="HY76" s="46">
        <f t="shared" si="170"/>
        <v>0</v>
      </c>
      <c r="HZ76" s="46">
        <f t="shared" si="170"/>
        <v>0</v>
      </c>
      <c r="IA76" s="46">
        <f t="shared" si="170"/>
        <v>0</v>
      </c>
      <c r="IB76" s="46">
        <f t="shared" si="170"/>
        <v>0</v>
      </c>
      <c r="IC76" s="46">
        <f t="shared" si="170"/>
        <v>0</v>
      </c>
      <c r="ID76" s="46">
        <f t="shared" si="170"/>
        <v>0</v>
      </c>
      <c r="IE76" s="46">
        <f t="shared" si="170"/>
        <v>0</v>
      </c>
      <c r="IF76" s="46">
        <f t="shared" si="170"/>
        <v>0</v>
      </c>
      <c r="IG76" s="46">
        <f t="shared" si="170"/>
        <v>0</v>
      </c>
      <c r="IH76" s="46">
        <f t="shared" si="170"/>
        <v>0</v>
      </c>
      <c r="II76" s="46">
        <f t="shared" si="170"/>
        <v>0</v>
      </c>
      <c r="IJ76" s="46">
        <f t="shared" si="170"/>
        <v>0</v>
      </c>
      <c r="IK76" s="46">
        <f t="shared" si="170"/>
        <v>0</v>
      </c>
      <c r="IL76" s="46">
        <f t="shared" si="170"/>
        <v>0</v>
      </c>
      <c r="IM76" s="46">
        <f t="shared" si="170"/>
        <v>0</v>
      </c>
      <c r="IN76" s="46">
        <f t="shared" si="170"/>
        <v>0</v>
      </c>
      <c r="IO76" s="46">
        <f t="shared" si="170"/>
        <v>0</v>
      </c>
      <c r="IP76" s="46">
        <f t="shared" si="170"/>
        <v>0</v>
      </c>
      <c r="IQ76" s="46">
        <f t="shared" si="170"/>
        <v>0</v>
      </c>
      <c r="IR76" s="46">
        <f t="shared" si="170"/>
        <v>0</v>
      </c>
      <c r="IS76" s="46">
        <f t="shared" si="170"/>
        <v>0</v>
      </c>
      <c r="IT76" s="46">
        <f t="shared" si="170"/>
        <v>0</v>
      </c>
      <c r="IU76" s="46">
        <f t="shared" si="170"/>
        <v>0</v>
      </c>
      <c r="IV76" s="46">
        <f t="shared" si="170"/>
        <v>0</v>
      </c>
      <c r="IW76" s="46">
        <f t="shared" si="170"/>
        <v>0</v>
      </c>
      <c r="IX76" s="46">
        <f t="shared" si="170"/>
        <v>0</v>
      </c>
      <c r="IY76" s="46">
        <f t="shared" si="170"/>
        <v>0</v>
      </c>
      <c r="IZ76" s="46">
        <f t="shared" si="170"/>
        <v>0</v>
      </c>
      <c r="JA76" s="46">
        <f t="shared" si="170"/>
        <v>0</v>
      </c>
      <c r="JB76" s="46">
        <f t="shared" si="170"/>
        <v>0</v>
      </c>
      <c r="JC76" s="46">
        <f t="shared" si="170"/>
        <v>0</v>
      </c>
      <c r="JD76" s="46">
        <f t="shared" si="170"/>
        <v>0</v>
      </c>
      <c r="JE76" s="46">
        <f t="shared" si="170"/>
        <v>0</v>
      </c>
      <c r="JF76" s="46">
        <f t="shared" si="170"/>
        <v>0</v>
      </c>
      <c r="JG76" s="46">
        <f t="shared" si="170"/>
        <v>0</v>
      </c>
      <c r="JH76" s="46">
        <f t="shared" si="170"/>
        <v>0</v>
      </c>
      <c r="JI76" s="46">
        <f t="shared" si="170"/>
        <v>0</v>
      </c>
      <c r="JJ76" s="46">
        <f t="shared" si="170"/>
        <v>0</v>
      </c>
      <c r="JK76" s="46">
        <f t="shared" ref="JK76:KI76" si="171">IF(JK74=1,YEARFRAC($G73,JK$12)*12,0)</f>
        <v>0</v>
      </c>
      <c r="JL76" s="46">
        <f t="shared" si="171"/>
        <v>0</v>
      </c>
      <c r="JM76" s="46">
        <f t="shared" si="171"/>
        <v>0</v>
      </c>
      <c r="JN76" s="46">
        <f t="shared" si="171"/>
        <v>0</v>
      </c>
      <c r="JO76" s="46">
        <f t="shared" si="171"/>
        <v>0</v>
      </c>
      <c r="JP76" s="46">
        <f t="shared" si="171"/>
        <v>0</v>
      </c>
      <c r="JQ76" s="46">
        <f t="shared" si="171"/>
        <v>0</v>
      </c>
      <c r="JR76" s="46">
        <f t="shared" si="171"/>
        <v>0</v>
      </c>
      <c r="JS76" s="46">
        <f t="shared" si="171"/>
        <v>0</v>
      </c>
      <c r="JT76" s="46">
        <f t="shared" si="171"/>
        <v>0</v>
      </c>
      <c r="JU76" s="46">
        <f t="shared" si="171"/>
        <v>0</v>
      </c>
      <c r="JV76" s="46">
        <f t="shared" si="171"/>
        <v>0</v>
      </c>
      <c r="JW76" s="46">
        <f t="shared" si="171"/>
        <v>0</v>
      </c>
      <c r="JX76" s="46">
        <f t="shared" si="171"/>
        <v>0</v>
      </c>
      <c r="JY76" s="46">
        <f t="shared" si="171"/>
        <v>0</v>
      </c>
      <c r="JZ76" s="46">
        <f t="shared" si="171"/>
        <v>0</v>
      </c>
      <c r="KA76" s="46">
        <f t="shared" si="171"/>
        <v>0</v>
      </c>
      <c r="KB76" s="46">
        <f t="shared" si="171"/>
        <v>0</v>
      </c>
      <c r="KC76" s="46">
        <f t="shared" si="171"/>
        <v>0</v>
      </c>
      <c r="KD76" s="46">
        <f t="shared" si="171"/>
        <v>0</v>
      </c>
      <c r="KE76" s="46">
        <f t="shared" si="171"/>
        <v>0</v>
      </c>
      <c r="KF76" s="46">
        <f t="shared" si="171"/>
        <v>0</v>
      </c>
      <c r="KG76" s="46">
        <f t="shared" si="171"/>
        <v>0</v>
      </c>
      <c r="KH76" s="46">
        <f t="shared" si="171"/>
        <v>0</v>
      </c>
      <c r="KI76" s="46">
        <f t="shared" si="171"/>
        <v>0</v>
      </c>
      <c r="KJ76" s="1"/>
    </row>
    <row r="77" spans="7:296" x14ac:dyDescent="0.35">
      <c r="H77" s="13" t="s">
        <v>110</v>
      </c>
      <c r="M77" s="15" t="s">
        <v>97</v>
      </c>
      <c r="N77" s="46">
        <f>IF(MOD(MONTH(N$12),6)=0,1,0)</f>
        <v>0</v>
      </c>
      <c r="O77" s="46">
        <f t="shared" ref="O77:BZ77" si="172">IF(MOD(MONTH(O$12),6)=0,1,0)</f>
        <v>0</v>
      </c>
      <c r="P77" s="46">
        <f t="shared" si="172"/>
        <v>0</v>
      </c>
      <c r="Q77" s="46">
        <f t="shared" si="172"/>
        <v>0</v>
      </c>
      <c r="R77" s="46">
        <f t="shared" si="172"/>
        <v>0</v>
      </c>
      <c r="S77" s="46">
        <f t="shared" si="172"/>
        <v>1</v>
      </c>
      <c r="T77" s="46">
        <f t="shared" si="172"/>
        <v>0</v>
      </c>
      <c r="U77" s="46">
        <f t="shared" si="172"/>
        <v>0</v>
      </c>
      <c r="V77" s="46">
        <f t="shared" si="172"/>
        <v>0</v>
      </c>
      <c r="W77" s="46">
        <f t="shared" si="172"/>
        <v>0</v>
      </c>
      <c r="X77" s="46">
        <f t="shared" si="172"/>
        <v>0</v>
      </c>
      <c r="Y77" s="46">
        <f t="shared" si="172"/>
        <v>1</v>
      </c>
      <c r="Z77" s="46">
        <f t="shared" si="172"/>
        <v>0</v>
      </c>
      <c r="AA77" s="46">
        <f t="shared" si="172"/>
        <v>0</v>
      </c>
      <c r="AB77" s="46">
        <f t="shared" si="172"/>
        <v>0</v>
      </c>
      <c r="AC77" s="46">
        <f t="shared" si="172"/>
        <v>0</v>
      </c>
      <c r="AD77" s="46">
        <f t="shared" si="172"/>
        <v>0</v>
      </c>
      <c r="AE77" s="46">
        <f t="shared" si="172"/>
        <v>1</v>
      </c>
      <c r="AF77" s="46">
        <f t="shared" si="172"/>
        <v>0</v>
      </c>
      <c r="AG77" s="46">
        <f t="shared" si="172"/>
        <v>0</v>
      </c>
      <c r="AH77" s="46">
        <f t="shared" si="172"/>
        <v>0</v>
      </c>
      <c r="AI77" s="46">
        <f t="shared" si="172"/>
        <v>0</v>
      </c>
      <c r="AJ77" s="46">
        <f t="shared" si="172"/>
        <v>0</v>
      </c>
      <c r="AK77" s="46">
        <f t="shared" si="172"/>
        <v>1</v>
      </c>
      <c r="AL77" s="46">
        <f t="shared" si="172"/>
        <v>0</v>
      </c>
      <c r="AM77" s="46">
        <f t="shared" si="172"/>
        <v>0</v>
      </c>
      <c r="AN77" s="46">
        <f t="shared" si="172"/>
        <v>0</v>
      </c>
      <c r="AO77" s="46">
        <f t="shared" si="172"/>
        <v>0</v>
      </c>
      <c r="AP77" s="46">
        <f t="shared" si="172"/>
        <v>0</v>
      </c>
      <c r="AQ77" s="46">
        <f t="shared" si="172"/>
        <v>1</v>
      </c>
      <c r="AR77" s="46">
        <f t="shared" si="172"/>
        <v>0</v>
      </c>
      <c r="AS77" s="46">
        <f t="shared" si="172"/>
        <v>0</v>
      </c>
      <c r="AT77" s="46">
        <f t="shared" si="172"/>
        <v>0</v>
      </c>
      <c r="AU77" s="46">
        <f t="shared" si="172"/>
        <v>0</v>
      </c>
      <c r="AV77" s="46">
        <f t="shared" si="172"/>
        <v>0</v>
      </c>
      <c r="AW77" s="46">
        <f t="shared" si="172"/>
        <v>1</v>
      </c>
      <c r="AX77" s="46">
        <f t="shared" si="172"/>
        <v>0</v>
      </c>
      <c r="AY77" s="46">
        <f t="shared" si="172"/>
        <v>0</v>
      </c>
      <c r="AZ77" s="46">
        <f t="shared" si="172"/>
        <v>0</v>
      </c>
      <c r="BA77" s="46">
        <f t="shared" si="172"/>
        <v>0</v>
      </c>
      <c r="BB77" s="46">
        <f t="shared" si="172"/>
        <v>0</v>
      </c>
      <c r="BC77" s="46">
        <f t="shared" si="172"/>
        <v>1</v>
      </c>
      <c r="BD77" s="46">
        <f t="shared" si="172"/>
        <v>0</v>
      </c>
      <c r="BE77" s="46">
        <f t="shared" si="172"/>
        <v>0</v>
      </c>
      <c r="BF77" s="46">
        <f t="shared" si="172"/>
        <v>0</v>
      </c>
      <c r="BG77" s="46">
        <f t="shared" si="172"/>
        <v>0</v>
      </c>
      <c r="BH77" s="46">
        <f t="shared" si="172"/>
        <v>0</v>
      </c>
      <c r="BI77" s="46">
        <f t="shared" si="172"/>
        <v>1</v>
      </c>
      <c r="BJ77" s="46">
        <f t="shared" si="172"/>
        <v>0</v>
      </c>
      <c r="BK77" s="46">
        <f t="shared" si="172"/>
        <v>0</v>
      </c>
      <c r="BL77" s="46">
        <f t="shared" si="172"/>
        <v>0</v>
      </c>
      <c r="BM77" s="46">
        <f t="shared" si="172"/>
        <v>0</v>
      </c>
      <c r="BN77" s="46">
        <f t="shared" si="172"/>
        <v>0</v>
      </c>
      <c r="BO77" s="46">
        <f t="shared" si="172"/>
        <v>1</v>
      </c>
      <c r="BP77" s="46">
        <f t="shared" si="172"/>
        <v>0</v>
      </c>
      <c r="BQ77" s="46">
        <f t="shared" si="172"/>
        <v>0</v>
      </c>
      <c r="BR77" s="46">
        <f t="shared" si="172"/>
        <v>0</v>
      </c>
      <c r="BS77" s="46">
        <f t="shared" si="172"/>
        <v>0</v>
      </c>
      <c r="BT77" s="46">
        <f t="shared" si="172"/>
        <v>0</v>
      </c>
      <c r="BU77" s="46">
        <f t="shared" si="172"/>
        <v>1</v>
      </c>
      <c r="BV77" s="46">
        <f t="shared" si="172"/>
        <v>0</v>
      </c>
      <c r="BW77" s="46">
        <f t="shared" si="172"/>
        <v>0</v>
      </c>
      <c r="BX77" s="46">
        <f t="shared" si="172"/>
        <v>0</v>
      </c>
      <c r="BY77" s="46">
        <f t="shared" si="172"/>
        <v>0</v>
      </c>
      <c r="BZ77" s="46">
        <f t="shared" si="172"/>
        <v>0</v>
      </c>
      <c r="CA77" s="46">
        <f t="shared" ref="CA77:EL77" si="173">IF(MOD(MONTH(CA$12),6)=0,1,0)</f>
        <v>1</v>
      </c>
      <c r="CB77" s="46">
        <f t="shared" si="173"/>
        <v>0</v>
      </c>
      <c r="CC77" s="46">
        <f t="shared" si="173"/>
        <v>0</v>
      </c>
      <c r="CD77" s="46">
        <f t="shared" si="173"/>
        <v>0</v>
      </c>
      <c r="CE77" s="46">
        <f t="shared" si="173"/>
        <v>0</v>
      </c>
      <c r="CF77" s="46">
        <f t="shared" si="173"/>
        <v>0</v>
      </c>
      <c r="CG77" s="46">
        <f t="shared" si="173"/>
        <v>1</v>
      </c>
      <c r="CH77" s="46">
        <f t="shared" si="173"/>
        <v>0</v>
      </c>
      <c r="CI77" s="46">
        <f t="shared" si="173"/>
        <v>0</v>
      </c>
      <c r="CJ77" s="46">
        <f t="shared" si="173"/>
        <v>0</v>
      </c>
      <c r="CK77" s="46">
        <f t="shared" si="173"/>
        <v>0</v>
      </c>
      <c r="CL77" s="46">
        <f t="shared" si="173"/>
        <v>0</v>
      </c>
      <c r="CM77" s="46">
        <f t="shared" si="173"/>
        <v>1</v>
      </c>
      <c r="CN77" s="46">
        <f t="shared" si="173"/>
        <v>0</v>
      </c>
      <c r="CO77" s="46">
        <f t="shared" si="173"/>
        <v>0</v>
      </c>
      <c r="CP77" s="46">
        <f t="shared" si="173"/>
        <v>0</v>
      </c>
      <c r="CQ77" s="46">
        <f t="shared" si="173"/>
        <v>0</v>
      </c>
      <c r="CR77" s="46">
        <f t="shared" si="173"/>
        <v>0</v>
      </c>
      <c r="CS77" s="46">
        <f t="shared" si="173"/>
        <v>1</v>
      </c>
      <c r="CT77" s="46">
        <f t="shared" si="173"/>
        <v>0</v>
      </c>
      <c r="CU77" s="46">
        <f t="shared" si="173"/>
        <v>0</v>
      </c>
      <c r="CV77" s="46">
        <f t="shared" si="173"/>
        <v>0</v>
      </c>
      <c r="CW77" s="46">
        <f t="shared" si="173"/>
        <v>0</v>
      </c>
      <c r="CX77" s="46">
        <f t="shared" si="173"/>
        <v>0</v>
      </c>
      <c r="CY77" s="46">
        <f t="shared" si="173"/>
        <v>1</v>
      </c>
      <c r="CZ77" s="46">
        <f t="shared" si="173"/>
        <v>0</v>
      </c>
      <c r="DA77" s="46">
        <f t="shared" si="173"/>
        <v>0</v>
      </c>
      <c r="DB77" s="46">
        <f t="shared" si="173"/>
        <v>0</v>
      </c>
      <c r="DC77" s="46">
        <f t="shared" si="173"/>
        <v>0</v>
      </c>
      <c r="DD77" s="46">
        <f t="shared" si="173"/>
        <v>0</v>
      </c>
      <c r="DE77" s="46">
        <f t="shared" si="173"/>
        <v>1</v>
      </c>
      <c r="DF77" s="46">
        <f t="shared" si="173"/>
        <v>0</v>
      </c>
      <c r="DG77" s="46">
        <f t="shared" si="173"/>
        <v>0</v>
      </c>
      <c r="DH77" s="46">
        <f t="shared" si="173"/>
        <v>0</v>
      </c>
      <c r="DI77" s="46">
        <f t="shared" si="173"/>
        <v>0</v>
      </c>
      <c r="DJ77" s="46">
        <f t="shared" si="173"/>
        <v>0</v>
      </c>
      <c r="DK77" s="46">
        <f t="shared" si="173"/>
        <v>1</v>
      </c>
      <c r="DL77" s="46">
        <f t="shared" si="173"/>
        <v>0</v>
      </c>
      <c r="DM77" s="46">
        <f t="shared" si="173"/>
        <v>0</v>
      </c>
      <c r="DN77" s="46">
        <f t="shared" si="173"/>
        <v>0</v>
      </c>
      <c r="DO77" s="46">
        <f t="shared" si="173"/>
        <v>0</v>
      </c>
      <c r="DP77" s="46">
        <f t="shared" si="173"/>
        <v>0</v>
      </c>
      <c r="DQ77" s="46">
        <f t="shared" si="173"/>
        <v>1</v>
      </c>
      <c r="DR77" s="46">
        <f t="shared" si="173"/>
        <v>0</v>
      </c>
      <c r="DS77" s="46">
        <f t="shared" si="173"/>
        <v>0</v>
      </c>
      <c r="DT77" s="46">
        <f t="shared" si="173"/>
        <v>0</v>
      </c>
      <c r="DU77" s="46">
        <f t="shared" si="173"/>
        <v>0</v>
      </c>
      <c r="DV77" s="46">
        <f t="shared" si="173"/>
        <v>0</v>
      </c>
      <c r="DW77" s="46">
        <f t="shared" si="173"/>
        <v>1</v>
      </c>
      <c r="DX77" s="46">
        <f t="shared" si="173"/>
        <v>0</v>
      </c>
      <c r="DY77" s="46">
        <f t="shared" si="173"/>
        <v>0</v>
      </c>
      <c r="DZ77" s="46">
        <f t="shared" si="173"/>
        <v>0</v>
      </c>
      <c r="EA77" s="46">
        <f t="shared" si="173"/>
        <v>0</v>
      </c>
      <c r="EB77" s="46">
        <f t="shared" si="173"/>
        <v>0</v>
      </c>
      <c r="EC77" s="46">
        <f t="shared" si="173"/>
        <v>1</v>
      </c>
      <c r="ED77" s="46">
        <f t="shared" si="173"/>
        <v>0</v>
      </c>
      <c r="EE77" s="46">
        <f t="shared" si="173"/>
        <v>0</v>
      </c>
      <c r="EF77" s="46">
        <f t="shared" si="173"/>
        <v>0</v>
      </c>
      <c r="EG77" s="46">
        <f t="shared" si="173"/>
        <v>0</v>
      </c>
      <c r="EH77" s="46">
        <f t="shared" si="173"/>
        <v>0</v>
      </c>
      <c r="EI77" s="46">
        <f t="shared" si="173"/>
        <v>1</v>
      </c>
      <c r="EJ77" s="46">
        <f t="shared" si="173"/>
        <v>0</v>
      </c>
      <c r="EK77" s="46">
        <f t="shared" si="173"/>
        <v>0</v>
      </c>
      <c r="EL77" s="46">
        <f t="shared" si="173"/>
        <v>0</v>
      </c>
      <c r="EM77" s="46">
        <f t="shared" ref="EM77:GX77" si="174">IF(MOD(MONTH(EM$12),6)=0,1,0)</f>
        <v>0</v>
      </c>
      <c r="EN77" s="46">
        <f t="shared" si="174"/>
        <v>0</v>
      </c>
      <c r="EO77" s="46">
        <f t="shared" si="174"/>
        <v>1</v>
      </c>
      <c r="EP77" s="46">
        <f t="shared" si="174"/>
        <v>0</v>
      </c>
      <c r="EQ77" s="46">
        <f t="shared" si="174"/>
        <v>0</v>
      </c>
      <c r="ER77" s="46">
        <f t="shared" si="174"/>
        <v>0</v>
      </c>
      <c r="ES77" s="46">
        <f t="shared" si="174"/>
        <v>0</v>
      </c>
      <c r="ET77" s="46">
        <f t="shared" si="174"/>
        <v>0</v>
      </c>
      <c r="EU77" s="46">
        <f t="shared" si="174"/>
        <v>1</v>
      </c>
      <c r="EV77" s="46">
        <f t="shared" si="174"/>
        <v>0</v>
      </c>
      <c r="EW77" s="46">
        <f t="shared" si="174"/>
        <v>0</v>
      </c>
      <c r="EX77" s="46">
        <f t="shared" si="174"/>
        <v>0</v>
      </c>
      <c r="EY77" s="46">
        <f t="shared" si="174"/>
        <v>0</v>
      </c>
      <c r="EZ77" s="46">
        <f t="shared" si="174"/>
        <v>0</v>
      </c>
      <c r="FA77" s="46">
        <f t="shared" si="174"/>
        <v>1</v>
      </c>
      <c r="FB77" s="46">
        <f t="shared" si="174"/>
        <v>0</v>
      </c>
      <c r="FC77" s="46">
        <f t="shared" si="174"/>
        <v>0</v>
      </c>
      <c r="FD77" s="46">
        <f t="shared" si="174"/>
        <v>0</v>
      </c>
      <c r="FE77" s="46">
        <f t="shared" si="174"/>
        <v>0</v>
      </c>
      <c r="FF77" s="46">
        <f t="shared" si="174"/>
        <v>0</v>
      </c>
      <c r="FG77" s="46">
        <f t="shared" si="174"/>
        <v>1</v>
      </c>
      <c r="FH77" s="46">
        <f t="shared" si="174"/>
        <v>0</v>
      </c>
      <c r="FI77" s="46">
        <f t="shared" si="174"/>
        <v>0</v>
      </c>
      <c r="FJ77" s="46">
        <f t="shared" si="174"/>
        <v>0</v>
      </c>
      <c r="FK77" s="46">
        <f t="shared" si="174"/>
        <v>0</v>
      </c>
      <c r="FL77" s="46">
        <f t="shared" si="174"/>
        <v>0</v>
      </c>
      <c r="FM77" s="46">
        <f t="shared" si="174"/>
        <v>1</v>
      </c>
      <c r="FN77" s="46">
        <f t="shared" si="174"/>
        <v>0</v>
      </c>
      <c r="FO77" s="46">
        <f t="shared" si="174"/>
        <v>0</v>
      </c>
      <c r="FP77" s="46">
        <f t="shared" si="174"/>
        <v>0</v>
      </c>
      <c r="FQ77" s="46">
        <f t="shared" si="174"/>
        <v>0</v>
      </c>
      <c r="FR77" s="46">
        <f t="shared" si="174"/>
        <v>0</v>
      </c>
      <c r="FS77" s="46">
        <f t="shared" si="174"/>
        <v>1</v>
      </c>
      <c r="FT77" s="46">
        <f t="shared" si="174"/>
        <v>0</v>
      </c>
      <c r="FU77" s="46">
        <f t="shared" si="174"/>
        <v>0</v>
      </c>
      <c r="FV77" s="46">
        <f t="shared" si="174"/>
        <v>0</v>
      </c>
      <c r="FW77" s="46">
        <f t="shared" si="174"/>
        <v>0</v>
      </c>
      <c r="FX77" s="46">
        <f t="shared" si="174"/>
        <v>0</v>
      </c>
      <c r="FY77" s="46">
        <f t="shared" si="174"/>
        <v>1</v>
      </c>
      <c r="FZ77" s="46">
        <f t="shared" si="174"/>
        <v>0</v>
      </c>
      <c r="GA77" s="46">
        <f t="shared" si="174"/>
        <v>0</v>
      </c>
      <c r="GB77" s="46">
        <f t="shared" si="174"/>
        <v>0</v>
      </c>
      <c r="GC77" s="46">
        <f t="shared" si="174"/>
        <v>0</v>
      </c>
      <c r="GD77" s="46">
        <f t="shared" si="174"/>
        <v>0</v>
      </c>
      <c r="GE77" s="46">
        <f t="shared" si="174"/>
        <v>1</v>
      </c>
      <c r="GF77" s="46">
        <f t="shared" si="174"/>
        <v>0</v>
      </c>
      <c r="GG77" s="46">
        <f t="shared" si="174"/>
        <v>0</v>
      </c>
      <c r="GH77" s="46">
        <f t="shared" si="174"/>
        <v>0</v>
      </c>
      <c r="GI77" s="46">
        <f t="shared" si="174"/>
        <v>0</v>
      </c>
      <c r="GJ77" s="46">
        <f t="shared" si="174"/>
        <v>0</v>
      </c>
      <c r="GK77" s="46">
        <f t="shared" si="174"/>
        <v>1</v>
      </c>
      <c r="GL77" s="46">
        <f t="shared" si="174"/>
        <v>0</v>
      </c>
      <c r="GM77" s="46">
        <f t="shared" si="174"/>
        <v>0</v>
      </c>
      <c r="GN77" s="46">
        <f t="shared" si="174"/>
        <v>0</v>
      </c>
      <c r="GO77" s="46">
        <f t="shared" si="174"/>
        <v>0</v>
      </c>
      <c r="GP77" s="46">
        <f t="shared" si="174"/>
        <v>0</v>
      </c>
      <c r="GQ77" s="46">
        <f t="shared" si="174"/>
        <v>1</v>
      </c>
      <c r="GR77" s="46">
        <f t="shared" si="174"/>
        <v>0</v>
      </c>
      <c r="GS77" s="46">
        <f t="shared" si="174"/>
        <v>0</v>
      </c>
      <c r="GT77" s="46">
        <f t="shared" si="174"/>
        <v>0</v>
      </c>
      <c r="GU77" s="46">
        <f t="shared" si="174"/>
        <v>0</v>
      </c>
      <c r="GV77" s="46">
        <f t="shared" si="174"/>
        <v>0</v>
      </c>
      <c r="GW77" s="46">
        <f t="shared" si="174"/>
        <v>1</v>
      </c>
      <c r="GX77" s="46">
        <f t="shared" si="174"/>
        <v>0</v>
      </c>
      <c r="GY77" s="46">
        <f t="shared" ref="GY77:JJ77" si="175">IF(MOD(MONTH(GY$12),6)=0,1,0)</f>
        <v>0</v>
      </c>
      <c r="GZ77" s="46">
        <f t="shared" si="175"/>
        <v>0</v>
      </c>
      <c r="HA77" s="46">
        <f t="shared" si="175"/>
        <v>0</v>
      </c>
      <c r="HB77" s="46">
        <f t="shared" si="175"/>
        <v>0</v>
      </c>
      <c r="HC77" s="46">
        <f t="shared" si="175"/>
        <v>1</v>
      </c>
      <c r="HD77" s="46">
        <f t="shared" si="175"/>
        <v>0</v>
      </c>
      <c r="HE77" s="46">
        <f t="shared" si="175"/>
        <v>0</v>
      </c>
      <c r="HF77" s="46">
        <f t="shared" si="175"/>
        <v>0</v>
      </c>
      <c r="HG77" s="46">
        <f t="shared" si="175"/>
        <v>0</v>
      </c>
      <c r="HH77" s="46">
        <f t="shared" si="175"/>
        <v>0</v>
      </c>
      <c r="HI77" s="46">
        <f t="shared" si="175"/>
        <v>1</v>
      </c>
      <c r="HJ77" s="46">
        <f t="shared" si="175"/>
        <v>0</v>
      </c>
      <c r="HK77" s="46">
        <f t="shared" si="175"/>
        <v>0</v>
      </c>
      <c r="HL77" s="46">
        <f t="shared" si="175"/>
        <v>0</v>
      </c>
      <c r="HM77" s="46">
        <f t="shared" si="175"/>
        <v>0</v>
      </c>
      <c r="HN77" s="46">
        <f t="shared" si="175"/>
        <v>0</v>
      </c>
      <c r="HO77" s="46">
        <f t="shared" si="175"/>
        <v>1</v>
      </c>
      <c r="HP77" s="46">
        <f t="shared" si="175"/>
        <v>0</v>
      </c>
      <c r="HQ77" s="46">
        <f t="shared" si="175"/>
        <v>0</v>
      </c>
      <c r="HR77" s="46">
        <f t="shared" si="175"/>
        <v>0</v>
      </c>
      <c r="HS77" s="46">
        <f t="shared" si="175"/>
        <v>0</v>
      </c>
      <c r="HT77" s="46">
        <f t="shared" si="175"/>
        <v>0</v>
      </c>
      <c r="HU77" s="46">
        <f t="shared" si="175"/>
        <v>1</v>
      </c>
      <c r="HV77" s="46">
        <f t="shared" si="175"/>
        <v>0</v>
      </c>
      <c r="HW77" s="46">
        <f t="shared" si="175"/>
        <v>0</v>
      </c>
      <c r="HX77" s="46">
        <f t="shared" si="175"/>
        <v>0</v>
      </c>
      <c r="HY77" s="46">
        <f t="shared" si="175"/>
        <v>0</v>
      </c>
      <c r="HZ77" s="46">
        <f t="shared" si="175"/>
        <v>0</v>
      </c>
      <c r="IA77" s="46">
        <f t="shared" si="175"/>
        <v>1</v>
      </c>
      <c r="IB77" s="46">
        <f t="shared" si="175"/>
        <v>0</v>
      </c>
      <c r="IC77" s="46">
        <f t="shared" si="175"/>
        <v>0</v>
      </c>
      <c r="ID77" s="46">
        <f t="shared" si="175"/>
        <v>0</v>
      </c>
      <c r="IE77" s="46">
        <f t="shared" si="175"/>
        <v>0</v>
      </c>
      <c r="IF77" s="46">
        <f t="shared" si="175"/>
        <v>0</v>
      </c>
      <c r="IG77" s="46">
        <f t="shared" si="175"/>
        <v>1</v>
      </c>
      <c r="IH77" s="46">
        <f t="shared" si="175"/>
        <v>0</v>
      </c>
      <c r="II77" s="46">
        <f t="shared" si="175"/>
        <v>0</v>
      </c>
      <c r="IJ77" s="46">
        <f t="shared" si="175"/>
        <v>0</v>
      </c>
      <c r="IK77" s="46">
        <f t="shared" si="175"/>
        <v>0</v>
      </c>
      <c r="IL77" s="46">
        <f t="shared" si="175"/>
        <v>0</v>
      </c>
      <c r="IM77" s="46">
        <f t="shared" si="175"/>
        <v>1</v>
      </c>
      <c r="IN77" s="46">
        <f t="shared" si="175"/>
        <v>0</v>
      </c>
      <c r="IO77" s="46">
        <f t="shared" si="175"/>
        <v>0</v>
      </c>
      <c r="IP77" s="46">
        <f t="shared" si="175"/>
        <v>0</v>
      </c>
      <c r="IQ77" s="46">
        <f t="shared" si="175"/>
        <v>0</v>
      </c>
      <c r="IR77" s="46">
        <f t="shared" si="175"/>
        <v>0</v>
      </c>
      <c r="IS77" s="46">
        <f t="shared" si="175"/>
        <v>1</v>
      </c>
      <c r="IT77" s="46">
        <f t="shared" si="175"/>
        <v>0</v>
      </c>
      <c r="IU77" s="46">
        <f t="shared" si="175"/>
        <v>0</v>
      </c>
      <c r="IV77" s="46">
        <f t="shared" si="175"/>
        <v>0</v>
      </c>
      <c r="IW77" s="46">
        <f t="shared" si="175"/>
        <v>0</v>
      </c>
      <c r="IX77" s="46">
        <f t="shared" si="175"/>
        <v>0</v>
      </c>
      <c r="IY77" s="46">
        <f t="shared" si="175"/>
        <v>1</v>
      </c>
      <c r="IZ77" s="46">
        <f t="shared" si="175"/>
        <v>0</v>
      </c>
      <c r="JA77" s="46">
        <f t="shared" si="175"/>
        <v>0</v>
      </c>
      <c r="JB77" s="46">
        <f t="shared" si="175"/>
        <v>0</v>
      </c>
      <c r="JC77" s="46">
        <f t="shared" si="175"/>
        <v>0</v>
      </c>
      <c r="JD77" s="46">
        <f t="shared" si="175"/>
        <v>0</v>
      </c>
      <c r="JE77" s="46">
        <f t="shared" si="175"/>
        <v>1</v>
      </c>
      <c r="JF77" s="46">
        <f t="shared" si="175"/>
        <v>0</v>
      </c>
      <c r="JG77" s="46">
        <f t="shared" si="175"/>
        <v>0</v>
      </c>
      <c r="JH77" s="46">
        <f t="shared" si="175"/>
        <v>0</v>
      </c>
      <c r="JI77" s="46">
        <f t="shared" si="175"/>
        <v>0</v>
      </c>
      <c r="JJ77" s="46">
        <f t="shared" si="175"/>
        <v>0</v>
      </c>
      <c r="JK77" s="46">
        <f t="shared" ref="JK77:KI77" si="176">IF(MOD(MONTH(JK$12),6)=0,1,0)</f>
        <v>1</v>
      </c>
      <c r="JL77" s="46">
        <f t="shared" si="176"/>
        <v>0</v>
      </c>
      <c r="JM77" s="46">
        <f t="shared" si="176"/>
        <v>0</v>
      </c>
      <c r="JN77" s="46">
        <f t="shared" si="176"/>
        <v>0</v>
      </c>
      <c r="JO77" s="46">
        <f t="shared" si="176"/>
        <v>0</v>
      </c>
      <c r="JP77" s="46">
        <f t="shared" si="176"/>
        <v>0</v>
      </c>
      <c r="JQ77" s="46">
        <f t="shared" si="176"/>
        <v>1</v>
      </c>
      <c r="JR77" s="46">
        <f t="shared" si="176"/>
        <v>0</v>
      </c>
      <c r="JS77" s="46">
        <f t="shared" si="176"/>
        <v>0</v>
      </c>
      <c r="JT77" s="46">
        <f t="shared" si="176"/>
        <v>0</v>
      </c>
      <c r="JU77" s="46">
        <f t="shared" si="176"/>
        <v>0</v>
      </c>
      <c r="JV77" s="46">
        <f t="shared" si="176"/>
        <v>0</v>
      </c>
      <c r="JW77" s="46">
        <f t="shared" si="176"/>
        <v>1</v>
      </c>
      <c r="JX77" s="46">
        <f t="shared" si="176"/>
        <v>0</v>
      </c>
      <c r="JY77" s="46">
        <f t="shared" si="176"/>
        <v>0</v>
      </c>
      <c r="JZ77" s="46">
        <f t="shared" si="176"/>
        <v>0</v>
      </c>
      <c r="KA77" s="46">
        <f t="shared" si="176"/>
        <v>0</v>
      </c>
      <c r="KB77" s="46">
        <f t="shared" si="176"/>
        <v>0</v>
      </c>
      <c r="KC77" s="46">
        <f t="shared" si="176"/>
        <v>1</v>
      </c>
      <c r="KD77" s="46">
        <f t="shared" si="176"/>
        <v>0</v>
      </c>
      <c r="KE77" s="46">
        <f t="shared" si="176"/>
        <v>0</v>
      </c>
      <c r="KF77" s="46">
        <f t="shared" si="176"/>
        <v>0</v>
      </c>
      <c r="KG77" s="46">
        <f t="shared" si="176"/>
        <v>0</v>
      </c>
      <c r="KH77" s="46">
        <f t="shared" si="176"/>
        <v>0</v>
      </c>
      <c r="KI77" s="46">
        <f t="shared" si="176"/>
        <v>1</v>
      </c>
      <c r="KJ77" s="1"/>
    </row>
    <row r="78" spans="7:296" x14ac:dyDescent="0.35">
      <c r="KJ78" s="1"/>
    </row>
    <row r="79" spans="7:296" x14ac:dyDescent="0.35">
      <c r="L79" s="22" t="s">
        <v>98</v>
      </c>
      <c r="KJ79" s="1"/>
    </row>
    <row r="80" spans="7:296" x14ac:dyDescent="0.35">
      <c r="H80" s="13" t="s">
        <v>49</v>
      </c>
      <c r="M80" s="15" t="s">
        <v>99</v>
      </c>
      <c r="N80" s="48">
        <f>Control!H44</f>
        <v>245</v>
      </c>
      <c r="O80" s="48">
        <f>N83</f>
        <v>245</v>
      </c>
      <c r="P80" s="48">
        <f t="shared" ref="P80:CA80" si="177">O83</f>
        <v>245</v>
      </c>
      <c r="Q80" s="48">
        <f t="shared" si="177"/>
        <v>245</v>
      </c>
      <c r="R80" s="48">
        <f t="shared" si="177"/>
        <v>245</v>
      </c>
      <c r="S80" s="48">
        <f t="shared" si="177"/>
        <v>245</v>
      </c>
      <c r="T80" s="48">
        <f t="shared" si="177"/>
        <v>210</v>
      </c>
      <c r="U80" s="48">
        <f t="shared" si="177"/>
        <v>0</v>
      </c>
      <c r="V80" s="48">
        <f t="shared" si="177"/>
        <v>0</v>
      </c>
      <c r="W80" s="48">
        <f t="shared" si="177"/>
        <v>0</v>
      </c>
      <c r="X80" s="48">
        <f t="shared" si="177"/>
        <v>0</v>
      </c>
      <c r="Y80" s="48">
        <f t="shared" si="177"/>
        <v>0</v>
      </c>
      <c r="Z80" s="48">
        <f t="shared" si="177"/>
        <v>0</v>
      </c>
      <c r="AA80" s="48">
        <f t="shared" si="177"/>
        <v>0</v>
      </c>
      <c r="AB80" s="48">
        <f t="shared" si="177"/>
        <v>0</v>
      </c>
      <c r="AC80" s="48">
        <f t="shared" si="177"/>
        <v>0</v>
      </c>
      <c r="AD80" s="48">
        <f t="shared" si="177"/>
        <v>0</v>
      </c>
      <c r="AE80" s="48">
        <f t="shared" si="177"/>
        <v>0</v>
      </c>
      <c r="AF80" s="48">
        <f t="shared" si="177"/>
        <v>0</v>
      </c>
      <c r="AG80" s="48">
        <f t="shared" si="177"/>
        <v>0</v>
      </c>
      <c r="AH80" s="48">
        <f t="shared" si="177"/>
        <v>0</v>
      </c>
      <c r="AI80" s="48">
        <f t="shared" si="177"/>
        <v>0</v>
      </c>
      <c r="AJ80" s="48">
        <f t="shared" si="177"/>
        <v>0</v>
      </c>
      <c r="AK80" s="48">
        <f t="shared" si="177"/>
        <v>0</v>
      </c>
      <c r="AL80" s="48">
        <f t="shared" si="177"/>
        <v>0</v>
      </c>
      <c r="AM80" s="48">
        <f t="shared" si="177"/>
        <v>0</v>
      </c>
      <c r="AN80" s="48">
        <f t="shared" si="177"/>
        <v>0</v>
      </c>
      <c r="AO80" s="48">
        <f t="shared" si="177"/>
        <v>0</v>
      </c>
      <c r="AP80" s="48">
        <f t="shared" si="177"/>
        <v>0</v>
      </c>
      <c r="AQ80" s="48">
        <f t="shared" si="177"/>
        <v>0</v>
      </c>
      <c r="AR80" s="48">
        <f t="shared" si="177"/>
        <v>0</v>
      </c>
      <c r="AS80" s="48">
        <f t="shared" si="177"/>
        <v>0</v>
      </c>
      <c r="AT80" s="48">
        <f t="shared" si="177"/>
        <v>0</v>
      </c>
      <c r="AU80" s="48">
        <f t="shared" si="177"/>
        <v>0</v>
      </c>
      <c r="AV80" s="48">
        <f t="shared" si="177"/>
        <v>0</v>
      </c>
      <c r="AW80" s="48">
        <f t="shared" si="177"/>
        <v>0</v>
      </c>
      <c r="AX80" s="48">
        <f t="shared" si="177"/>
        <v>0</v>
      </c>
      <c r="AY80" s="48">
        <f t="shared" si="177"/>
        <v>0</v>
      </c>
      <c r="AZ80" s="48">
        <f t="shared" si="177"/>
        <v>0</v>
      </c>
      <c r="BA80" s="48">
        <f t="shared" si="177"/>
        <v>0</v>
      </c>
      <c r="BB80" s="48">
        <f t="shared" si="177"/>
        <v>0</v>
      </c>
      <c r="BC80" s="48">
        <f t="shared" si="177"/>
        <v>0</v>
      </c>
      <c r="BD80" s="48">
        <f t="shared" si="177"/>
        <v>0</v>
      </c>
      <c r="BE80" s="48">
        <f t="shared" si="177"/>
        <v>0</v>
      </c>
      <c r="BF80" s="48">
        <f t="shared" si="177"/>
        <v>0</v>
      </c>
      <c r="BG80" s="48">
        <f t="shared" si="177"/>
        <v>0</v>
      </c>
      <c r="BH80" s="48">
        <f t="shared" si="177"/>
        <v>0</v>
      </c>
      <c r="BI80" s="48">
        <f t="shared" si="177"/>
        <v>0</v>
      </c>
      <c r="BJ80" s="48">
        <f t="shared" si="177"/>
        <v>0</v>
      </c>
      <c r="BK80" s="48">
        <f t="shared" si="177"/>
        <v>0</v>
      </c>
      <c r="BL80" s="48">
        <f t="shared" si="177"/>
        <v>0</v>
      </c>
      <c r="BM80" s="48">
        <f t="shared" si="177"/>
        <v>0</v>
      </c>
      <c r="BN80" s="48">
        <f t="shared" si="177"/>
        <v>0</v>
      </c>
      <c r="BO80" s="48">
        <f t="shared" si="177"/>
        <v>0</v>
      </c>
      <c r="BP80" s="48">
        <f t="shared" si="177"/>
        <v>0</v>
      </c>
      <c r="BQ80" s="48">
        <f t="shared" si="177"/>
        <v>0</v>
      </c>
      <c r="BR80" s="48">
        <f t="shared" si="177"/>
        <v>0</v>
      </c>
      <c r="BS80" s="48">
        <f t="shared" si="177"/>
        <v>0</v>
      </c>
      <c r="BT80" s="48">
        <f t="shared" si="177"/>
        <v>0</v>
      </c>
      <c r="BU80" s="48">
        <f t="shared" si="177"/>
        <v>0</v>
      </c>
      <c r="BV80" s="48">
        <f t="shared" si="177"/>
        <v>0</v>
      </c>
      <c r="BW80" s="48">
        <f t="shared" si="177"/>
        <v>0</v>
      </c>
      <c r="BX80" s="48">
        <f t="shared" si="177"/>
        <v>0</v>
      </c>
      <c r="BY80" s="48">
        <f t="shared" si="177"/>
        <v>0</v>
      </c>
      <c r="BZ80" s="48">
        <f t="shared" si="177"/>
        <v>0</v>
      </c>
      <c r="CA80" s="48">
        <f t="shared" si="177"/>
        <v>0</v>
      </c>
      <c r="CB80" s="48">
        <f t="shared" ref="CB80:EM80" si="178">CA83</f>
        <v>0</v>
      </c>
      <c r="CC80" s="48">
        <f t="shared" si="178"/>
        <v>0</v>
      </c>
      <c r="CD80" s="48">
        <f t="shared" si="178"/>
        <v>0</v>
      </c>
      <c r="CE80" s="48">
        <f t="shared" si="178"/>
        <v>0</v>
      </c>
      <c r="CF80" s="48">
        <f t="shared" si="178"/>
        <v>0</v>
      </c>
      <c r="CG80" s="48">
        <f t="shared" si="178"/>
        <v>0</v>
      </c>
      <c r="CH80" s="48">
        <f t="shared" si="178"/>
        <v>0</v>
      </c>
      <c r="CI80" s="48">
        <f t="shared" si="178"/>
        <v>0</v>
      </c>
      <c r="CJ80" s="48">
        <f t="shared" si="178"/>
        <v>0</v>
      </c>
      <c r="CK80" s="48">
        <f t="shared" si="178"/>
        <v>0</v>
      </c>
      <c r="CL80" s="48">
        <f t="shared" si="178"/>
        <v>0</v>
      </c>
      <c r="CM80" s="48">
        <f t="shared" si="178"/>
        <v>0</v>
      </c>
      <c r="CN80" s="48">
        <f t="shared" si="178"/>
        <v>0</v>
      </c>
      <c r="CO80" s="48">
        <f t="shared" si="178"/>
        <v>0</v>
      </c>
      <c r="CP80" s="48">
        <f t="shared" si="178"/>
        <v>0</v>
      </c>
      <c r="CQ80" s="48">
        <f t="shared" si="178"/>
        <v>0</v>
      </c>
      <c r="CR80" s="48">
        <f t="shared" si="178"/>
        <v>0</v>
      </c>
      <c r="CS80" s="48">
        <f t="shared" si="178"/>
        <v>0</v>
      </c>
      <c r="CT80" s="48">
        <f t="shared" si="178"/>
        <v>0</v>
      </c>
      <c r="CU80" s="48">
        <f t="shared" si="178"/>
        <v>0</v>
      </c>
      <c r="CV80" s="48">
        <f t="shared" si="178"/>
        <v>0</v>
      </c>
      <c r="CW80" s="48">
        <f t="shared" si="178"/>
        <v>0</v>
      </c>
      <c r="CX80" s="48">
        <f t="shared" si="178"/>
        <v>0</v>
      </c>
      <c r="CY80" s="48">
        <f t="shared" si="178"/>
        <v>0</v>
      </c>
      <c r="CZ80" s="48">
        <f t="shared" si="178"/>
        <v>0</v>
      </c>
      <c r="DA80" s="48">
        <f t="shared" si="178"/>
        <v>0</v>
      </c>
      <c r="DB80" s="48">
        <f t="shared" si="178"/>
        <v>0</v>
      </c>
      <c r="DC80" s="48">
        <f t="shared" si="178"/>
        <v>0</v>
      </c>
      <c r="DD80" s="48">
        <f t="shared" si="178"/>
        <v>0</v>
      </c>
      <c r="DE80" s="48">
        <f t="shared" si="178"/>
        <v>0</v>
      </c>
      <c r="DF80" s="48">
        <f t="shared" si="178"/>
        <v>0</v>
      </c>
      <c r="DG80" s="48">
        <f t="shared" si="178"/>
        <v>0</v>
      </c>
      <c r="DH80" s="48">
        <f t="shared" si="178"/>
        <v>0</v>
      </c>
      <c r="DI80" s="48">
        <f t="shared" si="178"/>
        <v>0</v>
      </c>
      <c r="DJ80" s="48">
        <f t="shared" si="178"/>
        <v>0</v>
      </c>
      <c r="DK80" s="48">
        <f t="shared" si="178"/>
        <v>0</v>
      </c>
      <c r="DL80" s="48">
        <f t="shared" si="178"/>
        <v>0</v>
      </c>
      <c r="DM80" s="48">
        <f t="shared" si="178"/>
        <v>0</v>
      </c>
      <c r="DN80" s="48">
        <f t="shared" si="178"/>
        <v>0</v>
      </c>
      <c r="DO80" s="48">
        <f t="shared" si="178"/>
        <v>0</v>
      </c>
      <c r="DP80" s="48">
        <f t="shared" si="178"/>
        <v>0</v>
      </c>
      <c r="DQ80" s="48">
        <f t="shared" si="178"/>
        <v>0</v>
      </c>
      <c r="DR80" s="48">
        <f t="shared" si="178"/>
        <v>0</v>
      </c>
      <c r="DS80" s="48">
        <f t="shared" si="178"/>
        <v>0</v>
      </c>
      <c r="DT80" s="48">
        <f t="shared" si="178"/>
        <v>0</v>
      </c>
      <c r="DU80" s="48">
        <f t="shared" si="178"/>
        <v>0</v>
      </c>
      <c r="DV80" s="48">
        <f t="shared" si="178"/>
        <v>0</v>
      </c>
      <c r="DW80" s="48">
        <f t="shared" si="178"/>
        <v>0</v>
      </c>
      <c r="DX80" s="48">
        <f t="shared" si="178"/>
        <v>0</v>
      </c>
      <c r="DY80" s="48">
        <f t="shared" si="178"/>
        <v>0</v>
      </c>
      <c r="DZ80" s="48">
        <f t="shared" si="178"/>
        <v>0</v>
      </c>
      <c r="EA80" s="48">
        <f t="shared" si="178"/>
        <v>0</v>
      </c>
      <c r="EB80" s="48">
        <f t="shared" si="178"/>
        <v>0</v>
      </c>
      <c r="EC80" s="48">
        <f t="shared" si="178"/>
        <v>0</v>
      </c>
      <c r="ED80" s="48">
        <f t="shared" si="178"/>
        <v>0</v>
      </c>
      <c r="EE80" s="48">
        <f t="shared" si="178"/>
        <v>0</v>
      </c>
      <c r="EF80" s="48">
        <f t="shared" si="178"/>
        <v>0</v>
      </c>
      <c r="EG80" s="48">
        <f t="shared" si="178"/>
        <v>0</v>
      </c>
      <c r="EH80" s="48">
        <f t="shared" si="178"/>
        <v>0</v>
      </c>
      <c r="EI80" s="48">
        <f t="shared" si="178"/>
        <v>0</v>
      </c>
      <c r="EJ80" s="48">
        <f t="shared" si="178"/>
        <v>0</v>
      </c>
      <c r="EK80" s="48">
        <f t="shared" si="178"/>
        <v>0</v>
      </c>
      <c r="EL80" s="48">
        <f t="shared" si="178"/>
        <v>0</v>
      </c>
      <c r="EM80" s="48">
        <f t="shared" si="178"/>
        <v>0</v>
      </c>
      <c r="EN80" s="48">
        <f t="shared" ref="EN80:GY80" si="179">EM83</f>
        <v>0</v>
      </c>
      <c r="EO80" s="48">
        <f t="shared" si="179"/>
        <v>0</v>
      </c>
      <c r="EP80" s="48">
        <f t="shared" si="179"/>
        <v>0</v>
      </c>
      <c r="EQ80" s="48">
        <f t="shared" si="179"/>
        <v>0</v>
      </c>
      <c r="ER80" s="48">
        <f t="shared" si="179"/>
        <v>0</v>
      </c>
      <c r="ES80" s="48">
        <f t="shared" si="179"/>
        <v>0</v>
      </c>
      <c r="ET80" s="48">
        <f t="shared" si="179"/>
        <v>0</v>
      </c>
      <c r="EU80" s="48">
        <f t="shared" si="179"/>
        <v>0</v>
      </c>
      <c r="EV80" s="48">
        <f t="shared" si="179"/>
        <v>0</v>
      </c>
      <c r="EW80" s="48">
        <f t="shared" si="179"/>
        <v>0</v>
      </c>
      <c r="EX80" s="48">
        <f t="shared" si="179"/>
        <v>0</v>
      </c>
      <c r="EY80" s="48">
        <f t="shared" si="179"/>
        <v>0</v>
      </c>
      <c r="EZ80" s="48">
        <f t="shared" si="179"/>
        <v>0</v>
      </c>
      <c r="FA80" s="48">
        <f t="shared" si="179"/>
        <v>0</v>
      </c>
      <c r="FB80" s="48">
        <f t="shared" si="179"/>
        <v>0</v>
      </c>
      <c r="FC80" s="48">
        <f t="shared" si="179"/>
        <v>0</v>
      </c>
      <c r="FD80" s="48">
        <f t="shared" si="179"/>
        <v>0</v>
      </c>
      <c r="FE80" s="48">
        <f t="shared" si="179"/>
        <v>0</v>
      </c>
      <c r="FF80" s="48">
        <f t="shared" si="179"/>
        <v>0</v>
      </c>
      <c r="FG80" s="48">
        <f t="shared" si="179"/>
        <v>0</v>
      </c>
      <c r="FH80" s="48">
        <f t="shared" si="179"/>
        <v>0</v>
      </c>
      <c r="FI80" s="48">
        <f t="shared" si="179"/>
        <v>0</v>
      </c>
      <c r="FJ80" s="48">
        <f t="shared" si="179"/>
        <v>0</v>
      </c>
      <c r="FK80" s="48">
        <f t="shared" si="179"/>
        <v>0</v>
      </c>
      <c r="FL80" s="48">
        <f t="shared" si="179"/>
        <v>0</v>
      </c>
      <c r="FM80" s="48">
        <f t="shared" si="179"/>
        <v>0</v>
      </c>
      <c r="FN80" s="48">
        <f t="shared" si="179"/>
        <v>0</v>
      </c>
      <c r="FO80" s="48">
        <f t="shared" si="179"/>
        <v>0</v>
      </c>
      <c r="FP80" s="48">
        <f t="shared" si="179"/>
        <v>0</v>
      </c>
      <c r="FQ80" s="48">
        <f t="shared" si="179"/>
        <v>0</v>
      </c>
      <c r="FR80" s="48">
        <f t="shared" si="179"/>
        <v>0</v>
      </c>
      <c r="FS80" s="48">
        <f t="shared" si="179"/>
        <v>0</v>
      </c>
      <c r="FT80" s="48">
        <f t="shared" si="179"/>
        <v>0</v>
      </c>
      <c r="FU80" s="48">
        <f t="shared" si="179"/>
        <v>0</v>
      </c>
      <c r="FV80" s="48">
        <f t="shared" si="179"/>
        <v>0</v>
      </c>
      <c r="FW80" s="48">
        <f t="shared" si="179"/>
        <v>0</v>
      </c>
      <c r="FX80" s="48">
        <f t="shared" si="179"/>
        <v>0</v>
      </c>
      <c r="FY80" s="48">
        <f t="shared" si="179"/>
        <v>0</v>
      </c>
      <c r="FZ80" s="48">
        <f t="shared" si="179"/>
        <v>0</v>
      </c>
      <c r="GA80" s="48">
        <f t="shared" si="179"/>
        <v>0</v>
      </c>
      <c r="GB80" s="48">
        <f t="shared" si="179"/>
        <v>0</v>
      </c>
      <c r="GC80" s="48">
        <f t="shared" si="179"/>
        <v>0</v>
      </c>
      <c r="GD80" s="48">
        <f t="shared" si="179"/>
        <v>0</v>
      </c>
      <c r="GE80" s="48">
        <f t="shared" si="179"/>
        <v>0</v>
      </c>
      <c r="GF80" s="48">
        <f t="shared" si="179"/>
        <v>0</v>
      </c>
      <c r="GG80" s="48">
        <f t="shared" si="179"/>
        <v>0</v>
      </c>
      <c r="GH80" s="48">
        <f t="shared" si="179"/>
        <v>0</v>
      </c>
      <c r="GI80" s="48">
        <f t="shared" si="179"/>
        <v>0</v>
      </c>
      <c r="GJ80" s="48">
        <f t="shared" si="179"/>
        <v>0</v>
      </c>
      <c r="GK80" s="48">
        <f t="shared" si="179"/>
        <v>0</v>
      </c>
      <c r="GL80" s="48">
        <f t="shared" si="179"/>
        <v>0</v>
      </c>
      <c r="GM80" s="48">
        <f t="shared" si="179"/>
        <v>0</v>
      </c>
      <c r="GN80" s="48">
        <f t="shared" si="179"/>
        <v>0</v>
      </c>
      <c r="GO80" s="48">
        <f t="shared" si="179"/>
        <v>0</v>
      </c>
      <c r="GP80" s="48">
        <f t="shared" si="179"/>
        <v>0</v>
      </c>
      <c r="GQ80" s="48">
        <f t="shared" si="179"/>
        <v>0</v>
      </c>
      <c r="GR80" s="48">
        <f t="shared" si="179"/>
        <v>0</v>
      </c>
      <c r="GS80" s="48">
        <f t="shared" si="179"/>
        <v>0</v>
      </c>
      <c r="GT80" s="48">
        <f t="shared" si="179"/>
        <v>0</v>
      </c>
      <c r="GU80" s="48">
        <f t="shared" si="179"/>
        <v>0</v>
      </c>
      <c r="GV80" s="48">
        <f t="shared" si="179"/>
        <v>0</v>
      </c>
      <c r="GW80" s="48">
        <f t="shared" si="179"/>
        <v>0</v>
      </c>
      <c r="GX80" s="48">
        <f t="shared" si="179"/>
        <v>0</v>
      </c>
      <c r="GY80" s="48">
        <f t="shared" si="179"/>
        <v>0</v>
      </c>
      <c r="GZ80" s="48">
        <f t="shared" ref="GZ80:JK80" si="180">GY83</f>
        <v>0</v>
      </c>
      <c r="HA80" s="48">
        <f t="shared" si="180"/>
        <v>0</v>
      </c>
      <c r="HB80" s="48">
        <f t="shared" si="180"/>
        <v>0</v>
      </c>
      <c r="HC80" s="48">
        <f t="shared" si="180"/>
        <v>0</v>
      </c>
      <c r="HD80" s="48">
        <f t="shared" si="180"/>
        <v>0</v>
      </c>
      <c r="HE80" s="48">
        <f t="shared" si="180"/>
        <v>0</v>
      </c>
      <c r="HF80" s="48">
        <f t="shared" si="180"/>
        <v>0</v>
      </c>
      <c r="HG80" s="48">
        <f t="shared" si="180"/>
        <v>0</v>
      </c>
      <c r="HH80" s="48">
        <f t="shared" si="180"/>
        <v>0</v>
      </c>
      <c r="HI80" s="48">
        <f t="shared" si="180"/>
        <v>0</v>
      </c>
      <c r="HJ80" s="48">
        <f t="shared" si="180"/>
        <v>0</v>
      </c>
      <c r="HK80" s="48">
        <f t="shared" si="180"/>
        <v>0</v>
      </c>
      <c r="HL80" s="48">
        <f t="shared" si="180"/>
        <v>0</v>
      </c>
      <c r="HM80" s="48">
        <f t="shared" si="180"/>
        <v>0</v>
      </c>
      <c r="HN80" s="48">
        <f t="shared" si="180"/>
        <v>0</v>
      </c>
      <c r="HO80" s="48">
        <f t="shared" si="180"/>
        <v>0</v>
      </c>
      <c r="HP80" s="48">
        <f t="shared" si="180"/>
        <v>0</v>
      </c>
      <c r="HQ80" s="48">
        <f t="shared" si="180"/>
        <v>0</v>
      </c>
      <c r="HR80" s="48">
        <f t="shared" si="180"/>
        <v>0</v>
      </c>
      <c r="HS80" s="48">
        <f t="shared" si="180"/>
        <v>0</v>
      </c>
      <c r="HT80" s="48">
        <f t="shared" si="180"/>
        <v>0</v>
      </c>
      <c r="HU80" s="48">
        <f t="shared" si="180"/>
        <v>0</v>
      </c>
      <c r="HV80" s="48">
        <f t="shared" si="180"/>
        <v>0</v>
      </c>
      <c r="HW80" s="48">
        <f t="shared" si="180"/>
        <v>0</v>
      </c>
      <c r="HX80" s="48">
        <f t="shared" si="180"/>
        <v>0</v>
      </c>
      <c r="HY80" s="48">
        <f t="shared" si="180"/>
        <v>0</v>
      </c>
      <c r="HZ80" s="48">
        <f t="shared" si="180"/>
        <v>0</v>
      </c>
      <c r="IA80" s="48">
        <f t="shared" si="180"/>
        <v>0</v>
      </c>
      <c r="IB80" s="48">
        <f t="shared" si="180"/>
        <v>0</v>
      </c>
      <c r="IC80" s="48">
        <f t="shared" si="180"/>
        <v>0</v>
      </c>
      <c r="ID80" s="48">
        <f t="shared" si="180"/>
        <v>0</v>
      </c>
      <c r="IE80" s="48">
        <f t="shared" si="180"/>
        <v>0</v>
      </c>
      <c r="IF80" s="48">
        <f t="shared" si="180"/>
        <v>0</v>
      </c>
      <c r="IG80" s="48">
        <f t="shared" si="180"/>
        <v>0</v>
      </c>
      <c r="IH80" s="48">
        <f t="shared" si="180"/>
        <v>0</v>
      </c>
      <c r="II80" s="48">
        <f t="shared" si="180"/>
        <v>0</v>
      </c>
      <c r="IJ80" s="48">
        <f t="shared" si="180"/>
        <v>0</v>
      </c>
      <c r="IK80" s="48">
        <f t="shared" si="180"/>
        <v>0</v>
      </c>
      <c r="IL80" s="48">
        <f t="shared" si="180"/>
        <v>0</v>
      </c>
      <c r="IM80" s="48">
        <f t="shared" si="180"/>
        <v>0</v>
      </c>
      <c r="IN80" s="48">
        <f t="shared" si="180"/>
        <v>0</v>
      </c>
      <c r="IO80" s="48">
        <f t="shared" si="180"/>
        <v>0</v>
      </c>
      <c r="IP80" s="48">
        <f t="shared" si="180"/>
        <v>0</v>
      </c>
      <c r="IQ80" s="48">
        <f t="shared" si="180"/>
        <v>0</v>
      </c>
      <c r="IR80" s="48">
        <f t="shared" si="180"/>
        <v>0</v>
      </c>
      <c r="IS80" s="48">
        <f t="shared" si="180"/>
        <v>0</v>
      </c>
      <c r="IT80" s="48">
        <f t="shared" si="180"/>
        <v>0</v>
      </c>
      <c r="IU80" s="48">
        <f t="shared" si="180"/>
        <v>0</v>
      </c>
      <c r="IV80" s="48">
        <f t="shared" si="180"/>
        <v>0</v>
      </c>
      <c r="IW80" s="48">
        <f t="shared" si="180"/>
        <v>0</v>
      </c>
      <c r="IX80" s="48">
        <f t="shared" si="180"/>
        <v>0</v>
      </c>
      <c r="IY80" s="48">
        <f t="shared" si="180"/>
        <v>0</v>
      </c>
      <c r="IZ80" s="48">
        <f t="shared" si="180"/>
        <v>0</v>
      </c>
      <c r="JA80" s="48">
        <f t="shared" si="180"/>
        <v>0</v>
      </c>
      <c r="JB80" s="48">
        <f t="shared" si="180"/>
        <v>0</v>
      </c>
      <c r="JC80" s="48">
        <f t="shared" si="180"/>
        <v>0</v>
      </c>
      <c r="JD80" s="48">
        <f t="shared" si="180"/>
        <v>0</v>
      </c>
      <c r="JE80" s="48">
        <f t="shared" si="180"/>
        <v>0</v>
      </c>
      <c r="JF80" s="48">
        <f t="shared" si="180"/>
        <v>0</v>
      </c>
      <c r="JG80" s="48">
        <f t="shared" si="180"/>
        <v>0</v>
      </c>
      <c r="JH80" s="48">
        <f t="shared" si="180"/>
        <v>0</v>
      </c>
      <c r="JI80" s="48">
        <f t="shared" si="180"/>
        <v>0</v>
      </c>
      <c r="JJ80" s="48">
        <f t="shared" si="180"/>
        <v>0</v>
      </c>
      <c r="JK80" s="48">
        <f t="shared" si="180"/>
        <v>0</v>
      </c>
      <c r="JL80" s="48">
        <f t="shared" ref="JL80:KI80" si="181">JK83</f>
        <v>0</v>
      </c>
      <c r="JM80" s="48">
        <f t="shared" si="181"/>
        <v>0</v>
      </c>
      <c r="JN80" s="48">
        <f t="shared" si="181"/>
        <v>0</v>
      </c>
      <c r="JO80" s="48">
        <f t="shared" si="181"/>
        <v>0</v>
      </c>
      <c r="JP80" s="48">
        <f t="shared" si="181"/>
        <v>0</v>
      </c>
      <c r="JQ80" s="48">
        <f t="shared" si="181"/>
        <v>0</v>
      </c>
      <c r="JR80" s="48">
        <f t="shared" si="181"/>
        <v>0</v>
      </c>
      <c r="JS80" s="48">
        <f t="shared" si="181"/>
        <v>0</v>
      </c>
      <c r="JT80" s="48">
        <f t="shared" si="181"/>
        <v>0</v>
      </c>
      <c r="JU80" s="48">
        <f t="shared" si="181"/>
        <v>0</v>
      </c>
      <c r="JV80" s="48">
        <f t="shared" si="181"/>
        <v>0</v>
      </c>
      <c r="JW80" s="48">
        <f t="shared" si="181"/>
        <v>0</v>
      </c>
      <c r="JX80" s="48">
        <f t="shared" si="181"/>
        <v>0</v>
      </c>
      <c r="JY80" s="48">
        <f t="shared" si="181"/>
        <v>0</v>
      </c>
      <c r="JZ80" s="48">
        <f t="shared" si="181"/>
        <v>0</v>
      </c>
      <c r="KA80" s="48">
        <f t="shared" si="181"/>
        <v>0</v>
      </c>
      <c r="KB80" s="48">
        <f t="shared" si="181"/>
        <v>0</v>
      </c>
      <c r="KC80" s="48">
        <f t="shared" si="181"/>
        <v>0</v>
      </c>
      <c r="KD80" s="48">
        <f t="shared" si="181"/>
        <v>0</v>
      </c>
      <c r="KE80" s="48">
        <f t="shared" si="181"/>
        <v>0</v>
      </c>
      <c r="KF80" s="48">
        <f t="shared" si="181"/>
        <v>0</v>
      </c>
      <c r="KG80" s="48">
        <f t="shared" si="181"/>
        <v>0</v>
      </c>
      <c r="KH80" s="48">
        <f t="shared" si="181"/>
        <v>0</v>
      </c>
      <c r="KI80" s="48">
        <f t="shared" si="181"/>
        <v>0</v>
      </c>
      <c r="KJ80" s="1"/>
    </row>
    <row r="81" spans="7:296" x14ac:dyDescent="0.35">
      <c r="H81" s="13" t="s">
        <v>49</v>
      </c>
      <c r="M81" s="15" t="s">
        <v>126</v>
      </c>
      <c r="N81" s="48">
        <f>-IFERROR(INDEX(Control!$H$53:$H$62,MATCH(N76,Control!$G$53:$G$62,0)),0)</f>
        <v>0</v>
      </c>
      <c r="O81" s="48">
        <f>-IFERROR(INDEX(Control!$H$53:$H$62,MATCH(O76,Control!$G$53:$G$62,0)),0)</f>
        <v>0</v>
      </c>
      <c r="P81" s="48">
        <f>-IFERROR(INDEX(Control!$H$53:$H$62,MATCH(P76,Control!$G$53:$G$62,0)),0)</f>
        <v>0</v>
      </c>
      <c r="Q81" s="48">
        <f>-IFERROR(INDEX(Control!$H$53:$H$62,MATCH(Q76,Control!$G$53:$G$62,0)),0)</f>
        <v>0</v>
      </c>
      <c r="R81" s="48">
        <f>-IFERROR(INDEX(Control!$H$53:$H$62,MATCH(R76,Control!$G$53:$G$62,0)),0)</f>
        <v>0</v>
      </c>
      <c r="S81" s="48">
        <f>-IFERROR(INDEX(Control!$H$53:$H$62,MATCH(S76,Control!$G$53:$G$62,0)),0)</f>
        <v>-35</v>
      </c>
      <c r="T81" s="48">
        <f>-IFERROR(INDEX(Control!$H$53:$H$62,MATCH(T76,Control!$G$53:$G$62,0)),0)</f>
        <v>0</v>
      </c>
      <c r="U81" s="48">
        <f>-IFERROR(INDEX(Control!$H$53:$H$62,MATCH(U76,Control!$G$53:$G$62,0)),0)</f>
        <v>0</v>
      </c>
      <c r="V81" s="48">
        <f>-IFERROR(INDEX(Control!$H$53:$H$62,MATCH(V76,Control!$G$53:$G$62,0)),0)</f>
        <v>0</v>
      </c>
      <c r="W81" s="48">
        <f>-IFERROR(INDEX(Control!$H$53:$H$62,MATCH(W76,Control!$G$53:$G$62,0)),0)</f>
        <v>0</v>
      </c>
      <c r="X81" s="48">
        <f>-IFERROR(INDEX(Control!$H$53:$H$62,MATCH(X76,Control!$G$53:$G$62,0)),0)</f>
        <v>0</v>
      </c>
      <c r="Y81" s="48">
        <f>-IFERROR(INDEX(Control!$H$53:$H$62,MATCH(Y76,Control!$G$53:$G$62,0)),0)</f>
        <v>0</v>
      </c>
      <c r="Z81" s="48">
        <f>-IFERROR(INDEX(Control!$H$53:$H$62,MATCH(Z76,Control!$G$53:$G$62,0)),0)</f>
        <v>0</v>
      </c>
      <c r="AA81" s="48">
        <f>-IFERROR(INDEX(Control!$H$53:$H$62,MATCH(AA76,Control!$G$53:$G$62,0)),0)</f>
        <v>0</v>
      </c>
      <c r="AB81" s="48">
        <f>-IFERROR(INDEX(Control!$H$53:$H$62,MATCH(AB76,Control!$G$53:$G$62,0)),0)</f>
        <v>0</v>
      </c>
      <c r="AC81" s="48">
        <f>-IFERROR(INDEX(Control!$H$53:$H$62,MATCH(AC76,Control!$G$53:$G$62,0)),0)</f>
        <v>0</v>
      </c>
      <c r="AD81" s="48">
        <f>-IFERROR(INDEX(Control!$H$53:$H$62,MATCH(AD76,Control!$G$53:$G$62,0)),0)</f>
        <v>0</v>
      </c>
      <c r="AE81" s="48">
        <f>-IFERROR(INDEX(Control!$H$53:$H$62,MATCH(AE76,Control!$G$53:$G$62,0)),0)</f>
        <v>0</v>
      </c>
      <c r="AF81" s="48">
        <f>-IFERROR(INDEX(Control!$H$53:$H$62,MATCH(AF76,Control!$G$53:$G$62,0)),0)</f>
        <v>0</v>
      </c>
      <c r="AG81" s="48">
        <f>-IFERROR(INDEX(Control!$H$53:$H$62,MATCH(AG76,Control!$G$53:$G$62,0)),0)</f>
        <v>0</v>
      </c>
      <c r="AH81" s="48">
        <f>-IFERROR(INDEX(Control!$H$53:$H$62,MATCH(AH76,Control!$G$53:$G$62,0)),0)</f>
        <v>0</v>
      </c>
      <c r="AI81" s="48">
        <f>-IFERROR(INDEX(Control!$H$53:$H$62,MATCH(AI76,Control!$G$53:$G$62,0)),0)</f>
        <v>0</v>
      </c>
      <c r="AJ81" s="48">
        <f>-IFERROR(INDEX(Control!$H$53:$H$62,MATCH(AJ76,Control!$G$53:$G$62,0)),0)</f>
        <v>0</v>
      </c>
      <c r="AK81" s="48">
        <f>-IFERROR(INDEX(Control!$H$53:$H$62,MATCH(AK76,Control!$G$53:$G$62,0)),0)</f>
        <v>0</v>
      </c>
      <c r="AL81" s="48">
        <f>-IFERROR(INDEX(Control!$H$53:$H$62,MATCH(AL76,Control!$G$53:$G$62,0)),0)</f>
        <v>0</v>
      </c>
      <c r="AM81" s="48">
        <f>-IFERROR(INDEX(Control!$H$53:$H$62,MATCH(AM76,Control!$G$53:$G$62,0)),0)</f>
        <v>0</v>
      </c>
      <c r="AN81" s="48">
        <f>-IFERROR(INDEX(Control!$H$53:$H$62,MATCH(AN76,Control!$G$53:$G$62,0)),0)</f>
        <v>0</v>
      </c>
      <c r="AO81" s="48">
        <f>-IFERROR(INDEX(Control!$H$53:$H$62,MATCH(AO76,Control!$G$53:$G$62,0)),0)</f>
        <v>0</v>
      </c>
      <c r="AP81" s="48">
        <f>-IFERROR(INDEX(Control!$H$53:$H$62,MATCH(AP76,Control!$G$53:$G$62,0)),0)</f>
        <v>0</v>
      </c>
      <c r="AQ81" s="48">
        <f>-IFERROR(INDEX(Control!$H$53:$H$62,MATCH(AQ76,Control!$G$53:$G$62,0)),0)</f>
        <v>0</v>
      </c>
      <c r="AR81" s="48">
        <f>-IFERROR(INDEX(Control!$H$53:$H$62,MATCH(AR76,Control!$G$53:$G$62,0)),0)</f>
        <v>0</v>
      </c>
      <c r="AS81" s="48">
        <f>-IFERROR(INDEX(Control!$H$53:$H$62,MATCH(AS76,Control!$G$53:$G$62,0)),0)</f>
        <v>0</v>
      </c>
      <c r="AT81" s="48">
        <f>-IFERROR(INDEX(Control!$H$53:$H$62,MATCH(AT76,Control!$G$53:$G$62,0)),0)</f>
        <v>0</v>
      </c>
      <c r="AU81" s="48">
        <f>-IFERROR(INDEX(Control!$H$53:$H$62,MATCH(AU76,Control!$G$53:$G$62,0)),0)</f>
        <v>0</v>
      </c>
      <c r="AV81" s="48">
        <f>-IFERROR(INDEX(Control!$H$53:$H$62,MATCH(AV76,Control!$G$53:$G$62,0)),0)</f>
        <v>0</v>
      </c>
      <c r="AW81" s="48">
        <f>-IFERROR(INDEX(Control!$H$53:$H$62,MATCH(AW76,Control!$G$53:$G$62,0)),0)</f>
        <v>0</v>
      </c>
      <c r="AX81" s="48">
        <f>-IFERROR(INDEX(Control!$H$53:$H$62,MATCH(AX76,Control!$G$53:$G$62,0)),0)</f>
        <v>0</v>
      </c>
      <c r="AY81" s="48">
        <f>-IFERROR(INDEX(Control!$H$53:$H$62,MATCH(AY76,Control!$G$53:$G$62,0)),0)</f>
        <v>0</v>
      </c>
      <c r="AZ81" s="48">
        <f>-IFERROR(INDEX(Control!$H$53:$H$62,MATCH(AZ76,Control!$G$53:$G$62,0)),0)</f>
        <v>0</v>
      </c>
      <c r="BA81" s="48">
        <f>-IFERROR(INDEX(Control!$H$53:$H$62,MATCH(BA76,Control!$G$53:$G$62,0)),0)</f>
        <v>0</v>
      </c>
      <c r="BB81" s="48">
        <f>-IFERROR(INDEX(Control!$H$53:$H$62,MATCH(BB76,Control!$G$53:$G$62,0)),0)</f>
        <v>0</v>
      </c>
      <c r="BC81" s="48">
        <f>-IFERROR(INDEX(Control!$H$53:$H$62,MATCH(BC76,Control!$G$53:$G$62,0)),0)</f>
        <v>0</v>
      </c>
      <c r="BD81" s="48">
        <f>-IFERROR(INDEX(Control!$H$53:$H$62,MATCH(BD76,Control!$G$53:$G$62,0)),0)</f>
        <v>0</v>
      </c>
      <c r="BE81" s="48">
        <f>-IFERROR(INDEX(Control!$H$53:$H$62,MATCH(BE76,Control!$G$53:$G$62,0)),0)</f>
        <v>0</v>
      </c>
      <c r="BF81" s="48">
        <f>-IFERROR(INDEX(Control!$H$53:$H$62,MATCH(BF76,Control!$G$53:$G$62,0)),0)</f>
        <v>0</v>
      </c>
      <c r="BG81" s="48">
        <f>-IFERROR(INDEX(Control!$H$53:$H$62,MATCH(BG76,Control!$G$53:$G$62,0)),0)</f>
        <v>0</v>
      </c>
      <c r="BH81" s="48">
        <f>-IFERROR(INDEX(Control!$H$53:$H$62,MATCH(BH76,Control!$G$53:$G$62,0)),0)</f>
        <v>0</v>
      </c>
      <c r="BI81" s="48">
        <f>-IFERROR(INDEX(Control!$H$53:$H$62,MATCH(BI76,Control!$G$53:$G$62,0)),0)</f>
        <v>0</v>
      </c>
      <c r="BJ81" s="48">
        <f>-IFERROR(INDEX(Control!$H$53:$H$62,MATCH(BJ76,Control!$G$53:$G$62,0)),0)</f>
        <v>0</v>
      </c>
      <c r="BK81" s="48">
        <f>-IFERROR(INDEX(Control!$H$53:$H$62,MATCH(BK76,Control!$G$53:$G$62,0)),0)</f>
        <v>0</v>
      </c>
      <c r="BL81" s="48">
        <f>-IFERROR(INDEX(Control!$H$53:$H$62,MATCH(BL76,Control!$G$53:$G$62,0)),0)</f>
        <v>0</v>
      </c>
      <c r="BM81" s="48">
        <f>-IFERROR(INDEX(Control!$H$53:$H$62,MATCH(BM76,Control!$G$53:$G$62,0)),0)</f>
        <v>0</v>
      </c>
      <c r="BN81" s="48">
        <f>-IFERROR(INDEX(Control!$H$53:$H$62,MATCH(BN76,Control!$G$53:$G$62,0)),0)</f>
        <v>0</v>
      </c>
      <c r="BO81" s="48">
        <f>-IFERROR(INDEX(Control!$H$53:$H$62,MATCH(BO76,Control!$G$53:$G$62,0)),0)</f>
        <v>0</v>
      </c>
      <c r="BP81" s="48">
        <f>-IFERROR(INDEX(Control!$H$53:$H$62,MATCH(BP76,Control!$G$53:$G$62,0)),0)</f>
        <v>0</v>
      </c>
      <c r="BQ81" s="48">
        <f>-IFERROR(INDEX(Control!$H$53:$H$62,MATCH(BQ76,Control!$G$53:$G$62,0)),0)</f>
        <v>0</v>
      </c>
      <c r="BR81" s="48">
        <f>-IFERROR(INDEX(Control!$H$53:$H$62,MATCH(BR76,Control!$G$53:$G$62,0)),0)</f>
        <v>0</v>
      </c>
      <c r="BS81" s="48">
        <f>-IFERROR(INDEX(Control!$H$53:$H$62,MATCH(BS76,Control!$G$53:$G$62,0)),0)</f>
        <v>0</v>
      </c>
      <c r="BT81" s="48">
        <f>-IFERROR(INDEX(Control!$H$53:$H$62,MATCH(BT76,Control!$G$53:$G$62,0)),0)</f>
        <v>0</v>
      </c>
      <c r="BU81" s="48">
        <f>-IFERROR(INDEX(Control!$H$53:$H$62,MATCH(BU76,Control!$G$53:$G$62,0)),0)</f>
        <v>0</v>
      </c>
      <c r="BV81" s="48">
        <f>-IFERROR(INDEX(Control!$H$53:$H$62,MATCH(BV76,Control!$G$53:$G$62,0)),0)</f>
        <v>0</v>
      </c>
      <c r="BW81" s="48">
        <f>-IFERROR(INDEX(Control!$H$53:$H$62,MATCH(BW76,Control!$G$53:$G$62,0)),0)</f>
        <v>0</v>
      </c>
      <c r="BX81" s="48">
        <f>-IFERROR(INDEX(Control!$H$53:$H$62,MATCH(BX76,Control!$G$53:$G$62,0)),0)</f>
        <v>0</v>
      </c>
      <c r="BY81" s="48">
        <f>-IFERROR(INDEX(Control!$H$53:$H$62,MATCH(BY76,Control!$G$53:$G$62,0)),0)</f>
        <v>0</v>
      </c>
      <c r="BZ81" s="48">
        <f>-IFERROR(INDEX(Control!$H$53:$H$62,MATCH(BZ76,Control!$G$53:$G$62,0)),0)</f>
        <v>0</v>
      </c>
      <c r="CA81" s="48">
        <f>-IFERROR(INDEX(Control!$H$53:$H$62,MATCH(CA76,Control!$G$53:$G$62,0)),0)</f>
        <v>0</v>
      </c>
      <c r="CB81" s="48">
        <f>-IFERROR(INDEX(Control!$H$53:$H$62,MATCH(CB76,Control!$G$53:$G$62,0)),0)</f>
        <v>0</v>
      </c>
      <c r="CC81" s="48">
        <f>-IFERROR(INDEX(Control!$H$53:$H$62,MATCH(CC76,Control!$G$53:$G$62,0)),0)</f>
        <v>0</v>
      </c>
      <c r="CD81" s="48">
        <f>-IFERROR(INDEX(Control!$H$53:$H$62,MATCH(CD76,Control!$G$53:$G$62,0)),0)</f>
        <v>0</v>
      </c>
      <c r="CE81" s="48">
        <f>-IFERROR(INDEX(Control!$H$53:$H$62,MATCH(CE76,Control!$G$53:$G$62,0)),0)</f>
        <v>0</v>
      </c>
      <c r="CF81" s="48">
        <f>-IFERROR(INDEX(Control!$H$53:$H$62,MATCH(CF76,Control!$G$53:$G$62,0)),0)</f>
        <v>0</v>
      </c>
      <c r="CG81" s="48">
        <f>-IFERROR(INDEX(Control!$H$53:$H$62,MATCH(CG76,Control!$G$53:$G$62,0)),0)</f>
        <v>0</v>
      </c>
      <c r="CH81" s="48">
        <f>-IFERROR(INDEX(Control!$H$53:$H$62,MATCH(CH76,Control!$G$53:$G$62,0)),0)</f>
        <v>0</v>
      </c>
      <c r="CI81" s="48">
        <f>-IFERROR(INDEX(Control!$H$53:$H$62,MATCH(CI76,Control!$G$53:$G$62,0)),0)</f>
        <v>0</v>
      </c>
      <c r="CJ81" s="48">
        <f>-IFERROR(INDEX(Control!$H$53:$H$62,MATCH(CJ76,Control!$G$53:$G$62,0)),0)</f>
        <v>0</v>
      </c>
      <c r="CK81" s="48">
        <f>-IFERROR(INDEX(Control!$H$53:$H$62,MATCH(CK76,Control!$G$53:$G$62,0)),0)</f>
        <v>0</v>
      </c>
      <c r="CL81" s="48">
        <f>-IFERROR(INDEX(Control!$H$53:$H$62,MATCH(CL76,Control!$G$53:$G$62,0)),0)</f>
        <v>0</v>
      </c>
      <c r="CM81" s="48">
        <f>-IFERROR(INDEX(Control!$H$53:$H$62,MATCH(CM76,Control!$G$53:$G$62,0)),0)</f>
        <v>0</v>
      </c>
      <c r="CN81" s="48">
        <f>-IFERROR(INDEX(Control!$H$53:$H$62,MATCH(CN76,Control!$G$53:$G$62,0)),0)</f>
        <v>0</v>
      </c>
      <c r="CO81" s="48">
        <f>-IFERROR(INDEX(Control!$H$53:$H$62,MATCH(CO76,Control!$G$53:$G$62,0)),0)</f>
        <v>0</v>
      </c>
      <c r="CP81" s="48">
        <f>-IFERROR(INDEX(Control!$H$53:$H$62,MATCH(CP76,Control!$G$53:$G$62,0)),0)</f>
        <v>0</v>
      </c>
      <c r="CQ81" s="48">
        <f>-IFERROR(INDEX(Control!$H$53:$H$62,MATCH(CQ76,Control!$G$53:$G$62,0)),0)</f>
        <v>0</v>
      </c>
      <c r="CR81" s="48">
        <f>-IFERROR(INDEX(Control!$H$53:$H$62,MATCH(CR76,Control!$G$53:$G$62,0)),0)</f>
        <v>0</v>
      </c>
      <c r="CS81" s="48">
        <f>-IFERROR(INDEX(Control!$H$53:$H$62,MATCH(CS76,Control!$G$53:$G$62,0)),0)</f>
        <v>0</v>
      </c>
      <c r="CT81" s="48">
        <f>-IFERROR(INDEX(Control!$H$53:$H$62,MATCH(CT76,Control!$G$53:$G$62,0)),0)</f>
        <v>0</v>
      </c>
      <c r="CU81" s="48">
        <f>-IFERROR(INDEX(Control!$H$53:$H$62,MATCH(CU76,Control!$G$53:$G$62,0)),0)</f>
        <v>0</v>
      </c>
      <c r="CV81" s="48">
        <f>-IFERROR(INDEX(Control!$H$53:$H$62,MATCH(CV76,Control!$G$53:$G$62,0)),0)</f>
        <v>0</v>
      </c>
      <c r="CW81" s="48">
        <f>-IFERROR(INDEX(Control!$H$53:$H$62,MATCH(CW76,Control!$G$53:$G$62,0)),0)</f>
        <v>0</v>
      </c>
      <c r="CX81" s="48">
        <f>-IFERROR(INDEX(Control!$H$53:$H$62,MATCH(CX76,Control!$G$53:$G$62,0)),0)</f>
        <v>0</v>
      </c>
      <c r="CY81" s="48">
        <f>-IFERROR(INDEX(Control!$H$53:$H$62,MATCH(CY76,Control!$G$53:$G$62,0)),0)</f>
        <v>0</v>
      </c>
      <c r="CZ81" s="48">
        <f>-IFERROR(INDEX(Control!$H$53:$H$62,MATCH(CZ76,Control!$G$53:$G$62,0)),0)</f>
        <v>0</v>
      </c>
      <c r="DA81" s="48">
        <f>-IFERROR(INDEX(Control!$H$53:$H$62,MATCH(DA76,Control!$G$53:$G$62,0)),0)</f>
        <v>0</v>
      </c>
      <c r="DB81" s="48">
        <f>-IFERROR(INDEX(Control!$H$53:$H$62,MATCH(DB76,Control!$G$53:$G$62,0)),0)</f>
        <v>0</v>
      </c>
      <c r="DC81" s="48">
        <f>-IFERROR(INDEX(Control!$H$53:$H$62,MATCH(DC76,Control!$G$53:$G$62,0)),0)</f>
        <v>0</v>
      </c>
      <c r="DD81" s="48">
        <f>-IFERROR(INDEX(Control!$H$53:$H$62,MATCH(DD76,Control!$G$53:$G$62,0)),0)</f>
        <v>0</v>
      </c>
      <c r="DE81" s="48">
        <f>-IFERROR(INDEX(Control!$H$53:$H$62,MATCH(DE76,Control!$G$53:$G$62,0)),0)</f>
        <v>0</v>
      </c>
      <c r="DF81" s="48">
        <f>-IFERROR(INDEX(Control!$H$53:$H$62,MATCH(DF76,Control!$G$53:$G$62,0)),0)</f>
        <v>0</v>
      </c>
      <c r="DG81" s="48">
        <f>-IFERROR(INDEX(Control!$H$53:$H$62,MATCH(DG76,Control!$G$53:$G$62,0)),0)</f>
        <v>0</v>
      </c>
      <c r="DH81" s="48">
        <f>-IFERROR(INDEX(Control!$H$53:$H$62,MATCH(DH76,Control!$G$53:$G$62,0)),0)</f>
        <v>0</v>
      </c>
      <c r="DI81" s="48">
        <f>-IFERROR(INDEX(Control!$H$53:$H$62,MATCH(DI76,Control!$G$53:$G$62,0)),0)</f>
        <v>0</v>
      </c>
      <c r="DJ81" s="48">
        <f>-IFERROR(INDEX(Control!$H$53:$H$62,MATCH(DJ76,Control!$G$53:$G$62,0)),0)</f>
        <v>0</v>
      </c>
      <c r="DK81" s="48">
        <f>-IFERROR(INDEX(Control!$H$53:$H$62,MATCH(DK76,Control!$G$53:$G$62,0)),0)</f>
        <v>0</v>
      </c>
      <c r="DL81" s="48">
        <f>-IFERROR(INDEX(Control!$H$53:$H$62,MATCH(DL76,Control!$G$53:$G$62,0)),0)</f>
        <v>0</v>
      </c>
      <c r="DM81" s="48">
        <f>-IFERROR(INDEX(Control!$H$53:$H$62,MATCH(DM76,Control!$G$53:$G$62,0)),0)</f>
        <v>0</v>
      </c>
      <c r="DN81" s="48">
        <f>-IFERROR(INDEX(Control!$H$53:$H$62,MATCH(DN76,Control!$G$53:$G$62,0)),0)</f>
        <v>0</v>
      </c>
      <c r="DO81" s="48">
        <f>-IFERROR(INDEX(Control!$H$53:$H$62,MATCH(DO76,Control!$G$53:$G$62,0)),0)</f>
        <v>0</v>
      </c>
      <c r="DP81" s="48">
        <f>-IFERROR(INDEX(Control!$H$53:$H$62,MATCH(DP76,Control!$G$53:$G$62,0)),0)</f>
        <v>0</v>
      </c>
      <c r="DQ81" s="48">
        <f>-IFERROR(INDEX(Control!$H$53:$H$62,MATCH(DQ76,Control!$G$53:$G$62,0)),0)</f>
        <v>0</v>
      </c>
      <c r="DR81" s="48">
        <f>-IFERROR(INDEX(Control!$H$53:$H$62,MATCH(DR76,Control!$G$53:$G$62,0)),0)</f>
        <v>0</v>
      </c>
      <c r="DS81" s="48">
        <f>-IFERROR(INDEX(Control!$H$53:$H$62,MATCH(DS76,Control!$G$53:$G$62,0)),0)</f>
        <v>0</v>
      </c>
      <c r="DT81" s="48">
        <f>-IFERROR(INDEX(Control!$H$53:$H$62,MATCH(DT76,Control!$G$53:$G$62,0)),0)</f>
        <v>0</v>
      </c>
      <c r="DU81" s="48">
        <f>-IFERROR(INDEX(Control!$H$53:$H$62,MATCH(DU76,Control!$G$53:$G$62,0)),0)</f>
        <v>0</v>
      </c>
      <c r="DV81" s="48">
        <f>-IFERROR(INDEX(Control!$H$53:$H$62,MATCH(DV76,Control!$G$53:$G$62,0)),0)</f>
        <v>0</v>
      </c>
      <c r="DW81" s="48">
        <f>-IFERROR(INDEX(Control!$H$53:$H$62,MATCH(DW76,Control!$G$53:$G$62,0)),0)</f>
        <v>0</v>
      </c>
      <c r="DX81" s="48">
        <f>-IFERROR(INDEX(Control!$H$53:$H$62,MATCH(DX76,Control!$G$53:$G$62,0)),0)</f>
        <v>0</v>
      </c>
      <c r="DY81" s="48">
        <f>-IFERROR(INDEX(Control!$H$53:$H$62,MATCH(DY76,Control!$G$53:$G$62,0)),0)</f>
        <v>0</v>
      </c>
      <c r="DZ81" s="48">
        <f>-IFERROR(INDEX(Control!$H$53:$H$62,MATCH(DZ76,Control!$G$53:$G$62,0)),0)</f>
        <v>0</v>
      </c>
      <c r="EA81" s="48">
        <f>-IFERROR(INDEX(Control!$H$53:$H$62,MATCH(EA76,Control!$G$53:$G$62,0)),0)</f>
        <v>0</v>
      </c>
      <c r="EB81" s="48">
        <f>-IFERROR(INDEX(Control!$H$53:$H$62,MATCH(EB76,Control!$G$53:$G$62,0)),0)</f>
        <v>0</v>
      </c>
      <c r="EC81" s="48">
        <f>-IFERROR(INDEX(Control!$H$53:$H$62,MATCH(EC76,Control!$G$53:$G$62,0)),0)</f>
        <v>0</v>
      </c>
      <c r="ED81" s="48">
        <f>-IFERROR(INDEX(Control!$H$53:$H$62,MATCH(ED76,Control!$G$53:$G$62,0)),0)</f>
        <v>0</v>
      </c>
      <c r="EE81" s="48">
        <f>-IFERROR(INDEX(Control!$H$53:$H$62,MATCH(EE76,Control!$G$53:$G$62,0)),0)</f>
        <v>0</v>
      </c>
      <c r="EF81" s="48">
        <f>-IFERROR(INDEX(Control!$H$53:$H$62,MATCH(EF76,Control!$G$53:$G$62,0)),0)</f>
        <v>0</v>
      </c>
      <c r="EG81" s="48">
        <f>-IFERROR(INDEX(Control!$H$53:$H$62,MATCH(EG76,Control!$G$53:$G$62,0)),0)</f>
        <v>0</v>
      </c>
      <c r="EH81" s="48">
        <f>-IFERROR(INDEX(Control!$H$53:$H$62,MATCH(EH76,Control!$G$53:$G$62,0)),0)</f>
        <v>0</v>
      </c>
      <c r="EI81" s="48">
        <f>-IFERROR(INDEX(Control!$H$53:$H$62,MATCH(EI76,Control!$G$53:$G$62,0)),0)</f>
        <v>0</v>
      </c>
      <c r="EJ81" s="48">
        <f>-IFERROR(INDEX(Control!$H$53:$H$62,MATCH(EJ76,Control!$G$53:$G$62,0)),0)</f>
        <v>0</v>
      </c>
      <c r="EK81" s="48">
        <f>-IFERROR(INDEX(Control!$H$53:$H$62,MATCH(EK76,Control!$G$53:$G$62,0)),0)</f>
        <v>0</v>
      </c>
      <c r="EL81" s="48">
        <f>-IFERROR(INDEX(Control!$H$53:$H$62,MATCH(EL76,Control!$G$53:$G$62,0)),0)</f>
        <v>0</v>
      </c>
      <c r="EM81" s="48">
        <f>-IFERROR(INDEX(Control!$H$53:$H$62,MATCH(EM76,Control!$G$53:$G$62,0)),0)</f>
        <v>0</v>
      </c>
      <c r="EN81" s="48">
        <f>-IFERROR(INDEX(Control!$H$53:$H$62,MATCH(EN76,Control!$G$53:$G$62,0)),0)</f>
        <v>0</v>
      </c>
      <c r="EO81" s="48">
        <f>-IFERROR(INDEX(Control!$H$53:$H$62,MATCH(EO76,Control!$G$53:$G$62,0)),0)</f>
        <v>0</v>
      </c>
      <c r="EP81" s="48">
        <f>-IFERROR(INDEX(Control!$H$53:$H$62,MATCH(EP76,Control!$G$53:$G$62,0)),0)</f>
        <v>0</v>
      </c>
      <c r="EQ81" s="48">
        <f>-IFERROR(INDEX(Control!$H$53:$H$62,MATCH(EQ76,Control!$G$53:$G$62,0)),0)</f>
        <v>0</v>
      </c>
      <c r="ER81" s="48">
        <f>-IFERROR(INDEX(Control!$H$53:$H$62,MATCH(ER76,Control!$G$53:$G$62,0)),0)</f>
        <v>0</v>
      </c>
      <c r="ES81" s="48">
        <f>-IFERROR(INDEX(Control!$H$53:$H$62,MATCH(ES76,Control!$G$53:$G$62,0)),0)</f>
        <v>0</v>
      </c>
      <c r="ET81" s="48">
        <f>-IFERROR(INDEX(Control!$H$53:$H$62,MATCH(ET76,Control!$G$53:$G$62,0)),0)</f>
        <v>0</v>
      </c>
      <c r="EU81" s="48">
        <f>-IFERROR(INDEX(Control!$H$53:$H$62,MATCH(EU76,Control!$G$53:$G$62,0)),0)</f>
        <v>0</v>
      </c>
      <c r="EV81" s="48">
        <f>-IFERROR(INDEX(Control!$H$53:$H$62,MATCH(EV76,Control!$G$53:$G$62,0)),0)</f>
        <v>0</v>
      </c>
      <c r="EW81" s="48">
        <f>-IFERROR(INDEX(Control!$H$53:$H$62,MATCH(EW76,Control!$G$53:$G$62,0)),0)</f>
        <v>0</v>
      </c>
      <c r="EX81" s="48">
        <f>-IFERROR(INDEX(Control!$H$53:$H$62,MATCH(EX76,Control!$G$53:$G$62,0)),0)</f>
        <v>0</v>
      </c>
      <c r="EY81" s="48">
        <f>-IFERROR(INDEX(Control!$H$53:$H$62,MATCH(EY76,Control!$G$53:$G$62,0)),0)</f>
        <v>0</v>
      </c>
      <c r="EZ81" s="48">
        <f>-IFERROR(INDEX(Control!$H$53:$H$62,MATCH(EZ76,Control!$G$53:$G$62,0)),0)</f>
        <v>0</v>
      </c>
      <c r="FA81" s="48">
        <f>-IFERROR(INDEX(Control!$H$53:$H$62,MATCH(FA76,Control!$G$53:$G$62,0)),0)</f>
        <v>0</v>
      </c>
      <c r="FB81" s="48">
        <f>-IFERROR(INDEX(Control!$H$53:$H$62,MATCH(FB76,Control!$G$53:$G$62,0)),0)</f>
        <v>0</v>
      </c>
      <c r="FC81" s="48">
        <f>-IFERROR(INDEX(Control!$H$53:$H$62,MATCH(FC76,Control!$G$53:$G$62,0)),0)</f>
        <v>0</v>
      </c>
      <c r="FD81" s="48">
        <f>-IFERROR(INDEX(Control!$H$53:$H$62,MATCH(FD76,Control!$G$53:$G$62,0)),0)</f>
        <v>0</v>
      </c>
      <c r="FE81" s="48">
        <f>-IFERROR(INDEX(Control!$H$53:$H$62,MATCH(FE76,Control!$G$53:$G$62,0)),0)</f>
        <v>0</v>
      </c>
      <c r="FF81" s="48">
        <f>-IFERROR(INDEX(Control!$H$53:$H$62,MATCH(FF76,Control!$G$53:$G$62,0)),0)</f>
        <v>0</v>
      </c>
      <c r="FG81" s="48">
        <f>-IFERROR(INDEX(Control!$H$53:$H$62,MATCH(FG76,Control!$G$53:$G$62,0)),0)</f>
        <v>0</v>
      </c>
      <c r="FH81" s="48">
        <f>-IFERROR(INDEX(Control!$H$53:$H$62,MATCH(FH76,Control!$G$53:$G$62,0)),0)</f>
        <v>0</v>
      </c>
      <c r="FI81" s="48">
        <f>-IFERROR(INDEX(Control!$H$53:$H$62,MATCH(FI76,Control!$G$53:$G$62,0)),0)</f>
        <v>0</v>
      </c>
      <c r="FJ81" s="48">
        <f>-IFERROR(INDEX(Control!$H$53:$H$62,MATCH(FJ76,Control!$G$53:$G$62,0)),0)</f>
        <v>0</v>
      </c>
      <c r="FK81" s="48">
        <f>-IFERROR(INDEX(Control!$H$53:$H$62,MATCH(FK76,Control!$G$53:$G$62,0)),0)</f>
        <v>0</v>
      </c>
      <c r="FL81" s="48">
        <f>-IFERROR(INDEX(Control!$H$53:$H$62,MATCH(FL76,Control!$G$53:$G$62,0)),0)</f>
        <v>0</v>
      </c>
      <c r="FM81" s="48">
        <f>-IFERROR(INDEX(Control!$H$53:$H$62,MATCH(FM76,Control!$G$53:$G$62,0)),0)</f>
        <v>0</v>
      </c>
      <c r="FN81" s="48">
        <f>-IFERROR(INDEX(Control!$H$53:$H$62,MATCH(FN76,Control!$G$53:$G$62,0)),0)</f>
        <v>0</v>
      </c>
      <c r="FO81" s="48">
        <f>-IFERROR(INDEX(Control!$H$53:$H$62,MATCH(FO76,Control!$G$53:$G$62,0)),0)</f>
        <v>0</v>
      </c>
      <c r="FP81" s="48">
        <f>-IFERROR(INDEX(Control!$H$53:$H$62,MATCH(FP76,Control!$G$53:$G$62,0)),0)</f>
        <v>0</v>
      </c>
      <c r="FQ81" s="48">
        <f>-IFERROR(INDEX(Control!$H$53:$H$62,MATCH(FQ76,Control!$G$53:$G$62,0)),0)</f>
        <v>0</v>
      </c>
      <c r="FR81" s="48">
        <f>-IFERROR(INDEX(Control!$H$53:$H$62,MATCH(FR76,Control!$G$53:$G$62,0)),0)</f>
        <v>0</v>
      </c>
      <c r="FS81" s="48">
        <f>-IFERROR(INDEX(Control!$H$53:$H$62,MATCH(FS76,Control!$G$53:$G$62,0)),0)</f>
        <v>0</v>
      </c>
      <c r="FT81" s="48">
        <f>-IFERROR(INDEX(Control!$H$53:$H$62,MATCH(FT76,Control!$G$53:$G$62,0)),0)</f>
        <v>0</v>
      </c>
      <c r="FU81" s="48">
        <f>-IFERROR(INDEX(Control!$H$53:$H$62,MATCH(FU76,Control!$G$53:$G$62,0)),0)</f>
        <v>0</v>
      </c>
      <c r="FV81" s="48">
        <f>-IFERROR(INDEX(Control!$H$53:$H$62,MATCH(FV76,Control!$G$53:$G$62,0)),0)</f>
        <v>0</v>
      </c>
      <c r="FW81" s="48">
        <f>-IFERROR(INDEX(Control!$H$53:$H$62,MATCH(FW76,Control!$G$53:$G$62,0)),0)</f>
        <v>0</v>
      </c>
      <c r="FX81" s="48">
        <f>-IFERROR(INDEX(Control!$H$53:$H$62,MATCH(FX76,Control!$G$53:$G$62,0)),0)</f>
        <v>0</v>
      </c>
      <c r="FY81" s="48">
        <f>-IFERROR(INDEX(Control!$H$53:$H$62,MATCH(FY76,Control!$G$53:$G$62,0)),0)</f>
        <v>0</v>
      </c>
      <c r="FZ81" s="48">
        <f>-IFERROR(INDEX(Control!$H$53:$H$62,MATCH(FZ76,Control!$G$53:$G$62,0)),0)</f>
        <v>0</v>
      </c>
      <c r="GA81" s="48">
        <f>-IFERROR(INDEX(Control!$H$53:$H$62,MATCH(GA76,Control!$G$53:$G$62,0)),0)</f>
        <v>0</v>
      </c>
      <c r="GB81" s="48">
        <f>-IFERROR(INDEX(Control!$H$53:$H$62,MATCH(GB76,Control!$G$53:$G$62,0)),0)</f>
        <v>0</v>
      </c>
      <c r="GC81" s="48">
        <f>-IFERROR(INDEX(Control!$H$53:$H$62,MATCH(GC76,Control!$G$53:$G$62,0)),0)</f>
        <v>0</v>
      </c>
      <c r="GD81" s="48">
        <f>-IFERROR(INDEX(Control!$H$53:$H$62,MATCH(GD76,Control!$G$53:$G$62,0)),0)</f>
        <v>0</v>
      </c>
      <c r="GE81" s="48">
        <f>-IFERROR(INDEX(Control!$H$53:$H$62,MATCH(GE76,Control!$G$53:$G$62,0)),0)</f>
        <v>0</v>
      </c>
      <c r="GF81" s="48">
        <f>-IFERROR(INDEX(Control!$H$53:$H$62,MATCH(GF76,Control!$G$53:$G$62,0)),0)</f>
        <v>0</v>
      </c>
      <c r="GG81" s="48">
        <f>-IFERROR(INDEX(Control!$H$53:$H$62,MATCH(GG76,Control!$G$53:$G$62,0)),0)</f>
        <v>0</v>
      </c>
      <c r="GH81" s="48">
        <f>-IFERROR(INDEX(Control!$H$53:$H$62,MATCH(GH76,Control!$G$53:$G$62,0)),0)</f>
        <v>0</v>
      </c>
      <c r="GI81" s="48">
        <f>-IFERROR(INDEX(Control!$H$53:$H$62,MATCH(GI76,Control!$G$53:$G$62,0)),0)</f>
        <v>0</v>
      </c>
      <c r="GJ81" s="48">
        <f>-IFERROR(INDEX(Control!$H$53:$H$62,MATCH(GJ76,Control!$G$53:$G$62,0)),0)</f>
        <v>0</v>
      </c>
      <c r="GK81" s="48">
        <f>-IFERROR(INDEX(Control!$H$53:$H$62,MATCH(GK76,Control!$G$53:$G$62,0)),0)</f>
        <v>0</v>
      </c>
      <c r="GL81" s="48">
        <f>-IFERROR(INDEX(Control!$H$53:$H$62,MATCH(GL76,Control!$G$53:$G$62,0)),0)</f>
        <v>0</v>
      </c>
      <c r="GM81" s="48">
        <f>-IFERROR(INDEX(Control!$H$53:$H$62,MATCH(GM76,Control!$G$53:$G$62,0)),0)</f>
        <v>0</v>
      </c>
      <c r="GN81" s="48">
        <f>-IFERROR(INDEX(Control!$H$53:$H$62,MATCH(GN76,Control!$G$53:$G$62,0)),0)</f>
        <v>0</v>
      </c>
      <c r="GO81" s="48">
        <f>-IFERROR(INDEX(Control!$H$53:$H$62,MATCH(GO76,Control!$G$53:$G$62,0)),0)</f>
        <v>0</v>
      </c>
      <c r="GP81" s="48">
        <f>-IFERROR(INDEX(Control!$H$53:$H$62,MATCH(GP76,Control!$G$53:$G$62,0)),0)</f>
        <v>0</v>
      </c>
      <c r="GQ81" s="48">
        <f>-IFERROR(INDEX(Control!$H$53:$H$62,MATCH(GQ76,Control!$G$53:$G$62,0)),0)</f>
        <v>0</v>
      </c>
      <c r="GR81" s="48">
        <f>-IFERROR(INDEX(Control!$H$53:$H$62,MATCH(GR76,Control!$G$53:$G$62,0)),0)</f>
        <v>0</v>
      </c>
      <c r="GS81" s="48">
        <f>-IFERROR(INDEX(Control!$H$53:$H$62,MATCH(GS76,Control!$G$53:$G$62,0)),0)</f>
        <v>0</v>
      </c>
      <c r="GT81" s="48">
        <f>-IFERROR(INDEX(Control!$H$53:$H$62,MATCH(GT76,Control!$G$53:$G$62,0)),0)</f>
        <v>0</v>
      </c>
      <c r="GU81" s="48">
        <f>-IFERROR(INDEX(Control!$H$53:$H$62,MATCH(GU76,Control!$G$53:$G$62,0)),0)</f>
        <v>0</v>
      </c>
      <c r="GV81" s="48">
        <f>-IFERROR(INDEX(Control!$H$53:$H$62,MATCH(GV76,Control!$G$53:$G$62,0)),0)</f>
        <v>0</v>
      </c>
      <c r="GW81" s="48">
        <f>-IFERROR(INDEX(Control!$H$53:$H$62,MATCH(GW76,Control!$G$53:$G$62,0)),0)</f>
        <v>0</v>
      </c>
      <c r="GX81" s="48">
        <f>-IFERROR(INDEX(Control!$H$53:$H$62,MATCH(GX76,Control!$G$53:$G$62,0)),0)</f>
        <v>0</v>
      </c>
      <c r="GY81" s="48">
        <f>-IFERROR(INDEX(Control!$H$53:$H$62,MATCH(GY76,Control!$G$53:$G$62,0)),0)</f>
        <v>0</v>
      </c>
      <c r="GZ81" s="48">
        <f>-IFERROR(INDEX(Control!$H$53:$H$62,MATCH(GZ76,Control!$G$53:$G$62,0)),0)</f>
        <v>0</v>
      </c>
      <c r="HA81" s="48">
        <f>-IFERROR(INDEX(Control!$H$53:$H$62,MATCH(HA76,Control!$G$53:$G$62,0)),0)</f>
        <v>0</v>
      </c>
      <c r="HB81" s="48">
        <f>-IFERROR(INDEX(Control!$H$53:$H$62,MATCH(HB76,Control!$G$53:$G$62,0)),0)</f>
        <v>0</v>
      </c>
      <c r="HC81" s="48">
        <f>-IFERROR(INDEX(Control!$H$53:$H$62,MATCH(HC76,Control!$G$53:$G$62,0)),0)</f>
        <v>0</v>
      </c>
      <c r="HD81" s="48">
        <f>-IFERROR(INDEX(Control!$H$53:$H$62,MATCH(HD76,Control!$G$53:$G$62,0)),0)</f>
        <v>0</v>
      </c>
      <c r="HE81" s="48">
        <f>-IFERROR(INDEX(Control!$H$53:$H$62,MATCH(HE76,Control!$G$53:$G$62,0)),0)</f>
        <v>0</v>
      </c>
      <c r="HF81" s="48">
        <f>-IFERROR(INDEX(Control!$H$53:$H$62,MATCH(HF76,Control!$G$53:$G$62,0)),0)</f>
        <v>0</v>
      </c>
      <c r="HG81" s="48">
        <f>-IFERROR(INDEX(Control!$H$53:$H$62,MATCH(HG76,Control!$G$53:$G$62,0)),0)</f>
        <v>0</v>
      </c>
      <c r="HH81" s="48">
        <f>-IFERROR(INDEX(Control!$H$53:$H$62,MATCH(HH76,Control!$G$53:$G$62,0)),0)</f>
        <v>0</v>
      </c>
      <c r="HI81" s="48">
        <f>-IFERROR(INDEX(Control!$H$53:$H$62,MATCH(HI76,Control!$G$53:$G$62,0)),0)</f>
        <v>0</v>
      </c>
      <c r="HJ81" s="48">
        <f>-IFERROR(INDEX(Control!$H$53:$H$62,MATCH(HJ76,Control!$G$53:$G$62,0)),0)</f>
        <v>0</v>
      </c>
      <c r="HK81" s="48">
        <f>-IFERROR(INDEX(Control!$H$53:$H$62,MATCH(HK76,Control!$G$53:$G$62,0)),0)</f>
        <v>0</v>
      </c>
      <c r="HL81" s="48">
        <f>-IFERROR(INDEX(Control!$H$53:$H$62,MATCH(HL76,Control!$G$53:$G$62,0)),0)</f>
        <v>0</v>
      </c>
      <c r="HM81" s="48">
        <f>-IFERROR(INDEX(Control!$H$53:$H$62,MATCH(HM76,Control!$G$53:$G$62,0)),0)</f>
        <v>0</v>
      </c>
      <c r="HN81" s="48">
        <f>-IFERROR(INDEX(Control!$H$53:$H$62,MATCH(HN76,Control!$G$53:$G$62,0)),0)</f>
        <v>0</v>
      </c>
      <c r="HO81" s="48">
        <f>-IFERROR(INDEX(Control!$H$53:$H$62,MATCH(HO76,Control!$G$53:$G$62,0)),0)</f>
        <v>0</v>
      </c>
      <c r="HP81" s="48">
        <f>-IFERROR(INDEX(Control!$H$53:$H$62,MATCH(HP76,Control!$G$53:$G$62,0)),0)</f>
        <v>0</v>
      </c>
      <c r="HQ81" s="48">
        <f>-IFERROR(INDEX(Control!$H$53:$H$62,MATCH(HQ76,Control!$G$53:$G$62,0)),0)</f>
        <v>0</v>
      </c>
      <c r="HR81" s="48">
        <f>-IFERROR(INDEX(Control!$H$53:$H$62,MATCH(HR76,Control!$G$53:$G$62,0)),0)</f>
        <v>0</v>
      </c>
      <c r="HS81" s="48">
        <f>-IFERROR(INDEX(Control!$H$53:$H$62,MATCH(HS76,Control!$G$53:$G$62,0)),0)</f>
        <v>0</v>
      </c>
      <c r="HT81" s="48">
        <f>-IFERROR(INDEX(Control!$H$53:$H$62,MATCH(HT76,Control!$G$53:$G$62,0)),0)</f>
        <v>0</v>
      </c>
      <c r="HU81" s="48">
        <f>-IFERROR(INDEX(Control!$H$53:$H$62,MATCH(HU76,Control!$G$53:$G$62,0)),0)</f>
        <v>0</v>
      </c>
      <c r="HV81" s="48">
        <f>-IFERROR(INDEX(Control!$H$53:$H$62,MATCH(HV76,Control!$G$53:$G$62,0)),0)</f>
        <v>0</v>
      </c>
      <c r="HW81" s="48">
        <f>-IFERROR(INDEX(Control!$H$53:$H$62,MATCH(HW76,Control!$G$53:$G$62,0)),0)</f>
        <v>0</v>
      </c>
      <c r="HX81" s="48">
        <f>-IFERROR(INDEX(Control!$H$53:$H$62,MATCH(HX76,Control!$G$53:$G$62,0)),0)</f>
        <v>0</v>
      </c>
      <c r="HY81" s="48">
        <f>-IFERROR(INDEX(Control!$H$53:$H$62,MATCH(HY76,Control!$G$53:$G$62,0)),0)</f>
        <v>0</v>
      </c>
      <c r="HZ81" s="48">
        <f>-IFERROR(INDEX(Control!$H$53:$H$62,MATCH(HZ76,Control!$G$53:$G$62,0)),0)</f>
        <v>0</v>
      </c>
      <c r="IA81" s="48">
        <f>-IFERROR(INDEX(Control!$H$53:$H$62,MATCH(IA76,Control!$G$53:$G$62,0)),0)</f>
        <v>0</v>
      </c>
      <c r="IB81" s="48">
        <f>-IFERROR(INDEX(Control!$H$53:$H$62,MATCH(IB76,Control!$G$53:$G$62,0)),0)</f>
        <v>0</v>
      </c>
      <c r="IC81" s="48">
        <f>-IFERROR(INDEX(Control!$H$53:$H$62,MATCH(IC76,Control!$G$53:$G$62,0)),0)</f>
        <v>0</v>
      </c>
      <c r="ID81" s="48">
        <f>-IFERROR(INDEX(Control!$H$53:$H$62,MATCH(ID76,Control!$G$53:$G$62,0)),0)</f>
        <v>0</v>
      </c>
      <c r="IE81" s="48">
        <f>-IFERROR(INDEX(Control!$H$53:$H$62,MATCH(IE76,Control!$G$53:$G$62,0)),0)</f>
        <v>0</v>
      </c>
      <c r="IF81" s="48">
        <f>-IFERROR(INDEX(Control!$H$53:$H$62,MATCH(IF76,Control!$G$53:$G$62,0)),0)</f>
        <v>0</v>
      </c>
      <c r="IG81" s="48">
        <f>-IFERROR(INDEX(Control!$H$53:$H$62,MATCH(IG76,Control!$G$53:$G$62,0)),0)</f>
        <v>0</v>
      </c>
      <c r="IH81" s="48">
        <f>-IFERROR(INDEX(Control!$H$53:$H$62,MATCH(IH76,Control!$G$53:$G$62,0)),0)</f>
        <v>0</v>
      </c>
      <c r="II81" s="48">
        <f>-IFERROR(INDEX(Control!$H$53:$H$62,MATCH(II76,Control!$G$53:$G$62,0)),0)</f>
        <v>0</v>
      </c>
      <c r="IJ81" s="48">
        <f>-IFERROR(INDEX(Control!$H$53:$H$62,MATCH(IJ76,Control!$G$53:$G$62,0)),0)</f>
        <v>0</v>
      </c>
      <c r="IK81" s="48">
        <f>-IFERROR(INDEX(Control!$H$53:$H$62,MATCH(IK76,Control!$G$53:$G$62,0)),0)</f>
        <v>0</v>
      </c>
      <c r="IL81" s="48">
        <f>-IFERROR(INDEX(Control!$H$53:$H$62,MATCH(IL76,Control!$G$53:$G$62,0)),0)</f>
        <v>0</v>
      </c>
      <c r="IM81" s="48">
        <f>-IFERROR(INDEX(Control!$H$53:$H$62,MATCH(IM76,Control!$G$53:$G$62,0)),0)</f>
        <v>0</v>
      </c>
      <c r="IN81" s="48">
        <f>-IFERROR(INDEX(Control!$H$53:$H$62,MATCH(IN76,Control!$G$53:$G$62,0)),0)</f>
        <v>0</v>
      </c>
      <c r="IO81" s="48">
        <f>-IFERROR(INDEX(Control!$H$53:$H$62,MATCH(IO76,Control!$G$53:$G$62,0)),0)</f>
        <v>0</v>
      </c>
      <c r="IP81" s="48">
        <f>-IFERROR(INDEX(Control!$H$53:$H$62,MATCH(IP76,Control!$G$53:$G$62,0)),0)</f>
        <v>0</v>
      </c>
      <c r="IQ81" s="48">
        <f>-IFERROR(INDEX(Control!$H$53:$H$62,MATCH(IQ76,Control!$G$53:$G$62,0)),0)</f>
        <v>0</v>
      </c>
      <c r="IR81" s="48">
        <f>-IFERROR(INDEX(Control!$H$53:$H$62,MATCH(IR76,Control!$G$53:$G$62,0)),0)</f>
        <v>0</v>
      </c>
      <c r="IS81" s="48">
        <f>-IFERROR(INDEX(Control!$H$53:$H$62,MATCH(IS76,Control!$G$53:$G$62,0)),0)</f>
        <v>0</v>
      </c>
      <c r="IT81" s="48">
        <f>-IFERROR(INDEX(Control!$H$53:$H$62,MATCH(IT76,Control!$G$53:$G$62,0)),0)</f>
        <v>0</v>
      </c>
      <c r="IU81" s="48">
        <f>-IFERROR(INDEX(Control!$H$53:$H$62,MATCH(IU76,Control!$G$53:$G$62,0)),0)</f>
        <v>0</v>
      </c>
      <c r="IV81" s="48">
        <f>-IFERROR(INDEX(Control!$H$53:$H$62,MATCH(IV76,Control!$G$53:$G$62,0)),0)</f>
        <v>0</v>
      </c>
      <c r="IW81" s="48">
        <f>-IFERROR(INDEX(Control!$H$53:$H$62,MATCH(IW76,Control!$G$53:$G$62,0)),0)</f>
        <v>0</v>
      </c>
      <c r="IX81" s="48">
        <f>-IFERROR(INDEX(Control!$H$53:$H$62,MATCH(IX76,Control!$G$53:$G$62,0)),0)</f>
        <v>0</v>
      </c>
      <c r="IY81" s="48">
        <f>-IFERROR(INDEX(Control!$H$53:$H$62,MATCH(IY76,Control!$G$53:$G$62,0)),0)</f>
        <v>0</v>
      </c>
      <c r="IZ81" s="48">
        <f>-IFERROR(INDEX(Control!$H$53:$H$62,MATCH(IZ76,Control!$G$53:$G$62,0)),0)</f>
        <v>0</v>
      </c>
      <c r="JA81" s="48">
        <f>-IFERROR(INDEX(Control!$H$53:$H$62,MATCH(JA76,Control!$G$53:$G$62,0)),0)</f>
        <v>0</v>
      </c>
      <c r="JB81" s="48">
        <f>-IFERROR(INDEX(Control!$H$53:$H$62,MATCH(JB76,Control!$G$53:$G$62,0)),0)</f>
        <v>0</v>
      </c>
      <c r="JC81" s="48">
        <f>-IFERROR(INDEX(Control!$H$53:$H$62,MATCH(JC76,Control!$G$53:$G$62,0)),0)</f>
        <v>0</v>
      </c>
      <c r="JD81" s="48">
        <f>-IFERROR(INDEX(Control!$H$53:$H$62,MATCH(JD76,Control!$G$53:$G$62,0)),0)</f>
        <v>0</v>
      </c>
      <c r="JE81" s="48">
        <f>-IFERROR(INDEX(Control!$H$53:$H$62,MATCH(JE76,Control!$G$53:$G$62,0)),0)</f>
        <v>0</v>
      </c>
      <c r="JF81" s="48">
        <f>-IFERROR(INDEX(Control!$H$53:$H$62,MATCH(JF76,Control!$G$53:$G$62,0)),0)</f>
        <v>0</v>
      </c>
      <c r="JG81" s="48">
        <f>-IFERROR(INDEX(Control!$H$53:$H$62,MATCH(JG76,Control!$G$53:$G$62,0)),0)</f>
        <v>0</v>
      </c>
      <c r="JH81" s="48">
        <f>-IFERROR(INDEX(Control!$H$53:$H$62,MATCH(JH76,Control!$G$53:$G$62,0)),0)</f>
        <v>0</v>
      </c>
      <c r="JI81" s="48">
        <f>-IFERROR(INDEX(Control!$H$53:$H$62,MATCH(JI76,Control!$G$53:$G$62,0)),0)</f>
        <v>0</v>
      </c>
      <c r="JJ81" s="48">
        <f>-IFERROR(INDEX(Control!$H$53:$H$62,MATCH(JJ76,Control!$G$53:$G$62,0)),0)</f>
        <v>0</v>
      </c>
      <c r="JK81" s="48">
        <f>-IFERROR(INDEX(Control!$H$53:$H$62,MATCH(JK76,Control!$G$53:$G$62,0)),0)</f>
        <v>0</v>
      </c>
      <c r="JL81" s="48">
        <f>-IFERROR(INDEX(Control!$H$53:$H$62,MATCH(JL76,Control!$G$53:$G$62,0)),0)</f>
        <v>0</v>
      </c>
      <c r="JM81" s="48">
        <f>-IFERROR(INDEX(Control!$H$53:$H$62,MATCH(JM76,Control!$G$53:$G$62,0)),0)</f>
        <v>0</v>
      </c>
      <c r="JN81" s="48">
        <f>-IFERROR(INDEX(Control!$H$53:$H$62,MATCH(JN76,Control!$G$53:$G$62,0)),0)</f>
        <v>0</v>
      </c>
      <c r="JO81" s="48">
        <f>-IFERROR(INDEX(Control!$H$53:$H$62,MATCH(JO76,Control!$G$53:$G$62,0)),0)</f>
        <v>0</v>
      </c>
      <c r="JP81" s="48">
        <f>-IFERROR(INDEX(Control!$H$53:$H$62,MATCH(JP76,Control!$G$53:$G$62,0)),0)</f>
        <v>0</v>
      </c>
      <c r="JQ81" s="48">
        <f>-IFERROR(INDEX(Control!$H$53:$H$62,MATCH(JQ76,Control!$G$53:$G$62,0)),0)</f>
        <v>0</v>
      </c>
      <c r="JR81" s="48">
        <f>-IFERROR(INDEX(Control!$H$53:$H$62,MATCH(JR76,Control!$G$53:$G$62,0)),0)</f>
        <v>0</v>
      </c>
      <c r="JS81" s="48">
        <f>-IFERROR(INDEX(Control!$H$53:$H$62,MATCH(JS76,Control!$G$53:$G$62,0)),0)</f>
        <v>0</v>
      </c>
      <c r="JT81" s="48">
        <f>-IFERROR(INDEX(Control!$H$53:$H$62,MATCH(JT76,Control!$G$53:$G$62,0)),0)</f>
        <v>0</v>
      </c>
      <c r="JU81" s="48">
        <f>-IFERROR(INDEX(Control!$H$53:$H$62,MATCH(JU76,Control!$G$53:$G$62,0)),0)</f>
        <v>0</v>
      </c>
      <c r="JV81" s="48">
        <f>-IFERROR(INDEX(Control!$H$53:$H$62,MATCH(JV76,Control!$G$53:$G$62,0)),0)</f>
        <v>0</v>
      </c>
      <c r="JW81" s="48">
        <f>-IFERROR(INDEX(Control!$H$53:$H$62,MATCH(JW76,Control!$G$53:$G$62,0)),0)</f>
        <v>0</v>
      </c>
      <c r="JX81" s="48">
        <f>-IFERROR(INDEX(Control!$H$53:$H$62,MATCH(JX76,Control!$G$53:$G$62,0)),0)</f>
        <v>0</v>
      </c>
      <c r="JY81" s="48">
        <f>-IFERROR(INDEX(Control!$H$53:$H$62,MATCH(JY76,Control!$G$53:$G$62,0)),0)</f>
        <v>0</v>
      </c>
      <c r="JZ81" s="48">
        <f>-IFERROR(INDEX(Control!$H$53:$H$62,MATCH(JZ76,Control!$G$53:$G$62,0)),0)</f>
        <v>0</v>
      </c>
      <c r="KA81" s="48">
        <f>-IFERROR(INDEX(Control!$H$53:$H$62,MATCH(KA76,Control!$G$53:$G$62,0)),0)</f>
        <v>0</v>
      </c>
      <c r="KB81" s="48">
        <f>-IFERROR(INDEX(Control!$H$53:$H$62,MATCH(KB76,Control!$G$53:$G$62,0)),0)</f>
        <v>0</v>
      </c>
      <c r="KC81" s="48">
        <f>-IFERROR(INDEX(Control!$H$53:$H$62,MATCH(KC76,Control!$G$53:$G$62,0)),0)</f>
        <v>0</v>
      </c>
      <c r="KD81" s="48">
        <f>-IFERROR(INDEX(Control!$H$53:$H$62,MATCH(KD76,Control!$G$53:$G$62,0)),0)</f>
        <v>0</v>
      </c>
      <c r="KE81" s="48">
        <f>-IFERROR(INDEX(Control!$H$53:$H$62,MATCH(KE76,Control!$G$53:$G$62,0)),0)</f>
        <v>0</v>
      </c>
      <c r="KF81" s="48">
        <f>-IFERROR(INDEX(Control!$H$53:$H$62,MATCH(KF76,Control!$G$53:$G$62,0)),0)</f>
        <v>0</v>
      </c>
      <c r="KG81" s="48">
        <f>-IFERROR(INDEX(Control!$H$53:$H$62,MATCH(KG76,Control!$G$53:$G$62,0)),0)</f>
        <v>0</v>
      </c>
      <c r="KH81" s="48">
        <f>-IFERROR(INDEX(Control!$H$53:$H$62,MATCH(KH76,Control!$G$53:$G$62,0)),0)</f>
        <v>0</v>
      </c>
      <c r="KI81" s="48">
        <f>-IFERROR(INDEX(Control!$H$53:$H$62,MATCH(KI76,Control!$G$53:$G$62,0)),0)</f>
        <v>0</v>
      </c>
      <c r="KJ81" s="1"/>
    </row>
    <row r="82" spans="7:296" x14ac:dyDescent="0.35">
      <c r="H82" s="13" t="s">
        <v>49</v>
      </c>
      <c r="M82" s="15" t="s">
        <v>101</v>
      </c>
      <c r="N82" s="48">
        <f>IF(N75,-N80,0)</f>
        <v>0</v>
      </c>
      <c r="O82" s="48">
        <f t="shared" ref="O82:BZ82" si="182">IF(O75,-O80,0)</f>
        <v>0</v>
      </c>
      <c r="P82" s="48">
        <f t="shared" si="182"/>
        <v>0</v>
      </c>
      <c r="Q82" s="48">
        <f t="shared" si="182"/>
        <v>0</v>
      </c>
      <c r="R82" s="48">
        <f t="shared" si="182"/>
        <v>0</v>
      </c>
      <c r="S82" s="48">
        <f t="shared" si="182"/>
        <v>0</v>
      </c>
      <c r="T82" s="48">
        <f t="shared" si="182"/>
        <v>-210</v>
      </c>
      <c r="U82" s="48">
        <f t="shared" si="182"/>
        <v>0</v>
      </c>
      <c r="V82" s="48">
        <f t="shared" si="182"/>
        <v>0</v>
      </c>
      <c r="W82" s="48">
        <f t="shared" si="182"/>
        <v>0</v>
      </c>
      <c r="X82" s="48">
        <f t="shared" si="182"/>
        <v>0</v>
      </c>
      <c r="Y82" s="48">
        <f t="shared" si="182"/>
        <v>0</v>
      </c>
      <c r="Z82" s="48">
        <f t="shared" si="182"/>
        <v>0</v>
      </c>
      <c r="AA82" s="48">
        <f t="shared" si="182"/>
        <v>0</v>
      </c>
      <c r="AB82" s="48">
        <f t="shared" si="182"/>
        <v>0</v>
      </c>
      <c r="AC82" s="48">
        <f t="shared" si="182"/>
        <v>0</v>
      </c>
      <c r="AD82" s="48">
        <f t="shared" si="182"/>
        <v>0</v>
      </c>
      <c r="AE82" s="48">
        <f t="shared" si="182"/>
        <v>0</v>
      </c>
      <c r="AF82" s="48">
        <f t="shared" si="182"/>
        <v>0</v>
      </c>
      <c r="AG82" s="48">
        <f t="shared" si="182"/>
        <v>0</v>
      </c>
      <c r="AH82" s="48">
        <f t="shared" si="182"/>
        <v>0</v>
      </c>
      <c r="AI82" s="48">
        <f t="shared" si="182"/>
        <v>0</v>
      </c>
      <c r="AJ82" s="48">
        <f t="shared" si="182"/>
        <v>0</v>
      </c>
      <c r="AK82" s="48">
        <f t="shared" si="182"/>
        <v>0</v>
      </c>
      <c r="AL82" s="48">
        <f t="shared" si="182"/>
        <v>0</v>
      </c>
      <c r="AM82" s="48">
        <f t="shared" si="182"/>
        <v>0</v>
      </c>
      <c r="AN82" s="48">
        <f t="shared" si="182"/>
        <v>0</v>
      </c>
      <c r="AO82" s="48">
        <f t="shared" si="182"/>
        <v>0</v>
      </c>
      <c r="AP82" s="48">
        <f t="shared" si="182"/>
        <v>0</v>
      </c>
      <c r="AQ82" s="48">
        <f t="shared" si="182"/>
        <v>0</v>
      </c>
      <c r="AR82" s="48">
        <f t="shared" si="182"/>
        <v>0</v>
      </c>
      <c r="AS82" s="48">
        <f t="shared" si="182"/>
        <v>0</v>
      </c>
      <c r="AT82" s="48">
        <f t="shared" si="182"/>
        <v>0</v>
      </c>
      <c r="AU82" s="48">
        <f t="shared" si="182"/>
        <v>0</v>
      </c>
      <c r="AV82" s="48">
        <f t="shared" si="182"/>
        <v>0</v>
      </c>
      <c r="AW82" s="48">
        <f t="shared" si="182"/>
        <v>0</v>
      </c>
      <c r="AX82" s="48">
        <f t="shared" si="182"/>
        <v>0</v>
      </c>
      <c r="AY82" s="48">
        <f t="shared" si="182"/>
        <v>0</v>
      </c>
      <c r="AZ82" s="48">
        <f t="shared" si="182"/>
        <v>0</v>
      </c>
      <c r="BA82" s="48">
        <f t="shared" si="182"/>
        <v>0</v>
      </c>
      <c r="BB82" s="48">
        <f t="shared" si="182"/>
        <v>0</v>
      </c>
      <c r="BC82" s="48">
        <f t="shared" si="182"/>
        <v>0</v>
      </c>
      <c r="BD82" s="48">
        <f t="shared" si="182"/>
        <v>0</v>
      </c>
      <c r="BE82" s="48">
        <f t="shared" si="182"/>
        <v>0</v>
      </c>
      <c r="BF82" s="48">
        <f t="shared" si="182"/>
        <v>0</v>
      </c>
      <c r="BG82" s="48">
        <f t="shared" si="182"/>
        <v>0</v>
      </c>
      <c r="BH82" s="48">
        <f t="shared" si="182"/>
        <v>0</v>
      </c>
      <c r="BI82" s="48">
        <f t="shared" si="182"/>
        <v>0</v>
      </c>
      <c r="BJ82" s="48">
        <f t="shared" si="182"/>
        <v>0</v>
      </c>
      <c r="BK82" s="48">
        <f t="shared" si="182"/>
        <v>0</v>
      </c>
      <c r="BL82" s="48">
        <f t="shared" si="182"/>
        <v>0</v>
      </c>
      <c r="BM82" s="48">
        <f t="shared" si="182"/>
        <v>0</v>
      </c>
      <c r="BN82" s="48">
        <f t="shared" si="182"/>
        <v>0</v>
      </c>
      <c r="BO82" s="48">
        <f t="shared" si="182"/>
        <v>0</v>
      </c>
      <c r="BP82" s="48">
        <f t="shared" si="182"/>
        <v>0</v>
      </c>
      <c r="BQ82" s="48">
        <f t="shared" si="182"/>
        <v>0</v>
      </c>
      <c r="BR82" s="48">
        <f t="shared" si="182"/>
        <v>0</v>
      </c>
      <c r="BS82" s="48">
        <f t="shared" si="182"/>
        <v>0</v>
      </c>
      <c r="BT82" s="48">
        <f t="shared" si="182"/>
        <v>0</v>
      </c>
      <c r="BU82" s="48">
        <f t="shared" si="182"/>
        <v>0</v>
      </c>
      <c r="BV82" s="48">
        <f t="shared" si="182"/>
        <v>0</v>
      </c>
      <c r="BW82" s="48">
        <f t="shared" si="182"/>
        <v>0</v>
      </c>
      <c r="BX82" s="48">
        <f t="shared" si="182"/>
        <v>0</v>
      </c>
      <c r="BY82" s="48">
        <f t="shared" si="182"/>
        <v>0</v>
      </c>
      <c r="BZ82" s="48">
        <f t="shared" si="182"/>
        <v>0</v>
      </c>
      <c r="CA82" s="48">
        <f t="shared" ref="CA82:EL82" si="183">IF(CA75,-CA80,0)</f>
        <v>0</v>
      </c>
      <c r="CB82" s="48">
        <f t="shared" si="183"/>
        <v>0</v>
      </c>
      <c r="CC82" s="48">
        <f t="shared" si="183"/>
        <v>0</v>
      </c>
      <c r="CD82" s="48">
        <f t="shared" si="183"/>
        <v>0</v>
      </c>
      <c r="CE82" s="48">
        <f t="shared" si="183"/>
        <v>0</v>
      </c>
      <c r="CF82" s="48">
        <f t="shared" si="183"/>
        <v>0</v>
      </c>
      <c r="CG82" s="48">
        <f t="shared" si="183"/>
        <v>0</v>
      </c>
      <c r="CH82" s="48">
        <f t="shared" si="183"/>
        <v>0</v>
      </c>
      <c r="CI82" s="48">
        <f t="shared" si="183"/>
        <v>0</v>
      </c>
      <c r="CJ82" s="48">
        <f t="shared" si="183"/>
        <v>0</v>
      </c>
      <c r="CK82" s="48">
        <f t="shared" si="183"/>
        <v>0</v>
      </c>
      <c r="CL82" s="48">
        <f t="shared" si="183"/>
        <v>0</v>
      </c>
      <c r="CM82" s="48">
        <f t="shared" si="183"/>
        <v>0</v>
      </c>
      <c r="CN82" s="48">
        <f t="shared" si="183"/>
        <v>0</v>
      </c>
      <c r="CO82" s="48">
        <f t="shared" si="183"/>
        <v>0</v>
      </c>
      <c r="CP82" s="48">
        <f t="shared" si="183"/>
        <v>0</v>
      </c>
      <c r="CQ82" s="48">
        <f t="shared" si="183"/>
        <v>0</v>
      </c>
      <c r="CR82" s="48">
        <f t="shared" si="183"/>
        <v>0</v>
      </c>
      <c r="CS82" s="48">
        <f t="shared" si="183"/>
        <v>0</v>
      </c>
      <c r="CT82" s="48">
        <f t="shared" si="183"/>
        <v>0</v>
      </c>
      <c r="CU82" s="48">
        <f t="shared" si="183"/>
        <v>0</v>
      </c>
      <c r="CV82" s="48">
        <f t="shared" si="183"/>
        <v>0</v>
      </c>
      <c r="CW82" s="48">
        <f t="shared" si="183"/>
        <v>0</v>
      </c>
      <c r="CX82" s="48">
        <f t="shared" si="183"/>
        <v>0</v>
      </c>
      <c r="CY82" s="48">
        <f t="shared" si="183"/>
        <v>0</v>
      </c>
      <c r="CZ82" s="48">
        <f t="shared" si="183"/>
        <v>0</v>
      </c>
      <c r="DA82" s="48">
        <f t="shared" si="183"/>
        <v>0</v>
      </c>
      <c r="DB82" s="48">
        <f t="shared" si="183"/>
        <v>0</v>
      </c>
      <c r="DC82" s="48">
        <f t="shared" si="183"/>
        <v>0</v>
      </c>
      <c r="DD82" s="48">
        <f t="shared" si="183"/>
        <v>0</v>
      </c>
      <c r="DE82" s="48">
        <f t="shared" si="183"/>
        <v>0</v>
      </c>
      <c r="DF82" s="48">
        <f t="shared" si="183"/>
        <v>0</v>
      </c>
      <c r="DG82" s="48">
        <f t="shared" si="183"/>
        <v>0</v>
      </c>
      <c r="DH82" s="48">
        <f t="shared" si="183"/>
        <v>0</v>
      </c>
      <c r="DI82" s="48">
        <f t="shared" si="183"/>
        <v>0</v>
      </c>
      <c r="DJ82" s="48">
        <f t="shared" si="183"/>
        <v>0</v>
      </c>
      <c r="DK82" s="48">
        <f t="shared" si="183"/>
        <v>0</v>
      </c>
      <c r="DL82" s="48">
        <f t="shared" si="183"/>
        <v>0</v>
      </c>
      <c r="DM82" s="48">
        <f t="shared" si="183"/>
        <v>0</v>
      </c>
      <c r="DN82" s="48">
        <f t="shared" si="183"/>
        <v>0</v>
      </c>
      <c r="DO82" s="48">
        <f t="shared" si="183"/>
        <v>0</v>
      </c>
      <c r="DP82" s="48">
        <f t="shared" si="183"/>
        <v>0</v>
      </c>
      <c r="DQ82" s="48">
        <f t="shared" si="183"/>
        <v>0</v>
      </c>
      <c r="DR82" s="48">
        <f t="shared" si="183"/>
        <v>0</v>
      </c>
      <c r="DS82" s="48">
        <f t="shared" si="183"/>
        <v>0</v>
      </c>
      <c r="DT82" s="48">
        <f t="shared" si="183"/>
        <v>0</v>
      </c>
      <c r="DU82" s="48">
        <f t="shared" si="183"/>
        <v>0</v>
      </c>
      <c r="DV82" s="48">
        <f t="shared" si="183"/>
        <v>0</v>
      </c>
      <c r="DW82" s="48">
        <f t="shared" si="183"/>
        <v>0</v>
      </c>
      <c r="DX82" s="48">
        <f t="shared" si="183"/>
        <v>0</v>
      </c>
      <c r="DY82" s="48">
        <f t="shared" si="183"/>
        <v>0</v>
      </c>
      <c r="DZ82" s="48">
        <f t="shared" si="183"/>
        <v>0</v>
      </c>
      <c r="EA82" s="48">
        <f t="shared" si="183"/>
        <v>0</v>
      </c>
      <c r="EB82" s="48">
        <f t="shared" si="183"/>
        <v>0</v>
      </c>
      <c r="EC82" s="48">
        <f t="shared" si="183"/>
        <v>0</v>
      </c>
      <c r="ED82" s="48">
        <f t="shared" si="183"/>
        <v>0</v>
      </c>
      <c r="EE82" s="48">
        <f t="shared" si="183"/>
        <v>0</v>
      </c>
      <c r="EF82" s="48">
        <f t="shared" si="183"/>
        <v>0</v>
      </c>
      <c r="EG82" s="48">
        <f t="shared" si="183"/>
        <v>0</v>
      </c>
      <c r="EH82" s="48">
        <f t="shared" si="183"/>
        <v>0</v>
      </c>
      <c r="EI82" s="48">
        <f t="shared" si="183"/>
        <v>0</v>
      </c>
      <c r="EJ82" s="48">
        <f t="shared" si="183"/>
        <v>0</v>
      </c>
      <c r="EK82" s="48">
        <f t="shared" si="183"/>
        <v>0</v>
      </c>
      <c r="EL82" s="48">
        <f t="shared" si="183"/>
        <v>0</v>
      </c>
      <c r="EM82" s="48">
        <f t="shared" ref="EM82:GX82" si="184">IF(EM75,-EM80,0)</f>
        <v>0</v>
      </c>
      <c r="EN82" s="48">
        <f t="shared" si="184"/>
        <v>0</v>
      </c>
      <c r="EO82" s="48">
        <f t="shared" si="184"/>
        <v>0</v>
      </c>
      <c r="EP82" s="48">
        <f t="shared" si="184"/>
        <v>0</v>
      </c>
      <c r="EQ82" s="48">
        <f t="shared" si="184"/>
        <v>0</v>
      </c>
      <c r="ER82" s="48">
        <f t="shared" si="184"/>
        <v>0</v>
      </c>
      <c r="ES82" s="48">
        <f t="shared" si="184"/>
        <v>0</v>
      </c>
      <c r="ET82" s="48">
        <f t="shared" si="184"/>
        <v>0</v>
      </c>
      <c r="EU82" s="48">
        <f t="shared" si="184"/>
        <v>0</v>
      </c>
      <c r="EV82" s="48">
        <f t="shared" si="184"/>
        <v>0</v>
      </c>
      <c r="EW82" s="48">
        <f t="shared" si="184"/>
        <v>0</v>
      </c>
      <c r="EX82" s="48">
        <f t="shared" si="184"/>
        <v>0</v>
      </c>
      <c r="EY82" s="48">
        <f t="shared" si="184"/>
        <v>0</v>
      </c>
      <c r="EZ82" s="48">
        <f t="shared" si="184"/>
        <v>0</v>
      </c>
      <c r="FA82" s="48">
        <f t="shared" si="184"/>
        <v>0</v>
      </c>
      <c r="FB82" s="48">
        <f t="shared" si="184"/>
        <v>0</v>
      </c>
      <c r="FC82" s="48">
        <f t="shared" si="184"/>
        <v>0</v>
      </c>
      <c r="FD82" s="48">
        <f t="shared" si="184"/>
        <v>0</v>
      </c>
      <c r="FE82" s="48">
        <f t="shared" si="184"/>
        <v>0</v>
      </c>
      <c r="FF82" s="48">
        <f t="shared" si="184"/>
        <v>0</v>
      </c>
      <c r="FG82" s="48">
        <f t="shared" si="184"/>
        <v>0</v>
      </c>
      <c r="FH82" s="48">
        <f t="shared" si="184"/>
        <v>0</v>
      </c>
      <c r="FI82" s="48">
        <f t="shared" si="184"/>
        <v>0</v>
      </c>
      <c r="FJ82" s="48">
        <f t="shared" si="184"/>
        <v>0</v>
      </c>
      <c r="FK82" s="48">
        <f t="shared" si="184"/>
        <v>0</v>
      </c>
      <c r="FL82" s="48">
        <f t="shared" si="184"/>
        <v>0</v>
      </c>
      <c r="FM82" s="48">
        <f t="shared" si="184"/>
        <v>0</v>
      </c>
      <c r="FN82" s="48">
        <f t="shared" si="184"/>
        <v>0</v>
      </c>
      <c r="FO82" s="48">
        <f t="shared" si="184"/>
        <v>0</v>
      </c>
      <c r="FP82" s="48">
        <f t="shared" si="184"/>
        <v>0</v>
      </c>
      <c r="FQ82" s="48">
        <f t="shared" si="184"/>
        <v>0</v>
      </c>
      <c r="FR82" s="48">
        <f t="shared" si="184"/>
        <v>0</v>
      </c>
      <c r="FS82" s="48">
        <f t="shared" si="184"/>
        <v>0</v>
      </c>
      <c r="FT82" s="48">
        <f t="shared" si="184"/>
        <v>0</v>
      </c>
      <c r="FU82" s="48">
        <f t="shared" si="184"/>
        <v>0</v>
      </c>
      <c r="FV82" s="48">
        <f t="shared" si="184"/>
        <v>0</v>
      </c>
      <c r="FW82" s="48">
        <f t="shared" si="184"/>
        <v>0</v>
      </c>
      <c r="FX82" s="48">
        <f t="shared" si="184"/>
        <v>0</v>
      </c>
      <c r="FY82" s="48">
        <f t="shared" si="184"/>
        <v>0</v>
      </c>
      <c r="FZ82" s="48">
        <f t="shared" si="184"/>
        <v>0</v>
      </c>
      <c r="GA82" s="48">
        <f t="shared" si="184"/>
        <v>0</v>
      </c>
      <c r="GB82" s="48">
        <f t="shared" si="184"/>
        <v>0</v>
      </c>
      <c r="GC82" s="48">
        <f t="shared" si="184"/>
        <v>0</v>
      </c>
      <c r="GD82" s="48">
        <f t="shared" si="184"/>
        <v>0</v>
      </c>
      <c r="GE82" s="48">
        <f t="shared" si="184"/>
        <v>0</v>
      </c>
      <c r="GF82" s="48">
        <f t="shared" si="184"/>
        <v>0</v>
      </c>
      <c r="GG82" s="48">
        <f t="shared" si="184"/>
        <v>0</v>
      </c>
      <c r="GH82" s="48">
        <f t="shared" si="184"/>
        <v>0</v>
      </c>
      <c r="GI82" s="48">
        <f t="shared" si="184"/>
        <v>0</v>
      </c>
      <c r="GJ82" s="48">
        <f t="shared" si="184"/>
        <v>0</v>
      </c>
      <c r="GK82" s="48">
        <f t="shared" si="184"/>
        <v>0</v>
      </c>
      <c r="GL82" s="48">
        <f t="shared" si="184"/>
        <v>0</v>
      </c>
      <c r="GM82" s="48">
        <f t="shared" si="184"/>
        <v>0</v>
      </c>
      <c r="GN82" s="48">
        <f t="shared" si="184"/>
        <v>0</v>
      </c>
      <c r="GO82" s="48">
        <f t="shared" si="184"/>
        <v>0</v>
      </c>
      <c r="GP82" s="48">
        <f t="shared" si="184"/>
        <v>0</v>
      </c>
      <c r="GQ82" s="48">
        <f t="shared" si="184"/>
        <v>0</v>
      </c>
      <c r="GR82" s="48">
        <f t="shared" si="184"/>
        <v>0</v>
      </c>
      <c r="GS82" s="48">
        <f t="shared" si="184"/>
        <v>0</v>
      </c>
      <c r="GT82" s="48">
        <f t="shared" si="184"/>
        <v>0</v>
      </c>
      <c r="GU82" s="48">
        <f t="shared" si="184"/>
        <v>0</v>
      </c>
      <c r="GV82" s="48">
        <f t="shared" si="184"/>
        <v>0</v>
      </c>
      <c r="GW82" s="48">
        <f t="shared" si="184"/>
        <v>0</v>
      </c>
      <c r="GX82" s="48">
        <f t="shared" si="184"/>
        <v>0</v>
      </c>
      <c r="GY82" s="48">
        <f t="shared" ref="GY82:JJ82" si="185">IF(GY75,-GY80,0)</f>
        <v>0</v>
      </c>
      <c r="GZ82" s="48">
        <f t="shared" si="185"/>
        <v>0</v>
      </c>
      <c r="HA82" s="48">
        <f t="shared" si="185"/>
        <v>0</v>
      </c>
      <c r="HB82" s="48">
        <f t="shared" si="185"/>
        <v>0</v>
      </c>
      <c r="HC82" s="48">
        <f t="shared" si="185"/>
        <v>0</v>
      </c>
      <c r="HD82" s="48">
        <f t="shared" si="185"/>
        <v>0</v>
      </c>
      <c r="HE82" s="48">
        <f t="shared" si="185"/>
        <v>0</v>
      </c>
      <c r="HF82" s="48">
        <f t="shared" si="185"/>
        <v>0</v>
      </c>
      <c r="HG82" s="48">
        <f t="shared" si="185"/>
        <v>0</v>
      </c>
      <c r="HH82" s="48">
        <f t="shared" si="185"/>
        <v>0</v>
      </c>
      <c r="HI82" s="48">
        <f t="shared" si="185"/>
        <v>0</v>
      </c>
      <c r="HJ82" s="48">
        <f t="shared" si="185"/>
        <v>0</v>
      </c>
      <c r="HK82" s="48">
        <f t="shared" si="185"/>
        <v>0</v>
      </c>
      <c r="HL82" s="48">
        <f t="shared" si="185"/>
        <v>0</v>
      </c>
      <c r="HM82" s="48">
        <f t="shared" si="185"/>
        <v>0</v>
      </c>
      <c r="HN82" s="48">
        <f t="shared" si="185"/>
        <v>0</v>
      </c>
      <c r="HO82" s="48">
        <f t="shared" si="185"/>
        <v>0</v>
      </c>
      <c r="HP82" s="48">
        <f t="shared" si="185"/>
        <v>0</v>
      </c>
      <c r="HQ82" s="48">
        <f t="shared" si="185"/>
        <v>0</v>
      </c>
      <c r="HR82" s="48">
        <f t="shared" si="185"/>
        <v>0</v>
      </c>
      <c r="HS82" s="48">
        <f t="shared" si="185"/>
        <v>0</v>
      </c>
      <c r="HT82" s="48">
        <f t="shared" si="185"/>
        <v>0</v>
      </c>
      <c r="HU82" s="48">
        <f t="shared" si="185"/>
        <v>0</v>
      </c>
      <c r="HV82" s="48">
        <f t="shared" si="185"/>
        <v>0</v>
      </c>
      <c r="HW82" s="48">
        <f t="shared" si="185"/>
        <v>0</v>
      </c>
      <c r="HX82" s="48">
        <f t="shared" si="185"/>
        <v>0</v>
      </c>
      <c r="HY82" s="48">
        <f t="shared" si="185"/>
        <v>0</v>
      </c>
      <c r="HZ82" s="48">
        <f t="shared" si="185"/>
        <v>0</v>
      </c>
      <c r="IA82" s="48">
        <f t="shared" si="185"/>
        <v>0</v>
      </c>
      <c r="IB82" s="48">
        <f t="shared" si="185"/>
        <v>0</v>
      </c>
      <c r="IC82" s="48">
        <f t="shared" si="185"/>
        <v>0</v>
      </c>
      <c r="ID82" s="48">
        <f t="shared" si="185"/>
        <v>0</v>
      </c>
      <c r="IE82" s="48">
        <f t="shared" si="185"/>
        <v>0</v>
      </c>
      <c r="IF82" s="48">
        <f t="shared" si="185"/>
        <v>0</v>
      </c>
      <c r="IG82" s="48">
        <f t="shared" si="185"/>
        <v>0</v>
      </c>
      <c r="IH82" s="48">
        <f t="shared" si="185"/>
        <v>0</v>
      </c>
      <c r="II82" s="48">
        <f t="shared" si="185"/>
        <v>0</v>
      </c>
      <c r="IJ82" s="48">
        <f t="shared" si="185"/>
        <v>0</v>
      </c>
      <c r="IK82" s="48">
        <f t="shared" si="185"/>
        <v>0</v>
      </c>
      <c r="IL82" s="48">
        <f t="shared" si="185"/>
        <v>0</v>
      </c>
      <c r="IM82" s="48">
        <f t="shared" si="185"/>
        <v>0</v>
      </c>
      <c r="IN82" s="48">
        <f t="shared" si="185"/>
        <v>0</v>
      </c>
      <c r="IO82" s="48">
        <f t="shared" si="185"/>
        <v>0</v>
      </c>
      <c r="IP82" s="48">
        <f t="shared" si="185"/>
        <v>0</v>
      </c>
      <c r="IQ82" s="48">
        <f t="shared" si="185"/>
        <v>0</v>
      </c>
      <c r="IR82" s="48">
        <f t="shared" si="185"/>
        <v>0</v>
      </c>
      <c r="IS82" s="48">
        <f t="shared" si="185"/>
        <v>0</v>
      </c>
      <c r="IT82" s="48">
        <f t="shared" si="185"/>
        <v>0</v>
      </c>
      <c r="IU82" s="48">
        <f t="shared" si="185"/>
        <v>0</v>
      </c>
      <c r="IV82" s="48">
        <f t="shared" si="185"/>
        <v>0</v>
      </c>
      <c r="IW82" s="48">
        <f t="shared" si="185"/>
        <v>0</v>
      </c>
      <c r="IX82" s="48">
        <f t="shared" si="185"/>
        <v>0</v>
      </c>
      <c r="IY82" s="48">
        <f t="shared" si="185"/>
        <v>0</v>
      </c>
      <c r="IZ82" s="48">
        <f t="shared" si="185"/>
        <v>0</v>
      </c>
      <c r="JA82" s="48">
        <f t="shared" si="185"/>
        <v>0</v>
      </c>
      <c r="JB82" s="48">
        <f t="shared" si="185"/>
        <v>0</v>
      </c>
      <c r="JC82" s="48">
        <f t="shared" si="185"/>
        <v>0</v>
      </c>
      <c r="JD82" s="48">
        <f t="shared" si="185"/>
        <v>0</v>
      </c>
      <c r="JE82" s="48">
        <f t="shared" si="185"/>
        <v>0</v>
      </c>
      <c r="JF82" s="48">
        <f t="shared" si="185"/>
        <v>0</v>
      </c>
      <c r="JG82" s="48">
        <f t="shared" si="185"/>
        <v>0</v>
      </c>
      <c r="JH82" s="48">
        <f t="shared" si="185"/>
        <v>0</v>
      </c>
      <c r="JI82" s="48">
        <f t="shared" si="185"/>
        <v>0</v>
      </c>
      <c r="JJ82" s="48">
        <f t="shared" si="185"/>
        <v>0</v>
      </c>
      <c r="JK82" s="48">
        <f t="shared" ref="JK82:KI82" si="186">IF(JK75,-JK80,0)</f>
        <v>0</v>
      </c>
      <c r="JL82" s="48">
        <f t="shared" si="186"/>
        <v>0</v>
      </c>
      <c r="JM82" s="48">
        <f t="shared" si="186"/>
        <v>0</v>
      </c>
      <c r="JN82" s="48">
        <f t="shared" si="186"/>
        <v>0</v>
      </c>
      <c r="JO82" s="48">
        <f t="shared" si="186"/>
        <v>0</v>
      </c>
      <c r="JP82" s="48">
        <f t="shared" si="186"/>
        <v>0</v>
      </c>
      <c r="JQ82" s="48">
        <f t="shared" si="186"/>
        <v>0</v>
      </c>
      <c r="JR82" s="48">
        <f t="shared" si="186"/>
        <v>0</v>
      </c>
      <c r="JS82" s="48">
        <f t="shared" si="186"/>
        <v>0</v>
      </c>
      <c r="JT82" s="48">
        <f t="shared" si="186"/>
        <v>0</v>
      </c>
      <c r="JU82" s="48">
        <f t="shared" si="186"/>
        <v>0</v>
      </c>
      <c r="JV82" s="48">
        <f t="shared" si="186"/>
        <v>0</v>
      </c>
      <c r="JW82" s="48">
        <f t="shared" si="186"/>
        <v>0</v>
      </c>
      <c r="JX82" s="48">
        <f t="shared" si="186"/>
        <v>0</v>
      </c>
      <c r="JY82" s="48">
        <f t="shared" si="186"/>
        <v>0</v>
      </c>
      <c r="JZ82" s="48">
        <f t="shared" si="186"/>
        <v>0</v>
      </c>
      <c r="KA82" s="48">
        <f t="shared" si="186"/>
        <v>0</v>
      </c>
      <c r="KB82" s="48">
        <f t="shared" si="186"/>
        <v>0</v>
      </c>
      <c r="KC82" s="48">
        <f t="shared" si="186"/>
        <v>0</v>
      </c>
      <c r="KD82" s="48">
        <f t="shared" si="186"/>
        <v>0</v>
      </c>
      <c r="KE82" s="48">
        <f t="shared" si="186"/>
        <v>0</v>
      </c>
      <c r="KF82" s="48">
        <f t="shared" si="186"/>
        <v>0</v>
      </c>
      <c r="KG82" s="48">
        <f t="shared" si="186"/>
        <v>0</v>
      </c>
      <c r="KH82" s="48">
        <f t="shared" si="186"/>
        <v>0</v>
      </c>
      <c r="KI82" s="48">
        <f t="shared" si="186"/>
        <v>0</v>
      </c>
      <c r="KJ82" s="1"/>
    </row>
    <row r="83" spans="7:296" x14ac:dyDescent="0.35">
      <c r="H83" s="13" t="s">
        <v>49</v>
      </c>
      <c r="M83" s="47" t="s">
        <v>102</v>
      </c>
      <c r="N83" s="49">
        <f>SUM(N80:N82)</f>
        <v>245</v>
      </c>
      <c r="O83" s="49">
        <f t="shared" ref="O83:BZ83" si="187">SUM(O80:O82)</f>
        <v>245</v>
      </c>
      <c r="P83" s="49">
        <f t="shared" si="187"/>
        <v>245</v>
      </c>
      <c r="Q83" s="49">
        <f t="shared" si="187"/>
        <v>245</v>
      </c>
      <c r="R83" s="49">
        <f t="shared" si="187"/>
        <v>245</v>
      </c>
      <c r="S83" s="49">
        <f t="shared" si="187"/>
        <v>210</v>
      </c>
      <c r="T83" s="49">
        <f t="shared" si="187"/>
        <v>0</v>
      </c>
      <c r="U83" s="49">
        <f t="shared" si="187"/>
        <v>0</v>
      </c>
      <c r="V83" s="49">
        <f t="shared" si="187"/>
        <v>0</v>
      </c>
      <c r="W83" s="49">
        <f t="shared" si="187"/>
        <v>0</v>
      </c>
      <c r="X83" s="49">
        <f t="shared" si="187"/>
        <v>0</v>
      </c>
      <c r="Y83" s="49">
        <f t="shared" si="187"/>
        <v>0</v>
      </c>
      <c r="Z83" s="49">
        <f t="shared" si="187"/>
        <v>0</v>
      </c>
      <c r="AA83" s="49">
        <f t="shared" si="187"/>
        <v>0</v>
      </c>
      <c r="AB83" s="49">
        <f t="shared" si="187"/>
        <v>0</v>
      </c>
      <c r="AC83" s="49">
        <f t="shared" si="187"/>
        <v>0</v>
      </c>
      <c r="AD83" s="49">
        <f t="shared" si="187"/>
        <v>0</v>
      </c>
      <c r="AE83" s="49">
        <f t="shared" si="187"/>
        <v>0</v>
      </c>
      <c r="AF83" s="49">
        <f t="shared" si="187"/>
        <v>0</v>
      </c>
      <c r="AG83" s="49">
        <f t="shared" si="187"/>
        <v>0</v>
      </c>
      <c r="AH83" s="49">
        <f t="shared" si="187"/>
        <v>0</v>
      </c>
      <c r="AI83" s="49">
        <f t="shared" si="187"/>
        <v>0</v>
      </c>
      <c r="AJ83" s="49">
        <f t="shared" si="187"/>
        <v>0</v>
      </c>
      <c r="AK83" s="49">
        <f t="shared" si="187"/>
        <v>0</v>
      </c>
      <c r="AL83" s="49">
        <f t="shared" si="187"/>
        <v>0</v>
      </c>
      <c r="AM83" s="49">
        <f t="shared" si="187"/>
        <v>0</v>
      </c>
      <c r="AN83" s="49">
        <f t="shared" si="187"/>
        <v>0</v>
      </c>
      <c r="AO83" s="49">
        <f t="shared" si="187"/>
        <v>0</v>
      </c>
      <c r="AP83" s="49">
        <f t="shared" si="187"/>
        <v>0</v>
      </c>
      <c r="AQ83" s="49">
        <f t="shared" si="187"/>
        <v>0</v>
      </c>
      <c r="AR83" s="49">
        <f t="shared" si="187"/>
        <v>0</v>
      </c>
      <c r="AS83" s="49">
        <f t="shared" si="187"/>
        <v>0</v>
      </c>
      <c r="AT83" s="49">
        <f t="shared" si="187"/>
        <v>0</v>
      </c>
      <c r="AU83" s="49">
        <f t="shared" si="187"/>
        <v>0</v>
      </c>
      <c r="AV83" s="49">
        <f t="shared" si="187"/>
        <v>0</v>
      </c>
      <c r="AW83" s="49">
        <f t="shared" si="187"/>
        <v>0</v>
      </c>
      <c r="AX83" s="49">
        <f t="shared" si="187"/>
        <v>0</v>
      </c>
      <c r="AY83" s="49">
        <f t="shared" si="187"/>
        <v>0</v>
      </c>
      <c r="AZ83" s="49">
        <f t="shared" si="187"/>
        <v>0</v>
      </c>
      <c r="BA83" s="49">
        <f t="shared" si="187"/>
        <v>0</v>
      </c>
      <c r="BB83" s="49">
        <f t="shared" si="187"/>
        <v>0</v>
      </c>
      <c r="BC83" s="49">
        <f t="shared" si="187"/>
        <v>0</v>
      </c>
      <c r="BD83" s="49">
        <f t="shared" si="187"/>
        <v>0</v>
      </c>
      <c r="BE83" s="49">
        <f t="shared" si="187"/>
        <v>0</v>
      </c>
      <c r="BF83" s="49">
        <f t="shared" si="187"/>
        <v>0</v>
      </c>
      <c r="BG83" s="49">
        <f t="shared" si="187"/>
        <v>0</v>
      </c>
      <c r="BH83" s="49">
        <f t="shared" si="187"/>
        <v>0</v>
      </c>
      <c r="BI83" s="49">
        <f t="shared" si="187"/>
        <v>0</v>
      </c>
      <c r="BJ83" s="49">
        <f t="shared" si="187"/>
        <v>0</v>
      </c>
      <c r="BK83" s="49">
        <f t="shared" si="187"/>
        <v>0</v>
      </c>
      <c r="BL83" s="49">
        <f t="shared" si="187"/>
        <v>0</v>
      </c>
      <c r="BM83" s="49">
        <f t="shared" si="187"/>
        <v>0</v>
      </c>
      <c r="BN83" s="49">
        <f t="shared" si="187"/>
        <v>0</v>
      </c>
      <c r="BO83" s="49">
        <f t="shared" si="187"/>
        <v>0</v>
      </c>
      <c r="BP83" s="49">
        <f t="shared" si="187"/>
        <v>0</v>
      </c>
      <c r="BQ83" s="49">
        <f t="shared" si="187"/>
        <v>0</v>
      </c>
      <c r="BR83" s="49">
        <f t="shared" si="187"/>
        <v>0</v>
      </c>
      <c r="BS83" s="49">
        <f t="shared" si="187"/>
        <v>0</v>
      </c>
      <c r="BT83" s="49">
        <f t="shared" si="187"/>
        <v>0</v>
      </c>
      <c r="BU83" s="49">
        <f t="shared" si="187"/>
        <v>0</v>
      </c>
      <c r="BV83" s="49">
        <f t="shared" si="187"/>
        <v>0</v>
      </c>
      <c r="BW83" s="49">
        <f t="shared" si="187"/>
        <v>0</v>
      </c>
      <c r="BX83" s="49">
        <f t="shared" si="187"/>
        <v>0</v>
      </c>
      <c r="BY83" s="49">
        <f t="shared" si="187"/>
        <v>0</v>
      </c>
      <c r="BZ83" s="49">
        <f t="shared" si="187"/>
        <v>0</v>
      </c>
      <c r="CA83" s="49">
        <f t="shared" ref="CA83:EL83" si="188">SUM(CA80:CA82)</f>
        <v>0</v>
      </c>
      <c r="CB83" s="49">
        <f t="shared" si="188"/>
        <v>0</v>
      </c>
      <c r="CC83" s="49">
        <f t="shared" si="188"/>
        <v>0</v>
      </c>
      <c r="CD83" s="49">
        <f t="shared" si="188"/>
        <v>0</v>
      </c>
      <c r="CE83" s="49">
        <f t="shared" si="188"/>
        <v>0</v>
      </c>
      <c r="CF83" s="49">
        <f t="shared" si="188"/>
        <v>0</v>
      </c>
      <c r="CG83" s="49">
        <f t="shared" si="188"/>
        <v>0</v>
      </c>
      <c r="CH83" s="49">
        <f t="shared" si="188"/>
        <v>0</v>
      </c>
      <c r="CI83" s="49">
        <f t="shared" si="188"/>
        <v>0</v>
      </c>
      <c r="CJ83" s="49">
        <f t="shared" si="188"/>
        <v>0</v>
      </c>
      <c r="CK83" s="49">
        <f t="shared" si="188"/>
        <v>0</v>
      </c>
      <c r="CL83" s="49">
        <f t="shared" si="188"/>
        <v>0</v>
      </c>
      <c r="CM83" s="49">
        <f t="shared" si="188"/>
        <v>0</v>
      </c>
      <c r="CN83" s="49">
        <f t="shared" si="188"/>
        <v>0</v>
      </c>
      <c r="CO83" s="49">
        <f t="shared" si="188"/>
        <v>0</v>
      </c>
      <c r="CP83" s="49">
        <f t="shared" si="188"/>
        <v>0</v>
      </c>
      <c r="CQ83" s="49">
        <f t="shared" si="188"/>
        <v>0</v>
      </c>
      <c r="CR83" s="49">
        <f t="shared" si="188"/>
        <v>0</v>
      </c>
      <c r="CS83" s="49">
        <f t="shared" si="188"/>
        <v>0</v>
      </c>
      <c r="CT83" s="49">
        <f t="shared" si="188"/>
        <v>0</v>
      </c>
      <c r="CU83" s="49">
        <f t="shared" si="188"/>
        <v>0</v>
      </c>
      <c r="CV83" s="49">
        <f t="shared" si="188"/>
        <v>0</v>
      </c>
      <c r="CW83" s="49">
        <f t="shared" si="188"/>
        <v>0</v>
      </c>
      <c r="CX83" s="49">
        <f t="shared" si="188"/>
        <v>0</v>
      </c>
      <c r="CY83" s="49">
        <f t="shared" si="188"/>
        <v>0</v>
      </c>
      <c r="CZ83" s="49">
        <f t="shared" si="188"/>
        <v>0</v>
      </c>
      <c r="DA83" s="49">
        <f t="shared" si="188"/>
        <v>0</v>
      </c>
      <c r="DB83" s="49">
        <f t="shared" si="188"/>
        <v>0</v>
      </c>
      <c r="DC83" s="49">
        <f t="shared" si="188"/>
        <v>0</v>
      </c>
      <c r="DD83" s="49">
        <f t="shared" si="188"/>
        <v>0</v>
      </c>
      <c r="DE83" s="49">
        <f t="shared" si="188"/>
        <v>0</v>
      </c>
      <c r="DF83" s="49">
        <f t="shared" si="188"/>
        <v>0</v>
      </c>
      <c r="DG83" s="49">
        <f t="shared" si="188"/>
        <v>0</v>
      </c>
      <c r="DH83" s="49">
        <f t="shared" si="188"/>
        <v>0</v>
      </c>
      <c r="DI83" s="49">
        <f t="shared" si="188"/>
        <v>0</v>
      </c>
      <c r="DJ83" s="49">
        <f t="shared" si="188"/>
        <v>0</v>
      </c>
      <c r="DK83" s="49">
        <f t="shared" si="188"/>
        <v>0</v>
      </c>
      <c r="DL83" s="49">
        <f t="shared" si="188"/>
        <v>0</v>
      </c>
      <c r="DM83" s="49">
        <f t="shared" si="188"/>
        <v>0</v>
      </c>
      <c r="DN83" s="49">
        <f t="shared" si="188"/>
        <v>0</v>
      </c>
      <c r="DO83" s="49">
        <f t="shared" si="188"/>
        <v>0</v>
      </c>
      <c r="DP83" s="49">
        <f t="shared" si="188"/>
        <v>0</v>
      </c>
      <c r="DQ83" s="49">
        <f t="shared" si="188"/>
        <v>0</v>
      </c>
      <c r="DR83" s="49">
        <f t="shared" si="188"/>
        <v>0</v>
      </c>
      <c r="DS83" s="49">
        <f t="shared" si="188"/>
        <v>0</v>
      </c>
      <c r="DT83" s="49">
        <f t="shared" si="188"/>
        <v>0</v>
      </c>
      <c r="DU83" s="49">
        <f t="shared" si="188"/>
        <v>0</v>
      </c>
      <c r="DV83" s="49">
        <f t="shared" si="188"/>
        <v>0</v>
      </c>
      <c r="DW83" s="49">
        <f t="shared" si="188"/>
        <v>0</v>
      </c>
      <c r="DX83" s="49">
        <f t="shared" si="188"/>
        <v>0</v>
      </c>
      <c r="DY83" s="49">
        <f t="shared" si="188"/>
        <v>0</v>
      </c>
      <c r="DZ83" s="49">
        <f t="shared" si="188"/>
        <v>0</v>
      </c>
      <c r="EA83" s="49">
        <f t="shared" si="188"/>
        <v>0</v>
      </c>
      <c r="EB83" s="49">
        <f t="shared" si="188"/>
        <v>0</v>
      </c>
      <c r="EC83" s="49">
        <f t="shared" si="188"/>
        <v>0</v>
      </c>
      <c r="ED83" s="49">
        <f t="shared" si="188"/>
        <v>0</v>
      </c>
      <c r="EE83" s="49">
        <f t="shared" si="188"/>
        <v>0</v>
      </c>
      <c r="EF83" s="49">
        <f t="shared" si="188"/>
        <v>0</v>
      </c>
      <c r="EG83" s="49">
        <f t="shared" si="188"/>
        <v>0</v>
      </c>
      <c r="EH83" s="49">
        <f t="shared" si="188"/>
        <v>0</v>
      </c>
      <c r="EI83" s="49">
        <f t="shared" si="188"/>
        <v>0</v>
      </c>
      <c r="EJ83" s="49">
        <f t="shared" si="188"/>
        <v>0</v>
      </c>
      <c r="EK83" s="49">
        <f t="shared" si="188"/>
        <v>0</v>
      </c>
      <c r="EL83" s="49">
        <f t="shared" si="188"/>
        <v>0</v>
      </c>
      <c r="EM83" s="49">
        <f t="shared" ref="EM83:GX83" si="189">SUM(EM80:EM82)</f>
        <v>0</v>
      </c>
      <c r="EN83" s="49">
        <f t="shared" si="189"/>
        <v>0</v>
      </c>
      <c r="EO83" s="49">
        <f t="shared" si="189"/>
        <v>0</v>
      </c>
      <c r="EP83" s="49">
        <f t="shared" si="189"/>
        <v>0</v>
      </c>
      <c r="EQ83" s="49">
        <f t="shared" si="189"/>
        <v>0</v>
      </c>
      <c r="ER83" s="49">
        <f t="shared" si="189"/>
        <v>0</v>
      </c>
      <c r="ES83" s="49">
        <f t="shared" si="189"/>
        <v>0</v>
      </c>
      <c r="ET83" s="49">
        <f t="shared" si="189"/>
        <v>0</v>
      </c>
      <c r="EU83" s="49">
        <f t="shared" si="189"/>
        <v>0</v>
      </c>
      <c r="EV83" s="49">
        <f t="shared" si="189"/>
        <v>0</v>
      </c>
      <c r="EW83" s="49">
        <f t="shared" si="189"/>
        <v>0</v>
      </c>
      <c r="EX83" s="49">
        <f t="shared" si="189"/>
        <v>0</v>
      </c>
      <c r="EY83" s="49">
        <f t="shared" si="189"/>
        <v>0</v>
      </c>
      <c r="EZ83" s="49">
        <f t="shared" si="189"/>
        <v>0</v>
      </c>
      <c r="FA83" s="49">
        <f t="shared" si="189"/>
        <v>0</v>
      </c>
      <c r="FB83" s="49">
        <f t="shared" si="189"/>
        <v>0</v>
      </c>
      <c r="FC83" s="49">
        <f t="shared" si="189"/>
        <v>0</v>
      </c>
      <c r="FD83" s="49">
        <f t="shared" si="189"/>
        <v>0</v>
      </c>
      <c r="FE83" s="49">
        <f t="shared" si="189"/>
        <v>0</v>
      </c>
      <c r="FF83" s="49">
        <f t="shared" si="189"/>
        <v>0</v>
      </c>
      <c r="FG83" s="49">
        <f t="shared" si="189"/>
        <v>0</v>
      </c>
      <c r="FH83" s="49">
        <f t="shared" si="189"/>
        <v>0</v>
      </c>
      <c r="FI83" s="49">
        <f t="shared" si="189"/>
        <v>0</v>
      </c>
      <c r="FJ83" s="49">
        <f t="shared" si="189"/>
        <v>0</v>
      </c>
      <c r="FK83" s="49">
        <f t="shared" si="189"/>
        <v>0</v>
      </c>
      <c r="FL83" s="49">
        <f t="shared" si="189"/>
        <v>0</v>
      </c>
      <c r="FM83" s="49">
        <f t="shared" si="189"/>
        <v>0</v>
      </c>
      <c r="FN83" s="49">
        <f t="shared" si="189"/>
        <v>0</v>
      </c>
      <c r="FO83" s="49">
        <f t="shared" si="189"/>
        <v>0</v>
      </c>
      <c r="FP83" s="49">
        <f t="shared" si="189"/>
        <v>0</v>
      </c>
      <c r="FQ83" s="49">
        <f t="shared" si="189"/>
        <v>0</v>
      </c>
      <c r="FR83" s="49">
        <f t="shared" si="189"/>
        <v>0</v>
      </c>
      <c r="FS83" s="49">
        <f t="shared" si="189"/>
        <v>0</v>
      </c>
      <c r="FT83" s="49">
        <f t="shared" si="189"/>
        <v>0</v>
      </c>
      <c r="FU83" s="49">
        <f t="shared" si="189"/>
        <v>0</v>
      </c>
      <c r="FV83" s="49">
        <f t="shared" si="189"/>
        <v>0</v>
      </c>
      <c r="FW83" s="49">
        <f t="shared" si="189"/>
        <v>0</v>
      </c>
      <c r="FX83" s="49">
        <f t="shared" si="189"/>
        <v>0</v>
      </c>
      <c r="FY83" s="49">
        <f t="shared" si="189"/>
        <v>0</v>
      </c>
      <c r="FZ83" s="49">
        <f t="shared" si="189"/>
        <v>0</v>
      </c>
      <c r="GA83" s="49">
        <f t="shared" si="189"/>
        <v>0</v>
      </c>
      <c r="GB83" s="49">
        <f t="shared" si="189"/>
        <v>0</v>
      </c>
      <c r="GC83" s="49">
        <f t="shared" si="189"/>
        <v>0</v>
      </c>
      <c r="GD83" s="49">
        <f t="shared" si="189"/>
        <v>0</v>
      </c>
      <c r="GE83" s="49">
        <f t="shared" si="189"/>
        <v>0</v>
      </c>
      <c r="GF83" s="49">
        <f t="shared" si="189"/>
        <v>0</v>
      </c>
      <c r="GG83" s="49">
        <f t="shared" si="189"/>
        <v>0</v>
      </c>
      <c r="GH83" s="49">
        <f t="shared" si="189"/>
        <v>0</v>
      </c>
      <c r="GI83" s="49">
        <f t="shared" si="189"/>
        <v>0</v>
      </c>
      <c r="GJ83" s="49">
        <f t="shared" si="189"/>
        <v>0</v>
      </c>
      <c r="GK83" s="49">
        <f t="shared" si="189"/>
        <v>0</v>
      </c>
      <c r="GL83" s="49">
        <f t="shared" si="189"/>
        <v>0</v>
      </c>
      <c r="GM83" s="49">
        <f t="shared" si="189"/>
        <v>0</v>
      </c>
      <c r="GN83" s="49">
        <f t="shared" si="189"/>
        <v>0</v>
      </c>
      <c r="GO83" s="49">
        <f t="shared" si="189"/>
        <v>0</v>
      </c>
      <c r="GP83" s="49">
        <f t="shared" si="189"/>
        <v>0</v>
      </c>
      <c r="GQ83" s="49">
        <f t="shared" si="189"/>
        <v>0</v>
      </c>
      <c r="GR83" s="49">
        <f t="shared" si="189"/>
        <v>0</v>
      </c>
      <c r="GS83" s="49">
        <f t="shared" si="189"/>
        <v>0</v>
      </c>
      <c r="GT83" s="49">
        <f t="shared" si="189"/>
        <v>0</v>
      </c>
      <c r="GU83" s="49">
        <f t="shared" si="189"/>
        <v>0</v>
      </c>
      <c r="GV83" s="49">
        <f t="shared" si="189"/>
        <v>0</v>
      </c>
      <c r="GW83" s="49">
        <f t="shared" si="189"/>
        <v>0</v>
      </c>
      <c r="GX83" s="49">
        <f t="shared" si="189"/>
        <v>0</v>
      </c>
      <c r="GY83" s="49">
        <f t="shared" ref="GY83:JJ83" si="190">SUM(GY80:GY82)</f>
        <v>0</v>
      </c>
      <c r="GZ83" s="49">
        <f t="shared" si="190"/>
        <v>0</v>
      </c>
      <c r="HA83" s="49">
        <f t="shared" si="190"/>
        <v>0</v>
      </c>
      <c r="HB83" s="49">
        <f t="shared" si="190"/>
        <v>0</v>
      </c>
      <c r="HC83" s="49">
        <f t="shared" si="190"/>
        <v>0</v>
      </c>
      <c r="HD83" s="49">
        <f t="shared" si="190"/>
        <v>0</v>
      </c>
      <c r="HE83" s="49">
        <f t="shared" si="190"/>
        <v>0</v>
      </c>
      <c r="HF83" s="49">
        <f t="shared" si="190"/>
        <v>0</v>
      </c>
      <c r="HG83" s="49">
        <f t="shared" si="190"/>
        <v>0</v>
      </c>
      <c r="HH83" s="49">
        <f t="shared" si="190"/>
        <v>0</v>
      </c>
      <c r="HI83" s="49">
        <f t="shared" si="190"/>
        <v>0</v>
      </c>
      <c r="HJ83" s="49">
        <f t="shared" si="190"/>
        <v>0</v>
      </c>
      <c r="HK83" s="49">
        <f t="shared" si="190"/>
        <v>0</v>
      </c>
      <c r="HL83" s="49">
        <f t="shared" si="190"/>
        <v>0</v>
      </c>
      <c r="HM83" s="49">
        <f t="shared" si="190"/>
        <v>0</v>
      </c>
      <c r="HN83" s="49">
        <f t="shared" si="190"/>
        <v>0</v>
      </c>
      <c r="HO83" s="49">
        <f t="shared" si="190"/>
        <v>0</v>
      </c>
      <c r="HP83" s="49">
        <f t="shared" si="190"/>
        <v>0</v>
      </c>
      <c r="HQ83" s="49">
        <f t="shared" si="190"/>
        <v>0</v>
      </c>
      <c r="HR83" s="49">
        <f t="shared" si="190"/>
        <v>0</v>
      </c>
      <c r="HS83" s="49">
        <f t="shared" si="190"/>
        <v>0</v>
      </c>
      <c r="HT83" s="49">
        <f t="shared" si="190"/>
        <v>0</v>
      </c>
      <c r="HU83" s="49">
        <f t="shared" si="190"/>
        <v>0</v>
      </c>
      <c r="HV83" s="49">
        <f t="shared" si="190"/>
        <v>0</v>
      </c>
      <c r="HW83" s="49">
        <f t="shared" si="190"/>
        <v>0</v>
      </c>
      <c r="HX83" s="49">
        <f t="shared" si="190"/>
        <v>0</v>
      </c>
      <c r="HY83" s="49">
        <f t="shared" si="190"/>
        <v>0</v>
      </c>
      <c r="HZ83" s="49">
        <f t="shared" si="190"/>
        <v>0</v>
      </c>
      <c r="IA83" s="49">
        <f t="shared" si="190"/>
        <v>0</v>
      </c>
      <c r="IB83" s="49">
        <f t="shared" si="190"/>
        <v>0</v>
      </c>
      <c r="IC83" s="49">
        <f t="shared" si="190"/>
        <v>0</v>
      </c>
      <c r="ID83" s="49">
        <f t="shared" si="190"/>
        <v>0</v>
      </c>
      <c r="IE83" s="49">
        <f t="shared" si="190"/>
        <v>0</v>
      </c>
      <c r="IF83" s="49">
        <f t="shared" si="190"/>
        <v>0</v>
      </c>
      <c r="IG83" s="49">
        <f t="shared" si="190"/>
        <v>0</v>
      </c>
      <c r="IH83" s="49">
        <f t="shared" si="190"/>
        <v>0</v>
      </c>
      <c r="II83" s="49">
        <f t="shared" si="190"/>
        <v>0</v>
      </c>
      <c r="IJ83" s="49">
        <f t="shared" si="190"/>
        <v>0</v>
      </c>
      <c r="IK83" s="49">
        <f t="shared" si="190"/>
        <v>0</v>
      </c>
      <c r="IL83" s="49">
        <f t="shared" si="190"/>
        <v>0</v>
      </c>
      <c r="IM83" s="49">
        <f t="shared" si="190"/>
        <v>0</v>
      </c>
      <c r="IN83" s="49">
        <f t="shared" si="190"/>
        <v>0</v>
      </c>
      <c r="IO83" s="49">
        <f t="shared" si="190"/>
        <v>0</v>
      </c>
      <c r="IP83" s="49">
        <f t="shared" si="190"/>
        <v>0</v>
      </c>
      <c r="IQ83" s="49">
        <f t="shared" si="190"/>
        <v>0</v>
      </c>
      <c r="IR83" s="49">
        <f t="shared" si="190"/>
        <v>0</v>
      </c>
      <c r="IS83" s="49">
        <f t="shared" si="190"/>
        <v>0</v>
      </c>
      <c r="IT83" s="49">
        <f t="shared" si="190"/>
        <v>0</v>
      </c>
      <c r="IU83" s="49">
        <f t="shared" si="190"/>
        <v>0</v>
      </c>
      <c r="IV83" s="49">
        <f t="shared" si="190"/>
        <v>0</v>
      </c>
      <c r="IW83" s="49">
        <f t="shared" si="190"/>
        <v>0</v>
      </c>
      <c r="IX83" s="49">
        <f t="shared" si="190"/>
        <v>0</v>
      </c>
      <c r="IY83" s="49">
        <f t="shared" si="190"/>
        <v>0</v>
      </c>
      <c r="IZ83" s="49">
        <f t="shared" si="190"/>
        <v>0</v>
      </c>
      <c r="JA83" s="49">
        <f t="shared" si="190"/>
        <v>0</v>
      </c>
      <c r="JB83" s="49">
        <f t="shared" si="190"/>
        <v>0</v>
      </c>
      <c r="JC83" s="49">
        <f t="shared" si="190"/>
        <v>0</v>
      </c>
      <c r="JD83" s="49">
        <f t="shared" si="190"/>
        <v>0</v>
      </c>
      <c r="JE83" s="49">
        <f t="shared" si="190"/>
        <v>0</v>
      </c>
      <c r="JF83" s="49">
        <f t="shared" si="190"/>
        <v>0</v>
      </c>
      <c r="JG83" s="49">
        <f t="shared" si="190"/>
        <v>0</v>
      </c>
      <c r="JH83" s="49">
        <f t="shared" si="190"/>
        <v>0</v>
      </c>
      <c r="JI83" s="49">
        <f t="shared" si="190"/>
        <v>0</v>
      </c>
      <c r="JJ83" s="49">
        <f t="shared" si="190"/>
        <v>0</v>
      </c>
      <c r="JK83" s="49">
        <f t="shared" ref="JK83:KI83" si="191">SUM(JK80:JK82)</f>
        <v>0</v>
      </c>
      <c r="JL83" s="49">
        <f t="shared" si="191"/>
        <v>0</v>
      </c>
      <c r="JM83" s="49">
        <f t="shared" si="191"/>
        <v>0</v>
      </c>
      <c r="JN83" s="49">
        <f t="shared" si="191"/>
        <v>0</v>
      </c>
      <c r="JO83" s="49">
        <f t="shared" si="191"/>
        <v>0</v>
      </c>
      <c r="JP83" s="49">
        <f t="shared" si="191"/>
        <v>0</v>
      </c>
      <c r="JQ83" s="49">
        <f t="shared" si="191"/>
        <v>0</v>
      </c>
      <c r="JR83" s="49">
        <f t="shared" si="191"/>
        <v>0</v>
      </c>
      <c r="JS83" s="49">
        <f t="shared" si="191"/>
        <v>0</v>
      </c>
      <c r="JT83" s="49">
        <f t="shared" si="191"/>
        <v>0</v>
      </c>
      <c r="JU83" s="49">
        <f t="shared" si="191"/>
        <v>0</v>
      </c>
      <c r="JV83" s="49">
        <f t="shared" si="191"/>
        <v>0</v>
      </c>
      <c r="JW83" s="49">
        <f t="shared" si="191"/>
        <v>0</v>
      </c>
      <c r="JX83" s="49">
        <f t="shared" si="191"/>
        <v>0</v>
      </c>
      <c r="JY83" s="49">
        <f t="shared" si="191"/>
        <v>0</v>
      </c>
      <c r="JZ83" s="49">
        <f t="shared" si="191"/>
        <v>0</v>
      </c>
      <c r="KA83" s="49">
        <f t="shared" si="191"/>
        <v>0</v>
      </c>
      <c r="KB83" s="49">
        <f t="shared" si="191"/>
        <v>0</v>
      </c>
      <c r="KC83" s="49">
        <f t="shared" si="191"/>
        <v>0</v>
      </c>
      <c r="KD83" s="49">
        <f t="shared" si="191"/>
        <v>0</v>
      </c>
      <c r="KE83" s="49">
        <f t="shared" si="191"/>
        <v>0</v>
      </c>
      <c r="KF83" s="49">
        <f t="shared" si="191"/>
        <v>0</v>
      </c>
      <c r="KG83" s="49">
        <f t="shared" si="191"/>
        <v>0</v>
      </c>
      <c r="KH83" s="49">
        <f t="shared" si="191"/>
        <v>0</v>
      </c>
      <c r="KI83" s="49">
        <f t="shared" si="191"/>
        <v>0</v>
      </c>
      <c r="KJ83" s="1"/>
    </row>
    <row r="84" spans="7:296" x14ac:dyDescent="0.35">
      <c r="KJ84" s="1"/>
    </row>
    <row r="85" spans="7:296" x14ac:dyDescent="0.35">
      <c r="L85" s="22" t="s">
        <v>81</v>
      </c>
      <c r="KJ85" s="1"/>
    </row>
    <row r="86" spans="7:296" x14ac:dyDescent="0.35">
      <c r="H86" s="8" t="s">
        <v>16</v>
      </c>
      <c r="M86" s="6" t="s">
        <v>18</v>
      </c>
      <c r="N86" s="43">
        <f>Inputs!K$135</f>
        <v>3.5000000000000003E-2</v>
      </c>
      <c r="O86" s="43">
        <f>Inputs!L$135</f>
        <v>3.5000000000000003E-2</v>
      </c>
      <c r="P86" s="43">
        <f>Inputs!M$135</f>
        <v>3.5000000000000003E-2</v>
      </c>
      <c r="Q86" s="43">
        <f>Inputs!N$135</f>
        <v>3.5000000000000003E-2</v>
      </c>
      <c r="R86" s="43">
        <f>Inputs!O$135</f>
        <v>3.5000000000000003E-2</v>
      </c>
      <c r="S86" s="43">
        <f>Inputs!P$135</f>
        <v>3.5000000000000003E-2</v>
      </c>
      <c r="T86" s="43">
        <f>Inputs!Q$135</f>
        <v>3.5000000000000003E-2</v>
      </c>
      <c r="U86" s="43">
        <f>Inputs!R$135</f>
        <v>3.5000000000000003E-2</v>
      </c>
      <c r="V86" s="43">
        <f>Inputs!S$135</f>
        <v>3.5000000000000003E-2</v>
      </c>
      <c r="W86" s="43">
        <f>Inputs!T$135</f>
        <v>3.5000000000000003E-2</v>
      </c>
      <c r="X86" s="43">
        <f>Inputs!U$135</f>
        <v>3.5000000000000003E-2</v>
      </c>
      <c r="Y86" s="43">
        <f>Inputs!V$135</f>
        <v>3.5000000000000003E-2</v>
      </c>
      <c r="Z86" s="43">
        <f>Inputs!W$135</f>
        <v>3.5000000000000003E-2</v>
      </c>
      <c r="AA86" s="43">
        <f>Inputs!X$135</f>
        <v>3.5000000000000003E-2</v>
      </c>
      <c r="AB86" s="43">
        <f>Inputs!Y$135</f>
        <v>3.5000000000000003E-2</v>
      </c>
      <c r="AC86" s="43">
        <f>Inputs!Z$135</f>
        <v>3.5000000000000003E-2</v>
      </c>
      <c r="AD86" s="43">
        <f>Inputs!AA$135</f>
        <v>3.5000000000000003E-2</v>
      </c>
      <c r="AE86" s="43">
        <f>Inputs!AB$135</f>
        <v>3.5000000000000003E-2</v>
      </c>
      <c r="AF86" s="43">
        <f>Inputs!AC$135</f>
        <v>3.5000000000000003E-2</v>
      </c>
      <c r="AG86" s="43">
        <f>Inputs!AD$135</f>
        <v>3.5000000000000003E-2</v>
      </c>
      <c r="AH86" s="43">
        <f>Inputs!AE$135</f>
        <v>3.5000000000000003E-2</v>
      </c>
      <c r="AI86" s="43">
        <f>Inputs!AF$135</f>
        <v>3.5000000000000003E-2</v>
      </c>
      <c r="AJ86" s="43">
        <f>Inputs!AG$135</f>
        <v>3.5000000000000003E-2</v>
      </c>
      <c r="AK86" s="43">
        <f>Inputs!AH$135</f>
        <v>3.5000000000000003E-2</v>
      </c>
      <c r="AL86" s="43">
        <f>Inputs!AI$135</f>
        <v>3.5000000000000003E-2</v>
      </c>
      <c r="AM86" s="43">
        <f>Inputs!AJ$135</f>
        <v>3.5000000000000003E-2</v>
      </c>
      <c r="AN86" s="43">
        <f>Inputs!AK$135</f>
        <v>3.5000000000000003E-2</v>
      </c>
      <c r="AO86" s="43">
        <f>Inputs!AL$135</f>
        <v>3.5000000000000003E-2</v>
      </c>
      <c r="AP86" s="43">
        <f>Inputs!AM$135</f>
        <v>3.5000000000000003E-2</v>
      </c>
      <c r="AQ86" s="43">
        <f>Inputs!AN$135</f>
        <v>3.5000000000000003E-2</v>
      </c>
      <c r="AR86" s="43">
        <f>Inputs!AO$135</f>
        <v>3.5000000000000003E-2</v>
      </c>
      <c r="AS86" s="43">
        <f>Inputs!AP$135</f>
        <v>3.5000000000000003E-2</v>
      </c>
      <c r="AT86" s="43">
        <f>Inputs!AQ$135</f>
        <v>3.5000000000000003E-2</v>
      </c>
      <c r="AU86" s="43">
        <f>Inputs!AR$135</f>
        <v>3.5000000000000003E-2</v>
      </c>
      <c r="AV86" s="43">
        <f>Inputs!AS$135</f>
        <v>3.5000000000000003E-2</v>
      </c>
      <c r="AW86" s="43">
        <f>Inputs!AT$135</f>
        <v>3.5000000000000003E-2</v>
      </c>
      <c r="AX86" s="43">
        <f>Inputs!AU$135</f>
        <v>3.5000000000000003E-2</v>
      </c>
      <c r="AY86" s="43">
        <f>Inputs!AV$135</f>
        <v>3.5000000000000003E-2</v>
      </c>
      <c r="AZ86" s="43">
        <f>Inputs!AW$135</f>
        <v>3.5000000000000003E-2</v>
      </c>
      <c r="BA86" s="43">
        <f>Inputs!AX$135</f>
        <v>3.5000000000000003E-2</v>
      </c>
      <c r="BB86" s="43">
        <f>Inputs!AY$135</f>
        <v>3.5000000000000003E-2</v>
      </c>
      <c r="BC86" s="43">
        <f>Inputs!AZ$135</f>
        <v>3.5000000000000003E-2</v>
      </c>
      <c r="BD86" s="43">
        <f>Inputs!BA$135</f>
        <v>3.5000000000000003E-2</v>
      </c>
      <c r="BE86" s="43">
        <f>Inputs!BB$135</f>
        <v>3.5000000000000003E-2</v>
      </c>
      <c r="BF86" s="43">
        <f>Inputs!BC$135</f>
        <v>3.5000000000000003E-2</v>
      </c>
      <c r="BG86" s="43">
        <f>Inputs!BD$135</f>
        <v>3.5000000000000003E-2</v>
      </c>
      <c r="BH86" s="43">
        <f>Inputs!BE$135</f>
        <v>3.5000000000000003E-2</v>
      </c>
      <c r="BI86" s="43">
        <f>Inputs!BF$135</f>
        <v>3.5000000000000003E-2</v>
      </c>
      <c r="BJ86" s="43">
        <f>Inputs!BG$135</f>
        <v>3.5000000000000003E-2</v>
      </c>
      <c r="BK86" s="43">
        <f>Inputs!BH$135</f>
        <v>3.5000000000000003E-2</v>
      </c>
      <c r="BL86" s="43">
        <f>Inputs!BI$135</f>
        <v>3.5000000000000003E-2</v>
      </c>
      <c r="BM86" s="43">
        <f>Inputs!BJ$135</f>
        <v>3.5000000000000003E-2</v>
      </c>
      <c r="BN86" s="43">
        <f>Inputs!BK$135</f>
        <v>3.5000000000000003E-2</v>
      </c>
      <c r="BO86" s="43">
        <f>Inputs!BL$135</f>
        <v>3.5000000000000003E-2</v>
      </c>
      <c r="BP86" s="43">
        <f>Inputs!BM$135</f>
        <v>3.5000000000000003E-2</v>
      </c>
      <c r="BQ86" s="43">
        <f>Inputs!BN$135</f>
        <v>3.5000000000000003E-2</v>
      </c>
      <c r="BR86" s="43">
        <f>Inputs!BO$135</f>
        <v>3.5000000000000003E-2</v>
      </c>
      <c r="BS86" s="43">
        <f>Inputs!BP$135</f>
        <v>3.5000000000000003E-2</v>
      </c>
      <c r="BT86" s="43">
        <f>Inputs!BQ$135</f>
        <v>3.5000000000000003E-2</v>
      </c>
      <c r="BU86" s="43">
        <f>Inputs!BR$135</f>
        <v>3.5000000000000003E-2</v>
      </c>
      <c r="BV86" s="43">
        <f>Inputs!BS$135</f>
        <v>3.5000000000000003E-2</v>
      </c>
      <c r="BW86" s="43">
        <f>Inputs!BT$135</f>
        <v>3.5000000000000003E-2</v>
      </c>
      <c r="BX86" s="43">
        <f>Inputs!BU$135</f>
        <v>3.5000000000000003E-2</v>
      </c>
      <c r="BY86" s="43">
        <f>Inputs!BV$135</f>
        <v>3.5000000000000003E-2</v>
      </c>
      <c r="BZ86" s="43">
        <f>Inputs!BW$135</f>
        <v>3.5000000000000003E-2</v>
      </c>
      <c r="CA86" s="43">
        <f>Inputs!BX$135</f>
        <v>3.5000000000000003E-2</v>
      </c>
      <c r="CB86" s="43">
        <f>Inputs!BY$135</f>
        <v>3.5000000000000003E-2</v>
      </c>
      <c r="CC86" s="43">
        <f>Inputs!BZ$135</f>
        <v>3.5000000000000003E-2</v>
      </c>
      <c r="CD86" s="43">
        <f>Inputs!CA$135</f>
        <v>3.5000000000000003E-2</v>
      </c>
      <c r="CE86" s="43">
        <f>Inputs!CB$135</f>
        <v>3.5000000000000003E-2</v>
      </c>
      <c r="CF86" s="43">
        <f>Inputs!CC$135</f>
        <v>3.5000000000000003E-2</v>
      </c>
      <c r="CG86" s="43">
        <f>Inputs!CD$135</f>
        <v>3.5000000000000003E-2</v>
      </c>
      <c r="CH86" s="43">
        <f>Inputs!CE$135</f>
        <v>3.5000000000000003E-2</v>
      </c>
      <c r="CI86" s="43">
        <f>Inputs!CF$135</f>
        <v>3.5000000000000003E-2</v>
      </c>
      <c r="CJ86" s="43">
        <f>Inputs!CG$135</f>
        <v>3.5000000000000003E-2</v>
      </c>
      <c r="CK86" s="43">
        <f>Inputs!CH$135</f>
        <v>3.5000000000000003E-2</v>
      </c>
      <c r="CL86" s="43">
        <f>Inputs!CI$135</f>
        <v>3.5000000000000003E-2</v>
      </c>
      <c r="CM86" s="43">
        <f>Inputs!CJ$135</f>
        <v>3.5000000000000003E-2</v>
      </c>
      <c r="CN86" s="43">
        <f>Inputs!CK$135</f>
        <v>3.5000000000000003E-2</v>
      </c>
      <c r="CO86" s="43">
        <f>Inputs!CL$135</f>
        <v>3.5000000000000003E-2</v>
      </c>
      <c r="CP86" s="43">
        <f>Inputs!CM$135</f>
        <v>3.5000000000000003E-2</v>
      </c>
      <c r="CQ86" s="43">
        <f>Inputs!CN$135</f>
        <v>3.5000000000000003E-2</v>
      </c>
      <c r="CR86" s="43">
        <f>Inputs!CO$135</f>
        <v>3.5000000000000003E-2</v>
      </c>
      <c r="CS86" s="43">
        <f>Inputs!CP$135</f>
        <v>3.5000000000000003E-2</v>
      </c>
      <c r="CT86" s="43">
        <f>Inputs!CQ$135</f>
        <v>3.5000000000000003E-2</v>
      </c>
      <c r="CU86" s="43">
        <f>Inputs!CR$135</f>
        <v>3.5000000000000003E-2</v>
      </c>
      <c r="CV86" s="43">
        <f>Inputs!CS$135</f>
        <v>3.5000000000000003E-2</v>
      </c>
      <c r="CW86" s="43">
        <f>Inputs!CT$135</f>
        <v>3.5000000000000003E-2</v>
      </c>
      <c r="CX86" s="43">
        <f>Inputs!CU$135</f>
        <v>3.5000000000000003E-2</v>
      </c>
      <c r="CY86" s="43">
        <f>Inputs!CV$135</f>
        <v>3.5000000000000003E-2</v>
      </c>
      <c r="CZ86" s="43">
        <f>Inputs!CW$135</f>
        <v>3.5000000000000003E-2</v>
      </c>
      <c r="DA86" s="43">
        <f>Inputs!CX$135</f>
        <v>3.5000000000000003E-2</v>
      </c>
      <c r="DB86" s="43">
        <f>Inputs!CY$135</f>
        <v>3.5000000000000003E-2</v>
      </c>
      <c r="DC86" s="43">
        <f>Inputs!CZ$135</f>
        <v>3.5000000000000003E-2</v>
      </c>
      <c r="DD86" s="43">
        <f>Inputs!DA$135</f>
        <v>3.5000000000000003E-2</v>
      </c>
      <c r="DE86" s="43">
        <f>Inputs!DB$135</f>
        <v>3.5000000000000003E-2</v>
      </c>
      <c r="DF86" s="43">
        <f>Inputs!DC$135</f>
        <v>3.5000000000000003E-2</v>
      </c>
      <c r="DG86" s="43">
        <f>Inputs!DD$135</f>
        <v>3.5000000000000003E-2</v>
      </c>
      <c r="DH86" s="43">
        <f>Inputs!DE$135</f>
        <v>3.5000000000000003E-2</v>
      </c>
      <c r="DI86" s="43">
        <f>Inputs!DF$135</f>
        <v>3.5000000000000003E-2</v>
      </c>
      <c r="DJ86" s="43">
        <f>Inputs!DG$135</f>
        <v>3.5000000000000003E-2</v>
      </c>
      <c r="DK86" s="43">
        <f>Inputs!DH$135</f>
        <v>3.5000000000000003E-2</v>
      </c>
      <c r="DL86" s="43">
        <f>Inputs!DI$135</f>
        <v>3.5000000000000003E-2</v>
      </c>
      <c r="DM86" s="43">
        <f>Inputs!DJ$135</f>
        <v>3.5000000000000003E-2</v>
      </c>
      <c r="DN86" s="43">
        <f>Inputs!DK$135</f>
        <v>3.5000000000000003E-2</v>
      </c>
      <c r="DO86" s="43">
        <f>Inputs!DL$135</f>
        <v>3.5000000000000003E-2</v>
      </c>
      <c r="DP86" s="43">
        <f>Inputs!DM$135</f>
        <v>3.5000000000000003E-2</v>
      </c>
      <c r="DQ86" s="43">
        <f>Inputs!DN$135</f>
        <v>3.5000000000000003E-2</v>
      </c>
      <c r="DR86" s="43">
        <f>Inputs!DO$135</f>
        <v>3.5000000000000003E-2</v>
      </c>
      <c r="DS86" s="43">
        <f>Inputs!DP$135</f>
        <v>3.5000000000000003E-2</v>
      </c>
      <c r="DT86" s="43">
        <f>Inputs!DQ$135</f>
        <v>3.5000000000000003E-2</v>
      </c>
      <c r="DU86" s="43">
        <f>Inputs!DR$135</f>
        <v>3.5000000000000003E-2</v>
      </c>
      <c r="DV86" s="43">
        <f>Inputs!DS$135</f>
        <v>3.5000000000000003E-2</v>
      </c>
      <c r="DW86" s="43">
        <f>Inputs!DT$135</f>
        <v>3.5000000000000003E-2</v>
      </c>
      <c r="DX86" s="43">
        <f>Inputs!DU$135</f>
        <v>3.5000000000000003E-2</v>
      </c>
      <c r="DY86" s="43">
        <f>Inputs!DV$135</f>
        <v>3.5000000000000003E-2</v>
      </c>
      <c r="DZ86" s="43">
        <f>Inputs!DW$135</f>
        <v>3.5000000000000003E-2</v>
      </c>
      <c r="EA86" s="43">
        <f>Inputs!DX$135</f>
        <v>3.5000000000000003E-2</v>
      </c>
      <c r="EB86" s="43">
        <f>Inputs!DY$135</f>
        <v>3.5000000000000003E-2</v>
      </c>
      <c r="EC86" s="43">
        <f>Inputs!DZ$135</f>
        <v>3.5000000000000003E-2</v>
      </c>
      <c r="ED86" s="43">
        <f>Inputs!EA$135</f>
        <v>3.5000000000000003E-2</v>
      </c>
      <c r="EE86" s="43">
        <f>Inputs!EB$135</f>
        <v>3.5000000000000003E-2</v>
      </c>
      <c r="EF86" s="43">
        <f>Inputs!EC$135</f>
        <v>3.5000000000000003E-2</v>
      </c>
      <c r="EG86" s="43">
        <f>Inputs!ED$135</f>
        <v>3.5000000000000003E-2</v>
      </c>
      <c r="EH86" s="43">
        <f>Inputs!EE$135</f>
        <v>3.5000000000000003E-2</v>
      </c>
      <c r="EI86" s="43">
        <f>Inputs!EF$135</f>
        <v>3.5000000000000003E-2</v>
      </c>
      <c r="EJ86" s="43">
        <f>Inputs!EG$135</f>
        <v>3.5000000000000003E-2</v>
      </c>
      <c r="EK86" s="43">
        <f>Inputs!EH$135</f>
        <v>3.5000000000000003E-2</v>
      </c>
      <c r="EL86" s="43">
        <f>Inputs!EI$135</f>
        <v>3.5000000000000003E-2</v>
      </c>
      <c r="EM86" s="43">
        <f>Inputs!EJ$135</f>
        <v>3.5000000000000003E-2</v>
      </c>
      <c r="EN86" s="43">
        <f>Inputs!EK$135</f>
        <v>3.5000000000000003E-2</v>
      </c>
      <c r="EO86" s="43">
        <f>Inputs!EL$135</f>
        <v>3.5000000000000003E-2</v>
      </c>
      <c r="EP86" s="43">
        <f>Inputs!EM$135</f>
        <v>3.5000000000000003E-2</v>
      </c>
      <c r="EQ86" s="43">
        <f>Inputs!EN$135</f>
        <v>3.5000000000000003E-2</v>
      </c>
      <c r="ER86" s="43">
        <f>Inputs!EO$135</f>
        <v>3.5000000000000003E-2</v>
      </c>
      <c r="ES86" s="43">
        <f>Inputs!EP$135</f>
        <v>3.5000000000000003E-2</v>
      </c>
      <c r="ET86" s="43">
        <f>Inputs!EQ$135</f>
        <v>3.5000000000000003E-2</v>
      </c>
      <c r="EU86" s="43">
        <f>Inputs!ER$135</f>
        <v>3.5000000000000003E-2</v>
      </c>
      <c r="EV86" s="43">
        <f>Inputs!ES$135</f>
        <v>3.5000000000000003E-2</v>
      </c>
      <c r="EW86" s="43">
        <f>Inputs!ET$135</f>
        <v>3.5000000000000003E-2</v>
      </c>
      <c r="EX86" s="43">
        <f>Inputs!EU$135</f>
        <v>3.5000000000000003E-2</v>
      </c>
      <c r="EY86" s="43">
        <f>Inputs!EV$135</f>
        <v>3.5000000000000003E-2</v>
      </c>
      <c r="EZ86" s="43">
        <f>Inputs!EW$135</f>
        <v>3.5000000000000003E-2</v>
      </c>
      <c r="FA86" s="43">
        <f>Inputs!EX$135</f>
        <v>3.5000000000000003E-2</v>
      </c>
      <c r="FB86" s="43">
        <f>Inputs!EY$135</f>
        <v>3.5000000000000003E-2</v>
      </c>
      <c r="FC86" s="43">
        <f>Inputs!EZ$135</f>
        <v>3.5000000000000003E-2</v>
      </c>
      <c r="FD86" s="43">
        <f>Inputs!FA$135</f>
        <v>3.5000000000000003E-2</v>
      </c>
      <c r="FE86" s="43">
        <f>Inputs!FB$135</f>
        <v>3.5000000000000003E-2</v>
      </c>
      <c r="FF86" s="43">
        <f>Inputs!FC$135</f>
        <v>3.5000000000000003E-2</v>
      </c>
      <c r="FG86" s="43">
        <f>Inputs!FD$135</f>
        <v>3.5000000000000003E-2</v>
      </c>
      <c r="FH86" s="43">
        <f>Inputs!FE$135</f>
        <v>3.5000000000000003E-2</v>
      </c>
      <c r="FI86" s="43">
        <f>Inputs!FF$135</f>
        <v>3.5000000000000003E-2</v>
      </c>
      <c r="FJ86" s="43">
        <f>Inputs!FG$135</f>
        <v>3.5000000000000003E-2</v>
      </c>
      <c r="FK86" s="43">
        <f>Inputs!FH$135</f>
        <v>3.5000000000000003E-2</v>
      </c>
      <c r="FL86" s="43">
        <f>Inputs!FI$135</f>
        <v>3.5000000000000003E-2</v>
      </c>
      <c r="FM86" s="43">
        <f>Inputs!FJ$135</f>
        <v>3.5000000000000003E-2</v>
      </c>
      <c r="FN86" s="43">
        <f>Inputs!FK$135</f>
        <v>3.5000000000000003E-2</v>
      </c>
      <c r="FO86" s="43">
        <f>Inputs!FL$135</f>
        <v>3.5000000000000003E-2</v>
      </c>
      <c r="FP86" s="43">
        <f>Inputs!FM$135</f>
        <v>3.5000000000000003E-2</v>
      </c>
      <c r="FQ86" s="43">
        <f>Inputs!FN$135</f>
        <v>3.5000000000000003E-2</v>
      </c>
      <c r="FR86" s="43">
        <f>Inputs!FO$135</f>
        <v>3.5000000000000003E-2</v>
      </c>
      <c r="FS86" s="43">
        <f>Inputs!FP$135</f>
        <v>3.5000000000000003E-2</v>
      </c>
      <c r="FT86" s="43">
        <f>Inputs!FQ$135</f>
        <v>3.5000000000000003E-2</v>
      </c>
      <c r="FU86" s="43">
        <f>Inputs!FR$135</f>
        <v>3.5000000000000003E-2</v>
      </c>
      <c r="FV86" s="43">
        <f>Inputs!FS$135</f>
        <v>3.5000000000000003E-2</v>
      </c>
      <c r="FW86" s="43">
        <f>Inputs!FT$135</f>
        <v>3.5000000000000003E-2</v>
      </c>
      <c r="FX86" s="43">
        <f>Inputs!FU$135</f>
        <v>3.5000000000000003E-2</v>
      </c>
      <c r="FY86" s="43">
        <f>Inputs!FV$135</f>
        <v>3.5000000000000003E-2</v>
      </c>
      <c r="FZ86" s="43">
        <f>Inputs!FW$135</f>
        <v>3.5000000000000003E-2</v>
      </c>
      <c r="GA86" s="43">
        <f>Inputs!FX$135</f>
        <v>3.5000000000000003E-2</v>
      </c>
      <c r="GB86" s="43">
        <f>Inputs!FY$135</f>
        <v>3.5000000000000003E-2</v>
      </c>
      <c r="GC86" s="43">
        <f>Inputs!FZ$135</f>
        <v>3.5000000000000003E-2</v>
      </c>
      <c r="GD86" s="43">
        <f>Inputs!GA$135</f>
        <v>3.5000000000000003E-2</v>
      </c>
      <c r="GE86" s="43">
        <f>Inputs!GB$135</f>
        <v>3.5000000000000003E-2</v>
      </c>
      <c r="GF86" s="43">
        <f>Inputs!GC$135</f>
        <v>3.5000000000000003E-2</v>
      </c>
      <c r="GG86" s="43">
        <f>Inputs!GD$135</f>
        <v>3.5000000000000003E-2</v>
      </c>
      <c r="GH86" s="43">
        <f>Inputs!GE$135</f>
        <v>3.5000000000000003E-2</v>
      </c>
      <c r="GI86" s="43">
        <f>Inputs!GF$135</f>
        <v>3.5000000000000003E-2</v>
      </c>
      <c r="GJ86" s="43">
        <f>Inputs!GG$135</f>
        <v>3.5000000000000003E-2</v>
      </c>
      <c r="GK86" s="43">
        <f>Inputs!GH$135</f>
        <v>3.5000000000000003E-2</v>
      </c>
      <c r="GL86" s="43">
        <f>Inputs!GI$135</f>
        <v>3.5000000000000003E-2</v>
      </c>
      <c r="GM86" s="43">
        <f>Inputs!GJ$135</f>
        <v>3.5000000000000003E-2</v>
      </c>
      <c r="GN86" s="43">
        <f>Inputs!GK$135</f>
        <v>3.5000000000000003E-2</v>
      </c>
      <c r="GO86" s="43">
        <f>Inputs!GL$135</f>
        <v>3.5000000000000003E-2</v>
      </c>
      <c r="GP86" s="43">
        <f>Inputs!GM$135</f>
        <v>3.5000000000000003E-2</v>
      </c>
      <c r="GQ86" s="43">
        <f>Inputs!GN$135</f>
        <v>3.5000000000000003E-2</v>
      </c>
      <c r="GR86" s="43">
        <f>Inputs!GO$135</f>
        <v>3.5000000000000003E-2</v>
      </c>
      <c r="GS86" s="43">
        <f>Inputs!GP$135</f>
        <v>3.5000000000000003E-2</v>
      </c>
      <c r="GT86" s="43">
        <f>Inputs!GQ$135</f>
        <v>3.5000000000000003E-2</v>
      </c>
      <c r="GU86" s="43">
        <f>Inputs!GR$135</f>
        <v>3.5000000000000003E-2</v>
      </c>
      <c r="GV86" s="43">
        <f>Inputs!GS$135</f>
        <v>3.5000000000000003E-2</v>
      </c>
      <c r="GW86" s="43">
        <f>Inputs!GT$135</f>
        <v>3.5000000000000003E-2</v>
      </c>
      <c r="GX86" s="43">
        <f>Inputs!GU$135</f>
        <v>3.5000000000000003E-2</v>
      </c>
      <c r="GY86" s="43">
        <f>Inputs!GV$135</f>
        <v>3.5000000000000003E-2</v>
      </c>
      <c r="GZ86" s="43">
        <f>Inputs!GW$135</f>
        <v>3.5000000000000003E-2</v>
      </c>
      <c r="HA86" s="43">
        <f>Inputs!GX$135</f>
        <v>3.5000000000000003E-2</v>
      </c>
      <c r="HB86" s="43">
        <f>Inputs!GY$135</f>
        <v>3.5000000000000003E-2</v>
      </c>
      <c r="HC86" s="43">
        <f>Inputs!GZ$135</f>
        <v>3.5000000000000003E-2</v>
      </c>
      <c r="HD86" s="43">
        <f>Inputs!HA$135</f>
        <v>3.5000000000000003E-2</v>
      </c>
      <c r="HE86" s="43">
        <f>Inputs!HB$135</f>
        <v>3.5000000000000003E-2</v>
      </c>
      <c r="HF86" s="43">
        <f>Inputs!HC$135</f>
        <v>3.5000000000000003E-2</v>
      </c>
      <c r="HG86" s="43">
        <f>Inputs!HD$135</f>
        <v>3.5000000000000003E-2</v>
      </c>
      <c r="HH86" s="43">
        <f>Inputs!HE$135</f>
        <v>3.5000000000000003E-2</v>
      </c>
      <c r="HI86" s="43">
        <f>Inputs!HF$135</f>
        <v>3.5000000000000003E-2</v>
      </c>
      <c r="HJ86" s="43">
        <f>Inputs!HG$135</f>
        <v>3.5000000000000003E-2</v>
      </c>
      <c r="HK86" s="43">
        <f>Inputs!HH$135</f>
        <v>3.5000000000000003E-2</v>
      </c>
      <c r="HL86" s="43">
        <f>Inputs!HI$135</f>
        <v>3.5000000000000003E-2</v>
      </c>
      <c r="HM86" s="43">
        <f>Inputs!HJ$135</f>
        <v>3.5000000000000003E-2</v>
      </c>
      <c r="HN86" s="43">
        <f>Inputs!HK$135</f>
        <v>3.5000000000000003E-2</v>
      </c>
      <c r="HO86" s="43">
        <f>Inputs!HL$135</f>
        <v>3.5000000000000003E-2</v>
      </c>
      <c r="HP86" s="43">
        <f>Inputs!HM$135</f>
        <v>3.5000000000000003E-2</v>
      </c>
      <c r="HQ86" s="43">
        <f>Inputs!HN$135</f>
        <v>3.5000000000000003E-2</v>
      </c>
      <c r="HR86" s="43">
        <f>Inputs!HO$135</f>
        <v>3.5000000000000003E-2</v>
      </c>
      <c r="HS86" s="43">
        <f>Inputs!HP$135</f>
        <v>3.5000000000000003E-2</v>
      </c>
      <c r="HT86" s="43">
        <f>Inputs!HQ$135</f>
        <v>3.5000000000000003E-2</v>
      </c>
      <c r="HU86" s="43">
        <f>Inputs!HR$135</f>
        <v>3.5000000000000003E-2</v>
      </c>
      <c r="HV86" s="43">
        <f>Inputs!HS$135</f>
        <v>3.5000000000000003E-2</v>
      </c>
      <c r="HW86" s="43">
        <f>Inputs!HT$135</f>
        <v>3.5000000000000003E-2</v>
      </c>
      <c r="HX86" s="43">
        <f>Inputs!HU$135</f>
        <v>3.5000000000000003E-2</v>
      </c>
      <c r="HY86" s="43">
        <f>Inputs!HV$135</f>
        <v>3.5000000000000003E-2</v>
      </c>
      <c r="HZ86" s="43">
        <f>Inputs!HW$135</f>
        <v>3.5000000000000003E-2</v>
      </c>
      <c r="IA86" s="43">
        <f>Inputs!HX$135</f>
        <v>3.5000000000000003E-2</v>
      </c>
      <c r="IB86" s="43">
        <f>Inputs!HY$135</f>
        <v>3.5000000000000003E-2</v>
      </c>
      <c r="IC86" s="43">
        <f>Inputs!HZ$135</f>
        <v>3.5000000000000003E-2</v>
      </c>
      <c r="ID86" s="43">
        <f>Inputs!IA$135</f>
        <v>3.5000000000000003E-2</v>
      </c>
      <c r="IE86" s="43">
        <f>Inputs!IB$135</f>
        <v>3.5000000000000003E-2</v>
      </c>
      <c r="IF86" s="43">
        <f>Inputs!IC$135</f>
        <v>3.5000000000000003E-2</v>
      </c>
      <c r="IG86" s="43">
        <f>Inputs!ID$135</f>
        <v>3.5000000000000003E-2</v>
      </c>
      <c r="IH86" s="43">
        <f>Inputs!IE$135</f>
        <v>3.5000000000000003E-2</v>
      </c>
      <c r="II86" s="43">
        <f>Inputs!IF$135</f>
        <v>3.5000000000000003E-2</v>
      </c>
      <c r="IJ86" s="43">
        <f>Inputs!IG$135</f>
        <v>3.5000000000000003E-2</v>
      </c>
      <c r="IK86" s="43">
        <f>Inputs!IH$135</f>
        <v>3.5000000000000003E-2</v>
      </c>
      <c r="IL86" s="43">
        <f>Inputs!II$135</f>
        <v>3.5000000000000003E-2</v>
      </c>
      <c r="IM86" s="43">
        <f>Inputs!IJ$135</f>
        <v>3.5000000000000003E-2</v>
      </c>
      <c r="IN86" s="43">
        <f>Inputs!IK$135</f>
        <v>3.5000000000000003E-2</v>
      </c>
      <c r="IO86" s="43">
        <f>Inputs!IL$135</f>
        <v>3.5000000000000003E-2</v>
      </c>
      <c r="IP86" s="43">
        <f>Inputs!IM$135</f>
        <v>3.5000000000000003E-2</v>
      </c>
      <c r="IQ86" s="43">
        <f>Inputs!IN$135</f>
        <v>3.5000000000000003E-2</v>
      </c>
      <c r="IR86" s="43">
        <f>Inputs!IO$135</f>
        <v>3.5000000000000003E-2</v>
      </c>
      <c r="IS86" s="43">
        <f>Inputs!IP$135</f>
        <v>3.5000000000000003E-2</v>
      </c>
      <c r="IT86" s="43">
        <f>Inputs!IQ$135</f>
        <v>3.5000000000000003E-2</v>
      </c>
      <c r="IU86" s="43">
        <f>Inputs!IR$135</f>
        <v>3.5000000000000003E-2</v>
      </c>
      <c r="IV86" s="43">
        <f>Inputs!IS$135</f>
        <v>3.5000000000000003E-2</v>
      </c>
      <c r="IW86" s="43">
        <f>Inputs!IT$135</f>
        <v>3.5000000000000003E-2</v>
      </c>
      <c r="IX86" s="43">
        <f>Inputs!IU$135</f>
        <v>3.5000000000000003E-2</v>
      </c>
      <c r="IY86" s="43">
        <f>Inputs!IV$135</f>
        <v>3.5000000000000003E-2</v>
      </c>
      <c r="IZ86" s="43">
        <f>Inputs!IW$135</f>
        <v>3.5000000000000003E-2</v>
      </c>
      <c r="JA86" s="43">
        <f>Inputs!IX$135</f>
        <v>3.5000000000000003E-2</v>
      </c>
      <c r="JB86" s="43">
        <f>Inputs!IY$135</f>
        <v>3.5000000000000003E-2</v>
      </c>
      <c r="JC86" s="43">
        <f>Inputs!IZ$135</f>
        <v>3.5000000000000003E-2</v>
      </c>
      <c r="JD86" s="43">
        <f>Inputs!JA$135</f>
        <v>3.5000000000000003E-2</v>
      </c>
      <c r="JE86" s="43">
        <f>Inputs!JB$135</f>
        <v>3.5000000000000003E-2</v>
      </c>
      <c r="JF86" s="43">
        <f>Inputs!JC$135</f>
        <v>3.5000000000000003E-2</v>
      </c>
      <c r="JG86" s="43">
        <f>Inputs!JD$135</f>
        <v>3.5000000000000003E-2</v>
      </c>
      <c r="JH86" s="43">
        <f>Inputs!JE$135</f>
        <v>3.5000000000000003E-2</v>
      </c>
      <c r="JI86" s="43">
        <f>Inputs!JF$135</f>
        <v>3.5000000000000003E-2</v>
      </c>
      <c r="JJ86" s="43">
        <f>Inputs!JG$135</f>
        <v>3.5000000000000003E-2</v>
      </c>
      <c r="JK86" s="43">
        <f>Inputs!JH$135</f>
        <v>3.5000000000000003E-2</v>
      </c>
      <c r="JL86" s="43">
        <f>Inputs!JI$135</f>
        <v>3.5000000000000003E-2</v>
      </c>
      <c r="JM86" s="43">
        <f>Inputs!JJ$135</f>
        <v>3.5000000000000003E-2</v>
      </c>
      <c r="JN86" s="43">
        <f>Inputs!JK$135</f>
        <v>3.5000000000000003E-2</v>
      </c>
      <c r="JO86" s="43">
        <f>Inputs!JL$135</f>
        <v>3.5000000000000003E-2</v>
      </c>
      <c r="JP86" s="43">
        <f>Inputs!JM$135</f>
        <v>3.5000000000000003E-2</v>
      </c>
      <c r="JQ86" s="43">
        <f>Inputs!JN$135</f>
        <v>3.5000000000000003E-2</v>
      </c>
      <c r="JR86" s="43">
        <f>Inputs!JO$135</f>
        <v>3.5000000000000003E-2</v>
      </c>
      <c r="JS86" s="43">
        <f>Inputs!JP$135</f>
        <v>3.5000000000000003E-2</v>
      </c>
      <c r="JT86" s="43">
        <f>Inputs!JQ$135</f>
        <v>3.5000000000000003E-2</v>
      </c>
      <c r="JU86" s="43">
        <f>Inputs!JR$135</f>
        <v>3.5000000000000003E-2</v>
      </c>
      <c r="JV86" s="43">
        <f>Inputs!JS$135</f>
        <v>3.5000000000000003E-2</v>
      </c>
      <c r="JW86" s="43">
        <f>Inputs!JT$135</f>
        <v>3.5000000000000003E-2</v>
      </c>
      <c r="JX86" s="43">
        <f>Inputs!JU$135</f>
        <v>3.5000000000000003E-2</v>
      </c>
      <c r="JY86" s="43">
        <f>Inputs!JV$135</f>
        <v>3.5000000000000003E-2</v>
      </c>
      <c r="JZ86" s="43">
        <f>Inputs!JW$135</f>
        <v>3.5000000000000003E-2</v>
      </c>
      <c r="KA86" s="43">
        <f>Inputs!JX$135</f>
        <v>3.5000000000000003E-2</v>
      </c>
      <c r="KB86" s="43">
        <f>Inputs!JY$135</f>
        <v>3.5000000000000003E-2</v>
      </c>
      <c r="KC86" s="43">
        <f>Inputs!JZ$135</f>
        <v>3.5000000000000003E-2</v>
      </c>
      <c r="KD86" s="43">
        <f>Inputs!KA$135</f>
        <v>3.5000000000000003E-2</v>
      </c>
      <c r="KE86" s="43">
        <f>Inputs!KB$135</f>
        <v>3.5000000000000003E-2</v>
      </c>
      <c r="KF86" s="43">
        <f>Inputs!KC$135</f>
        <v>3.5000000000000003E-2</v>
      </c>
      <c r="KG86" s="43">
        <f>Inputs!KD$135</f>
        <v>3.5000000000000003E-2</v>
      </c>
      <c r="KH86" s="43">
        <f>Inputs!KE$135</f>
        <v>3.5000000000000003E-2</v>
      </c>
      <c r="KI86" s="43">
        <f>Inputs!KF$135</f>
        <v>3.5000000000000003E-2</v>
      </c>
      <c r="KJ86" s="1"/>
    </row>
    <row r="87" spans="7:296" x14ac:dyDescent="0.35">
      <c r="G87" s="43">
        <f>Control!H43</f>
        <v>4.4999999999999998E-2</v>
      </c>
      <c r="H87" s="8" t="s">
        <v>16</v>
      </c>
      <c r="M87" s="15" t="s">
        <v>54</v>
      </c>
      <c r="N87" s="43">
        <f>$G87*N74</f>
        <v>4.4999999999999998E-2</v>
      </c>
      <c r="O87" s="43">
        <f t="shared" ref="O87:BZ87" si="192">$G87*O74</f>
        <v>4.4999999999999998E-2</v>
      </c>
      <c r="P87" s="43">
        <f t="shared" si="192"/>
        <v>4.4999999999999998E-2</v>
      </c>
      <c r="Q87" s="43">
        <f t="shared" si="192"/>
        <v>4.4999999999999998E-2</v>
      </c>
      <c r="R87" s="43">
        <f t="shared" si="192"/>
        <v>4.4999999999999998E-2</v>
      </c>
      <c r="S87" s="43">
        <f t="shared" si="192"/>
        <v>4.4999999999999998E-2</v>
      </c>
      <c r="T87" s="43">
        <f t="shared" si="192"/>
        <v>0</v>
      </c>
      <c r="U87" s="43">
        <f t="shared" si="192"/>
        <v>0</v>
      </c>
      <c r="V87" s="43">
        <f t="shared" si="192"/>
        <v>0</v>
      </c>
      <c r="W87" s="43">
        <f t="shared" si="192"/>
        <v>0</v>
      </c>
      <c r="X87" s="43">
        <f t="shared" si="192"/>
        <v>0</v>
      </c>
      <c r="Y87" s="43">
        <f t="shared" si="192"/>
        <v>0</v>
      </c>
      <c r="Z87" s="43">
        <f t="shared" si="192"/>
        <v>0</v>
      </c>
      <c r="AA87" s="43">
        <f t="shared" si="192"/>
        <v>0</v>
      </c>
      <c r="AB87" s="43">
        <f t="shared" si="192"/>
        <v>0</v>
      </c>
      <c r="AC87" s="43">
        <f t="shared" si="192"/>
        <v>0</v>
      </c>
      <c r="AD87" s="43">
        <f t="shared" si="192"/>
        <v>0</v>
      </c>
      <c r="AE87" s="43">
        <f t="shared" si="192"/>
        <v>0</v>
      </c>
      <c r="AF87" s="43">
        <f t="shared" si="192"/>
        <v>0</v>
      </c>
      <c r="AG87" s="43">
        <f t="shared" si="192"/>
        <v>0</v>
      </c>
      <c r="AH87" s="43">
        <f t="shared" si="192"/>
        <v>0</v>
      </c>
      <c r="AI87" s="43">
        <f t="shared" si="192"/>
        <v>0</v>
      </c>
      <c r="AJ87" s="43">
        <f t="shared" si="192"/>
        <v>0</v>
      </c>
      <c r="AK87" s="43">
        <f t="shared" si="192"/>
        <v>0</v>
      </c>
      <c r="AL87" s="43">
        <f t="shared" si="192"/>
        <v>0</v>
      </c>
      <c r="AM87" s="43">
        <f t="shared" si="192"/>
        <v>0</v>
      </c>
      <c r="AN87" s="43">
        <f t="shared" si="192"/>
        <v>0</v>
      </c>
      <c r="AO87" s="43">
        <f t="shared" si="192"/>
        <v>0</v>
      </c>
      <c r="AP87" s="43">
        <f t="shared" si="192"/>
        <v>0</v>
      </c>
      <c r="AQ87" s="43">
        <f t="shared" si="192"/>
        <v>0</v>
      </c>
      <c r="AR87" s="43">
        <f t="shared" si="192"/>
        <v>0</v>
      </c>
      <c r="AS87" s="43">
        <f t="shared" si="192"/>
        <v>0</v>
      </c>
      <c r="AT87" s="43">
        <f t="shared" si="192"/>
        <v>0</v>
      </c>
      <c r="AU87" s="43">
        <f t="shared" si="192"/>
        <v>0</v>
      </c>
      <c r="AV87" s="43">
        <f t="shared" si="192"/>
        <v>0</v>
      </c>
      <c r="AW87" s="43">
        <f t="shared" si="192"/>
        <v>0</v>
      </c>
      <c r="AX87" s="43">
        <f t="shared" si="192"/>
        <v>0</v>
      </c>
      <c r="AY87" s="43">
        <f t="shared" si="192"/>
        <v>0</v>
      </c>
      <c r="AZ87" s="43">
        <f t="shared" si="192"/>
        <v>0</v>
      </c>
      <c r="BA87" s="43">
        <f t="shared" si="192"/>
        <v>0</v>
      </c>
      <c r="BB87" s="43">
        <f t="shared" si="192"/>
        <v>0</v>
      </c>
      <c r="BC87" s="43">
        <f t="shared" si="192"/>
        <v>0</v>
      </c>
      <c r="BD87" s="43">
        <f t="shared" si="192"/>
        <v>0</v>
      </c>
      <c r="BE87" s="43">
        <f t="shared" si="192"/>
        <v>0</v>
      </c>
      <c r="BF87" s="43">
        <f t="shared" si="192"/>
        <v>0</v>
      </c>
      <c r="BG87" s="43">
        <f t="shared" si="192"/>
        <v>0</v>
      </c>
      <c r="BH87" s="43">
        <f t="shared" si="192"/>
        <v>0</v>
      </c>
      <c r="BI87" s="43">
        <f t="shared" si="192"/>
        <v>0</v>
      </c>
      <c r="BJ87" s="43">
        <f t="shared" si="192"/>
        <v>0</v>
      </c>
      <c r="BK87" s="43">
        <f t="shared" si="192"/>
        <v>0</v>
      </c>
      <c r="BL87" s="43">
        <f t="shared" si="192"/>
        <v>0</v>
      </c>
      <c r="BM87" s="43">
        <f t="shared" si="192"/>
        <v>0</v>
      </c>
      <c r="BN87" s="43">
        <f t="shared" si="192"/>
        <v>0</v>
      </c>
      <c r="BO87" s="43">
        <f t="shared" si="192"/>
        <v>0</v>
      </c>
      <c r="BP87" s="43">
        <f t="shared" si="192"/>
        <v>0</v>
      </c>
      <c r="BQ87" s="43">
        <f t="shared" si="192"/>
        <v>0</v>
      </c>
      <c r="BR87" s="43">
        <f t="shared" si="192"/>
        <v>0</v>
      </c>
      <c r="BS87" s="43">
        <f t="shared" si="192"/>
        <v>0</v>
      </c>
      <c r="BT87" s="43">
        <f t="shared" si="192"/>
        <v>0</v>
      </c>
      <c r="BU87" s="43">
        <f t="shared" si="192"/>
        <v>0</v>
      </c>
      <c r="BV87" s="43">
        <f t="shared" si="192"/>
        <v>0</v>
      </c>
      <c r="BW87" s="43">
        <f t="shared" si="192"/>
        <v>0</v>
      </c>
      <c r="BX87" s="43">
        <f t="shared" si="192"/>
        <v>0</v>
      </c>
      <c r="BY87" s="43">
        <f t="shared" si="192"/>
        <v>0</v>
      </c>
      <c r="BZ87" s="43">
        <f t="shared" si="192"/>
        <v>0</v>
      </c>
      <c r="CA87" s="43">
        <f t="shared" ref="CA87:EL87" si="193">$G87*CA74</f>
        <v>0</v>
      </c>
      <c r="CB87" s="43">
        <f t="shared" si="193"/>
        <v>0</v>
      </c>
      <c r="CC87" s="43">
        <f t="shared" si="193"/>
        <v>0</v>
      </c>
      <c r="CD87" s="43">
        <f t="shared" si="193"/>
        <v>0</v>
      </c>
      <c r="CE87" s="43">
        <f t="shared" si="193"/>
        <v>0</v>
      </c>
      <c r="CF87" s="43">
        <f t="shared" si="193"/>
        <v>0</v>
      </c>
      <c r="CG87" s="43">
        <f t="shared" si="193"/>
        <v>0</v>
      </c>
      <c r="CH87" s="43">
        <f t="shared" si="193"/>
        <v>0</v>
      </c>
      <c r="CI87" s="43">
        <f t="shared" si="193"/>
        <v>0</v>
      </c>
      <c r="CJ87" s="43">
        <f t="shared" si="193"/>
        <v>0</v>
      </c>
      <c r="CK87" s="43">
        <f t="shared" si="193"/>
        <v>0</v>
      </c>
      <c r="CL87" s="43">
        <f t="shared" si="193"/>
        <v>0</v>
      </c>
      <c r="CM87" s="43">
        <f t="shared" si="193"/>
        <v>0</v>
      </c>
      <c r="CN87" s="43">
        <f t="shared" si="193"/>
        <v>0</v>
      </c>
      <c r="CO87" s="43">
        <f t="shared" si="193"/>
        <v>0</v>
      </c>
      <c r="CP87" s="43">
        <f t="shared" si="193"/>
        <v>0</v>
      </c>
      <c r="CQ87" s="43">
        <f t="shared" si="193"/>
        <v>0</v>
      </c>
      <c r="CR87" s="43">
        <f t="shared" si="193"/>
        <v>0</v>
      </c>
      <c r="CS87" s="43">
        <f t="shared" si="193"/>
        <v>0</v>
      </c>
      <c r="CT87" s="43">
        <f t="shared" si="193"/>
        <v>0</v>
      </c>
      <c r="CU87" s="43">
        <f t="shared" si="193"/>
        <v>0</v>
      </c>
      <c r="CV87" s="43">
        <f t="shared" si="193"/>
        <v>0</v>
      </c>
      <c r="CW87" s="43">
        <f t="shared" si="193"/>
        <v>0</v>
      </c>
      <c r="CX87" s="43">
        <f t="shared" si="193"/>
        <v>0</v>
      </c>
      <c r="CY87" s="43">
        <f t="shared" si="193"/>
        <v>0</v>
      </c>
      <c r="CZ87" s="43">
        <f t="shared" si="193"/>
        <v>0</v>
      </c>
      <c r="DA87" s="43">
        <f t="shared" si="193"/>
        <v>0</v>
      </c>
      <c r="DB87" s="43">
        <f t="shared" si="193"/>
        <v>0</v>
      </c>
      <c r="DC87" s="43">
        <f t="shared" si="193"/>
        <v>0</v>
      </c>
      <c r="DD87" s="43">
        <f t="shared" si="193"/>
        <v>0</v>
      </c>
      <c r="DE87" s="43">
        <f t="shared" si="193"/>
        <v>0</v>
      </c>
      <c r="DF87" s="43">
        <f t="shared" si="193"/>
        <v>0</v>
      </c>
      <c r="DG87" s="43">
        <f t="shared" si="193"/>
        <v>0</v>
      </c>
      <c r="DH87" s="43">
        <f t="shared" si="193"/>
        <v>0</v>
      </c>
      <c r="DI87" s="43">
        <f t="shared" si="193"/>
        <v>0</v>
      </c>
      <c r="DJ87" s="43">
        <f t="shared" si="193"/>
        <v>0</v>
      </c>
      <c r="DK87" s="43">
        <f t="shared" si="193"/>
        <v>0</v>
      </c>
      <c r="DL87" s="43">
        <f t="shared" si="193"/>
        <v>0</v>
      </c>
      <c r="DM87" s="43">
        <f t="shared" si="193"/>
        <v>0</v>
      </c>
      <c r="DN87" s="43">
        <f t="shared" si="193"/>
        <v>0</v>
      </c>
      <c r="DO87" s="43">
        <f t="shared" si="193"/>
        <v>0</v>
      </c>
      <c r="DP87" s="43">
        <f t="shared" si="193"/>
        <v>0</v>
      </c>
      <c r="DQ87" s="43">
        <f t="shared" si="193"/>
        <v>0</v>
      </c>
      <c r="DR87" s="43">
        <f t="shared" si="193"/>
        <v>0</v>
      </c>
      <c r="DS87" s="43">
        <f t="shared" si="193"/>
        <v>0</v>
      </c>
      <c r="DT87" s="43">
        <f t="shared" si="193"/>
        <v>0</v>
      </c>
      <c r="DU87" s="43">
        <f t="shared" si="193"/>
        <v>0</v>
      </c>
      <c r="DV87" s="43">
        <f t="shared" si="193"/>
        <v>0</v>
      </c>
      <c r="DW87" s="43">
        <f t="shared" si="193"/>
        <v>0</v>
      </c>
      <c r="DX87" s="43">
        <f t="shared" si="193"/>
        <v>0</v>
      </c>
      <c r="DY87" s="43">
        <f t="shared" si="193"/>
        <v>0</v>
      </c>
      <c r="DZ87" s="43">
        <f t="shared" si="193"/>
        <v>0</v>
      </c>
      <c r="EA87" s="43">
        <f t="shared" si="193"/>
        <v>0</v>
      </c>
      <c r="EB87" s="43">
        <f t="shared" si="193"/>
        <v>0</v>
      </c>
      <c r="EC87" s="43">
        <f t="shared" si="193"/>
        <v>0</v>
      </c>
      <c r="ED87" s="43">
        <f t="shared" si="193"/>
        <v>0</v>
      </c>
      <c r="EE87" s="43">
        <f t="shared" si="193"/>
        <v>0</v>
      </c>
      <c r="EF87" s="43">
        <f t="shared" si="193"/>
        <v>0</v>
      </c>
      <c r="EG87" s="43">
        <f t="shared" si="193"/>
        <v>0</v>
      </c>
      <c r="EH87" s="43">
        <f t="shared" si="193"/>
        <v>0</v>
      </c>
      <c r="EI87" s="43">
        <f t="shared" si="193"/>
        <v>0</v>
      </c>
      <c r="EJ87" s="43">
        <f t="shared" si="193"/>
        <v>0</v>
      </c>
      <c r="EK87" s="43">
        <f t="shared" si="193"/>
        <v>0</v>
      </c>
      <c r="EL87" s="43">
        <f t="shared" si="193"/>
        <v>0</v>
      </c>
      <c r="EM87" s="43">
        <f t="shared" ref="EM87:GX87" si="194">$G87*EM74</f>
        <v>0</v>
      </c>
      <c r="EN87" s="43">
        <f t="shared" si="194"/>
        <v>0</v>
      </c>
      <c r="EO87" s="43">
        <f t="shared" si="194"/>
        <v>0</v>
      </c>
      <c r="EP87" s="43">
        <f t="shared" si="194"/>
        <v>0</v>
      </c>
      <c r="EQ87" s="43">
        <f t="shared" si="194"/>
        <v>0</v>
      </c>
      <c r="ER87" s="43">
        <f t="shared" si="194"/>
        <v>0</v>
      </c>
      <c r="ES87" s="43">
        <f t="shared" si="194"/>
        <v>0</v>
      </c>
      <c r="ET87" s="43">
        <f t="shared" si="194"/>
        <v>0</v>
      </c>
      <c r="EU87" s="43">
        <f t="shared" si="194"/>
        <v>0</v>
      </c>
      <c r="EV87" s="43">
        <f t="shared" si="194"/>
        <v>0</v>
      </c>
      <c r="EW87" s="43">
        <f t="shared" si="194"/>
        <v>0</v>
      </c>
      <c r="EX87" s="43">
        <f t="shared" si="194"/>
        <v>0</v>
      </c>
      <c r="EY87" s="43">
        <f t="shared" si="194"/>
        <v>0</v>
      </c>
      <c r="EZ87" s="43">
        <f t="shared" si="194"/>
        <v>0</v>
      </c>
      <c r="FA87" s="43">
        <f t="shared" si="194"/>
        <v>0</v>
      </c>
      <c r="FB87" s="43">
        <f t="shared" si="194"/>
        <v>0</v>
      </c>
      <c r="FC87" s="43">
        <f t="shared" si="194"/>
        <v>0</v>
      </c>
      <c r="FD87" s="43">
        <f t="shared" si="194"/>
        <v>0</v>
      </c>
      <c r="FE87" s="43">
        <f t="shared" si="194"/>
        <v>0</v>
      </c>
      <c r="FF87" s="43">
        <f t="shared" si="194"/>
        <v>0</v>
      </c>
      <c r="FG87" s="43">
        <f t="shared" si="194"/>
        <v>0</v>
      </c>
      <c r="FH87" s="43">
        <f t="shared" si="194"/>
        <v>0</v>
      </c>
      <c r="FI87" s="43">
        <f t="shared" si="194"/>
        <v>0</v>
      </c>
      <c r="FJ87" s="43">
        <f t="shared" si="194"/>
        <v>0</v>
      </c>
      <c r="FK87" s="43">
        <f t="shared" si="194"/>
        <v>0</v>
      </c>
      <c r="FL87" s="43">
        <f t="shared" si="194"/>
        <v>0</v>
      </c>
      <c r="FM87" s="43">
        <f t="shared" si="194"/>
        <v>0</v>
      </c>
      <c r="FN87" s="43">
        <f t="shared" si="194"/>
        <v>0</v>
      </c>
      <c r="FO87" s="43">
        <f t="shared" si="194"/>
        <v>0</v>
      </c>
      <c r="FP87" s="43">
        <f t="shared" si="194"/>
        <v>0</v>
      </c>
      <c r="FQ87" s="43">
        <f t="shared" si="194"/>
        <v>0</v>
      </c>
      <c r="FR87" s="43">
        <f t="shared" si="194"/>
        <v>0</v>
      </c>
      <c r="FS87" s="43">
        <f t="shared" si="194"/>
        <v>0</v>
      </c>
      <c r="FT87" s="43">
        <f t="shared" si="194"/>
        <v>0</v>
      </c>
      <c r="FU87" s="43">
        <f t="shared" si="194"/>
        <v>0</v>
      </c>
      <c r="FV87" s="43">
        <f t="shared" si="194"/>
        <v>0</v>
      </c>
      <c r="FW87" s="43">
        <f t="shared" si="194"/>
        <v>0</v>
      </c>
      <c r="FX87" s="43">
        <f t="shared" si="194"/>
        <v>0</v>
      </c>
      <c r="FY87" s="43">
        <f t="shared" si="194"/>
        <v>0</v>
      </c>
      <c r="FZ87" s="43">
        <f t="shared" si="194"/>
        <v>0</v>
      </c>
      <c r="GA87" s="43">
        <f t="shared" si="194"/>
        <v>0</v>
      </c>
      <c r="GB87" s="43">
        <f t="shared" si="194"/>
        <v>0</v>
      </c>
      <c r="GC87" s="43">
        <f t="shared" si="194"/>
        <v>0</v>
      </c>
      <c r="GD87" s="43">
        <f t="shared" si="194"/>
        <v>0</v>
      </c>
      <c r="GE87" s="43">
        <f t="shared" si="194"/>
        <v>0</v>
      </c>
      <c r="GF87" s="43">
        <f t="shared" si="194"/>
        <v>0</v>
      </c>
      <c r="GG87" s="43">
        <f t="shared" si="194"/>
        <v>0</v>
      </c>
      <c r="GH87" s="43">
        <f t="shared" si="194"/>
        <v>0</v>
      </c>
      <c r="GI87" s="43">
        <f t="shared" si="194"/>
        <v>0</v>
      </c>
      <c r="GJ87" s="43">
        <f t="shared" si="194"/>
        <v>0</v>
      </c>
      <c r="GK87" s="43">
        <f t="shared" si="194"/>
        <v>0</v>
      </c>
      <c r="GL87" s="43">
        <f t="shared" si="194"/>
        <v>0</v>
      </c>
      <c r="GM87" s="43">
        <f t="shared" si="194"/>
        <v>0</v>
      </c>
      <c r="GN87" s="43">
        <f t="shared" si="194"/>
        <v>0</v>
      </c>
      <c r="GO87" s="43">
        <f t="shared" si="194"/>
        <v>0</v>
      </c>
      <c r="GP87" s="43">
        <f t="shared" si="194"/>
        <v>0</v>
      </c>
      <c r="GQ87" s="43">
        <f t="shared" si="194"/>
        <v>0</v>
      </c>
      <c r="GR87" s="43">
        <f t="shared" si="194"/>
        <v>0</v>
      </c>
      <c r="GS87" s="43">
        <f t="shared" si="194"/>
        <v>0</v>
      </c>
      <c r="GT87" s="43">
        <f t="shared" si="194"/>
        <v>0</v>
      </c>
      <c r="GU87" s="43">
        <f t="shared" si="194"/>
        <v>0</v>
      </c>
      <c r="GV87" s="43">
        <f t="shared" si="194"/>
        <v>0</v>
      </c>
      <c r="GW87" s="43">
        <f t="shared" si="194"/>
        <v>0</v>
      </c>
      <c r="GX87" s="43">
        <f t="shared" si="194"/>
        <v>0</v>
      </c>
      <c r="GY87" s="43">
        <f t="shared" ref="GY87:JJ87" si="195">$G87*GY74</f>
        <v>0</v>
      </c>
      <c r="GZ87" s="43">
        <f t="shared" si="195"/>
        <v>0</v>
      </c>
      <c r="HA87" s="43">
        <f t="shared" si="195"/>
        <v>0</v>
      </c>
      <c r="HB87" s="43">
        <f t="shared" si="195"/>
        <v>0</v>
      </c>
      <c r="HC87" s="43">
        <f t="shared" si="195"/>
        <v>0</v>
      </c>
      <c r="HD87" s="43">
        <f t="shared" si="195"/>
        <v>0</v>
      </c>
      <c r="HE87" s="43">
        <f t="shared" si="195"/>
        <v>0</v>
      </c>
      <c r="HF87" s="43">
        <f t="shared" si="195"/>
        <v>0</v>
      </c>
      <c r="HG87" s="43">
        <f t="shared" si="195"/>
        <v>0</v>
      </c>
      <c r="HH87" s="43">
        <f t="shared" si="195"/>
        <v>0</v>
      </c>
      <c r="HI87" s="43">
        <f t="shared" si="195"/>
        <v>0</v>
      </c>
      <c r="HJ87" s="43">
        <f t="shared" si="195"/>
        <v>0</v>
      </c>
      <c r="HK87" s="43">
        <f t="shared" si="195"/>
        <v>0</v>
      </c>
      <c r="HL87" s="43">
        <f t="shared" si="195"/>
        <v>0</v>
      </c>
      <c r="HM87" s="43">
        <f t="shared" si="195"/>
        <v>0</v>
      </c>
      <c r="HN87" s="43">
        <f t="shared" si="195"/>
        <v>0</v>
      </c>
      <c r="HO87" s="43">
        <f t="shared" si="195"/>
        <v>0</v>
      </c>
      <c r="HP87" s="43">
        <f t="shared" si="195"/>
        <v>0</v>
      </c>
      <c r="HQ87" s="43">
        <f t="shared" si="195"/>
        <v>0</v>
      </c>
      <c r="HR87" s="43">
        <f t="shared" si="195"/>
        <v>0</v>
      </c>
      <c r="HS87" s="43">
        <f t="shared" si="195"/>
        <v>0</v>
      </c>
      <c r="HT87" s="43">
        <f t="shared" si="195"/>
        <v>0</v>
      </c>
      <c r="HU87" s="43">
        <f t="shared" si="195"/>
        <v>0</v>
      </c>
      <c r="HV87" s="43">
        <f t="shared" si="195"/>
        <v>0</v>
      </c>
      <c r="HW87" s="43">
        <f t="shared" si="195"/>
        <v>0</v>
      </c>
      <c r="HX87" s="43">
        <f t="shared" si="195"/>
        <v>0</v>
      </c>
      <c r="HY87" s="43">
        <f t="shared" si="195"/>
        <v>0</v>
      </c>
      <c r="HZ87" s="43">
        <f t="shared" si="195"/>
        <v>0</v>
      </c>
      <c r="IA87" s="43">
        <f t="shared" si="195"/>
        <v>0</v>
      </c>
      <c r="IB87" s="43">
        <f t="shared" si="195"/>
        <v>0</v>
      </c>
      <c r="IC87" s="43">
        <f t="shared" si="195"/>
        <v>0</v>
      </c>
      <c r="ID87" s="43">
        <f t="shared" si="195"/>
        <v>0</v>
      </c>
      <c r="IE87" s="43">
        <f t="shared" si="195"/>
        <v>0</v>
      </c>
      <c r="IF87" s="43">
        <f t="shared" si="195"/>
        <v>0</v>
      </c>
      <c r="IG87" s="43">
        <f t="shared" si="195"/>
        <v>0</v>
      </c>
      <c r="IH87" s="43">
        <f t="shared" si="195"/>
        <v>0</v>
      </c>
      <c r="II87" s="43">
        <f t="shared" si="195"/>
        <v>0</v>
      </c>
      <c r="IJ87" s="43">
        <f t="shared" si="195"/>
        <v>0</v>
      </c>
      <c r="IK87" s="43">
        <f t="shared" si="195"/>
        <v>0</v>
      </c>
      <c r="IL87" s="43">
        <f t="shared" si="195"/>
        <v>0</v>
      </c>
      <c r="IM87" s="43">
        <f t="shared" si="195"/>
        <v>0</v>
      </c>
      <c r="IN87" s="43">
        <f t="shared" si="195"/>
        <v>0</v>
      </c>
      <c r="IO87" s="43">
        <f t="shared" si="195"/>
        <v>0</v>
      </c>
      <c r="IP87" s="43">
        <f t="shared" si="195"/>
        <v>0</v>
      </c>
      <c r="IQ87" s="43">
        <f t="shared" si="195"/>
        <v>0</v>
      </c>
      <c r="IR87" s="43">
        <f t="shared" si="195"/>
        <v>0</v>
      </c>
      <c r="IS87" s="43">
        <f t="shared" si="195"/>
        <v>0</v>
      </c>
      <c r="IT87" s="43">
        <f t="shared" si="195"/>
        <v>0</v>
      </c>
      <c r="IU87" s="43">
        <f t="shared" si="195"/>
        <v>0</v>
      </c>
      <c r="IV87" s="43">
        <f t="shared" si="195"/>
        <v>0</v>
      </c>
      <c r="IW87" s="43">
        <f t="shared" si="195"/>
        <v>0</v>
      </c>
      <c r="IX87" s="43">
        <f t="shared" si="195"/>
        <v>0</v>
      </c>
      <c r="IY87" s="43">
        <f t="shared" si="195"/>
        <v>0</v>
      </c>
      <c r="IZ87" s="43">
        <f t="shared" si="195"/>
        <v>0</v>
      </c>
      <c r="JA87" s="43">
        <f t="shared" si="195"/>
        <v>0</v>
      </c>
      <c r="JB87" s="43">
        <f t="shared" si="195"/>
        <v>0</v>
      </c>
      <c r="JC87" s="43">
        <f t="shared" si="195"/>
        <v>0</v>
      </c>
      <c r="JD87" s="43">
        <f t="shared" si="195"/>
        <v>0</v>
      </c>
      <c r="JE87" s="43">
        <f t="shared" si="195"/>
        <v>0</v>
      </c>
      <c r="JF87" s="43">
        <f t="shared" si="195"/>
        <v>0</v>
      </c>
      <c r="JG87" s="43">
        <f t="shared" si="195"/>
        <v>0</v>
      </c>
      <c r="JH87" s="43">
        <f t="shared" si="195"/>
        <v>0</v>
      </c>
      <c r="JI87" s="43">
        <f t="shared" si="195"/>
        <v>0</v>
      </c>
      <c r="JJ87" s="43">
        <f t="shared" si="195"/>
        <v>0</v>
      </c>
      <c r="JK87" s="43">
        <f t="shared" ref="JK87:KI87" si="196">$G87*JK74</f>
        <v>0</v>
      </c>
      <c r="JL87" s="43">
        <f t="shared" si="196"/>
        <v>0</v>
      </c>
      <c r="JM87" s="43">
        <f t="shared" si="196"/>
        <v>0</v>
      </c>
      <c r="JN87" s="43">
        <f t="shared" si="196"/>
        <v>0</v>
      </c>
      <c r="JO87" s="43">
        <f t="shared" si="196"/>
        <v>0</v>
      </c>
      <c r="JP87" s="43">
        <f t="shared" si="196"/>
        <v>0</v>
      </c>
      <c r="JQ87" s="43">
        <f t="shared" si="196"/>
        <v>0</v>
      </c>
      <c r="JR87" s="43">
        <f t="shared" si="196"/>
        <v>0</v>
      </c>
      <c r="JS87" s="43">
        <f t="shared" si="196"/>
        <v>0</v>
      </c>
      <c r="JT87" s="43">
        <f t="shared" si="196"/>
        <v>0</v>
      </c>
      <c r="JU87" s="43">
        <f t="shared" si="196"/>
        <v>0</v>
      </c>
      <c r="JV87" s="43">
        <f t="shared" si="196"/>
        <v>0</v>
      </c>
      <c r="JW87" s="43">
        <f t="shared" si="196"/>
        <v>0</v>
      </c>
      <c r="JX87" s="43">
        <f t="shared" si="196"/>
        <v>0</v>
      </c>
      <c r="JY87" s="43">
        <f t="shared" si="196"/>
        <v>0</v>
      </c>
      <c r="JZ87" s="43">
        <f t="shared" si="196"/>
        <v>0</v>
      </c>
      <c r="KA87" s="43">
        <f t="shared" si="196"/>
        <v>0</v>
      </c>
      <c r="KB87" s="43">
        <f t="shared" si="196"/>
        <v>0</v>
      </c>
      <c r="KC87" s="43">
        <f t="shared" si="196"/>
        <v>0</v>
      </c>
      <c r="KD87" s="43">
        <f t="shared" si="196"/>
        <v>0</v>
      </c>
      <c r="KE87" s="43">
        <f t="shared" si="196"/>
        <v>0</v>
      </c>
      <c r="KF87" s="43">
        <f t="shared" si="196"/>
        <v>0</v>
      </c>
      <c r="KG87" s="43">
        <f t="shared" si="196"/>
        <v>0</v>
      </c>
      <c r="KH87" s="43">
        <f t="shared" si="196"/>
        <v>0</v>
      </c>
      <c r="KI87" s="43">
        <f t="shared" si="196"/>
        <v>0</v>
      </c>
      <c r="KJ87" s="1"/>
    </row>
    <row r="88" spans="7:296" x14ac:dyDescent="0.35">
      <c r="H88" s="8" t="s">
        <v>16</v>
      </c>
      <c r="M88" s="47" t="s">
        <v>104</v>
      </c>
      <c r="N88" s="50">
        <f>SUM(N86:N87)*N74</f>
        <v>0.08</v>
      </c>
      <c r="O88" s="50">
        <f t="shared" ref="O88:BZ88" si="197">SUM(O86:O87)*O74</f>
        <v>0.08</v>
      </c>
      <c r="P88" s="50">
        <f t="shared" si="197"/>
        <v>0.08</v>
      </c>
      <c r="Q88" s="50">
        <f t="shared" si="197"/>
        <v>0.08</v>
      </c>
      <c r="R88" s="50">
        <f t="shared" si="197"/>
        <v>0.08</v>
      </c>
      <c r="S88" s="50">
        <f t="shared" si="197"/>
        <v>0.08</v>
      </c>
      <c r="T88" s="50">
        <f t="shared" si="197"/>
        <v>0</v>
      </c>
      <c r="U88" s="50">
        <f t="shared" si="197"/>
        <v>0</v>
      </c>
      <c r="V88" s="50">
        <f t="shared" si="197"/>
        <v>0</v>
      </c>
      <c r="W88" s="50">
        <f t="shared" si="197"/>
        <v>0</v>
      </c>
      <c r="X88" s="50">
        <f t="shared" si="197"/>
        <v>0</v>
      </c>
      <c r="Y88" s="50">
        <f t="shared" si="197"/>
        <v>0</v>
      </c>
      <c r="Z88" s="50">
        <f t="shared" si="197"/>
        <v>0</v>
      </c>
      <c r="AA88" s="50">
        <f t="shared" si="197"/>
        <v>0</v>
      </c>
      <c r="AB88" s="50">
        <f t="shared" si="197"/>
        <v>0</v>
      </c>
      <c r="AC88" s="50">
        <f t="shared" si="197"/>
        <v>0</v>
      </c>
      <c r="AD88" s="50">
        <f t="shared" si="197"/>
        <v>0</v>
      </c>
      <c r="AE88" s="50">
        <f t="shared" si="197"/>
        <v>0</v>
      </c>
      <c r="AF88" s="50">
        <f t="shared" si="197"/>
        <v>0</v>
      </c>
      <c r="AG88" s="50">
        <f t="shared" si="197"/>
        <v>0</v>
      </c>
      <c r="AH88" s="50">
        <f t="shared" si="197"/>
        <v>0</v>
      </c>
      <c r="AI88" s="50">
        <f t="shared" si="197"/>
        <v>0</v>
      </c>
      <c r="AJ88" s="50">
        <f t="shared" si="197"/>
        <v>0</v>
      </c>
      <c r="AK88" s="50">
        <f t="shared" si="197"/>
        <v>0</v>
      </c>
      <c r="AL88" s="50">
        <f t="shared" si="197"/>
        <v>0</v>
      </c>
      <c r="AM88" s="50">
        <f t="shared" si="197"/>
        <v>0</v>
      </c>
      <c r="AN88" s="50">
        <f t="shared" si="197"/>
        <v>0</v>
      </c>
      <c r="AO88" s="50">
        <f t="shared" si="197"/>
        <v>0</v>
      </c>
      <c r="AP88" s="50">
        <f t="shared" si="197"/>
        <v>0</v>
      </c>
      <c r="AQ88" s="50">
        <f t="shared" si="197"/>
        <v>0</v>
      </c>
      <c r="AR88" s="50">
        <f t="shared" si="197"/>
        <v>0</v>
      </c>
      <c r="AS88" s="50">
        <f t="shared" si="197"/>
        <v>0</v>
      </c>
      <c r="AT88" s="50">
        <f t="shared" si="197"/>
        <v>0</v>
      </c>
      <c r="AU88" s="50">
        <f t="shared" si="197"/>
        <v>0</v>
      </c>
      <c r="AV88" s="50">
        <f t="shared" si="197"/>
        <v>0</v>
      </c>
      <c r="AW88" s="50">
        <f t="shared" si="197"/>
        <v>0</v>
      </c>
      <c r="AX88" s="50">
        <f t="shared" si="197"/>
        <v>0</v>
      </c>
      <c r="AY88" s="50">
        <f t="shared" si="197"/>
        <v>0</v>
      </c>
      <c r="AZ88" s="50">
        <f t="shared" si="197"/>
        <v>0</v>
      </c>
      <c r="BA88" s="50">
        <f t="shared" si="197"/>
        <v>0</v>
      </c>
      <c r="BB88" s="50">
        <f t="shared" si="197"/>
        <v>0</v>
      </c>
      <c r="BC88" s="50">
        <f t="shared" si="197"/>
        <v>0</v>
      </c>
      <c r="BD88" s="50">
        <f t="shared" si="197"/>
        <v>0</v>
      </c>
      <c r="BE88" s="50">
        <f t="shared" si="197"/>
        <v>0</v>
      </c>
      <c r="BF88" s="50">
        <f t="shared" si="197"/>
        <v>0</v>
      </c>
      <c r="BG88" s="50">
        <f t="shared" si="197"/>
        <v>0</v>
      </c>
      <c r="BH88" s="50">
        <f t="shared" si="197"/>
        <v>0</v>
      </c>
      <c r="BI88" s="50">
        <f t="shared" si="197"/>
        <v>0</v>
      </c>
      <c r="BJ88" s="50">
        <f t="shared" si="197"/>
        <v>0</v>
      </c>
      <c r="BK88" s="50">
        <f t="shared" si="197"/>
        <v>0</v>
      </c>
      <c r="BL88" s="50">
        <f t="shared" si="197"/>
        <v>0</v>
      </c>
      <c r="BM88" s="50">
        <f t="shared" si="197"/>
        <v>0</v>
      </c>
      <c r="BN88" s="50">
        <f t="shared" si="197"/>
        <v>0</v>
      </c>
      <c r="BO88" s="50">
        <f t="shared" si="197"/>
        <v>0</v>
      </c>
      <c r="BP88" s="50">
        <f t="shared" si="197"/>
        <v>0</v>
      </c>
      <c r="BQ88" s="50">
        <f t="shared" si="197"/>
        <v>0</v>
      </c>
      <c r="BR88" s="50">
        <f t="shared" si="197"/>
        <v>0</v>
      </c>
      <c r="BS88" s="50">
        <f t="shared" si="197"/>
        <v>0</v>
      </c>
      <c r="BT88" s="50">
        <f t="shared" si="197"/>
        <v>0</v>
      </c>
      <c r="BU88" s="50">
        <f t="shared" si="197"/>
        <v>0</v>
      </c>
      <c r="BV88" s="50">
        <f t="shared" si="197"/>
        <v>0</v>
      </c>
      <c r="BW88" s="50">
        <f t="shared" si="197"/>
        <v>0</v>
      </c>
      <c r="BX88" s="50">
        <f t="shared" si="197"/>
        <v>0</v>
      </c>
      <c r="BY88" s="50">
        <f t="shared" si="197"/>
        <v>0</v>
      </c>
      <c r="BZ88" s="50">
        <f t="shared" si="197"/>
        <v>0</v>
      </c>
      <c r="CA88" s="50">
        <f t="shared" ref="CA88:EL88" si="198">SUM(CA86:CA87)*CA74</f>
        <v>0</v>
      </c>
      <c r="CB88" s="50">
        <f t="shared" si="198"/>
        <v>0</v>
      </c>
      <c r="CC88" s="50">
        <f t="shared" si="198"/>
        <v>0</v>
      </c>
      <c r="CD88" s="50">
        <f t="shared" si="198"/>
        <v>0</v>
      </c>
      <c r="CE88" s="50">
        <f t="shared" si="198"/>
        <v>0</v>
      </c>
      <c r="CF88" s="50">
        <f t="shared" si="198"/>
        <v>0</v>
      </c>
      <c r="CG88" s="50">
        <f t="shared" si="198"/>
        <v>0</v>
      </c>
      <c r="CH88" s="50">
        <f t="shared" si="198"/>
        <v>0</v>
      </c>
      <c r="CI88" s="50">
        <f t="shared" si="198"/>
        <v>0</v>
      </c>
      <c r="CJ88" s="50">
        <f t="shared" si="198"/>
        <v>0</v>
      </c>
      <c r="CK88" s="50">
        <f t="shared" si="198"/>
        <v>0</v>
      </c>
      <c r="CL88" s="50">
        <f t="shared" si="198"/>
        <v>0</v>
      </c>
      <c r="CM88" s="50">
        <f t="shared" si="198"/>
        <v>0</v>
      </c>
      <c r="CN88" s="50">
        <f t="shared" si="198"/>
        <v>0</v>
      </c>
      <c r="CO88" s="50">
        <f t="shared" si="198"/>
        <v>0</v>
      </c>
      <c r="CP88" s="50">
        <f t="shared" si="198"/>
        <v>0</v>
      </c>
      <c r="CQ88" s="50">
        <f t="shared" si="198"/>
        <v>0</v>
      </c>
      <c r="CR88" s="50">
        <f t="shared" si="198"/>
        <v>0</v>
      </c>
      <c r="CS88" s="50">
        <f t="shared" si="198"/>
        <v>0</v>
      </c>
      <c r="CT88" s="50">
        <f t="shared" si="198"/>
        <v>0</v>
      </c>
      <c r="CU88" s="50">
        <f t="shared" si="198"/>
        <v>0</v>
      </c>
      <c r="CV88" s="50">
        <f t="shared" si="198"/>
        <v>0</v>
      </c>
      <c r="CW88" s="50">
        <f t="shared" si="198"/>
        <v>0</v>
      </c>
      <c r="CX88" s="50">
        <f t="shared" si="198"/>
        <v>0</v>
      </c>
      <c r="CY88" s="50">
        <f t="shared" si="198"/>
        <v>0</v>
      </c>
      <c r="CZ88" s="50">
        <f t="shared" si="198"/>
        <v>0</v>
      </c>
      <c r="DA88" s="50">
        <f t="shared" si="198"/>
        <v>0</v>
      </c>
      <c r="DB88" s="50">
        <f t="shared" si="198"/>
        <v>0</v>
      </c>
      <c r="DC88" s="50">
        <f t="shared" si="198"/>
        <v>0</v>
      </c>
      <c r="DD88" s="50">
        <f t="shared" si="198"/>
        <v>0</v>
      </c>
      <c r="DE88" s="50">
        <f t="shared" si="198"/>
        <v>0</v>
      </c>
      <c r="DF88" s="50">
        <f t="shared" si="198"/>
        <v>0</v>
      </c>
      <c r="DG88" s="50">
        <f t="shared" si="198"/>
        <v>0</v>
      </c>
      <c r="DH88" s="50">
        <f t="shared" si="198"/>
        <v>0</v>
      </c>
      <c r="DI88" s="50">
        <f t="shared" si="198"/>
        <v>0</v>
      </c>
      <c r="DJ88" s="50">
        <f t="shared" si="198"/>
        <v>0</v>
      </c>
      <c r="DK88" s="50">
        <f t="shared" si="198"/>
        <v>0</v>
      </c>
      <c r="DL88" s="50">
        <f t="shared" si="198"/>
        <v>0</v>
      </c>
      <c r="DM88" s="50">
        <f t="shared" si="198"/>
        <v>0</v>
      </c>
      <c r="DN88" s="50">
        <f t="shared" si="198"/>
        <v>0</v>
      </c>
      <c r="DO88" s="50">
        <f t="shared" si="198"/>
        <v>0</v>
      </c>
      <c r="DP88" s="50">
        <f t="shared" si="198"/>
        <v>0</v>
      </c>
      <c r="DQ88" s="50">
        <f t="shared" si="198"/>
        <v>0</v>
      </c>
      <c r="DR88" s="50">
        <f t="shared" si="198"/>
        <v>0</v>
      </c>
      <c r="DS88" s="50">
        <f t="shared" si="198"/>
        <v>0</v>
      </c>
      <c r="DT88" s="50">
        <f t="shared" si="198"/>
        <v>0</v>
      </c>
      <c r="DU88" s="50">
        <f t="shared" si="198"/>
        <v>0</v>
      </c>
      <c r="DV88" s="50">
        <f t="shared" si="198"/>
        <v>0</v>
      </c>
      <c r="DW88" s="50">
        <f t="shared" si="198"/>
        <v>0</v>
      </c>
      <c r="DX88" s="50">
        <f t="shared" si="198"/>
        <v>0</v>
      </c>
      <c r="DY88" s="50">
        <f t="shared" si="198"/>
        <v>0</v>
      </c>
      <c r="DZ88" s="50">
        <f t="shared" si="198"/>
        <v>0</v>
      </c>
      <c r="EA88" s="50">
        <f t="shared" si="198"/>
        <v>0</v>
      </c>
      <c r="EB88" s="50">
        <f t="shared" si="198"/>
        <v>0</v>
      </c>
      <c r="EC88" s="50">
        <f t="shared" si="198"/>
        <v>0</v>
      </c>
      <c r="ED88" s="50">
        <f t="shared" si="198"/>
        <v>0</v>
      </c>
      <c r="EE88" s="50">
        <f t="shared" si="198"/>
        <v>0</v>
      </c>
      <c r="EF88" s="50">
        <f t="shared" si="198"/>
        <v>0</v>
      </c>
      <c r="EG88" s="50">
        <f t="shared" si="198"/>
        <v>0</v>
      </c>
      <c r="EH88" s="50">
        <f t="shared" si="198"/>
        <v>0</v>
      </c>
      <c r="EI88" s="50">
        <f t="shared" si="198"/>
        <v>0</v>
      </c>
      <c r="EJ88" s="50">
        <f t="shared" si="198"/>
        <v>0</v>
      </c>
      <c r="EK88" s="50">
        <f t="shared" si="198"/>
        <v>0</v>
      </c>
      <c r="EL88" s="50">
        <f t="shared" si="198"/>
        <v>0</v>
      </c>
      <c r="EM88" s="50">
        <f t="shared" ref="EM88:GX88" si="199">SUM(EM86:EM87)*EM74</f>
        <v>0</v>
      </c>
      <c r="EN88" s="50">
        <f t="shared" si="199"/>
        <v>0</v>
      </c>
      <c r="EO88" s="50">
        <f t="shared" si="199"/>
        <v>0</v>
      </c>
      <c r="EP88" s="50">
        <f t="shared" si="199"/>
        <v>0</v>
      </c>
      <c r="EQ88" s="50">
        <f t="shared" si="199"/>
        <v>0</v>
      </c>
      <c r="ER88" s="50">
        <f t="shared" si="199"/>
        <v>0</v>
      </c>
      <c r="ES88" s="50">
        <f t="shared" si="199"/>
        <v>0</v>
      </c>
      <c r="ET88" s="50">
        <f t="shared" si="199"/>
        <v>0</v>
      </c>
      <c r="EU88" s="50">
        <f t="shared" si="199"/>
        <v>0</v>
      </c>
      <c r="EV88" s="50">
        <f t="shared" si="199"/>
        <v>0</v>
      </c>
      <c r="EW88" s="50">
        <f t="shared" si="199"/>
        <v>0</v>
      </c>
      <c r="EX88" s="50">
        <f t="shared" si="199"/>
        <v>0</v>
      </c>
      <c r="EY88" s="50">
        <f t="shared" si="199"/>
        <v>0</v>
      </c>
      <c r="EZ88" s="50">
        <f t="shared" si="199"/>
        <v>0</v>
      </c>
      <c r="FA88" s="50">
        <f t="shared" si="199"/>
        <v>0</v>
      </c>
      <c r="FB88" s="50">
        <f t="shared" si="199"/>
        <v>0</v>
      </c>
      <c r="FC88" s="50">
        <f t="shared" si="199"/>
        <v>0</v>
      </c>
      <c r="FD88" s="50">
        <f t="shared" si="199"/>
        <v>0</v>
      </c>
      <c r="FE88" s="50">
        <f t="shared" si="199"/>
        <v>0</v>
      </c>
      <c r="FF88" s="50">
        <f t="shared" si="199"/>
        <v>0</v>
      </c>
      <c r="FG88" s="50">
        <f t="shared" si="199"/>
        <v>0</v>
      </c>
      <c r="FH88" s="50">
        <f t="shared" si="199"/>
        <v>0</v>
      </c>
      <c r="FI88" s="50">
        <f t="shared" si="199"/>
        <v>0</v>
      </c>
      <c r="FJ88" s="50">
        <f t="shared" si="199"/>
        <v>0</v>
      </c>
      <c r="FK88" s="50">
        <f t="shared" si="199"/>
        <v>0</v>
      </c>
      <c r="FL88" s="50">
        <f t="shared" si="199"/>
        <v>0</v>
      </c>
      <c r="FM88" s="50">
        <f t="shared" si="199"/>
        <v>0</v>
      </c>
      <c r="FN88" s="50">
        <f t="shared" si="199"/>
        <v>0</v>
      </c>
      <c r="FO88" s="50">
        <f t="shared" si="199"/>
        <v>0</v>
      </c>
      <c r="FP88" s="50">
        <f t="shared" si="199"/>
        <v>0</v>
      </c>
      <c r="FQ88" s="50">
        <f t="shared" si="199"/>
        <v>0</v>
      </c>
      <c r="FR88" s="50">
        <f t="shared" si="199"/>
        <v>0</v>
      </c>
      <c r="FS88" s="50">
        <f t="shared" si="199"/>
        <v>0</v>
      </c>
      <c r="FT88" s="50">
        <f t="shared" si="199"/>
        <v>0</v>
      </c>
      <c r="FU88" s="50">
        <f t="shared" si="199"/>
        <v>0</v>
      </c>
      <c r="FV88" s="50">
        <f t="shared" si="199"/>
        <v>0</v>
      </c>
      <c r="FW88" s="50">
        <f t="shared" si="199"/>
        <v>0</v>
      </c>
      <c r="FX88" s="50">
        <f t="shared" si="199"/>
        <v>0</v>
      </c>
      <c r="FY88" s="50">
        <f t="shared" si="199"/>
        <v>0</v>
      </c>
      <c r="FZ88" s="50">
        <f t="shared" si="199"/>
        <v>0</v>
      </c>
      <c r="GA88" s="50">
        <f t="shared" si="199"/>
        <v>0</v>
      </c>
      <c r="GB88" s="50">
        <f t="shared" si="199"/>
        <v>0</v>
      </c>
      <c r="GC88" s="50">
        <f t="shared" si="199"/>
        <v>0</v>
      </c>
      <c r="GD88" s="50">
        <f t="shared" si="199"/>
        <v>0</v>
      </c>
      <c r="GE88" s="50">
        <f t="shared" si="199"/>
        <v>0</v>
      </c>
      <c r="GF88" s="50">
        <f t="shared" si="199"/>
        <v>0</v>
      </c>
      <c r="GG88" s="50">
        <f t="shared" si="199"/>
        <v>0</v>
      </c>
      <c r="GH88" s="50">
        <f t="shared" si="199"/>
        <v>0</v>
      </c>
      <c r="GI88" s="50">
        <f t="shared" si="199"/>
        <v>0</v>
      </c>
      <c r="GJ88" s="50">
        <f t="shared" si="199"/>
        <v>0</v>
      </c>
      <c r="GK88" s="50">
        <f t="shared" si="199"/>
        <v>0</v>
      </c>
      <c r="GL88" s="50">
        <f t="shared" si="199"/>
        <v>0</v>
      </c>
      <c r="GM88" s="50">
        <f t="shared" si="199"/>
        <v>0</v>
      </c>
      <c r="GN88" s="50">
        <f t="shared" si="199"/>
        <v>0</v>
      </c>
      <c r="GO88" s="50">
        <f t="shared" si="199"/>
        <v>0</v>
      </c>
      <c r="GP88" s="50">
        <f t="shared" si="199"/>
        <v>0</v>
      </c>
      <c r="GQ88" s="50">
        <f t="shared" si="199"/>
        <v>0</v>
      </c>
      <c r="GR88" s="50">
        <f t="shared" si="199"/>
        <v>0</v>
      </c>
      <c r="GS88" s="50">
        <f t="shared" si="199"/>
        <v>0</v>
      </c>
      <c r="GT88" s="50">
        <f t="shared" si="199"/>
        <v>0</v>
      </c>
      <c r="GU88" s="50">
        <f t="shared" si="199"/>
        <v>0</v>
      </c>
      <c r="GV88" s="50">
        <f t="shared" si="199"/>
        <v>0</v>
      </c>
      <c r="GW88" s="50">
        <f t="shared" si="199"/>
        <v>0</v>
      </c>
      <c r="GX88" s="50">
        <f t="shared" si="199"/>
        <v>0</v>
      </c>
      <c r="GY88" s="50">
        <f t="shared" ref="GY88:JJ88" si="200">SUM(GY86:GY87)*GY74</f>
        <v>0</v>
      </c>
      <c r="GZ88" s="50">
        <f t="shared" si="200"/>
        <v>0</v>
      </c>
      <c r="HA88" s="50">
        <f t="shared" si="200"/>
        <v>0</v>
      </c>
      <c r="HB88" s="50">
        <f t="shared" si="200"/>
        <v>0</v>
      </c>
      <c r="HC88" s="50">
        <f t="shared" si="200"/>
        <v>0</v>
      </c>
      <c r="HD88" s="50">
        <f t="shared" si="200"/>
        <v>0</v>
      </c>
      <c r="HE88" s="50">
        <f t="shared" si="200"/>
        <v>0</v>
      </c>
      <c r="HF88" s="50">
        <f t="shared" si="200"/>
        <v>0</v>
      </c>
      <c r="HG88" s="50">
        <f t="shared" si="200"/>
        <v>0</v>
      </c>
      <c r="HH88" s="50">
        <f t="shared" si="200"/>
        <v>0</v>
      </c>
      <c r="HI88" s="50">
        <f t="shared" si="200"/>
        <v>0</v>
      </c>
      <c r="HJ88" s="50">
        <f t="shared" si="200"/>
        <v>0</v>
      </c>
      <c r="HK88" s="50">
        <f t="shared" si="200"/>
        <v>0</v>
      </c>
      <c r="HL88" s="50">
        <f t="shared" si="200"/>
        <v>0</v>
      </c>
      <c r="HM88" s="50">
        <f t="shared" si="200"/>
        <v>0</v>
      </c>
      <c r="HN88" s="50">
        <f t="shared" si="200"/>
        <v>0</v>
      </c>
      <c r="HO88" s="50">
        <f t="shared" si="200"/>
        <v>0</v>
      </c>
      <c r="HP88" s="50">
        <f t="shared" si="200"/>
        <v>0</v>
      </c>
      <c r="HQ88" s="50">
        <f t="shared" si="200"/>
        <v>0</v>
      </c>
      <c r="HR88" s="50">
        <f t="shared" si="200"/>
        <v>0</v>
      </c>
      <c r="HS88" s="50">
        <f t="shared" si="200"/>
        <v>0</v>
      </c>
      <c r="HT88" s="50">
        <f t="shared" si="200"/>
        <v>0</v>
      </c>
      <c r="HU88" s="50">
        <f t="shared" si="200"/>
        <v>0</v>
      </c>
      <c r="HV88" s="50">
        <f t="shared" si="200"/>
        <v>0</v>
      </c>
      <c r="HW88" s="50">
        <f t="shared" si="200"/>
        <v>0</v>
      </c>
      <c r="HX88" s="50">
        <f t="shared" si="200"/>
        <v>0</v>
      </c>
      <c r="HY88" s="50">
        <f t="shared" si="200"/>
        <v>0</v>
      </c>
      <c r="HZ88" s="50">
        <f t="shared" si="200"/>
        <v>0</v>
      </c>
      <c r="IA88" s="50">
        <f t="shared" si="200"/>
        <v>0</v>
      </c>
      <c r="IB88" s="50">
        <f t="shared" si="200"/>
        <v>0</v>
      </c>
      <c r="IC88" s="50">
        <f t="shared" si="200"/>
        <v>0</v>
      </c>
      <c r="ID88" s="50">
        <f t="shared" si="200"/>
        <v>0</v>
      </c>
      <c r="IE88" s="50">
        <f t="shared" si="200"/>
        <v>0</v>
      </c>
      <c r="IF88" s="50">
        <f t="shared" si="200"/>
        <v>0</v>
      </c>
      <c r="IG88" s="50">
        <f t="shared" si="200"/>
        <v>0</v>
      </c>
      <c r="IH88" s="50">
        <f t="shared" si="200"/>
        <v>0</v>
      </c>
      <c r="II88" s="50">
        <f t="shared" si="200"/>
        <v>0</v>
      </c>
      <c r="IJ88" s="50">
        <f t="shared" si="200"/>
        <v>0</v>
      </c>
      <c r="IK88" s="50">
        <f t="shared" si="200"/>
        <v>0</v>
      </c>
      <c r="IL88" s="50">
        <f t="shared" si="200"/>
        <v>0</v>
      </c>
      <c r="IM88" s="50">
        <f t="shared" si="200"/>
        <v>0</v>
      </c>
      <c r="IN88" s="50">
        <f t="shared" si="200"/>
        <v>0</v>
      </c>
      <c r="IO88" s="50">
        <f t="shared" si="200"/>
        <v>0</v>
      </c>
      <c r="IP88" s="50">
        <f t="shared" si="200"/>
        <v>0</v>
      </c>
      <c r="IQ88" s="50">
        <f t="shared" si="200"/>
        <v>0</v>
      </c>
      <c r="IR88" s="50">
        <f t="shared" si="200"/>
        <v>0</v>
      </c>
      <c r="IS88" s="50">
        <f t="shared" si="200"/>
        <v>0</v>
      </c>
      <c r="IT88" s="50">
        <f t="shared" si="200"/>
        <v>0</v>
      </c>
      <c r="IU88" s="50">
        <f t="shared" si="200"/>
        <v>0</v>
      </c>
      <c r="IV88" s="50">
        <f t="shared" si="200"/>
        <v>0</v>
      </c>
      <c r="IW88" s="50">
        <f t="shared" si="200"/>
        <v>0</v>
      </c>
      <c r="IX88" s="50">
        <f t="shared" si="200"/>
        <v>0</v>
      </c>
      <c r="IY88" s="50">
        <f t="shared" si="200"/>
        <v>0</v>
      </c>
      <c r="IZ88" s="50">
        <f t="shared" si="200"/>
        <v>0</v>
      </c>
      <c r="JA88" s="50">
        <f t="shared" si="200"/>
        <v>0</v>
      </c>
      <c r="JB88" s="50">
        <f t="shared" si="200"/>
        <v>0</v>
      </c>
      <c r="JC88" s="50">
        <f t="shared" si="200"/>
        <v>0</v>
      </c>
      <c r="JD88" s="50">
        <f t="shared" si="200"/>
        <v>0</v>
      </c>
      <c r="JE88" s="50">
        <f t="shared" si="200"/>
        <v>0</v>
      </c>
      <c r="JF88" s="50">
        <f t="shared" si="200"/>
        <v>0</v>
      </c>
      <c r="JG88" s="50">
        <f t="shared" si="200"/>
        <v>0</v>
      </c>
      <c r="JH88" s="50">
        <f t="shared" si="200"/>
        <v>0</v>
      </c>
      <c r="JI88" s="50">
        <f t="shared" si="200"/>
        <v>0</v>
      </c>
      <c r="JJ88" s="50">
        <f t="shared" si="200"/>
        <v>0</v>
      </c>
      <c r="JK88" s="50">
        <f t="shared" ref="JK88:KI88" si="201">SUM(JK86:JK87)*JK74</f>
        <v>0</v>
      </c>
      <c r="JL88" s="50">
        <f t="shared" si="201"/>
        <v>0</v>
      </c>
      <c r="JM88" s="50">
        <f t="shared" si="201"/>
        <v>0</v>
      </c>
      <c r="JN88" s="50">
        <f t="shared" si="201"/>
        <v>0</v>
      </c>
      <c r="JO88" s="50">
        <f t="shared" si="201"/>
        <v>0</v>
      </c>
      <c r="JP88" s="50">
        <f t="shared" si="201"/>
        <v>0</v>
      </c>
      <c r="JQ88" s="50">
        <f t="shared" si="201"/>
        <v>0</v>
      </c>
      <c r="JR88" s="50">
        <f t="shared" si="201"/>
        <v>0</v>
      </c>
      <c r="JS88" s="50">
        <f t="shared" si="201"/>
        <v>0</v>
      </c>
      <c r="JT88" s="50">
        <f t="shared" si="201"/>
        <v>0</v>
      </c>
      <c r="JU88" s="50">
        <f t="shared" si="201"/>
        <v>0</v>
      </c>
      <c r="JV88" s="50">
        <f t="shared" si="201"/>
        <v>0</v>
      </c>
      <c r="JW88" s="50">
        <f t="shared" si="201"/>
        <v>0</v>
      </c>
      <c r="JX88" s="50">
        <f t="shared" si="201"/>
        <v>0</v>
      </c>
      <c r="JY88" s="50">
        <f t="shared" si="201"/>
        <v>0</v>
      </c>
      <c r="JZ88" s="50">
        <f t="shared" si="201"/>
        <v>0</v>
      </c>
      <c r="KA88" s="50">
        <f t="shared" si="201"/>
        <v>0</v>
      </c>
      <c r="KB88" s="50">
        <f t="shared" si="201"/>
        <v>0</v>
      </c>
      <c r="KC88" s="50">
        <f t="shared" si="201"/>
        <v>0</v>
      </c>
      <c r="KD88" s="50">
        <f t="shared" si="201"/>
        <v>0</v>
      </c>
      <c r="KE88" s="50">
        <f t="shared" si="201"/>
        <v>0</v>
      </c>
      <c r="KF88" s="50">
        <f t="shared" si="201"/>
        <v>0</v>
      </c>
      <c r="KG88" s="50">
        <f t="shared" si="201"/>
        <v>0</v>
      </c>
      <c r="KH88" s="50">
        <f t="shared" si="201"/>
        <v>0</v>
      </c>
      <c r="KI88" s="50">
        <f t="shared" si="201"/>
        <v>0</v>
      </c>
      <c r="KJ88" s="1"/>
    </row>
    <row r="89" spans="7:296" x14ac:dyDescent="0.35">
      <c r="KJ89" s="1"/>
    </row>
    <row r="90" spans="7:296" x14ac:dyDescent="0.35">
      <c r="L90" s="22" t="s">
        <v>105</v>
      </c>
      <c r="S90" s="51"/>
      <c r="KJ90" s="1"/>
    </row>
    <row r="91" spans="7:296" x14ac:dyDescent="0.35">
      <c r="H91" s="13" t="s">
        <v>49</v>
      </c>
      <c r="M91" s="6" t="s">
        <v>106</v>
      </c>
      <c r="N91" s="48">
        <f>-N74*((N$12-N$11+1)/360)*N88*N80</f>
        <v>-1.6877777777777778</v>
      </c>
      <c r="O91" s="48">
        <f t="shared" ref="O91:BZ91" si="202">-O74*((O$12-O$11+1)/360)*O88*O80</f>
        <v>-1.6877777777777778</v>
      </c>
      <c r="P91" s="48">
        <f t="shared" si="202"/>
        <v>-1.6333333333333333</v>
      </c>
      <c r="Q91" s="48">
        <f t="shared" si="202"/>
        <v>-1.6877777777777778</v>
      </c>
      <c r="R91" s="48">
        <f t="shared" si="202"/>
        <v>-1.6333333333333333</v>
      </c>
      <c r="S91" s="48">
        <f t="shared" si="202"/>
        <v>-1.6877777777777778</v>
      </c>
      <c r="T91" s="48">
        <f t="shared" si="202"/>
        <v>0</v>
      </c>
      <c r="U91" s="48">
        <f t="shared" si="202"/>
        <v>0</v>
      </c>
      <c r="V91" s="48">
        <f t="shared" si="202"/>
        <v>0</v>
      </c>
      <c r="W91" s="48">
        <f t="shared" si="202"/>
        <v>0</v>
      </c>
      <c r="X91" s="48">
        <f t="shared" si="202"/>
        <v>0</v>
      </c>
      <c r="Y91" s="48">
        <f t="shared" si="202"/>
        <v>0</v>
      </c>
      <c r="Z91" s="48">
        <f t="shared" si="202"/>
        <v>0</v>
      </c>
      <c r="AA91" s="48">
        <f t="shared" si="202"/>
        <v>0</v>
      </c>
      <c r="AB91" s="48">
        <f t="shared" si="202"/>
        <v>0</v>
      </c>
      <c r="AC91" s="48">
        <f t="shared" si="202"/>
        <v>0</v>
      </c>
      <c r="AD91" s="48">
        <f t="shared" si="202"/>
        <v>0</v>
      </c>
      <c r="AE91" s="48">
        <f t="shared" si="202"/>
        <v>0</v>
      </c>
      <c r="AF91" s="48">
        <f t="shared" si="202"/>
        <v>0</v>
      </c>
      <c r="AG91" s="48">
        <f t="shared" si="202"/>
        <v>0</v>
      </c>
      <c r="AH91" s="48">
        <f t="shared" si="202"/>
        <v>0</v>
      </c>
      <c r="AI91" s="48">
        <f t="shared" si="202"/>
        <v>0</v>
      </c>
      <c r="AJ91" s="48">
        <f t="shared" si="202"/>
        <v>0</v>
      </c>
      <c r="AK91" s="48">
        <f t="shared" si="202"/>
        <v>0</v>
      </c>
      <c r="AL91" s="48">
        <f t="shared" si="202"/>
        <v>0</v>
      </c>
      <c r="AM91" s="48">
        <f t="shared" si="202"/>
        <v>0</v>
      </c>
      <c r="AN91" s="48">
        <f t="shared" si="202"/>
        <v>0</v>
      </c>
      <c r="AO91" s="48">
        <f t="shared" si="202"/>
        <v>0</v>
      </c>
      <c r="AP91" s="48">
        <f t="shared" si="202"/>
        <v>0</v>
      </c>
      <c r="AQ91" s="48">
        <f t="shared" si="202"/>
        <v>0</v>
      </c>
      <c r="AR91" s="48">
        <f t="shared" si="202"/>
        <v>0</v>
      </c>
      <c r="AS91" s="48">
        <f t="shared" si="202"/>
        <v>0</v>
      </c>
      <c r="AT91" s="48">
        <f t="shared" si="202"/>
        <v>0</v>
      </c>
      <c r="AU91" s="48">
        <f t="shared" si="202"/>
        <v>0</v>
      </c>
      <c r="AV91" s="48">
        <f t="shared" si="202"/>
        <v>0</v>
      </c>
      <c r="AW91" s="48">
        <f t="shared" si="202"/>
        <v>0</v>
      </c>
      <c r="AX91" s="48">
        <f t="shared" si="202"/>
        <v>0</v>
      </c>
      <c r="AY91" s="48">
        <f t="shared" si="202"/>
        <v>0</v>
      </c>
      <c r="AZ91" s="48">
        <f t="shared" si="202"/>
        <v>0</v>
      </c>
      <c r="BA91" s="48">
        <f t="shared" si="202"/>
        <v>0</v>
      </c>
      <c r="BB91" s="48">
        <f t="shared" si="202"/>
        <v>0</v>
      </c>
      <c r="BC91" s="48">
        <f t="shared" si="202"/>
        <v>0</v>
      </c>
      <c r="BD91" s="48">
        <f t="shared" si="202"/>
        <v>0</v>
      </c>
      <c r="BE91" s="48">
        <f t="shared" si="202"/>
        <v>0</v>
      </c>
      <c r="BF91" s="48">
        <f t="shared" si="202"/>
        <v>0</v>
      </c>
      <c r="BG91" s="48">
        <f t="shared" si="202"/>
        <v>0</v>
      </c>
      <c r="BH91" s="48">
        <f t="shared" si="202"/>
        <v>0</v>
      </c>
      <c r="BI91" s="48">
        <f t="shared" si="202"/>
        <v>0</v>
      </c>
      <c r="BJ91" s="48">
        <f t="shared" si="202"/>
        <v>0</v>
      </c>
      <c r="BK91" s="48">
        <f t="shared" si="202"/>
        <v>0</v>
      </c>
      <c r="BL91" s="48">
        <f t="shared" si="202"/>
        <v>0</v>
      </c>
      <c r="BM91" s="48">
        <f t="shared" si="202"/>
        <v>0</v>
      </c>
      <c r="BN91" s="48">
        <f t="shared" si="202"/>
        <v>0</v>
      </c>
      <c r="BO91" s="48">
        <f t="shared" si="202"/>
        <v>0</v>
      </c>
      <c r="BP91" s="48">
        <f t="shared" si="202"/>
        <v>0</v>
      </c>
      <c r="BQ91" s="48">
        <f t="shared" si="202"/>
        <v>0</v>
      </c>
      <c r="BR91" s="48">
        <f t="shared" si="202"/>
        <v>0</v>
      </c>
      <c r="BS91" s="48">
        <f t="shared" si="202"/>
        <v>0</v>
      </c>
      <c r="BT91" s="48">
        <f t="shared" si="202"/>
        <v>0</v>
      </c>
      <c r="BU91" s="48">
        <f t="shared" si="202"/>
        <v>0</v>
      </c>
      <c r="BV91" s="48">
        <f t="shared" si="202"/>
        <v>0</v>
      </c>
      <c r="BW91" s="48">
        <f t="shared" si="202"/>
        <v>0</v>
      </c>
      <c r="BX91" s="48">
        <f t="shared" si="202"/>
        <v>0</v>
      </c>
      <c r="BY91" s="48">
        <f t="shared" si="202"/>
        <v>0</v>
      </c>
      <c r="BZ91" s="48">
        <f t="shared" si="202"/>
        <v>0</v>
      </c>
      <c r="CA91" s="48">
        <f t="shared" ref="CA91:EL91" si="203">-CA74*((CA$12-CA$11+1)/360)*CA88*CA80</f>
        <v>0</v>
      </c>
      <c r="CB91" s="48">
        <f t="shared" si="203"/>
        <v>0</v>
      </c>
      <c r="CC91" s="48">
        <f t="shared" si="203"/>
        <v>0</v>
      </c>
      <c r="CD91" s="48">
        <f t="shared" si="203"/>
        <v>0</v>
      </c>
      <c r="CE91" s="48">
        <f t="shared" si="203"/>
        <v>0</v>
      </c>
      <c r="CF91" s="48">
        <f t="shared" si="203"/>
        <v>0</v>
      </c>
      <c r="CG91" s="48">
        <f t="shared" si="203"/>
        <v>0</v>
      </c>
      <c r="CH91" s="48">
        <f t="shared" si="203"/>
        <v>0</v>
      </c>
      <c r="CI91" s="48">
        <f t="shared" si="203"/>
        <v>0</v>
      </c>
      <c r="CJ91" s="48">
        <f t="shared" si="203"/>
        <v>0</v>
      </c>
      <c r="CK91" s="48">
        <f t="shared" si="203"/>
        <v>0</v>
      </c>
      <c r="CL91" s="48">
        <f t="shared" si="203"/>
        <v>0</v>
      </c>
      <c r="CM91" s="48">
        <f t="shared" si="203"/>
        <v>0</v>
      </c>
      <c r="CN91" s="48">
        <f t="shared" si="203"/>
        <v>0</v>
      </c>
      <c r="CO91" s="48">
        <f t="shared" si="203"/>
        <v>0</v>
      </c>
      <c r="CP91" s="48">
        <f t="shared" si="203"/>
        <v>0</v>
      </c>
      <c r="CQ91" s="48">
        <f t="shared" si="203"/>
        <v>0</v>
      </c>
      <c r="CR91" s="48">
        <f t="shared" si="203"/>
        <v>0</v>
      </c>
      <c r="CS91" s="48">
        <f t="shared" si="203"/>
        <v>0</v>
      </c>
      <c r="CT91" s="48">
        <f t="shared" si="203"/>
        <v>0</v>
      </c>
      <c r="CU91" s="48">
        <f t="shared" si="203"/>
        <v>0</v>
      </c>
      <c r="CV91" s="48">
        <f t="shared" si="203"/>
        <v>0</v>
      </c>
      <c r="CW91" s="48">
        <f t="shared" si="203"/>
        <v>0</v>
      </c>
      <c r="CX91" s="48">
        <f t="shared" si="203"/>
        <v>0</v>
      </c>
      <c r="CY91" s="48">
        <f t="shared" si="203"/>
        <v>0</v>
      </c>
      <c r="CZ91" s="48">
        <f t="shared" si="203"/>
        <v>0</v>
      </c>
      <c r="DA91" s="48">
        <f t="shared" si="203"/>
        <v>0</v>
      </c>
      <c r="DB91" s="48">
        <f t="shared" si="203"/>
        <v>0</v>
      </c>
      <c r="DC91" s="48">
        <f t="shared" si="203"/>
        <v>0</v>
      </c>
      <c r="DD91" s="48">
        <f t="shared" si="203"/>
        <v>0</v>
      </c>
      <c r="DE91" s="48">
        <f t="shared" si="203"/>
        <v>0</v>
      </c>
      <c r="DF91" s="48">
        <f t="shared" si="203"/>
        <v>0</v>
      </c>
      <c r="DG91" s="48">
        <f t="shared" si="203"/>
        <v>0</v>
      </c>
      <c r="DH91" s="48">
        <f t="shared" si="203"/>
        <v>0</v>
      </c>
      <c r="DI91" s="48">
        <f t="shared" si="203"/>
        <v>0</v>
      </c>
      <c r="DJ91" s="48">
        <f t="shared" si="203"/>
        <v>0</v>
      </c>
      <c r="DK91" s="48">
        <f t="shared" si="203"/>
        <v>0</v>
      </c>
      <c r="DL91" s="48">
        <f t="shared" si="203"/>
        <v>0</v>
      </c>
      <c r="DM91" s="48">
        <f t="shared" si="203"/>
        <v>0</v>
      </c>
      <c r="DN91" s="48">
        <f t="shared" si="203"/>
        <v>0</v>
      </c>
      <c r="DO91" s="48">
        <f t="shared" si="203"/>
        <v>0</v>
      </c>
      <c r="DP91" s="48">
        <f t="shared" si="203"/>
        <v>0</v>
      </c>
      <c r="DQ91" s="48">
        <f t="shared" si="203"/>
        <v>0</v>
      </c>
      <c r="DR91" s="48">
        <f t="shared" si="203"/>
        <v>0</v>
      </c>
      <c r="DS91" s="48">
        <f t="shared" si="203"/>
        <v>0</v>
      </c>
      <c r="DT91" s="48">
        <f t="shared" si="203"/>
        <v>0</v>
      </c>
      <c r="DU91" s="48">
        <f t="shared" si="203"/>
        <v>0</v>
      </c>
      <c r="DV91" s="48">
        <f t="shared" si="203"/>
        <v>0</v>
      </c>
      <c r="DW91" s="48">
        <f t="shared" si="203"/>
        <v>0</v>
      </c>
      <c r="DX91" s="48">
        <f t="shared" si="203"/>
        <v>0</v>
      </c>
      <c r="DY91" s="48">
        <f t="shared" si="203"/>
        <v>0</v>
      </c>
      <c r="DZ91" s="48">
        <f t="shared" si="203"/>
        <v>0</v>
      </c>
      <c r="EA91" s="48">
        <f t="shared" si="203"/>
        <v>0</v>
      </c>
      <c r="EB91" s="48">
        <f t="shared" si="203"/>
        <v>0</v>
      </c>
      <c r="EC91" s="48">
        <f t="shared" si="203"/>
        <v>0</v>
      </c>
      <c r="ED91" s="48">
        <f t="shared" si="203"/>
        <v>0</v>
      </c>
      <c r="EE91" s="48">
        <f t="shared" si="203"/>
        <v>0</v>
      </c>
      <c r="EF91" s="48">
        <f t="shared" si="203"/>
        <v>0</v>
      </c>
      <c r="EG91" s="48">
        <f t="shared" si="203"/>
        <v>0</v>
      </c>
      <c r="EH91" s="48">
        <f t="shared" si="203"/>
        <v>0</v>
      </c>
      <c r="EI91" s="48">
        <f t="shared" si="203"/>
        <v>0</v>
      </c>
      <c r="EJ91" s="48">
        <f t="shared" si="203"/>
        <v>0</v>
      </c>
      <c r="EK91" s="48">
        <f t="shared" si="203"/>
        <v>0</v>
      </c>
      <c r="EL91" s="48">
        <f t="shared" si="203"/>
        <v>0</v>
      </c>
      <c r="EM91" s="48">
        <f t="shared" ref="EM91:GX91" si="204">-EM74*((EM$12-EM$11+1)/360)*EM88*EM80</f>
        <v>0</v>
      </c>
      <c r="EN91" s="48">
        <f t="shared" si="204"/>
        <v>0</v>
      </c>
      <c r="EO91" s="48">
        <f t="shared" si="204"/>
        <v>0</v>
      </c>
      <c r="EP91" s="48">
        <f t="shared" si="204"/>
        <v>0</v>
      </c>
      <c r="EQ91" s="48">
        <f t="shared" si="204"/>
        <v>0</v>
      </c>
      <c r="ER91" s="48">
        <f t="shared" si="204"/>
        <v>0</v>
      </c>
      <c r="ES91" s="48">
        <f t="shared" si="204"/>
        <v>0</v>
      </c>
      <c r="ET91" s="48">
        <f t="shared" si="204"/>
        <v>0</v>
      </c>
      <c r="EU91" s="48">
        <f t="shared" si="204"/>
        <v>0</v>
      </c>
      <c r="EV91" s="48">
        <f t="shared" si="204"/>
        <v>0</v>
      </c>
      <c r="EW91" s="48">
        <f t="shared" si="204"/>
        <v>0</v>
      </c>
      <c r="EX91" s="48">
        <f t="shared" si="204"/>
        <v>0</v>
      </c>
      <c r="EY91" s="48">
        <f t="shared" si="204"/>
        <v>0</v>
      </c>
      <c r="EZ91" s="48">
        <f t="shared" si="204"/>
        <v>0</v>
      </c>
      <c r="FA91" s="48">
        <f t="shared" si="204"/>
        <v>0</v>
      </c>
      <c r="FB91" s="48">
        <f t="shared" si="204"/>
        <v>0</v>
      </c>
      <c r="FC91" s="48">
        <f t="shared" si="204"/>
        <v>0</v>
      </c>
      <c r="FD91" s="48">
        <f t="shared" si="204"/>
        <v>0</v>
      </c>
      <c r="FE91" s="48">
        <f t="shared" si="204"/>
        <v>0</v>
      </c>
      <c r="FF91" s="48">
        <f t="shared" si="204"/>
        <v>0</v>
      </c>
      <c r="FG91" s="48">
        <f t="shared" si="204"/>
        <v>0</v>
      </c>
      <c r="FH91" s="48">
        <f t="shared" si="204"/>
        <v>0</v>
      </c>
      <c r="FI91" s="48">
        <f t="shared" si="204"/>
        <v>0</v>
      </c>
      <c r="FJ91" s="48">
        <f t="shared" si="204"/>
        <v>0</v>
      </c>
      <c r="FK91" s="48">
        <f t="shared" si="204"/>
        <v>0</v>
      </c>
      <c r="FL91" s="48">
        <f t="shared" si="204"/>
        <v>0</v>
      </c>
      <c r="FM91" s="48">
        <f t="shared" si="204"/>
        <v>0</v>
      </c>
      <c r="FN91" s="48">
        <f t="shared" si="204"/>
        <v>0</v>
      </c>
      <c r="FO91" s="48">
        <f t="shared" si="204"/>
        <v>0</v>
      </c>
      <c r="FP91" s="48">
        <f t="shared" si="204"/>
        <v>0</v>
      </c>
      <c r="FQ91" s="48">
        <f t="shared" si="204"/>
        <v>0</v>
      </c>
      <c r="FR91" s="48">
        <f t="shared" si="204"/>
        <v>0</v>
      </c>
      <c r="FS91" s="48">
        <f t="shared" si="204"/>
        <v>0</v>
      </c>
      <c r="FT91" s="48">
        <f t="shared" si="204"/>
        <v>0</v>
      </c>
      <c r="FU91" s="48">
        <f t="shared" si="204"/>
        <v>0</v>
      </c>
      <c r="FV91" s="48">
        <f t="shared" si="204"/>
        <v>0</v>
      </c>
      <c r="FW91" s="48">
        <f t="shared" si="204"/>
        <v>0</v>
      </c>
      <c r="FX91" s="48">
        <f t="shared" si="204"/>
        <v>0</v>
      </c>
      <c r="FY91" s="48">
        <f t="shared" si="204"/>
        <v>0</v>
      </c>
      <c r="FZ91" s="48">
        <f t="shared" si="204"/>
        <v>0</v>
      </c>
      <c r="GA91" s="48">
        <f t="shared" si="204"/>
        <v>0</v>
      </c>
      <c r="GB91" s="48">
        <f t="shared" si="204"/>
        <v>0</v>
      </c>
      <c r="GC91" s="48">
        <f t="shared" si="204"/>
        <v>0</v>
      </c>
      <c r="GD91" s="48">
        <f t="shared" si="204"/>
        <v>0</v>
      </c>
      <c r="GE91" s="48">
        <f t="shared" si="204"/>
        <v>0</v>
      </c>
      <c r="GF91" s="48">
        <f t="shared" si="204"/>
        <v>0</v>
      </c>
      <c r="GG91" s="48">
        <f t="shared" si="204"/>
        <v>0</v>
      </c>
      <c r="GH91" s="48">
        <f t="shared" si="204"/>
        <v>0</v>
      </c>
      <c r="GI91" s="48">
        <f t="shared" si="204"/>
        <v>0</v>
      </c>
      <c r="GJ91" s="48">
        <f t="shared" si="204"/>
        <v>0</v>
      </c>
      <c r="GK91" s="48">
        <f t="shared" si="204"/>
        <v>0</v>
      </c>
      <c r="GL91" s="48">
        <f t="shared" si="204"/>
        <v>0</v>
      </c>
      <c r="GM91" s="48">
        <f t="shared" si="204"/>
        <v>0</v>
      </c>
      <c r="GN91" s="48">
        <f t="shared" si="204"/>
        <v>0</v>
      </c>
      <c r="GO91" s="48">
        <f t="shared" si="204"/>
        <v>0</v>
      </c>
      <c r="GP91" s="48">
        <f t="shared" si="204"/>
        <v>0</v>
      </c>
      <c r="GQ91" s="48">
        <f t="shared" si="204"/>
        <v>0</v>
      </c>
      <c r="GR91" s="48">
        <f t="shared" si="204"/>
        <v>0</v>
      </c>
      <c r="GS91" s="48">
        <f t="shared" si="204"/>
        <v>0</v>
      </c>
      <c r="GT91" s="48">
        <f t="shared" si="204"/>
        <v>0</v>
      </c>
      <c r="GU91" s="48">
        <f t="shared" si="204"/>
        <v>0</v>
      </c>
      <c r="GV91" s="48">
        <f t="shared" si="204"/>
        <v>0</v>
      </c>
      <c r="GW91" s="48">
        <f t="shared" si="204"/>
        <v>0</v>
      </c>
      <c r="GX91" s="48">
        <f t="shared" si="204"/>
        <v>0</v>
      </c>
      <c r="GY91" s="48">
        <f t="shared" ref="GY91:JJ91" si="205">-GY74*((GY$12-GY$11+1)/360)*GY88*GY80</f>
        <v>0</v>
      </c>
      <c r="GZ91" s="48">
        <f t="shared" si="205"/>
        <v>0</v>
      </c>
      <c r="HA91" s="48">
        <f t="shared" si="205"/>
        <v>0</v>
      </c>
      <c r="HB91" s="48">
        <f t="shared" si="205"/>
        <v>0</v>
      </c>
      <c r="HC91" s="48">
        <f t="shared" si="205"/>
        <v>0</v>
      </c>
      <c r="HD91" s="48">
        <f t="shared" si="205"/>
        <v>0</v>
      </c>
      <c r="HE91" s="48">
        <f t="shared" si="205"/>
        <v>0</v>
      </c>
      <c r="HF91" s="48">
        <f t="shared" si="205"/>
        <v>0</v>
      </c>
      <c r="HG91" s="48">
        <f t="shared" si="205"/>
        <v>0</v>
      </c>
      <c r="HH91" s="48">
        <f t="shared" si="205"/>
        <v>0</v>
      </c>
      <c r="HI91" s="48">
        <f t="shared" si="205"/>
        <v>0</v>
      </c>
      <c r="HJ91" s="48">
        <f t="shared" si="205"/>
        <v>0</v>
      </c>
      <c r="HK91" s="48">
        <f t="shared" si="205"/>
        <v>0</v>
      </c>
      <c r="HL91" s="48">
        <f t="shared" si="205"/>
        <v>0</v>
      </c>
      <c r="HM91" s="48">
        <f t="shared" si="205"/>
        <v>0</v>
      </c>
      <c r="HN91" s="48">
        <f t="shared" si="205"/>
        <v>0</v>
      </c>
      <c r="HO91" s="48">
        <f t="shared" si="205"/>
        <v>0</v>
      </c>
      <c r="HP91" s="48">
        <f t="shared" si="205"/>
        <v>0</v>
      </c>
      <c r="HQ91" s="48">
        <f t="shared" si="205"/>
        <v>0</v>
      </c>
      <c r="HR91" s="48">
        <f t="shared" si="205"/>
        <v>0</v>
      </c>
      <c r="HS91" s="48">
        <f t="shared" si="205"/>
        <v>0</v>
      </c>
      <c r="HT91" s="48">
        <f t="shared" si="205"/>
        <v>0</v>
      </c>
      <c r="HU91" s="48">
        <f t="shared" si="205"/>
        <v>0</v>
      </c>
      <c r="HV91" s="48">
        <f t="shared" si="205"/>
        <v>0</v>
      </c>
      <c r="HW91" s="48">
        <f t="shared" si="205"/>
        <v>0</v>
      </c>
      <c r="HX91" s="48">
        <f t="shared" si="205"/>
        <v>0</v>
      </c>
      <c r="HY91" s="48">
        <f t="shared" si="205"/>
        <v>0</v>
      </c>
      <c r="HZ91" s="48">
        <f t="shared" si="205"/>
        <v>0</v>
      </c>
      <c r="IA91" s="48">
        <f t="shared" si="205"/>
        <v>0</v>
      </c>
      <c r="IB91" s="48">
        <f t="shared" si="205"/>
        <v>0</v>
      </c>
      <c r="IC91" s="48">
        <f t="shared" si="205"/>
        <v>0</v>
      </c>
      <c r="ID91" s="48">
        <f t="shared" si="205"/>
        <v>0</v>
      </c>
      <c r="IE91" s="48">
        <f t="shared" si="205"/>
        <v>0</v>
      </c>
      <c r="IF91" s="48">
        <f t="shared" si="205"/>
        <v>0</v>
      </c>
      <c r="IG91" s="48">
        <f t="shared" si="205"/>
        <v>0</v>
      </c>
      <c r="IH91" s="48">
        <f t="shared" si="205"/>
        <v>0</v>
      </c>
      <c r="II91" s="48">
        <f t="shared" si="205"/>
        <v>0</v>
      </c>
      <c r="IJ91" s="48">
        <f t="shared" si="205"/>
        <v>0</v>
      </c>
      <c r="IK91" s="48">
        <f t="shared" si="205"/>
        <v>0</v>
      </c>
      <c r="IL91" s="48">
        <f t="shared" si="205"/>
        <v>0</v>
      </c>
      <c r="IM91" s="48">
        <f t="shared" si="205"/>
        <v>0</v>
      </c>
      <c r="IN91" s="48">
        <f t="shared" si="205"/>
        <v>0</v>
      </c>
      <c r="IO91" s="48">
        <f t="shared" si="205"/>
        <v>0</v>
      </c>
      <c r="IP91" s="48">
        <f t="shared" si="205"/>
        <v>0</v>
      </c>
      <c r="IQ91" s="48">
        <f t="shared" si="205"/>
        <v>0</v>
      </c>
      <c r="IR91" s="48">
        <f t="shared" si="205"/>
        <v>0</v>
      </c>
      <c r="IS91" s="48">
        <f t="shared" si="205"/>
        <v>0</v>
      </c>
      <c r="IT91" s="48">
        <f t="shared" si="205"/>
        <v>0</v>
      </c>
      <c r="IU91" s="48">
        <f t="shared" si="205"/>
        <v>0</v>
      </c>
      <c r="IV91" s="48">
        <f t="shared" si="205"/>
        <v>0</v>
      </c>
      <c r="IW91" s="48">
        <f t="shared" si="205"/>
        <v>0</v>
      </c>
      <c r="IX91" s="48">
        <f t="shared" si="205"/>
        <v>0</v>
      </c>
      <c r="IY91" s="48">
        <f t="shared" si="205"/>
        <v>0</v>
      </c>
      <c r="IZ91" s="48">
        <f t="shared" si="205"/>
        <v>0</v>
      </c>
      <c r="JA91" s="48">
        <f t="shared" si="205"/>
        <v>0</v>
      </c>
      <c r="JB91" s="48">
        <f t="shared" si="205"/>
        <v>0</v>
      </c>
      <c r="JC91" s="48">
        <f t="shared" si="205"/>
        <v>0</v>
      </c>
      <c r="JD91" s="48">
        <f t="shared" si="205"/>
        <v>0</v>
      </c>
      <c r="JE91" s="48">
        <f t="shared" si="205"/>
        <v>0</v>
      </c>
      <c r="JF91" s="48">
        <f t="shared" si="205"/>
        <v>0</v>
      </c>
      <c r="JG91" s="48">
        <f t="shared" si="205"/>
        <v>0</v>
      </c>
      <c r="JH91" s="48">
        <f t="shared" si="205"/>
        <v>0</v>
      </c>
      <c r="JI91" s="48">
        <f t="shared" si="205"/>
        <v>0</v>
      </c>
      <c r="JJ91" s="48">
        <f t="shared" si="205"/>
        <v>0</v>
      </c>
      <c r="JK91" s="48">
        <f t="shared" ref="JK91:KI91" si="206">-JK74*((JK$12-JK$11+1)/360)*JK88*JK80</f>
        <v>0</v>
      </c>
      <c r="JL91" s="48">
        <f t="shared" si="206"/>
        <v>0</v>
      </c>
      <c r="JM91" s="48">
        <f t="shared" si="206"/>
        <v>0</v>
      </c>
      <c r="JN91" s="48">
        <f t="shared" si="206"/>
        <v>0</v>
      </c>
      <c r="JO91" s="48">
        <f t="shared" si="206"/>
        <v>0</v>
      </c>
      <c r="JP91" s="48">
        <f t="shared" si="206"/>
        <v>0</v>
      </c>
      <c r="JQ91" s="48">
        <f t="shared" si="206"/>
        <v>0</v>
      </c>
      <c r="JR91" s="48">
        <f t="shared" si="206"/>
        <v>0</v>
      </c>
      <c r="JS91" s="48">
        <f t="shared" si="206"/>
        <v>0</v>
      </c>
      <c r="JT91" s="48">
        <f t="shared" si="206"/>
        <v>0</v>
      </c>
      <c r="JU91" s="48">
        <f t="shared" si="206"/>
        <v>0</v>
      </c>
      <c r="JV91" s="48">
        <f t="shared" si="206"/>
        <v>0</v>
      </c>
      <c r="JW91" s="48">
        <f t="shared" si="206"/>
        <v>0</v>
      </c>
      <c r="JX91" s="48">
        <f t="shared" si="206"/>
        <v>0</v>
      </c>
      <c r="JY91" s="48">
        <f t="shared" si="206"/>
        <v>0</v>
      </c>
      <c r="JZ91" s="48">
        <f t="shared" si="206"/>
        <v>0</v>
      </c>
      <c r="KA91" s="48">
        <f t="shared" si="206"/>
        <v>0</v>
      </c>
      <c r="KB91" s="48">
        <f t="shared" si="206"/>
        <v>0</v>
      </c>
      <c r="KC91" s="48">
        <f t="shared" si="206"/>
        <v>0</v>
      </c>
      <c r="KD91" s="48">
        <f t="shared" si="206"/>
        <v>0</v>
      </c>
      <c r="KE91" s="48">
        <f t="shared" si="206"/>
        <v>0</v>
      </c>
      <c r="KF91" s="48">
        <f t="shared" si="206"/>
        <v>0</v>
      </c>
      <c r="KG91" s="48">
        <f t="shared" si="206"/>
        <v>0</v>
      </c>
      <c r="KH91" s="48">
        <f t="shared" si="206"/>
        <v>0</v>
      </c>
      <c r="KI91" s="48">
        <f t="shared" si="206"/>
        <v>0</v>
      </c>
      <c r="KJ91" s="1"/>
    </row>
    <row r="92" spans="7:296" x14ac:dyDescent="0.35">
      <c r="H92" s="13" t="s">
        <v>49</v>
      </c>
      <c r="M92" s="47" t="s">
        <v>107</v>
      </c>
      <c r="N92" s="52"/>
      <c r="O92" s="52">
        <f>IF(O75=1,SUM($N91:O91)-SUM($N92:N92),O74*O77*(SUM($N91:O91)-SUM($N92:N92)))</f>
        <v>0</v>
      </c>
      <c r="P92" s="52">
        <f>IF(P75=1,SUM($N91:P91)-SUM($N92:O92),P74*P77*(SUM($N91:P91)-SUM($N92:O92)))</f>
        <v>0</v>
      </c>
      <c r="Q92" s="52">
        <f>IF(Q75=1,SUM($N91:Q91)-SUM($N92:P92),Q74*Q77*(SUM($N91:Q91)-SUM($N92:P92)))</f>
        <v>0</v>
      </c>
      <c r="R92" s="52">
        <f>IF(R75=1,SUM($N91:R91)-SUM($N92:Q92),R74*R77*(SUM($N91:R91)-SUM($N92:Q92)))</f>
        <v>0</v>
      </c>
      <c r="S92" s="52">
        <f>IF(S75=1,SUM($N91:S91)-SUM($N92:R92),S74*S77*(SUM($N91:S91)-SUM($N92:R92)))</f>
        <v>-10.017777777777777</v>
      </c>
      <c r="T92" s="52">
        <f>IF(T75=1,SUM($N91:T91)-SUM($N92:S92),T74*T77*(SUM($N91:T91)-SUM($N92:S92)))</f>
        <v>0</v>
      </c>
      <c r="U92" s="52">
        <f>IF(U75=1,SUM($N91:U91)-SUM($N92:T92),U74*U77*(SUM($N91:U91)-SUM($N92:T92)))</f>
        <v>0</v>
      </c>
      <c r="V92" s="52">
        <f>IF(V75=1,SUM($N91:V91)-SUM($N92:U92),V74*V77*(SUM($N91:V91)-SUM($N92:U92)))</f>
        <v>0</v>
      </c>
      <c r="W92" s="52">
        <f>IF(W75=1,SUM($N91:W91)-SUM($N92:V92),W74*W77*(SUM($N91:W91)-SUM($N92:V92)))</f>
        <v>0</v>
      </c>
      <c r="X92" s="52">
        <f>IF(X75=1,SUM($N91:X91)-SUM($N92:W92),X74*X77*(SUM($N91:X91)-SUM($N92:W92)))</f>
        <v>0</v>
      </c>
      <c r="Y92" s="52">
        <f>IF(Y75=1,SUM($N91:Y91)-SUM($N92:X92),Y74*Y77*(SUM($N91:Y91)-SUM($N92:X92)))</f>
        <v>0</v>
      </c>
      <c r="Z92" s="52">
        <f>IF(Z75=1,SUM($N91:Z91)-SUM($N92:Y92),Z74*Z77*(SUM($N91:Z91)-SUM($N92:Y92)))</f>
        <v>0</v>
      </c>
      <c r="AA92" s="52">
        <f>IF(AA75=1,SUM($N91:AA91)-SUM($N92:Z92),AA74*AA77*(SUM($N91:AA91)-SUM($N92:Z92)))</f>
        <v>0</v>
      </c>
      <c r="AB92" s="52">
        <f>IF(AB75=1,SUM($N91:AB91)-SUM($N92:AA92),AB74*AB77*(SUM($N91:AB91)-SUM($N92:AA92)))</f>
        <v>0</v>
      </c>
      <c r="AC92" s="52">
        <f>IF(AC75=1,SUM($N91:AC91)-SUM($N92:AB92),AC74*AC77*(SUM($N91:AC91)-SUM($N92:AB92)))</f>
        <v>0</v>
      </c>
      <c r="AD92" s="52">
        <f>IF(AD75=1,SUM($N91:AD91)-SUM($N92:AC92),AD74*AD77*(SUM($N91:AD91)-SUM($N92:AC92)))</f>
        <v>0</v>
      </c>
      <c r="AE92" s="52">
        <f>IF(AE75=1,SUM($N91:AE91)-SUM($N92:AD92),AE74*AE77*(SUM($N91:AE91)-SUM($N92:AD92)))</f>
        <v>0</v>
      </c>
      <c r="AF92" s="52">
        <f>IF(AF75=1,SUM($N91:AF91)-SUM($N92:AE92),AF74*AF77*(SUM($N91:AF91)-SUM($N92:AE92)))</f>
        <v>0</v>
      </c>
      <c r="AG92" s="52">
        <f>IF(AG75=1,SUM($N91:AG91)-SUM($N92:AF92),AG74*AG77*(SUM($N91:AG91)-SUM($N92:AF92)))</f>
        <v>0</v>
      </c>
      <c r="AH92" s="52">
        <f>IF(AH75=1,SUM($N91:AH91)-SUM($N92:AG92),AH74*AH77*(SUM($N91:AH91)-SUM($N92:AG92)))</f>
        <v>0</v>
      </c>
      <c r="AI92" s="52">
        <f>IF(AI75=1,SUM($N91:AI91)-SUM($N92:AH92),AI74*AI77*(SUM($N91:AI91)-SUM($N92:AH92)))</f>
        <v>0</v>
      </c>
      <c r="AJ92" s="52">
        <f>IF(AJ75=1,SUM($N91:AJ91)-SUM($N92:AI92),AJ74*AJ77*(SUM($N91:AJ91)-SUM($N92:AI92)))</f>
        <v>0</v>
      </c>
      <c r="AK92" s="52">
        <f>IF(AK75=1,SUM($N91:AK91)-SUM($N92:AJ92),AK74*AK77*(SUM($N91:AK91)-SUM($N92:AJ92)))</f>
        <v>0</v>
      </c>
      <c r="AL92" s="52">
        <f>IF(AL75=1,SUM($N91:AL91)-SUM($N92:AK92),AL74*AL77*(SUM($N91:AL91)-SUM($N92:AK92)))</f>
        <v>0</v>
      </c>
      <c r="AM92" s="52">
        <f>IF(AM75=1,SUM($N91:AM91)-SUM($N92:AL92),AM74*AM77*(SUM($N91:AM91)-SUM($N92:AL92)))</f>
        <v>0</v>
      </c>
      <c r="AN92" s="52">
        <f>IF(AN75=1,SUM($N91:AN91)-SUM($N92:AM92),AN74*AN77*(SUM($N91:AN91)-SUM($N92:AM92)))</f>
        <v>0</v>
      </c>
      <c r="AO92" s="52">
        <f>IF(AO75=1,SUM($N91:AO91)-SUM($N92:AN92),AO74*AO77*(SUM($N91:AO91)-SUM($N92:AN92)))</f>
        <v>0</v>
      </c>
      <c r="AP92" s="52">
        <f>IF(AP75=1,SUM($N91:AP91)-SUM($N92:AO92),AP74*AP77*(SUM($N91:AP91)-SUM($N92:AO92)))</f>
        <v>0</v>
      </c>
      <c r="AQ92" s="52">
        <f>IF(AQ75=1,SUM($N91:AQ91)-SUM($N92:AP92),AQ74*AQ77*(SUM($N91:AQ91)-SUM($N92:AP92)))</f>
        <v>0</v>
      </c>
      <c r="AR92" s="52">
        <f>IF(AR75=1,SUM($N91:AR91)-SUM($N92:AQ92),AR74*AR77*(SUM($N91:AR91)-SUM($N92:AQ92)))</f>
        <v>0</v>
      </c>
      <c r="AS92" s="52">
        <f>IF(AS75=1,SUM($N91:AS91)-SUM($N92:AR92),AS74*AS77*(SUM($N91:AS91)-SUM($N92:AR92)))</f>
        <v>0</v>
      </c>
      <c r="AT92" s="52">
        <f>IF(AT75=1,SUM($N91:AT91)-SUM($N92:AS92),AT74*AT77*(SUM($N91:AT91)-SUM($N92:AS92)))</f>
        <v>0</v>
      </c>
      <c r="AU92" s="52">
        <f>IF(AU75=1,SUM($N91:AU91)-SUM($N92:AT92),AU74*AU77*(SUM($N91:AU91)-SUM($N92:AT92)))</f>
        <v>0</v>
      </c>
      <c r="AV92" s="52">
        <f>IF(AV75=1,SUM($N91:AV91)-SUM($N92:AU92),AV74*AV77*(SUM($N91:AV91)-SUM($N92:AU92)))</f>
        <v>0</v>
      </c>
      <c r="AW92" s="52">
        <f>IF(AW75=1,SUM($N91:AW91)-SUM($N92:AV92),AW74*AW77*(SUM($N91:AW91)-SUM($N92:AV92)))</f>
        <v>0</v>
      </c>
      <c r="AX92" s="52">
        <f>IF(AX75=1,SUM($N91:AX91)-SUM($N92:AW92),AX74*AX77*(SUM($N91:AX91)-SUM($N92:AW92)))</f>
        <v>0</v>
      </c>
      <c r="AY92" s="52">
        <f>IF(AY75=1,SUM($N91:AY91)-SUM($N92:AX92),AY74*AY77*(SUM($N91:AY91)-SUM($N92:AX92)))</f>
        <v>0</v>
      </c>
      <c r="AZ92" s="52">
        <f>IF(AZ75=1,SUM($N91:AZ91)-SUM($N92:AY92),AZ74*AZ77*(SUM($N91:AZ91)-SUM($N92:AY92)))</f>
        <v>0</v>
      </c>
      <c r="BA92" s="52">
        <f>IF(BA75=1,SUM($N91:BA91)-SUM($N92:AZ92),BA74*BA77*(SUM($N91:BA91)-SUM($N92:AZ92)))</f>
        <v>0</v>
      </c>
      <c r="BB92" s="52">
        <f>IF(BB75=1,SUM($N91:BB91)-SUM($N92:BA92),BB74*BB77*(SUM($N91:BB91)-SUM($N92:BA92)))</f>
        <v>0</v>
      </c>
      <c r="BC92" s="52">
        <f>IF(BC75=1,SUM($N91:BC91)-SUM($N92:BB92),BC74*BC77*(SUM($N91:BC91)-SUM($N92:BB92)))</f>
        <v>0</v>
      </c>
      <c r="BD92" s="52">
        <f>IF(BD75=1,SUM($N91:BD91)-SUM($N92:BC92),BD74*BD77*(SUM($N91:BD91)-SUM($N92:BC92)))</f>
        <v>0</v>
      </c>
      <c r="BE92" s="52">
        <f>IF(BE75=1,SUM($N91:BE91)-SUM($N92:BD92),BE74*BE77*(SUM($N91:BE91)-SUM($N92:BD92)))</f>
        <v>0</v>
      </c>
      <c r="BF92" s="52">
        <f>IF(BF75=1,SUM($N91:BF91)-SUM($N92:BE92),BF74*BF77*(SUM($N91:BF91)-SUM($N92:BE92)))</f>
        <v>0</v>
      </c>
      <c r="BG92" s="52">
        <f>IF(BG75=1,SUM($N91:BG91)-SUM($N92:BF92),BG74*BG77*(SUM($N91:BG91)-SUM($N92:BF92)))</f>
        <v>0</v>
      </c>
      <c r="BH92" s="52">
        <f>IF(BH75=1,SUM($N91:BH91)-SUM($N92:BG92),BH74*BH77*(SUM($N91:BH91)-SUM($N92:BG92)))</f>
        <v>0</v>
      </c>
      <c r="BI92" s="52">
        <f>IF(BI75=1,SUM($N91:BI91)-SUM($N92:BH92),BI74*BI77*(SUM($N91:BI91)-SUM($N92:BH92)))</f>
        <v>0</v>
      </c>
      <c r="BJ92" s="52">
        <f>IF(BJ75=1,SUM($N91:BJ91)-SUM($N92:BI92),BJ74*BJ77*(SUM($N91:BJ91)-SUM($N92:BI92)))</f>
        <v>0</v>
      </c>
      <c r="BK92" s="52">
        <f>IF(BK75=1,SUM($N91:BK91)-SUM($N92:BJ92),BK74*BK77*(SUM($N91:BK91)-SUM($N92:BJ92)))</f>
        <v>0</v>
      </c>
      <c r="BL92" s="52">
        <f>IF(BL75=1,SUM($N91:BL91)-SUM($N92:BK92),BL74*BL77*(SUM($N91:BL91)-SUM($N92:BK92)))</f>
        <v>0</v>
      </c>
      <c r="BM92" s="52">
        <f>IF(BM75=1,SUM($N91:BM91)-SUM($N92:BL92),BM74*BM77*(SUM($N91:BM91)-SUM($N92:BL92)))</f>
        <v>0</v>
      </c>
      <c r="BN92" s="52">
        <f>IF(BN75=1,SUM($N91:BN91)-SUM($N92:BM92),BN74*BN77*(SUM($N91:BN91)-SUM($N92:BM92)))</f>
        <v>0</v>
      </c>
      <c r="BO92" s="52">
        <f>IF(BO75=1,SUM($N91:BO91)-SUM($N92:BN92),BO74*BO77*(SUM($N91:BO91)-SUM($N92:BN92)))</f>
        <v>0</v>
      </c>
      <c r="BP92" s="52">
        <f>IF(BP75=1,SUM($N91:BP91)-SUM($N92:BO92),BP74*BP77*(SUM($N91:BP91)-SUM($N92:BO92)))</f>
        <v>0</v>
      </c>
      <c r="BQ92" s="52">
        <f>IF(BQ75=1,SUM($N91:BQ91)-SUM($N92:BP92),BQ74*BQ77*(SUM($N91:BQ91)-SUM($N92:BP92)))</f>
        <v>0</v>
      </c>
      <c r="BR92" s="52">
        <f>IF(BR75=1,SUM($N91:BR91)-SUM($N92:BQ92),BR74*BR77*(SUM($N91:BR91)-SUM($N92:BQ92)))</f>
        <v>0</v>
      </c>
      <c r="BS92" s="52">
        <f>IF(BS75=1,SUM($N91:BS91)-SUM($N92:BR92),BS74*BS77*(SUM($N91:BS91)-SUM($N92:BR92)))</f>
        <v>0</v>
      </c>
      <c r="BT92" s="52">
        <f>IF(BT75=1,SUM($N91:BT91)-SUM($N92:BS92),BT74*BT77*(SUM($N91:BT91)-SUM($N92:BS92)))</f>
        <v>0</v>
      </c>
      <c r="BU92" s="52">
        <f>IF(BU75=1,SUM($N91:BU91)-SUM($N92:BT92),BU74*BU77*(SUM($N91:BU91)-SUM($N92:BT92)))</f>
        <v>0</v>
      </c>
      <c r="BV92" s="52">
        <f>IF(BV75=1,SUM($N91:BV91)-SUM($N92:BU92),BV74*BV77*(SUM($N91:BV91)-SUM($N92:BU92)))</f>
        <v>0</v>
      </c>
      <c r="BW92" s="52">
        <f>IF(BW75=1,SUM($N91:BW91)-SUM($N92:BV92),BW74*BW77*(SUM($N91:BW91)-SUM($N92:BV92)))</f>
        <v>0</v>
      </c>
      <c r="BX92" s="52">
        <f>IF(BX75=1,SUM($N91:BX91)-SUM($N92:BW92),BX74*BX77*(SUM($N91:BX91)-SUM($N92:BW92)))</f>
        <v>0</v>
      </c>
      <c r="BY92" s="52">
        <f>IF(BY75=1,SUM($N91:BY91)-SUM($N92:BX92),BY74*BY77*(SUM($N91:BY91)-SUM($N92:BX92)))</f>
        <v>0</v>
      </c>
      <c r="BZ92" s="52">
        <f>IF(BZ75=1,SUM($N91:BZ91)-SUM($N92:BY92),BZ74*BZ77*(SUM($N91:BZ91)-SUM($N92:BY92)))</f>
        <v>0</v>
      </c>
      <c r="CA92" s="52">
        <f>IF(CA75=1,SUM($N91:CA91)-SUM($N92:BZ92),CA74*CA77*(SUM($N91:CA91)-SUM($N92:BZ92)))</f>
        <v>0</v>
      </c>
      <c r="CB92" s="52">
        <f>IF(CB75=1,SUM($N91:CB91)-SUM($N92:CA92),CB74*CB77*(SUM($N91:CB91)-SUM($N92:CA92)))</f>
        <v>0</v>
      </c>
      <c r="CC92" s="52">
        <f>IF(CC75=1,SUM($N91:CC91)-SUM($N92:CB92),CC74*CC77*(SUM($N91:CC91)-SUM($N92:CB92)))</f>
        <v>0</v>
      </c>
      <c r="CD92" s="52">
        <f>IF(CD75=1,SUM($N91:CD91)-SUM($N92:CC92),CD74*CD77*(SUM($N91:CD91)-SUM($N92:CC92)))</f>
        <v>0</v>
      </c>
      <c r="CE92" s="52">
        <f>IF(CE75=1,SUM($N91:CE91)-SUM($N92:CD92),CE74*CE77*(SUM($N91:CE91)-SUM($N92:CD92)))</f>
        <v>0</v>
      </c>
      <c r="CF92" s="52">
        <f>IF(CF75=1,SUM($N91:CF91)-SUM($N92:CE92),CF74*CF77*(SUM($N91:CF91)-SUM($N92:CE92)))</f>
        <v>0</v>
      </c>
      <c r="CG92" s="52">
        <f>IF(CG75=1,SUM($N91:CG91)-SUM($N92:CF92),CG74*CG77*(SUM($N91:CG91)-SUM($N92:CF92)))</f>
        <v>0</v>
      </c>
      <c r="CH92" s="52">
        <f>IF(CH75=1,SUM($N91:CH91)-SUM($N92:CG92),CH74*CH77*(SUM($N91:CH91)-SUM($N92:CG92)))</f>
        <v>0</v>
      </c>
      <c r="CI92" s="52">
        <f>IF(CI75=1,SUM($N91:CI91)-SUM($N92:CH92),CI74*CI77*(SUM($N91:CI91)-SUM($N92:CH92)))</f>
        <v>0</v>
      </c>
      <c r="CJ92" s="52">
        <f>IF(CJ75=1,SUM($N91:CJ91)-SUM($N92:CI92),CJ74*CJ77*(SUM($N91:CJ91)-SUM($N92:CI92)))</f>
        <v>0</v>
      </c>
      <c r="CK92" s="52">
        <f>IF(CK75=1,SUM($N91:CK91)-SUM($N92:CJ92),CK74*CK77*(SUM($N91:CK91)-SUM($N92:CJ92)))</f>
        <v>0</v>
      </c>
      <c r="CL92" s="52">
        <f>IF(CL75=1,SUM($N91:CL91)-SUM($N92:CK92),CL74*CL77*(SUM($N91:CL91)-SUM($N92:CK92)))</f>
        <v>0</v>
      </c>
      <c r="CM92" s="52">
        <f>IF(CM75=1,SUM($N91:CM91)-SUM($N92:CL92),CM74*CM77*(SUM($N91:CM91)-SUM($N92:CL92)))</f>
        <v>0</v>
      </c>
      <c r="CN92" s="52">
        <f>IF(CN75=1,SUM($N91:CN91)-SUM($N92:CM92),CN74*CN77*(SUM($N91:CN91)-SUM($N92:CM92)))</f>
        <v>0</v>
      </c>
      <c r="CO92" s="52">
        <f>IF(CO75=1,SUM($N91:CO91)-SUM($N92:CN92),CO74*CO77*(SUM($N91:CO91)-SUM($N92:CN92)))</f>
        <v>0</v>
      </c>
      <c r="CP92" s="52">
        <f>IF(CP75=1,SUM($N91:CP91)-SUM($N92:CO92),CP74*CP77*(SUM($N91:CP91)-SUM($N92:CO92)))</f>
        <v>0</v>
      </c>
      <c r="CQ92" s="52">
        <f>IF(CQ75=1,SUM($N91:CQ91)-SUM($N92:CP92),CQ74*CQ77*(SUM($N91:CQ91)-SUM($N92:CP92)))</f>
        <v>0</v>
      </c>
      <c r="CR92" s="52">
        <f>IF(CR75=1,SUM($N91:CR91)-SUM($N92:CQ92),CR74*CR77*(SUM($N91:CR91)-SUM($N92:CQ92)))</f>
        <v>0</v>
      </c>
      <c r="CS92" s="52">
        <f>IF(CS75=1,SUM($N91:CS91)-SUM($N92:CR92),CS74*CS77*(SUM($N91:CS91)-SUM($N92:CR92)))</f>
        <v>0</v>
      </c>
      <c r="CT92" s="52">
        <f>IF(CT75=1,SUM($N91:CT91)-SUM($N92:CS92),CT74*CT77*(SUM($N91:CT91)-SUM($N92:CS92)))</f>
        <v>0</v>
      </c>
      <c r="CU92" s="52">
        <f>IF(CU75=1,SUM($N91:CU91)-SUM($N92:CT92),CU74*CU77*(SUM($N91:CU91)-SUM($N92:CT92)))</f>
        <v>0</v>
      </c>
      <c r="CV92" s="52">
        <f>IF(CV75=1,SUM($N91:CV91)-SUM($N92:CU92),CV74*CV77*(SUM($N91:CV91)-SUM($N92:CU92)))</f>
        <v>0</v>
      </c>
      <c r="CW92" s="52">
        <f>IF(CW75=1,SUM($N91:CW91)-SUM($N92:CV92),CW74*CW77*(SUM($N91:CW91)-SUM($N92:CV92)))</f>
        <v>0</v>
      </c>
      <c r="CX92" s="52">
        <f>IF(CX75=1,SUM($N91:CX91)-SUM($N92:CW92),CX74*CX77*(SUM($N91:CX91)-SUM($N92:CW92)))</f>
        <v>0</v>
      </c>
      <c r="CY92" s="52">
        <f>IF(CY75=1,SUM($N91:CY91)-SUM($N92:CX92),CY74*CY77*(SUM($N91:CY91)-SUM($N92:CX92)))</f>
        <v>0</v>
      </c>
      <c r="CZ92" s="52">
        <f>IF(CZ75=1,SUM($N91:CZ91)-SUM($N92:CY92),CZ74*CZ77*(SUM($N91:CZ91)-SUM($N92:CY92)))</f>
        <v>0</v>
      </c>
      <c r="DA92" s="52">
        <f>IF(DA75=1,SUM($N91:DA91)-SUM($N92:CZ92),DA74*DA77*(SUM($N91:DA91)-SUM($N92:CZ92)))</f>
        <v>0</v>
      </c>
      <c r="DB92" s="52">
        <f>IF(DB75=1,SUM($N91:DB91)-SUM($N92:DA92),DB74*DB77*(SUM($N91:DB91)-SUM($N92:DA92)))</f>
        <v>0</v>
      </c>
      <c r="DC92" s="52">
        <f>IF(DC75=1,SUM($N91:DC91)-SUM($N92:DB92),DC74*DC77*(SUM($N91:DC91)-SUM($N92:DB92)))</f>
        <v>0</v>
      </c>
      <c r="DD92" s="52">
        <f>IF(DD75=1,SUM($N91:DD91)-SUM($N92:DC92),DD74*DD77*(SUM($N91:DD91)-SUM($N92:DC92)))</f>
        <v>0</v>
      </c>
      <c r="DE92" s="52">
        <f>IF(DE75=1,SUM($N91:DE91)-SUM($N92:DD92),DE74*DE77*(SUM($N91:DE91)-SUM($N92:DD92)))</f>
        <v>0</v>
      </c>
      <c r="DF92" s="52">
        <f>IF(DF75=1,SUM($N91:DF91)-SUM($N92:DE92),DF74*DF77*(SUM($N91:DF91)-SUM($N92:DE92)))</f>
        <v>0</v>
      </c>
      <c r="DG92" s="52">
        <f>IF(DG75=1,SUM($N91:DG91)-SUM($N92:DF92),DG74*DG77*(SUM($N91:DG91)-SUM($N92:DF92)))</f>
        <v>0</v>
      </c>
      <c r="DH92" s="52">
        <f>IF(DH75=1,SUM($N91:DH91)-SUM($N92:DG92),DH74*DH77*(SUM($N91:DH91)-SUM($N92:DG92)))</f>
        <v>0</v>
      </c>
      <c r="DI92" s="52">
        <f>IF(DI75=1,SUM($N91:DI91)-SUM($N92:DH92),DI74*DI77*(SUM($N91:DI91)-SUM($N92:DH92)))</f>
        <v>0</v>
      </c>
      <c r="DJ92" s="52">
        <f>IF(DJ75=1,SUM($N91:DJ91)-SUM($N92:DI92),DJ74*DJ77*(SUM($N91:DJ91)-SUM($N92:DI92)))</f>
        <v>0</v>
      </c>
      <c r="DK92" s="52">
        <f>IF(DK75=1,SUM($N91:DK91)-SUM($N92:DJ92),DK74*DK77*(SUM($N91:DK91)-SUM($N92:DJ92)))</f>
        <v>0</v>
      </c>
      <c r="DL92" s="52">
        <f>IF(DL75=1,SUM($N91:DL91)-SUM($N92:DK92),DL74*DL77*(SUM($N91:DL91)-SUM($N92:DK92)))</f>
        <v>0</v>
      </c>
      <c r="DM92" s="52">
        <f>IF(DM75=1,SUM($N91:DM91)-SUM($N92:DL92),DM74*DM77*(SUM($N91:DM91)-SUM($N92:DL92)))</f>
        <v>0</v>
      </c>
      <c r="DN92" s="52">
        <f>IF(DN75=1,SUM($N91:DN91)-SUM($N92:DM92),DN74*DN77*(SUM($N91:DN91)-SUM($N92:DM92)))</f>
        <v>0</v>
      </c>
      <c r="DO92" s="52">
        <f>IF(DO75=1,SUM($N91:DO91)-SUM($N92:DN92),DO74*DO77*(SUM($N91:DO91)-SUM($N92:DN92)))</f>
        <v>0</v>
      </c>
      <c r="DP92" s="52">
        <f>IF(DP75=1,SUM($N91:DP91)-SUM($N92:DO92),DP74*DP77*(SUM($N91:DP91)-SUM($N92:DO92)))</f>
        <v>0</v>
      </c>
      <c r="DQ92" s="52">
        <f>IF(DQ75=1,SUM($N91:DQ91)-SUM($N92:DP92),DQ74*DQ77*(SUM($N91:DQ91)-SUM($N92:DP92)))</f>
        <v>0</v>
      </c>
      <c r="DR92" s="52">
        <f>IF(DR75=1,SUM($N91:DR91)-SUM($N92:DQ92),DR74*DR77*(SUM($N91:DR91)-SUM($N92:DQ92)))</f>
        <v>0</v>
      </c>
      <c r="DS92" s="52">
        <f>IF(DS75=1,SUM($N91:DS91)-SUM($N92:DR92),DS74*DS77*(SUM($N91:DS91)-SUM($N92:DR92)))</f>
        <v>0</v>
      </c>
      <c r="DT92" s="52">
        <f>IF(DT75=1,SUM($N91:DT91)-SUM($N92:DS92),DT74*DT77*(SUM($N91:DT91)-SUM($N92:DS92)))</f>
        <v>0</v>
      </c>
      <c r="DU92" s="52">
        <f>IF(DU75=1,SUM($N91:DU91)-SUM($N92:DT92),DU74*DU77*(SUM($N91:DU91)-SUM($N92:DT92)))</f>
        <v>0</v>
      </c>
      <c r="DV92" s="52">
        <f>IF(DV75=1,SUM($N91:DV91)-SUM($N92:DU92),DV74*DV77*(SUM($N91:DV91)-SUM($N92:DU92)))</f>
        <v>0</v>
      </c>
      <c r="DW92" s="52">
        <f>IF(DW75=1,SUM($N91:DW91)-SUM($N92:DV92),DW74*DW77*(SUM($N91:DW91)-SUM($N92:DV92)))</f>
        <v>0</v>
      </c>
      <c r="DX92" s="52">
        <f>IF(DX75=1,SUM($N91:DX91)-SUM($N92:DW92),DX74*DX77*(SUM($N91:DX91)-SUM($N92:DW92)))</f>
        <v>0</v>
      </c>
      <c r="DY92" s="52">
        <f>IF(DY75=1,SUM($N91:DY91)-SUM($N92:DX92),DY74*DY77*(SUM($N91:DY91)-SUM($N92:DX92)))</f>
        <v>0</v>
      </c>
      <c r="DZ92" s="52">
        <f>IF(DZ75=1,SUM($N91:DZ91)-SUM($N92:DY92),DZ74*DZ77*(SUM($N91:DZ91)-SUM($N92:DY92)))</f>
        <v>0</v>
      </c>
      <c r="EA92" s="52">
        <f>IF(EA75=1,SUM($N91:EA91)-SUM($N92:DZ92),EA74*EA77*(SUM($N91:EA91)-SUM($N92:DZ92)))</f>
        <v>0</v>
      </c>
      <c r="EB92" s="52">
        <f>IF(EB75=1,SUM($N91:EB91)-SUM($N92:EA92),EB74*EB77*(SUM($N91:EB91)-SUM($N92:EA92)))</f>
        <v>0</v>
      </c>
      <c r="EC92" s="52">
        <f>IF(EC75=1,SUM($N91:EC91)-SUM($N92:EB92),EC74*EC77*(SUM($N91:EC91)-SUM($N92:EB92)))</f>
        <v>0</v>
      </c>
      <c r="ED92" s="52">
        <f>IF(ED75=1,SUM($N91:ED91)-SUM($N92:EC92),ED74*ED77*(SUM($N91:ED91)-SUM($N92:EC92)))</f>
        <v>0</v>
      </c>
      <c r="EE92" s="52">
        <f>IF(EE75=1,SUM($N91:EE91)-SUM($N92:ED92),EE74*EE77*(SUM($N91:EE91)-SUM($N92:ED92)))</f>
        <v>0</v>
      </c>
      <c r="EF92" s="52">
        <f>IF(EF75=1,SUM($N91:EF91)-SUM($N92:EE92),EF74*EF77*(SUM($N91:EF91)-SUM($N92:EE92)))</f>
        <v>0</v>
      </c>
      <c r="EG92" s="52">
        <f>IF(EG75=1,SUM($N91:EG91)-SUM($N92:EF92),EG74*EG77*(SUM($N91:EG91)-SUM($N92:EF92)))</f>
        <v>0</v>
      </c>
      <c r="EH92" s="52">
        <f>IF(EH75=1,SUM($N91:EH91)-SUM($N92:EG92),EH74*EH77*(SUM($N91:EH91)-SUM($N92:EG92)))</f>
        <v>0</v>
      </c>
      <c r="EI92" s="52">
        <f>IF(EI75=1,SUM($N91:EI91)-SUM($N92:EH92),EI74*EI77*(SUM($N91:EI91)-SUM($N92:EH92)))</f>
        <v>0</v>
      </c>
      <c r="EJ92" s="52">
        <f>IF(EJ75=1,SUM($N91:EJ91)-SUM($N92:EI92),EJ74*EJ77*(SUM($N91:EJ91)-SUM($N92:EI92)))</f>
        <v>0</v>
      </c>
      <c r="EK92" s="52">
        <f>IF(EK75=1,SUM($N91:EK91)-SUM($N92:EJ92),EK74*EK77*(SUM($N91:EK91)-SUM($N92:EJ92)))</f>
        <v>0</v>
      </c>
      <c r="EL92" s="52">
        <f>IF(EL75=1,SUM($N91:EL91)-SUM($N92:EK92),EL74*EL77*(SUM($N91:EL91)-SUM($N92:EK92)))</f>
        <v>0</v>
      </c>
      <c r="EM92" s="52">
        <f>IF(EM75=1,SUM($N91:EM91)-SUM($N92:EL92),EM74*EM77*(SUM($N91:EM91)-SUM($N92:EL92)))</f>
        <v>0</v>
      </c>
      <c r="EN92" s="52">
        <f>IF(EN75=1,SUM($N91:EN91)-SUM($N92:EM92),EN74*EN77*(SUM($N91:EN91)-SUM($N92:EM92)))</f>
        <v>0</v>
      </c>
      <c r="EO92" s="52">
        <f>IF(EO75=1,SUM($N91:EO91)-SUM($N92:EN92),EO74*EO77*(SUM($N91:EO91)-SUM($N92:EN92)))</f>
        <v>0</v>
      </c>
      <c r="EP92" s="52">
        <f>IF(EP75=1,SUM($N91:EP91)-SUM($N92:EO92),EP74*EP77*(SUM($N91:EP91)-SUM($N92:EO92)))</f>
        <v>0</v>
      </c>
      <c r="EQ92" s="52">
        <f>IF(EQ75=1,SUM($N91:EQ91)-SUM($N92:EP92),EQ74*EQ77*(SUM($N91:EQ91)-SUM($N92:EP92)))</f>
        <v>0</v>
      </c>
      <c r="ER92" s="52">
        <f>IF(ER75=1,SUM($N91:ER91)-SUM($N92:EQ92),ER74*ER77*(SUM($N91:ER91)-SUM($N92:EQ92)))</f>
        <v>0</v>
      </c>
      <c r="ES92" s="52">
        <f>IF(ES75=1,SUM($N91:ES91)-SUM($N92:ER92),ES74*ES77*(SUM($N91:ES91)-SUM($N92:ER92)))</f>
        <v>0</v>
      </c>
      <c r="ET92" s="52">
        <f>IF(ET75=1,SUM($N91:ET91)-SUM($N92:ES92),ET74*ET77*(SUM($N91:ET91)-SUM($N92:ES92)))</f>
        <v>0</v>
      </c>
      <c r="EU92" s="52">
        <f>IF(EU75=1,SUM($N91:EU91)-SUM($N92:ET92),EU74*EU77*(SUM($N91:EU91)-SUM($N92:ET92)))</f>
        <v>0</v>
      </c>
      <c r="EV92" s="52">
        <f>IF(EV75=1,SUM($N91:EV91)-SUM($N92:EU92),EV74*EV77*(SUM($N91:EV91)-SUM($N92:EU92)))</f>
        <v>0</v>
      </c>
      <c r="EW92" s="52">
        <f>IF(EW75=1,SUM($N91:EW91)-SUM($N92:EV92),EW74*EW77*(SUM($N91:EW91)-SUM($N92:EV92)))</f>
        <v>0</v>
      </c>
      <c r="EX92" s="52">
        <f>IF(EX75=1,SUM($N91:EX91)-SUM($N92:EW92),EX74*EX77*(SUM($N91:EX91)-SUM($N92:EW92)))</f>
        <v>0</v>
      </c>
      <c r="EY92" s="52">
        <f>IF(EY75=1,SUM($N91:EY91)-SUM($N92:EX92),EY74*EY77*(SUM($N91:EY91)-SUM($N92:EX92)))</f>
        <v>0</v>
      </c>
      <c r="EZ92" s="52">
        <f>IF(EZ75=1,SUM($N91:EZ91)-SUM($N92:EY92),EZ74*EZ77*(SUM($N91:EZ91)-SUM($N92:EY92)))</f>
        <v>0</v>
      </c>
      <c r="FA92" s="52">
        <f>IF(FA75=1,SUM($N91:FA91)-SUM($N92:EZ92),FA74*FA77*(SUM($N91:FA91)-SUM($N92:EZ92)))</f>
        <v>0</v>
      </c>
      <c r="FB92" s="52">
        <f>IF(FB75=1,SUM($N91:FB91)-SUM($N92:FA92),FB74*FB77*(SUM($N91:FB91)-SUM($N92:FA92)))</f>
        <v>0</v>
      </c>
      <c r="FC92" s="52">
        <f>IF(FC75=1,SUM($N91:FC91)-SUM($N92:FB92),FC74*FC77*(SUM($N91:FC91)-SUM($N92:FB92)))</f>
        <v>0</v>
      </c>
      <c r="FD92" s="52">
        <f>IF(FD75=1,SUM($N91:FD91)-SUM($N92:FC92),FD74*FD77*(SUM($N91:FD91)-SUM($N92:FC92)))</f>
        <v>0</v>
      </c>
      <c r="FE92" s="52">
        <f>IF(FE75=1,SUM($N91:FE91)-SUM($N92:FD92),FE74*FE77*(SUM($N91:FE91)-SUM($N92:FD92)))</f>
        <v>0</v>
      </c>
      <c r="FF92" s="52">
        <f>IF(FF75=1,SUM($N91:FF91)-SUM($N92:FE92),FF74*FF77*(SUM($N91:FF91)-SUM($N92:FE92)))</f>
        <v>0</v>
      </c>
      <c r="FG92" s="52">
        <f>IF(FG75=1,SUM($N91:FG91)-SUM($N92:FF92),FG74*FG77*(SUM($N91:FG91)-SUM($N92:FF92)))</f>
        <v>0</v>
      </c>
      <c r="FH92" s="52">
        <f>IF(FH75=1,SUM($N91:FH91)-SUM($N92:FG92),FH74*FH77*(SUM($N91:FH91)-SUM($N92:FG92)))</f>
        <v>0</v>
      </c>
      <c r="FI92" s="52">
        <f>IF(FI75=1,SUM($N91:FI91)-SUM($N92:FH92),FI74*FI77*(SUM($N91:FI91)-SUM($N92:FH92)))</f>
        <v>0</v>
      </c>
      <c r="FJ92" s="52">
        <f>IF(FJ75=1,SUM($N91:FJ91)-SUM($N92:FI92),FJ74*FJ77*(SUM($N91:FJ91)-SUM($N92:FI92)))</f>
        <v>0</v>
      </c>
      <c r="FK92" s="52">
        <f>IF(FK75=1,SUM($N91:FK91)-SUM($N92:FJ92),FK74*FK77*(SUM($N91:FK91)-SUM($N92:FJ92)))</f>
        <v>0</v>
      </c>
      <c r="FL92" s="52">
        <f>IF(FL75=1,SUM($N91:FL91)-SUM($N92:FK92),FL74*FL77*(SUM($N91:FL91)-SUM($N92:FK92)))</f>
        <v>0</v>
      </c>
      <c r="FM92" s="52">
        <f>IF(FM75=1,SUM($N91:FM91)-SUM($N92:FL92),FM74*FM77*(SUM($N91:FM91)-SUM($N92:FL92)))</f>
        <v>0</v>
      </c>
      <c r="FN92" s="52">
        <f>IF(FN75=1,SUM($N91:FN91)-SUM($N92:FM92),FN74*FN77*(SUM($N91:FN91)-SUM($N92:FM92)))</f>
        <v>0</v>
      </c>
      <c r="FO92" s="52">
        <f>IF(FO75=1,SUM($N91:FO91)-SUM($N92:FN92),FO74*FO77*(SUM($N91:FO91)-SUM($N92:FN92)))</f>
        <v>0</v>
      </c>
      <c r="FP92" s="52">
        <f>IF(FP75=1,SUM($N91:FP91)-SUM($N92:FO92),FP74*FP77*(SUM($N91:FP91)-SUM($N92:FO92)))</f>
        <v>0</v>
      </c>
      <c r="FQ92" s="52">
        <f>IF(FQ75=1,SUM($N91:FQ91)-SUM($N92:FP92),FQ74*FQ77*(SUM($N91:FQ91)-SUM($N92:FP92)))</f>
        <v>0</v>
      </c>
      <c r="FR92" s="52">
        <f>IF(FR75=1,SUM($N91:FR91)-SUM($N92:FQ92),FR74*FR77*(SUM($N91:FR91)-SUM($N92:FQ92)))</f>
        <v>0</v>
      </c>
      <c r="FS92" s="52">
        <f>IF(FS75=1,SUM($N91:FS91)-SUM($N92:FR92),FS74*FS77*(SUM($N91:FS91)-SUM($N92:FR92)))</f>
        <v>0</v>
      </c>
      <c r="FT92" s="52">
        <f>IF(FT75=1,SUM($N91:FT91)-SUM($N92:FS92),FT74*FT77*(SUM($N91:FT91)-SUM($N92:FS92)))</f>
        <v>0</v>
      </c>
      <c r="FU92" s="52">
        <f>IF(FU75=1,SUM($N91:FU91)-SUM($N92:FT92),FU74*FU77*(SUM($N91:FU91)-SUM($N92:FT92)))</f>
        <v>0</v>
      </c>
      <c r="FV92" s="52">
        <f>IF(FV75=1,SUM($N91:FV91)-SUM($N92:FU92),FV74*FV77*(SUM($N91:FV91)-SUM($N92:FU92)))</f>
        <v>0</v>
      </c>
      <c r="FW92" s="52">
        <f>IF(FW75=1,SUM($N91:FW91)-SUM($N92:FV92),FW74*FW77*(SUM($N91:FW91)-SUM($N92:FV92)))</f>
        <v>0</v>
      </c>
      <c r="FX92" s="52">
        <f>IF(FX75=1,SUM($N91:FX91)-SUM($N92:FW92),FX74*FX77*(SUM($N91:FX91)-SUM($N92:FW92)))</f>
        <v>0</v>
      </c>
      <c r="FY92" s="52">
        <f>IF(FY75=1,SUM($N91:FY91)-SUM($N92:FX92),FY74*FY77*(SUM($N91:FY91)-SUM($N92:FX92)))</f>
        <v>0</v>
      </c>
      <c r="FZ92" s="52">
        <f>IF(FZ75=1,SUM($N91:FZ91)-SUM($N92:FY92),FZ74*FZ77*(SUM($N91:FZ91)-SUM($N92:FY92)))</f>
        <v>0</v>
      </c>
      <c r="GA92" s="52">
        <f>IF(GA75=1,SUM($N91:GA91)-SUM($N92:FZ92),GA74*GA77*(SUM($N91:GA91)-SUM($N92:FZ92)))</f>
        <v>0</v>
      </c>
      <c r="GB92" s="52">
        <f>IF(GB75=1,SUM($N91:GB91)-SUM($N92:GA92),GB74*GB77*(SUM($N91:GB91)-SUM($N92:GA92)))</f>
        <v>0</v>
      </c>
      <c r="GC92" s="52">
        <f>IF(GC75=1,SUM($N91:GC91)-SUM($N92:GB92),GC74*GC77*(SUM($N91:GC91)-SUM($N92:GB92)))</f>
        <v>0</v>
      </c>
      <c r="GD92" s="52">
        <f>IF(GD75=1,SUM($N91:GD91)-SUM($N92:GC92),GD74*GD77*(SUM($N91:GD91)-SUM($N92:GC92)))</f>
        <v>0</v>
      </c>
      <c r="GE92" s="52">
        <f>IF(GE75=1,SUM($N91:GE91)-SUM($N92:GD92),GE74*GE77*(SUM($N91:GE91)-SUM($N92:GD92)))</f>
        <v>0</v>
      </c>
      <c r="GF92" s="52">
        <f>IF(GF75=1,SUM($N91:GF91)-SUM($N92:GE92),GF74*GF77*(SUM($N91:GF91)-SUM($N92:GE92)))</f>
        <v>0</v>
      </c>
      <c r="GG92" s="52">
        <f>IF(GG75=1,SUM($N91:GG91)-SUM($N92:GF92),GG74*GG77*(SUM($N91:GG91)-SUM($N92:GF92)))</f>
        <v>0</v>
      </c>
      <c r="GH92" s="52">
        <f>IF(GH75=1,SUM($N91:GH91)-SUM($N92:GG92),GH74*GH77*(SUM($N91:GH91)-SUM($N92:GG92)))</f>
        <v>0</v>
      </c>
      <c r="GI92" s="52">
        <f>IF(GI75=1,SUM($N91:GI91)-SUM($N92:GH92),GI74*GI77*(SUM($N91:GI91)-SUM($N92:GH92)))</f>
        <v>0</v>
      </c>
      <c r="GJ92" s="52">
        <f>IF(GJ75=1,SUM($N91:GJ91)-SUM($N92:GI92),GJ74*GJ77*(SUM($N91:GJ91)-SUM($N92:GI92)))</f>
        <v>0</v>
      </c>
      <c r="GK92" s="52">
        <f>IF(GK75=1,SUM($N91:GK91)-SUM($N92:GJ92),GK74*GK77*(SUM($N91:GK91)-SUM($N92:GJ92)))</f>
        <v>0</v>
      </c>
      <c r="GL92" s="52">
        <f>IF(GL75=1,SUM($N91:GL91)-SUM($N92:GK92),GL74*GL77*(SUM($N91:GL91)-SUM($N92:GK92)))</f>
        <v>0</v>
      </c>
      <c r="GM92" s="52">
        <f>IF(GM75=1,SUM($N91:GM91)-SUM($N92:GL92),GM74*GM77*(SUM($N91:GM91)-SUM($N92:GL92)))</f>
        <v>0</v>
      </c>
      <c r="GN92" s="52">
        <f>IF(GN75=1,SUM($N91:GN91)-SUM($N92:GM92),GN74*GN77*(SUM($N91:GN91)-SUM($N92:GM92)))</f>
        <v>0</v>
      </c>
      <c r="GO92" s="52">
        <f>IF(GO75=1,SUM($N91:GO91)-SUM($N92:GN92),GO74*GO77*(SUM($N91:GO91)-SUM($N92:GN92)))</f>
        <v>0</v>
      </c>
      <c r="GP92" s="52">
        <f>IF(GP75=1,SUM($N91:GP91)-SUM($N92:GO92),GP74*GP77*(SUM($N91:GP91)-SUM($N92:GO92)))</f>
        <v>0</v>
      </c>
      <c r="GQ92" s="52">
        <f>IF(GQ75=1,SUM($N91:GQ91)-SUM($N92:GP92),GQ74*GQ77*(SUM($N91:GQ91)-SUM($N92:GP92)))</f>
        <v>0</v>
      </c>
      <c r="GR92" s="52">
        <f>IF(GR75=1,SUM($N91:GR91)-SUM($N92:GQ92),GR74*GR77*(SUM($N91:GR91)-SUM($N92:GQ92)))</f>
        <v>0</v>
      </c>
      <c r="GS92" s="52">
        <f>IF(GS75=1,SUM($N91:GS91)-SUM($N92:GR92),GS74*GS77*(SUM($N91:GS91)-SUM($N92:GR92)))</f>
        <v>0</v>
      </c>
      <c r="GT92" s="52">
        <f>IF(GT75=1,SUM($N91:GT91)-SUM($N92:GS92),GT74*GT77*(SUM($N91:GT91)-SUM($N92:GS92)))</f>
        <v>0</v>
      </c>
      <c r="GU92" s="52">
        <f>IF(GU75=1,SUM($N91:GU91)-SUM($N92:GT92),GU74*GU77*(SUM($N91:GU91)-SUM($N92:GT92)))</f>
        <v>0</v>
      </c>
      <c r="GV92" s="52">
        <f>IF(GV75=1,SUM($N91:GV91)-SUM($N92:GU92),GV74*GV77*(SUM($N91:GV91)-SUM($N92:GU92)))</f>
        <v>0</v>
      </c>
      <c r="GW92" s="52">
        <f>IF(GW75=1,SUM($N91:GW91)-SUM($N92:GV92),GW74*GW77*(SUM($N91:GW91)-SUM($N92:GV92)))</f>
        <v>0</v>
      </c>
      <c r="GX92" s="52">
        <f>IF(GX75=1,SUM($N91:GX91)-SUM($N92:GW92),GX74*GX77*(SUM($N91:GX91)-SUM($N92:GW92)))</f>
        <v>0</v>
      </c>
      <c r="GY92" s="52">
        <f>IF(GY75=1,SUM($N91:GY91)-SUM($N92:GX92),GY74*GY77*(SUM($N91:GY91)-SUM($N92:GX92)))</f>
        <v>0</v>
      </c>
      <c r="GZ92" s="52">
        <f>IF(GZ75=1,SUM($N91:GZ91)-SUM($N92:GY92),GZ74*GZ77*(SUM($N91:GZ91)-SUM($N92:GY92)))</f>
        <v>0</v>
      </c>
      <c r="HA92" s="52">
        <f>IF(HA75=1,SUM($N91:HA91)-SUM($N92:GZ92),HA74*HA77*(SUM($N91:HA91)-SUM($N92:GZ92)))</f>
        <v>0</v>
      </c>
      <c r="HB92" s="52">
        <f>IF(HB75=1,SUM($N91:HB91)-SUM($N92:HA92),HB74*HB77*(SUM($N91:HB91)-SUM($N92:HA92)))</f>
        <v>0</v>
      </c>
      <c r="HC92" s="52">
        <f>IF(HC75=1,SUM($N91:HC91)-SUM($N92:HB92),HC74*HC77*(SUM($N91:HC91)-SUM($N92:HB92)))</f>
        <v>0</v>
      </c>
      <c r="HD92" s="52">
        <f>IF(HD75=1,SUM($N91:HD91)-SUM($N92:HC92),HD74*HD77*(SUM($N91:HD91)-SUM($N92:HC92)))</f>
        <v>0</v>
      </c>
      <c r="HE92" s="52">
        <f>IF(HE75=1,SUM($N91:HE91)-SUM($N92:HD92),HE74*HE77*(SUM($N91:HE91)-SUM($N92:HD92)))</f>
        <v>0</v>
      </c>
      <c r="HF92" s="52">
        <f>IF(HF75=1,SUM($N91:HF91)-SUM($N92:HE92),HF74*HF77*(SUM($N91:HF91)-SUM($N92:HE92)))</f>
        <v>0</v>
      </c>
      <c r="HG92" s="52">
        <f>IF(HG75=1,SUM($N91:HG91)-SUM($N92:HF92),HG74*HG77*(SUM($N91:HG91)-SUM($N92:HF92)))</f>
        <v>0</v>
      </c>
      <c r="HH92" s="52">
        <f>IF(HH75=1,SUM($N91:HH91)-SUM($N92:HG92),HH74*HH77*(SUM($N91:HH91)-SUM($N92:HG92)))</f>
        <v>0</v>
      </c>
      <c r="HI92" s="52">
        <f>IF(HI75=1,SUM($N91:HI91)-SUM($N92:HH92),HI74*HI77*(SUM($N91:HI91)-SUM($N92:HH92)))</f>
        <v>0</v>
      </c>
      <c r="HJ92" s="52">
        <f>IF(HJ75=1,SUM($N91:HJ91)-SUM($N92:HI92),HJ74*HJ77*(SUM($N91:HJ91)-SUM($N92:HI92)))</f>
        <v>0</v>
      </c>
      <c r="HK92" s="52">
        <f>IF(HK75=1,SUM($N91:HK91)-SUM($N92:HJ92),HK74*HK77*(SUM($N91:HK91)-SUM($N92:HJ92)))</f>
        <v>0</v>
      </c>
      <c r="HL92" s="52">
        <f>IF(HL75=1,SUM($N91:HL91)-SUM($N92:HK92),HL74*HL77*(SUM($N91:HL91)-SUM($N92:HK92)))</f>
        <v>0</v>
      </c>
      <c r="HM92" s="52">
        <f>IF(HM75=1,SUM($N91:HM91)-SUM($N92:HL92),HM74*HM77*(SUM($N91:HM91)-SUM($N92:HL92)))</f>
        <v>0</v>
      </c>
      <c r="HN92" s="52">
        <f>IF(HN75=1,SUM($N91:HN91)-SUM($N92:HM92),HN74*HN77*(SUM($N91:HN91)-SUM($N92:HM92)))</f>
        <v>0</v>
      </c>
      <c r="HO92" s="52">
        <f>IF(HO75=1,SUM($N91:HO91)-SUM($N92:HN92),HO74*HO77*(SUM($N91:HO91)-SUM($N92:HN92)))</f>
        <v>0</v>
      </c>
      <c r="HP92" s="52">
        <f>IF(HP75=1,SUM($N91:HP91)-SUM($N92:HO92),HP74*HP77*(SUM($N91:HP91)-SUM($N92:HO92)))</f>
        <v>0</v>
      </c>
      <c r="HQ92" s="52">
        <f>IF(HQ75=1,SUM($N91:HQ91)-SUM($N92:HP92),HQ74*HQ77*(SUM($N91:HQ91)-SUM($N92:HP92)))</f>
        <v>0</v>
      </c>
      <c r="HR92" s="52">
        <f>IF(HR75=1,SUM($N91:HR91)-SUM($N92:HQ92),HR74*HR77*(SUM($N91:HR91)-SUM($N92:HQ92)))</f>
        <v>0</v>
      </c>
      <c r="HS92" s="52">
        <f>IF(HS75=1,SUM($N91:HS91)-SUM($N92:HR92),HS74*HS77*(SUM($N91:HS91)-SUM($N92:HR92)))</f>
        <v>0</v>
      </c>
      <c r="HT92" s="52">
        <f>IF(HT75=1,SUM($N91:HT91)-SUM($N92:HS92),HT74*HT77*(SUM($N91:HT91)-SUM($N92:HS92)))</f>
        <v>0</v>
      </c>
      <c r="HU92" s="52">
        <f>IF(HU75=1,SUM($N91:HU91)-SUM($N92:HT92),HU74*HU77*(SUM($N91:HU91)-SUM($N92:HT92)))</f>
        <v>0</v>
      </c>
      <c r="HV92" s="52">
        <f>IF(HV75=1,SUM($N91:HV91)-SUM($N92:HU92),HV74*HV77*(SUM($N91:HV91)-SUM($N92:HU92)))</f>
        <v>0</v>
      </c>
      <c r="HW92" s="52">
        <f>IF(HW75=1,SUM($N91:HW91)-SUM($N92:HV92),HW74*HW77*(SUM($N91:HW91)-SUM($N92:HV92)))</f>
        <v>0</v>
      </c>
      <c r="HX92" s="52">
        <f>IF(HX75=1,SUM($N91:HX91)-SUM($N92:HW92),HX74*HX77*(SUM($N91:HX91)-SUM($N92:HW92)))</f>
        <v>0</v>
      </c>
      <c r="HY92" s="52">
        <f>IF(HY75=1,SUM($N91:HY91)-SUM($N92:HX92),HY74*HY77*(SUM($N91:HY91)-SUM($N92:HX92)))</f>
        <v>0</v>
      </c>
      <c r="HZ92" s="52">
        <f>IF(HZ75=1,SUM($N91:HZ91)-SUM($N92:HY92),HZ74*HZ77*(SUM($N91:HZ91)-SUM($N92:HY92)))</f>
        <v>0</v>
      </c>
      <c r="IA92" s="52">
        <f>IF(IA75=1,SUM($N91:IA91)-SUM($N92:HZ92),IA74*IA77*(SUM($N91:IA91)-SUM($N92:HZ92)))</f>
        <v>0</v>
      </c>
      <c r="IB92" s="52">
        <f>IF(IB75=1,SUM($N91:IB91)-SUM($N92:IA92),IB74*IB77*(SUM($N91:IB91)-SUM($N92:IA92)))</f>
        <v>0</v>
      </c>
      <c r="IC92" s="52">
        <f>IF(IC75=1,SUM($N91:IC91)-SUM($N92:IB92),IC74*IC77*(SUM($N91:IC91)-SUM($N92:IB92)))</f>
        <v>0</v>
      </c>
      <c r="ID92" s="52">
        <f>IF(ID75=1,SUM($N91:ID91)-SUM($N92:IC92),ID74*ID77*(SUM($N91:ID91)-SUM($N92:IC92)))</f>
        <v>0</v>
      </c>
      <c r="IE92" s="52">
        <f>IF(IE75=1,SUM($N91:IE91)-SUM($N92:ID92),IE74*IE77*(SUM($N91:IE91)-SUM($N92:ID92)))</f>
        <v>0</v>
      </c>
      <c r="IF92" s="52">
        <f>IF(IF75=1,SUM($N91:IF91)-SUM($N92:IE92),IF74*IF77*(SUM($N91:IF91)-SUM($N92:IE92)))</f>
        <v>0</v>
      </c>
      <c r="IG92" s="52">
        <f>IF(IG75=1,SUM($N91:IG91)-SUM($N92:IF92),IG74*IG77*(SUM($N91:IG91)-SUM($N92:IF92)))</f>
        <v>0</v>
      </c>
      <c r="IH92" s="52">
        <f>IF(IH75=1,SUM($N91:IH91)-SUM($N92:IG92),IH74*IH77*(SUM($N91:IH91)-SUM($N92:IG92)))</f>
        <v>0</v>
      </c>
      <c r="II92" s="52">
        <f>IF(II75=1,SUM($N91:II91)-SUM($N92:IH92),II74*II77*(SUM($N91:II91)-SUM($N92:IH92)))</f>
        <v>0</v>
      </c>
      <c r="IJ92" s="52">
        <f>IF(IJ75=1,SUM($N91:IJ91)-SUM($N92:II92),IJ74*IJ77*(SUM($N91:IJ91)-SUM($N92:II92)))</f>
        <v>0</v>
      </c>
      <c r="IK92" s="52">
        <f>IF(IK75=1,SUM($N91:IK91)-SUM($N92:IJ92),IK74*IK77*(SUM($N91:IK91)-SUM($N92:IJ92)))</f>
        <v>0</v>
      </c>
      <c r="IL92" s="52">
        <f>IF(IL75=1,SUM($N91:IL91)-SUM($N92:IK92),IL74*IL77*(SUM($N91:IL91)-SUM($N92:IK92)))</f>
        <v>0</v>
      </c>
      <c r="IM92" s="52">
        <f>IF(IM75=1,SUM($N91:IM91)-SUM($N92:IL92),IM74*IM77*(SUM($N91:IM91)-SUM($N92:IL92)))</f>
        <v>0</v>
      </c>
      <c r="IN92" s="52">
        <f>IF(IN75=1,SUM($N91:IN91)-SUM($N92:IM92),IN74*IN77*(SUM($N91:IN91)-SUM($N92:IM92)))</f>
        <v>0</v>
      </c>
      <c r="IO92" s="52">
        <f>IF(IO75=1,SUM($N91:IO91)-SUM($N92:IN92),IO74*IO77*(SUM($N91:IO91)-SUM($N92:IN92)))</f>
        <v>0</v>
      </c>
      <c r="IP92" s="52">
        <f>IF(IP75=1,SUM($N91:IP91)-SUM($N92:IO92),IP74*IP77*(SUM($N91:IP91)-SUM($N92:IO92)))</f>
        <v>0</v>
      </c>
      <c r="IQ92" s="52">
        <f>IF(IQ75=1,SUM($N91:IQ91)-SUM($N92:IP92),IQ74*IQ77*(SUM($N91:IQ91)-SUM($N92:IP92)))</f>
        <v>0</v>
      </c>
      <c r="IR92" s="52">
        <f>IF(IR75=1,SUM($N91:IR91)-SUM($N92:IQ92),IR74*IR77*(SUM($N91:IR91)-SUM($N92:IQ92)))</f>
        <v>0</v>
      </c>
      <c r="IS92" s="52">
        <f>IF(IS75=1,SUM($N91:IS91)-SUM($N92:IR92),IS74*IS77*(SUM($N91:IS91)-SUM($N92:IR92)))</f>
        <v>0</v>
      </c>
      <c r="IT92" s="52">
        <f>IF(IT75=1,SUM($N91:IT91)-SUM($N92:IS92),IT74*IT77*(SUM($N91:IT91)-SUM($N92:IS92)))</f>
        <v>0</v>
      </c>
      <c r="IU92" s="52">
        <f>IF(IU75=1,SUM($N91:IU91)-SUM($N92:IT92),IU74*IU77*(SUM($N91:IU91)-SUM($N92:IT92)))</f>
        <v>0</v>
      </c>
      <c r="IV92" s="52">
        <f>IF(IV75=1,SUM($N91:IV91)-SUM($N92:IU92),IV74*IV77*(SUM($N91:IV91)-SUM($N92:IU92)))</f>
        <v>0</v>
      </c>
      <c r="IW92" s="52">
        <f>IF(IW75=1,SUM($N91:IW91)-SUM($N92:IV92),IW74*IW77*(SUM($N91:IW91)-SUM($N92:IV92)))</f>
        <v>0</v>
      </c>
      <c r="IX92" s="52">
        <f>IF(IX75=1,SUM($N91:IX91)-SUM($N92:IW92),IX74*IX77*(SUM($N91:IX91)-SUM($N92:IW92)))</f>
        <v>0</v>
      </c>
      <c r="IY92" s="52">
        <f>IF(IY75=1,SUM($N91:IY91)-SUM($N92:IX92),IY74*IY77*(SUM($N91:IY91)-SUM($N92:IX92)))</f>
        <v>0</v>
      </c>
      <c r="IZ92" s="52">
        <f>IF(IZ75=1,SUM($N91:IZ91)-SUM($N92:IY92),IZ74*IZ77*(SUM($N91:IZ91)-SUM($N92:IY92)))</f>
        <v>0</v>
      </c>
      <c r="JA92" s="52">
        <f>IF(JA75=1,SUM($N91:JA91)-SUM($N92:IZ92),JA74*JA77*(SUM($N91:JA91)-SUM($N92:IZ92)))</f>
        <v>0</v>
      </c>
      <c r="JB92" s="52">
        <f>IF(JB75=1,SUM($N91:JB91)-SUM($N92:JA92),JB74*JB77*(SUM($N91:JB91)-SUM($N92:JA92)))</f>
        <v>0</v>
      </c>
      <c r="JC92" s="52">
        <f>IF(JC75=1,SUM($N91:JC91)-SUM($N92:JB92),JC74*JC77*(SUM($N91:JC91)-SUM($N92:JB92)))</f>
        <v>0</v>
      </c>
      <c r="JD92" s="52">
        <f>IF(JD75=1,SUM($N91:JD91)-SUM($N92:JC92),JD74*JD77*(SUM($N91:JD91)-SUM($N92:JC92)))</f>
        <v>0</v>
      </c>
      <c r="JE92" s="52">
        <f>IF(JE75=1,SUM($N91:JE91)-SUM($N92:JD92),JE74*JE77*(SUM($N91:JE91)-SUM($N92:JD92)))</f>
        <v>0</v>
      </c>
      <c r="JF92" s="52">
        <f>IF(JF75=1,SUM($N91:JF91)-SUM($N92:JE92),JF74*JF77*(SUM($N91:JF91)-SUM($N92:JE92)))</f>
        <v>0</v>
      </c>
      <c r="JG92" s="52">
        <f>IF(JG75=1,SUM($N91:JG91)-SUM($N92:JF92),JG74*JG77*(SUM($N91:JG91)-SUM($N92:JF92)))</f>
        <v>0</v>
      </c>
      <c r="JH92" s="52">
        <f>IF(JH75=1,SUM($N91:JH91)-SUM($N92:JG92),JH74*JH77*(SUM($N91:JH91)-SUM($N92:JG92)))</f>
        <v>0</v>
      </c>
      <c r="JI92" s="52">
        <f>IF(JI75=1,SUM($N91:JI91)-SUM($N92:JH92),JI74*JI77*(SUM($N91:JI91)-SUM($N92:JH92)))</f>
        <v>0</v>
      </c>
      <c r="JJ92" s="52">
        <f>IF(JJ75=1,SUM($N91:JJ91)-SUM($N92:JI92),JJ74*JJ77*(SUM($N91:JJ91)-SUM($N92:JI92)))</f>
        <v>0</v>
      </c>
      <c r="JK92" s="52">
        <f>IF(JK75=1,SUM($N91:JK91)-SUM($N92:JJ92),JK74*JK77*(SUM($N91:JK91)-SUM($N92:JJ92)))</f>
        <v>0</v>
      </c>
      <c r="JL92" s="52">
        <f>IF(JL75=1,SUM($N91:JL91)-SUM($N92:JK92),JL74*JL77*(SUM($N91:JL91)-SUM($N92:JK92)))</f>
        <v>0</v>
      </c>
      <c r="JM92" s="52">
        <f>IF(JM75=1,SUM($N91:JM91)-SUM($N92:JL92),JM74*JM77*(SUM($N91:JM91)-SUM($N92:JL92)))</f>
        <v>0</v>
      </c>
      <c r="JN92" s="52">
        <f>IF(JN75=1,SUM($N91:JN91)-SUM($N92:JM92),JN74*JN77*(SUM($N91:JN91)-SUM($N92:JM92)))</f>
        <v>0</v>
      </c>
      <c r="JO92" s="52">
        <f>IF(JO75=1,SUM($N91:JO91)-SUM($N92:JN92),JO74*JO77*(SUM($N91:JO91)-SUM($N92:JN92)))</f>
        <v>0</v>
      </c>
      <c r="JP92" s="52">
        <f>IF(JP75=1,SUM($N91:JP91)-SUM($N92:JO92),JP74*JP77*(SUM($N91:JP91)-SUM($N92:JO92)))</f>
        <v>0</v>
      </c>
      <c r="JQ92" s="52">
        <f>IF(JQ75=1,SUM($N91:JQ91)-SUM($N92:JP92),JQ74*JQ77*(SUM($N91:JQ91)-SUM($N92:JP92)))</f>
        <v>0</v>
      </c>
      <c r="JR92" s="52">
        <f>IF(JR75=1,SUM($N91:JR91)-SUM($N92:JQ92),JR74*JR77*(SUM($N91:JR91)-SUM($N92:JQ92)))</f>
        <v>0</v>
      </c>
      <c r="JS92" s="52">
        <f>IF(JS75=1,SUM($N91:JS91)-SUM($N92:JR92),JS74*JS77*(SUM($N91:JS91)-SUM($N92:JR92)))</f>
        <v>0</v>
      </c>
      <c r="JT92" s="52">
        <f>IF(JT75=1,SUM($N91:JT91)-SUM($N92:JS92),JT74*JT77*(SUM($N91:JT91)-SUM($N92:JS92)))</f>
        <v>0</v>
      </c>
      <c r="JU92" s="52">
        <f>IF(JU75=1,SUM($N91:JU91)-SUM($N92:JT92),JU74*JU77*(SUM($N91:JU91)-SUM($N92:JT92)))</f>
        <v>0</v>
      </c>
      <c r="JV92" s="52">
        <f>IF(JV75=1,SUM($N91:JV91)-SUM($N92:JU92),JV74*JV77*(SUM($N91:JV91)-SUM($N92:JU92)))</f>
        <v>0</v>
      </c>
      <c r="JW92" s="52">
        <f>IF(JW75=1,SUM($N91:JW91)-SUM($N92:JV92),JW74*JW77*(SUM($N91:JW91)-SUM($N92:JV92)))</f>
        <v>0</v>
      </c>
      <c r="JX92" s="52">
        <f>IF(JX75=1,SUM($N91:JX91)-SUM($N92:JW92),JX74*JX77*(SUM($N91:JX91)-SUM($N92:JW92)))</f>
        <v>0</v>
      </c>
      <c r="JY92" s="52">
        <f>IF(JY75=1,SUM($N91:JY91)-SUM($N92:JX92),JY74*JY77*(SUM($N91:JY91)-SUM($N92:JX92)))</f>
        <v>0</v>
      </c>
      <c r="JZ92" s="52">
        <f>IF(JZ75=1,SUM($N91:JZ91)-SUM($N92:JY92),JZ74*JZ77*(SUM($N91:JZ91)-SUM($N92:JY92)))</f>
        <v>0</v>
      </c>
      <c r="KA92" s="52">
        <f>IF(KA75=1,SUM($N91:KA91)-SUM($N92:JZ92),KA74*KA77*(SUM($N91:KA91)-SUM($N92:JZ92)))</f>
        <v>0</v>
      </c>
      <c r="KB92" s="52">
        <f>IF(KB75=1,SUM($N91:KB91)-SUM($N92:KA92),KB74*KB77*(SUM($N91:KB91)-SUM($N92:KA92)))</f>
        <v>0</v>
      </c>
      <c r="KC92" s="52">
        <f>IF(KC75=1,SUM($N91:KC91)-SUM($N92:KB92),KC74*KC77*(SUM($N91:KC91)-SUM($N92:KB92)))</f>
        <v>0</v>
      </c>
      <c r="KD92" s="52">
        <f>IF(KD75=1,SUM($N91:KD91)-SUM($N92:KC92),KD74*KD77*(SUM($N91:KD91)-SUM($N92:KC92)))</f>
        <v>0</v>
      </c>
      <c r="KE92" s="52">
        <f>IF(KE75=1,SUM($N91:KE91)-SUM($N92:KD92),KE74*KE77*(SUM($N91:KE91)-SUM($N92:KD92)))</f>
        <v>0</v>
      </c>
      <c r="KF92" s="52">
        <f>IF(KF75=1,SUM($N91:KF91)-SUM($N92:KE92),KF74*KF77*(SUM($N91:KF91)-SUM($N92:KE92)))</f>
        <v>0</v>
      </c>
      <c r="KG92" s="52">
        <f>IF(KG75=1,SUM($N91:KG91)-SUM($N92:KF92),KG74*KG77*(SUM($N91:KG91)-SUM($N92:KF92)))</f>
        <v>0</v>
      </c>
      <c r="KH92" s="52">
        <f>IF(KH75=1,SUM($N91:KH91)-SUM($N92:KG92),KH74*KH77*(SUM($N91:KH91)-SUM($N92:KG92)))</f>
        <v>0</v>
      </c>
      <c r="KI92" s="52">
        <f>IF(KI75=1,SUM($N91:KI91)-SUM($N92:KH92),KI74*KI77*(SUM($N91:KI91)-SUM($N92:KH92)))</f>
        <v>0</v>
      </c>
      <c r="KJ92" s="1"/>
    </row>
    <row r="93" spans="7:296" x14ac:dyDescent="0.35">
      <c r="S93" s="51"/>
      <c r="T93" s="26"/>
      <c r="KJ93" s="1"/>
    </row>
    <row r="94" spans="7:296" x14ac:dyDescent="0.35">
      <c r="L94" s="22" t="s">
        <v>108</v>
      </c>
      <c r="S94" s="51"/>
      <c r="T94" s="26"/>
      <c r="KJ94" s="1"/>
    </row>
    <row r="95" spans="7:296" x14ac:dyDescent="0.35">
      <c r="H95" s="13" t="s">
        <v>49</v>
      </c>
      <c r="L95" s="22"/>
      <c r="M95" s="6" t="s">
        <v>99</v>
      </c>
      <c r="N95" s="48">
        <f>Control!H46</f>
        <v>2.5</v>
      </c>
      <c r="O95" s="48">
        <f>N97</f>
        <v>2.3833333333333333</v>
      </c>
      <c r="P95" s="48">
        <f t="shared" ref="P95:CA95" si="207">O97</f>
        <v>2.2666666666666666</v>
      </c>
      <c r="Q95" s="48">
        <f t="shared" si="207"/>
        <v>2.15</v>
      </c>
      <c r="R95" s="48">
        <f t="shared" si="207"/>
        <v>2.0333333333333332</v>
      </c>
      <c r="S95" s="48">
        <f t="shared" si="207"/>
        <v>1.9166666666666665</v>
      </c>
      <c r="T95" s="48">
        <f t="shared" si="207"/>
        <v>0</v>
      </c>
      <c r="U95" s="48">
        <f t="shared" si="207"/>
        <v>0</v>
      </c>
      <c r="V95" s="48">
        <f t="shared" si="207"/>
        <v>0</v>
      </c>
      <c r="W95" s="48">
        <f t="shared" si="207"/>
        <v>0</v>
      </c>
      <c r="X95" s="48">
        <f t="shared" si="207"/>
        <v>0</v>
      </c>
      <c r="Y95" s="48">
        <f t="shared" si="207"/>
        <v>0</v>
      </c>
      <c r="Z95" s="48">
        <f t="shared" si="207"/>
        <v>0</v>
      </c>
      <c r="AA95" s="48">
        <f t="shared" si="207"/>
        <v>0</v>
      </c>
      <c r="AB95" s="48">
        <f t="shared" si="207"/>
        <v>0</v>
      </c>
      <c r="AC95" s="48">
        <f t="shared" si="207"/>
        <v>0</v>
      </c>
      <c r="AD95" s="48">
        <f t="shared" si="207"/>
        <v>0</v>
      </c>
      <c r="AE95" s="48">
        <f t="shared" si="207"/>
        <v>0</v>
      </c>
      <c r="AF95" s="48">
        <f t="shared" si="207"/>
        <v>0</v>
      </c>
      <c r="AG95" s="48">
        <f t="shared" si="207"/>
        <v>0</v>
      </c>
      <c r="AH95" s="48">
        <f t="shared" si="207"/>
        <v>0</v>
      </c>
      <c r="AI95" s="48">
        <f t="shared" si="207"/>
        <v>0</v>
      </c>
      <c r="AJ95" s="48">
        <f t="shared" si="207"/>
        <v>0</v>
      </c>
      <c r="AK95" s="48">
        <f t="shared" si="207"/>
        <v>0</v>
      </c>
      <c r="AL95" s="48">
        <f t="shared" si="207"/>
        <v>0</v>
      </c>
      <c r="AM95" s="48">
        <f t="shared" si="207"/>
        <v>0</v>
      </c>
      <c r="AN95" s="48">
        <f t="shared" si="207"/>
        <v>0</v>
      </c>
      <c r="AO95" s="48">
        <f t="shared" si="207"/>
        <v>0</v>
      </c>
      <c r="AP95" s="48">
        <f t="shared" si="207"/>
        <v>0</v>
      </c>
      <c r="AQ95" s="48">
        <f t="shared" si="207"/>
        <v>0</v>
      </c>
      <c r="AR95" s="48">
        <f t="shared" si="207"/>
        <v>0</v>
      </c>
      <c r="AS95" s="48">
        <f t="shared" si="207"/>
        <v>0</v>
      </c>
      <c r="AT95" s="48">
        <f t="shared" si="207"/>
        <v>0</v>
      </c>
      <c r="AU95" s="48">
        <f t="shared" si="207"/>
        <v>0</v>
      </c>
      <c r="AV95" s="48">
        <f t="shared" si="207"/>
        <v>0</v>
      </c>
      <c r="AW95" s="48">
        <f t="shared" si="207"/>
        <v>0</v>
      </c>
      <c r="AX95" s="48">
        <f t="shared" si="207"/>
        <v>0</v>
      </c>
      <c r="AY95" s="48">
        <f t="shared" si="207"/>
        <v>0</v>
      </c>
      <c r="AZ95" s="48">
        <f t="shared" si="207"/>
        <v>0</v>
      </c>
      <c r="BA95" s="48">
        <f t="shared" si="207"/>
        <v>0</v>
      </c>
      <c r="BB95" s="48">
        <f t="shared" si="207"/>
        <v>0</v>
      </c>
      <c r="BC95" s="48">
        <f t="shared" si="207"/>
        <v>0</v>
      </c>
      <c r="BD95" s="48">
        <f t="shared" si="207"/>
        <v>0</v>
      </c>
      <c r="BE95" s="48">
        <f t="shared" si="207"/>
        <v>0</v>
      </c>
      <c r="BF95" s="48">
        <f t="shared" si="207"/>
        <v>0</v>
      </c>
      <c r="BG95" s="48">
        <f t="shared" si="207"/>
        <v>0</v>
      </c>
      <c r="BH95" s="48">
        <f t="shared" si="207"/>
        <v>0</v>
      </c>
      <c r="BI95" s="48">
        <f t="shared" si="207"/>
        <v>0</v>
      </c>
      <c r="BJ95" s="48">
        <f t="shared" si="207"/>
        <v>0</v>
      </c>
      <c r="BK95" s="48">
        <f t="shared" si="207"/>
        <v>0</v>
      </c>
      <c r="BL95" s="48">
        <f t="shared" si="207"/>
        <v>0</v>
      </c>
      <c r="BM95" s="48">
        <f t="shared" si="207"/>
        <v>0</v>
      </c>
      <c r="BN95" s="48">
        <f t="shared" si="207"/>
        <v>0</v>
      </c>
      <c r="BO95" s="48">
        <f t="shared" si="207"/>
        <v>0</v>
      </c>
      <c r="BP95" s="48">
        <f t="shared" si="207"/>
        <v>0</v>
      </c>
      <c r="BQ95" s="48">
        <f t="shared" si="207"/>
        <v>0</v>
      </c>
      <c r="BR95" s="48">
        <f t="shared" si="207"/>
        <v>0</v>
      </c>
      <c r="BS95" s="48">
        <f t="shared" si="207"/>
        <v>0</v>
      </c>
      <c r="BT95" s="48">
        <f t="shared" si="207"/>
        <v>0</v>
      </c>
      <c r="BU95" s="48">
        <f t="shared" si="207"/>
        <v>0</v>
      </c>
      <c r="BV95" s="48">
        <f t="shared" si="207"/>
        <v>0</v>
      </c>
      <c r="BW95" s="48">
        <f t="shared" si="207"/>
        <v>0</v>
      </c>
      <c r="BX95" s="48">
        <f t="shared" si="207"/>
        <v>0</v>
      </c>
      <c r="BY95" s="48">
        <f t="shared" si="207"/>
        <v>0</v>
      </c>
      <c r="BZ95" s="48">
        <f t="shared" si="207"/>
        <v>0</v>
      </c>
      <c r="CA95" s="48">
        <f t="shared" si="207"/>
        <v>0</v>
      </c>
      <c r="CB95" s="48">
        <f t="shared" ref="CB95:EM95" si="208">CA97</f>
        <v>0</v>
      </c>
      <c r="CC95" s="48">
        <f t="shared" si="208"/>
        <v>0</v>
      </c>
      <c r="CD95" s="48">
        <f t="shared" si="208"/>
        <v>0</v>
      </c>
      <c r="CE95" s="48">
        <f t="shared" si="208"/>
        <v>0</v>
      </c>
      <c r="CF95" s="48">
        <f t="shared" si="208"/>
        <v>0</v>
      </c>
      <c r="CG95" s="48">
        <f t="shared" si="208"/>
        <v>0</v>
      </c>
      <c r="CH95" s="48">
        <f t="shared" si="208"/>
        <v>0</v>
      </c>
      <c r="CI95" s="48">
        <f t="shared" si="208"/>
        <v>0</v>
      </c>
      <c r="CJ95" s="48">
        <f t="shared" si="208"/>
        <v>0</v>
      </c>
      <c r="CK95" s="48">
        <f t="shared" si="208"/>
        <v>0</v>
      </c>
      <c r="CL95" s="48">
        <f t="shared" si="208"/>
        <v>0</v>
      </c>
      <c r="CM95" s="48">
        <f t="shared" si="208"/>
        <v>0</v>
      </c>
      <c r="CN95" s="48">
        <f t="shared" si="208"/>
        <v>0</v>
      </c>
      <c r="CO95" s="48">
        <f t="shared" si="208"/>
        <v>0</v>
      </c>
      <c r="CP95" s="48">
        <f t="shared" si="208"/>
        <v>0</v>
      </c>
      <c r="CQ95" s="48">
        <f t="shared" si="208"/>
        <v>0</v>
      </c>
      <c r="CR95" s="48">
        <f t="shared" si="208"/>
        <v>0</v>
      </c>
      <c r="CS95" s="48">
        <f t="shared" si="208"/>
        <v>0</v>
      </c>
      <c r="CT95" s="48">
        <f t="shared" si="208"/>
        <v>0</v>
      </c>
      <c r="CU95" s="48">
        <f t="shared" si="208"/>
        <v>0</v>
      </c>
      <c r="CV95" s="48">
        <f t="shared" si="208"/>
        <v>0</v>
      </c>
      <c r="CW95" s="48">
        <f t="shared" si="208"/>
        <v>0</v>
      </c>
      <c r="CX95" s="48">
        <f t="shared" si="208"/>
        <v>0</v>
      </c>
      <c r="CY95" s="48">
        <f t="shared" si="208"/>
        <v>0</v>
      </c>
      <c r="CZ95" s="48">
        <f t="shared" si="208"/>
        <v>0</v>
      </c>
      <c r="DA95" s="48">
        <f t="shared" si="208"/>
        <v>0</v>
      </c>
      <c r="DB95" s="48">
        <f t="shared" si="208"/>
        <v>0</v>
      </c>
      <c r="DC95" s="48">
        <f t="shared" si="208"/>
        <v>0</v>
      </c>
      <c r="DD95" s="48">
        <f t="shared" si="208"/>
        <v>0</v>
      </c>
      <c r="DE95" s="48">
        <f t="shared" si="208"/>
        <v>0</v>
      </c>
      <c r="DF95" s="48">
        <f t="shared" si="208"/>
        <v>0</v>
      </c>
      <c r="DG95" s="48">
        <f t="shared" si="208"/>
        <v>0</v>
      </c>
      <c r="DH95" s="48">
        <f t="shared" si="208"/>
        <v>0</v>
      </c>
      <c r="DI95" s="48">
        <f t="shared" si="208"/>
        <v>0</v>
      </c>
      <c r="DJ95" s="48">
        <f t="shared" si="208"/>
        <v>0</v>
      </c>
      <c r="DK95" s="48">
        <f t="shared" si="208"/>
        <v>0</v>
      </c>
      <c r="DL95" s="48">
        <f t="shared" si="208"/>
        <v>0</v>
      </c>
      <c r="DM95" s="48">
        <f t="shared" si="208"/>
        <v>0</v>
      </c>
      <c r="DN95" s="48">
        <f t="shared" si="208"/>
        <v>0</v>
      </c>
      <c r="DO95" s="48">
        <f t="shared" si="208"/>
        <v>0</v>
      </c>
      <c r="DP95" s="48">
        <f t="shared" si="208"/>
        <v>0</v>
      </c>
      <c r="DQ95" s="48">
        <f t="shared" si="208"/>
        <v>0</v>
      </c>
      <c r="DR95" s="48">
        <f t="shared" si="208"/>
        <v>0</v>
      </c>
      <c r="DS95" s="48">
        <f t="shared" si="208"/>
        <v>0</v>
      </c>
      <c r="DT95" s="48">
        <f t="shared" si="208"/>
        <v>0</v>
      </c>
      <c r="DU95" s="48">
        <f t="shared" si="208"/>
        <v>0</v>
      </c>
      <c r="DV95" s="48">
        <f t="shared" si="208"/>
        <v>0</v>
      </c>
      <c r="DW95" s="48">
        <f t="shared" si="208"/>
        <v>0</v>
      </c>
      <c r="DX95" s="48">
        <f t="shared" si="208"/>
        <v>0</v>
      </c>
      <c r="DY95" s="48">
        <f t="shared" si="208"/>
        <v>0</v>
      </c>
      <c r="DZ95" s="48">
        <f t="shared" si="208"/>
        <v>0</v>
      </c>
      <c r="EA95" s="48">
        <f t="shared" si="208"/>
        <v>0</v>
      </c>
      <c r="EB95" s="48">
        <f t="shared" si="208"/>
        <v>0</v>
      </c>
      <c r="EC95" s="48">
        <f t="shared" si="208"/>
        <v>0</v>
      </c>
      <c r="ED95" s="48">
        <f t="shared" si="208"/>
        <v>0</v>
      </c>
      <c r="EE95" s="48">
        <f t="shared" si="208"/>
        <v>0</v>
      </c>
      <c r="EF95" s="48">
        <f t="shared" si="208"/>
        <v>0</v>
      </c>
      <c r="EG95" s="48">
        <f t="shared" si="208"/>
        <v>0</v>
      </c>
      <c r="EH95" s="48">
        <f t="shared" si="208"/>
        <v>0</v>
      </c>
      <c r="EI95" s="48">
        <f t="shared" si="208"/>
        <v>0</v>
      </c>
      <c r="EJ95" s="48">
        <f t="shared" si="208"/>
        <v>0</v>
      </c>
      <c r="EK95" s="48">
        <f t="shared" si="208"/>
        <v>0</v>
      </c>
      <c r="EL95" s="48">
        <f t="shared" si="208"/>
        <v>0</v>
      </c>
      <c r="EM95" s="48">
        <f t="shared" si="208"/>
        <v>0</v>
      </c>
      <c r="EN95" s="48">
        <f t="shared" ref="EN95:GY95" si="209">EM97</f>
        <v>0</v>
      </c>
      <c r="EO95" s="48">
        <f t="shared" si="209"/>
        <v>0</v>
      </c>
      <c r="EP95" s="48">
        <f t="shared" si="209"/>
        <v>0</v>
      </c>
      <c r="EQ95" s="48">
        <f t="shared" si="209"/>
        <v>0</v>
      </c>
      <c r="ER95" s="48">
        <f t="shared" si="209"/>
        <v>0</v>
      </c>
      <c r="ES95" s="48">
        <f t="shared" si="209"/>
        <v>0</v>
      </c>
      <c r="ET95" s="48">
        <f t="shared" si="209"/>
        <v>0</v>
      </c>
      <c r="EU95" s="48">
        <f t="shared" si="209"/>
        <v>0</v>
      </c>
      <c r="EV95" s="48">
        <f t="shared" si="209"/>
        <v>0</v>
      </c>
      <c r="EW95" s="48">
        <f t="shared" si="209"/>
        <v>0</v>
      </c>
      <c r="EX95" s="48">
        <f t="shared" si="209"/>
        <v>0</v>
      </c>
      <c r="EY95" s="48">
        <f t="shared" si="209"/>
        <v>0</v>
      </c>
      <c r="EZ95" s="48">
        <f t="shared" si="209"/>
        <v>0</v>
      </c>
      <c r="FA95" s="48">
        <f t="shared" si="209"/>
        <v>0</v>
      </c>
      <c r="FB95" s="48">
        <f t="shared" si="209"/>
        <v>0</v>
      </c>
      <c r="FC95" s="48">
        <f t="shared" si="209"/>
        <v>0</v>
      </c>
      <c r="FD95" s="48">
        <f t="shared" si="209"/>
        <v>0</v>
      </c>
      <c r="FE95" s="48">
        <f t="shared" si="209"/>
        <v>0</v>
      </c>
      <c r="FF95" s="48">
        <f t="shared" si="209"/>
        <v>0</v>
      </c>
      <c r="FG95" s="48">
        <f t="shared" si="209"/>
        <v>0</v>
      </c>
      <c r="FH95" s="48">
        <f t="shared" si="209"/>
        <v>0</v>
      </c>
      <c r="FI95" s="48">
        <f t="shared" si="209"/>
        <v>0</v>
      </c>
      <c r="FJ95" s="48">
        <f t="shared" si="209"/>
        <v>0</v>
      </c>
      <c r="FK95" s="48">
        <f t="shared" si="209"/>
        <v>0</v>
      </c>
      <c r="FL95" s="48">
        <f t="shared" si="209"/>
        <v>0</v>
      </c>
      <c r="FM95" s="48">
        <f t="shared" si="209"/>
        <v>0</v>
      </c>
      <c r="FN95" s="48">
        <f t="shared" si="209"/>
        <v>0</v>
      </c>
      <c r="FO95" s="48">
        <f t="shared" si="209"/>
        <v>0</v>
      </c>
      <c r="FP95" s="48">
        <f t="shared" si="209"/>
        <v>0</v>
      </c>
      <c r="FQ95" s="48">
        <f t="shared" si="209"/>
        <v>0</v>
      </c>
      <c r="FR95" s="48">
        <f t="shared" si="209"/>
        <v>0</v>
      </c>
      <c r="FS95" s="48">
        <f t="shared" si="209"/>
        <v>0</v>
      </c>
      <c r="FT95" s="48">
        <f t="shared" si="209"/>
        <v>0</v>
      </c>
      <c r="FU95" s="48">
        <f t="shared" si="209"/>
        <v>0</v>
      </c>
      <c r="FV95" s="48">
        <f t="shared" si="209"/>
        <v>0</v>
      </c>
      <c r="FW95" s="48">
        <f t="shared" si="209"/>
        <v>0</v>
      </c>
      <c r="FX95" s="48">
        <f t="shared" si="209"/>
        <v>0</v>
      </c>
      <c r="FY95" s="48">
        <f t="shared" si="209"/>
        <v>0</v>
      </c>
      <c r="FZ95" s="48">
        <f t="shared" si="209"/>
        <v>0</v>
      </c>
      <c r="GA95" s="48">
        <f t="shared" si="209"/>
        <v>0</v>
      </c>
      <c r="GB95" s="48">
        <f t="shared" si="209"/>
        <v>0</v>
      </c>
      <c r="GC95" s="48">
        <f t="shared" si="209"/>
        <v>0</v>
      </c>
      <c r="GD95" s="48">
        <f t="shared" si="209"/>
        <v>0</v>
      </c>
      <c r="GE95" s="48">
        <f t="shared" si="209"/>
        <v>0</v>
      </c>
      <c r="GF95" s="48">
        <f t="shared" si="209"/>
        <v>0</v>
      </c>
      <c r="GG95" s="48">
        <f t="shared" si="209"/>
        <v>0</v>
      </c>
      <c r="GH95" s="48">
        <f t="shared" si="209"/>
        <v>0</v>
      </c>
      <c r="GI95" s="48">
        <f t="shared" si="209"/>
        <v>0</v>
      </c>
      <c r="GJ95" s="48">
        <f t="shared" si="209"/>
        <v>0</v>
      </c>
      <c r="GK95" s="48">
        <f t="shared" si="209"/>
        <v>0</v>
      </c>
      <c r="GL95" s="48">
        <f t="shared" si="209"/>
        <v>0</v>
      </c>
      <c r="GM95" s="48">
        <f t="shared" si="209"/>
        <v>0</v>
      </c>
      <c r="GN95" s="48">
        <f t="shared" si="209"/>
        <v>0</v>
      </c>
      <c r="GO95" s="48">
        <f t="shared" si="209"/>
        <v>0</v>
      </c>
      <c r="GP95" s="48">
        <f t="shared" si="209"/>
        <v>0</v>
      </c>
      <c r="GQ95" s="48">
        <f t="shared" si="209"/>
        <v>0</v>
      </c>
      <c r="GR95" s="48">
        <f t="shared" si="209"/>
        <v>0</v>
      </c>
      <c r="GS95" s="48">
        <f t="shared" si="209"/>
        <v>0</v>
      </c>
      <c r="GT95" s="48">
        <f t="shared" si="209"/>
        <v>0</v>
      </c>
      <c r="GU95" s="48">
        <f t="shared" si="209"/>
        <v>0</v>
      </c>
      <c r="GV95" s="48">
        <f t="shared" si="209"/>
        <v>0</v>
      </c>
      <c r="GW95" s="48">
        <f t="shared" si="209"/>
        <v>0</v>
      </c>
      <c r="GX95" s="48">
        <f t="shared" si="209"/>
        <v>0</v>
      </c>
      <c r="GY95" s="48">
        <f t="shared" si="209"/>
        <v>0</v>
      </c>
      <c r="GZ95" s="48">
        <f t="shared" ref="GZ95:JK95" si="210">GY97</f>
        <v>0</v>
      </c>
      <c r="HA95" s="48">
        <f t="shared" si="210"/>
        <v>0</v>
      </c>
      <c r="HB95" s="48">
        <f t="shared" si="210"/>
        <v>0</v>
      </c>
      <c r="HC95" s="48">
        <f t="shared" si="210"/>
        <v>0</v>
      </c>
      <c r="HD95" s="48">
        <f t="shared" si="210"/>
        <v>0</v>
      </c>
      <c r="HE95" s="48">
        <f t="shared" si="210"/>
        <v>0</v>
      </c>
      <c r="HF95" s="48">
        <f t="shared" si="210"/>
        <v>0</v>
      </c>
      <c r="HG95" s="48">
        <f t="shared" si="210"/>
        <v>0</v>
      </c>
      <c r="HH95" s="48">
        <f t="shared" si="210"/>
        <v>0</v>
      </c>
      <c r="HI95" s="48">
        <f t="shared" si="210"/>
        <v>0</v>
      </c>
      <c r="HJ95" s="48">
        <f t="shared" si="210"/>
        <v>0</v>
      </c>
      <c r="HK95" s="48">
        <f t="shared" si="210"/>
        <v>0</v>
      </c>
      <c r="HL95" s="48">
        <f t="shared" si="210"/>
        <v>0</v>
      </c>
      <c r="HM95" s="48">
        <f t="shared" si="210"/>
        <v>0</v>
      </c>
      <c r="HN95" s="48">
        <f t="shared" si="210"/>
        <v>0</v>
      </c>
      <c r="HO95" s="48">
        <f t="shared" si="210"/>
        <v>0</v>
      </c>
      <c r="HP95" s="48">
        <f t="shared" si="210"/>
        <v>0</v>
      </c>
      <c r="HQ95" s="48">
        <f t="shared" si="210"/>
        <v>0</v>
      </c>
      <c r="HR95" s="48">
        <f t="shared" si="210"/>
        <v>0</v>
      </c>
      <c r="HS95" s="48">
        <f t="shared" si="210"/>
        <v>0</v>
      </c>
      <c r="HT95" s="48">
        <f t="shared" si="210"/>
        <v>0</v>
      </c>
      <c r="HU95" s="48">
        <f t="shared" si="210"/>
        <v>0</v>
      </c>
      <c r="HV95" s="48">
        <f t="shared" si="210"/>
        <v>0</v>
      </c>
      <c r="HW95" s="48">
        <f t="shared" si="210"/>
        <v>0</v>
      </c>
      <c r="HX95" s="48">
        <f t="shared" si="210"/>
        <v>0</v>
      </c>
      <c r="HY95" s="48">
        <f t="shared" si="210"/>
        <v>0</v>
      </c>
      <c r="HZ95" s="48">
        <f t="shared" si="210"/>
        <v>0</v>
      </c>
      <c r="IA95" s="48">
        <f t="shared" si="210"/>
        <v>0</v>
      </c>
      <c r="IB95" s="48">
        <f t="shared" si="210"/>
        <v>0</v>
      </c>
      <c r="IC95" s="48">
        <f t="shared" si="210"/>
        <v>0</v>
      </c>
      <c r="ID95" s="48">
        <f t="shared" si="210"/>
        <v>0</v>
      </c>
      <c r="IE95" s="48">
        <f t="shared" si="210"/>
        <v>0</v>
      </c>
      <c r="IF95" s="48">
        <f t="shared" si="210"/>
        <v>0</v>
      </c>
      <c r="IG95" s="48">
        <f t="shared" si="210"/>
        <v>0</v>
      </c>
      <c r="IH95" s="48">
        <f t="shared" si="210"/>
        <v>0</v>
      </c>
      <c r="II95" s="48">
        <f t="shared" si="210"/>
        <v>0</v>
      </c>
      <c r="IJ95" s="48">
        <f t="shared" si="210"/>
        <v>0</v>
      </c>
      <c r="IK95" s="48">
        <f t="shared" si="210"/>
        <v>0</v>
      </c>
      <c r="IL95" s="48">
        <f t="shared" si="210"/>
        <v>0</v>
      </c>
      <c r="IM95" s="48">
        <f t="shared" si="210"/>
        <v>0</v>
      </c>
      <c r="IN95" s="48">
        <f t="shared" si="210"/>
        <v>0</v>
      </c>
      <c r="IO95" s="48">
        <f t="shared" si="210"/>
        <v>0</v>
      </c>
      <c r="IP95" s="48">
        <f t="shared" si="210"/>
        <v>0</v>
      </c>
      <c r="IQ95" s="48">
        <f t="shared" si="210"/>
        <v>0</v>
      </c>
      <c r="IR95" s="48">
        <f t="shared" si="210"/>
        <v>0</v>
      </c>
      <c r="IS95" s="48">
        <f t="shared" si="210"/>
        <v>0</v>
      </c>
      <c r="IT95" s="48">
        <f t="shared" si="210"/>
        <v>0</v>
      </c>
      <c r="IU95" s="48">
        <f t="shared" si="210"/>
        <v>0</v>
      </c>
      <c r="IV95" s="48">
        <f t="shared" si="210"/>
        <v>0</v>
      </c>
      <c r="IW95" s="48">
        <f t="shared" si="210"/>
        <v>0</v>
      </c>
      <c r="IX95" s="48">
        <f t="shared" si="210"/>
        <v>0</v>
      </c>
      <c r="IY95" s="48">
        <f t="shared" si="210"/>
        <v>0</v>
      </c>
      <c r="IZ95" s="48">
        <f t="shared" si="210"/>
        <v>0</v>
      </c>
      <c r="JA95" s="48">
        <f t="shared" si="210"/>
        <v>0</v>
      </c>
      <c r="JB95" s="48">
        <f t="shared" si="210"/>
        <v>0</v>
      </c>
      <c r="JC95" s="48">
        <f t="shared" si="210"/>
        <v>0</v>
      </c>
      <c r="JD95" s="48">
        <f t="shared" si="210"/>
        <v>0</v>
      </c>
      <c r="JE95" s="48">
        <f t="shared" si="210"/>
        <v>0</v>
      </c>
      <c r="JF95" s="48">
        <f t="shared" si="210"/>
        <v>0</v>
      </c>
      <c r="JG95" s="48">
        <f t="shared" si="210"/>
        <v>0</v>
      </c>
      <c r="JH95" s="48">
        <f t="shared" si="210"/>
        <v>0</v>
      </c>
      <c r="JI95" s="48">
        <f t="shared" si="210"/>
        <v>0</v>
      </c>
      <c r="JJ95" s="48">
        <f t="shared" si="210"/>
        <v>0</v>
      </c>
      <c r="JK95" s="48">
        <f t="shared" si="210"/>
        <v>0</v>
      </c>
      <c r="JL95" s="48">
        <f t="shared" ref="JL95:KI95" si="211">JK97</f>
        <v>0</v>
      </c>
      <c r="JM95" s="48">
        <f t="shared" si="211"/>
        <v>0</v>
      </c>
      <c r="JN95" s="48">
        <f t="shared" si="211"/>
        <v>0</v>
      </c>
      <c r="JO95" s="48">
        <f t="shared" si="211"/>
        <v>0</v>
      </c>
      <c r="JP95" s="48">
        <f t="shared" si="211"/>
        <v>0</v>
      </c>
      <c r="JQ95" s="48">
        <f t="shared" si="211"/>
        <v>0</v>
      </c>
      <c r="JR95" s="48">
        <f t="shared" si="211"/>
        <v>0</v>
      </c>
      <c r="JS95" s="48">
        <f t="shared" si="211"/>
        <v>0</v>
      </c>
      <c r="JT95" s="48">
        <f t="shared" si="211"/>
        <v>0</v>
      </c>
      <c r="JU95" s="48">
        <f t="shared" si="211"/>
        <v>0</v>
      </c>
      <c r="JV95" s="48">
        <f t="shared" si="211"/>
        <v>0</v>
      </c>
      <c r="JW95" s="48">
        <f t="shared" si="211"/>
        <v>0</v>
      </c>
      <c r="JX95" s="48">
        <f t="shared" si="211"/>
        <v>0</v>
      </c>
      <c r="JY95" s="48">
        <f t="shared" si="211"/>
        <v>0</v>
      </c>
      <c r="JZ95" s="48">
        <f t="shared" si="211"/>
        <v>0</v>
      </c>
      <c r="KA95" s="48">
        <f t="shared" si="211"/>
        <v>0</v>
      </c>
      <c r="KB95" s="48">
        <f t="shared" si="211"/>
        <v>0</v>
      </c>
      <c r="KC95" s="48">
        <f t="shared" si="211"/>
        <v>0</v>
      </c>
      <c r="KD95" s="48">
        <f t="shared" si="211"/>
        <v>0</v>
      </c>
      <c r="KE95" s="48">
        <f t="shared" si="211"/>
        <v>0</v>
      </c>
      <c r="KF95" s="48">
        <f t="shared" si="211"/>
        <v>0</v>
      </c>
      <c r="KG95" s="48">
        <f t="shared" si="211"/>
        <v>0</v>
      </c>
      <c r="KH95" s="48">
        <f t="shared" si="211"/>
        <v>0</v>
      </c>
      <c r="KI95" s="48">
        <f t="shared" si="211"/>
        <v>0</v>
      </c>
      <c r="KJ95" s="1"/>
    </row>
    <row r="96" spans="7:296" x14ac:dyDescent="0.35">
      <c r="G96" s="24">
        <f>Control!H49</f>
        <v>0.11666666666666667</v>
      </c>
      <c r="H96" s="13" t="s">
        <v>49</v>
      </c>
      <c r="M96" s="6" t="s">
        <v>100</v>
      </c>
      <c r="N96" s="48">
        <f>-IF(O75=1,N95,N74*$G96)</f>
        <v>-0.11666666666666667</v>
      </c>
      <c r="O96" s="48">
        <f t="shared" ref="O96:BZ96" si="212">-IF(P75=1,O95,O74*$G96)</f>
        <v>-0.11666666666666667</v>
      </c>
      <c r="P96" s="48">
        <f t="shared" si="212"/>
        <v>-0.11666666666666667</v>
      </c>
      <c r="Q96" s="48">
        <f t="shared" si="212"/>
        <v>-0.11666666666666667</v>
      </c>
      <c r="R96" s="48">
        <f t="shared" si="212"/>
        <v>-0.11666666666666667</v>
      </c>
      <c r="S96" s="48">
        <f t="shared" si="212"/>
        <v>-1.9166666666666665</v>
      </c>
      <c r="T96" s="48">
        <f t="shared" si="212"/>
        <v>0</v>
      </c>
      <c r="U96" s="48">
        <f t="shared" si="212"/>
        <v>0</v>
      </c>
      <c r="V96" s="48">
        <f t="shared" si="212"/>
        <v>0</v>
      </c>
      <c r="W96" s="48">
        <f t="shared" si="212"/>
        <v>0</v>
      </c>
      <c r="X96" s="48">
        <f t="shared" si="212"/>
        <v>0</v>
      </c>
      <c r="Y96" s="48">
        <f t="shared" si="212"/>
        <v>0</v>
      </c>
      <c r="Z96" s="48">
        <f t="shared" si="212"/>
        <v>0</v>
      </c>
      <c r="AA96" s="48">
        <f t="shared" si="212"/>
        <v>0</v>
      </c>
      <c r="AB96" s="48">
        <f t="shared" si="212"/>
        <v>0</v>
      </c>
      <c r="AC96" s="48">
        <f t="shared" si="212"/>
        <v>0</v>
      </c>
      <c r="AD96" s="48">
        <f t="shared" si="212"/>
        <v>0</v>
      </c>
      <c r="AE96" s="48">
        <f t="shared" si="212"/>
        <v>0</v>
      </c>
      <c r="AF96" s="48">
        <f t="shared" si="212"/>
        <v>0</v>
      </c>
      <c r="AG96" s="48">
        <f t="shared" si="212"/>
        <v>0</v>
      </c>
      <c r="AH96" s="48">
        <f t="shared" si="212"/>
        <v>0</v>
      </c>
      <c r="AI96" s="48">
        <f t="shared" si="212"/>
        <v>0</v>
      </c>
      <c r="AJ96" s="48">
        <f t="shared" si="212"/>
        <v>0</v>
      </c>
      <c r="AK96" s="48">
        <f t="shared" si="212"/>
        <v>0</v>
      </c>
      <c r="AL96" s="48">
        <f t="shared" si="212"/>
        <v>0</v>
      </c>
      <c r="AM96" s="48">
        <f t="shared" si="212"/>
        <v>0</v>
      </c>
      <c r="AN96" s="48">
        <f t="shared" si="212"/>
        <v>0</v>
      </c>
      <c r="AO96" s="48">
        <f t="shared" si="212"/>
        <v>0</v>
      </c>
      <c r="AP96" s="48">
        <f t="shared" si="212"/>
        <v>0</v>
      </c>
      <c r="AQ96" s="48">
        <f t="shared" si="212"/>
        <v>0</v>
      </c>
      <c r="AR96" s="48">
        <f t="shared" si="212"/>
        <v>0</v>
      </c>
      <c r="AS96" s="48">
        <f t="shared" si="212"/>
        <v>0</v>
      </c>
      <c r="AT96" s="48">
        <f t="shared" si="212"/>
        <v>0</v>
      </c>
      <c r="AU96" s="48">
        <f t="shared" si="212"/>
        <v>0</v>
      </c>
      <c r="AV96" s="48">
        <f t="shared" si="212"/>
        <v>0</v>
      </c>
      <c r="AW96" s="48">
        <f t="shared" si="212"/>
        <v>0</v>
      </c>
      <c r="AX96" s="48">
        <f t="shared" si="212"/>
        <v>0</v>
      </c>
      <c r="AY96" s="48">
        <f t="shared" si="212"/>
        <v>0</v>
      </c>
      <c r="AZ96" s="48">
        <f t="shared" si="212"/>
        <v>0</v>
      </c>
      <c r="BA96" s="48">
        <f t="shared" si="212"/>
        <v>0</v>
      </c>
      <c r="BB96" s="48">
        <f t="shared" si="212"/>
        <v>0</v>
      </c>
      <c r="BC96" s="48">
        <f t="shared" si="212"/>
        <v>0</v>
      </c>
      <c r="BD96" s="48">
        <f t="shared" si="212"/>
        <v>0</v>
      </c>
      <c r="BE96" s="48">
        <f t="shared" si="212"/>
        <v>0</v>
      </c>
      <c r="BF96" s="48">
        <f t="shared" si="212"/>
        <v>0</v>
      </c>
      <c r="BG96" s="48">
        <f t="shared" si="212"/>
        <v>0</v>
      </c>
      <c r="BH96" s="48">
        <f t="shared" si="212"/>
        <v>0</v>
      </c>
      <c r="BI96" s="48">
        <f t="shared" si="212"/>
        <v>0</v>
      </c>
      <c r="BJ96" s="48">
        <f t="shared" si="212"/>
        <v>0</v>
      </c>
      <c r="BK96" s="48">
        <f t="shared" si="212"/>
        <v>0</v>
      </c>
      <c r="BL96" s="48">
        <f t="shared" si="212"/>
        <v>0</v>
      </c>
      <c r="BM96" s="48">
        <f t="shared" si="212"/>
        <v>0</v>
      </c>
      <c r="BN96" s="48">
        <f t="shared" si="212"/>
        <v>0</v>
      </c>
      <c r="BO96" s="48">
        <f t="shared" si="212"/>
        <v>0</v>
      </c>
      <c r="BP96" s="48">
        <f t="shared" si="212"/>
        <v>0</v>
      </c>
      <c r="BQ96" s="48">
        <f t="shared" si="212"/>
        <v>0</v>
      </c>
      <c r="BR96" s="48">
        <f t="shared" si="212"/>
        <v>0</v>
      </c>
      <c r="BS96" s="48">
        <f t="shared" si="212"/>
        <v>0</v>
      </c>
      <c r="BT96" s="48">
        <f t="shared" si="212"/>
        <v>0</v>
      </c>
      <c r="BU96" s="48">
        <f t="shared" si="212"/>
        <v>0</v>
      </c>
      <c r="BV96" s="48">
        <f t="shared" si="212"/>
        <v>0</v>
      </c>
      <c r="BW96" s="48">
        <f t="shared" si="212"/>
        <v>0</v>
      </c>
      <c r="BX96" s="48">
        <f t="shared" si="212"/>
        <v>0</v>
      </c>
      <c r="BY96" s="48">
        <f t="shared" si="212"/>
        <v>0</v>
      </c>
      <c r="BZ96" s="48">
        <f t="shared" si="212"/>
        <v>0</v>
      </c>
      <c r="CA96" s="48">
        <f t="shared" ref="CA96:EL96" si="213">-IF(CB75=1,CA95,CA74*$G96)</f>
        <v>0</v>
      </c>
      <c r="CB96" s="48">
        <f t="shared" si="213"/>
        <v>0</v>
      </c>
      <c r="CC96" s="48">
        <f t="shared" si="213"/>
        <v>0</v>
      </c>
      <c r="CD96" s="48">
        <f t="shared" si="213"/>
        <v>0</v>
      </c>
      <c r="CE96" s="48">
        <f t="shared" si="213"/>
        <v>0</v>
      </c>
      <c r="CF96" s="48">
        <f t="shared" si="213"/>
        <v>0</v>
      </c>
      <c r="CG96" s="48">
        <f t="shared" si="213"/>
        <v>0</v>
      </c>
      <c r="CH96" s="48">
        <f t="shared" si="213"/>
        <v>0</v>
      </c>
      <c r="CI96" s="48">
        <f t="shared" si="213"/>
        <v>0</v>
      </c>
      <c r="CJ96" s="48">
        <f t="shared" si="213"/>
        <v>0</v>
      </c>
      <c r="CK96" s="48">
        <f t="shared" si="213"/>
        <v>0</v>
      </c>
      <c r="CL96" s="48">
        <f t="shared" si="213"/>
        <v>0</v>
      </c>
      <c r="CM96" s="48">
        <f t="shared" si="213"/>
        <v>0</v>
      </c>
      <c r="CN96" s="48">
        <f t="shared" si="213"/>
        <v>0</v>
      </c>
      <c r="CO96" s="48">
        <f t="shared" si="213"/>
        <v>0</v>
      </c>
      <c r="CP96" s="48">
        <f t="shared" si="213"/>
        <v>0</v>
      </c>
      <c r="CQ96" s="48">
        <f t="shared" si="213"/>
        <v>0</v>
      </c>
      <c r="CR96" s="48">
        <f t="shared" si="213"/>
        <v>0</v>
      </c>
      <c r="CS96" s="48">
        <f t="shared" si="213"/>
        <v>0</v>
      </c>
      <c r="CT96" s="48">
        <f t="shared" si="213"/>
        <v>0</v>
      </c>
      <c r="CU96" s="48">
        <f t="shared" si="213"/>
        <v>0</v>
      </c>
      <c r="CV96" s="48">
        <f t="shared" si="213"/>
        <v>0</v>
      </c>
      <c r="CW96" s="48">
        <f t="shared" si="213"/>
        <v>0</v>
      </c>
      <c r="CX96" s="48">
        <f t="shared" si="213"/>
        <v>0</v>
      </c>
      <c r="CY96" s="48">
        <f t="shared" si="213"/>
        <v>0</v>
      </c>
      <c r="CZ96" s="48">
        <f t="shared" si="213"/>
        <v>0</v>
      </c>
      <c r="DA96" s="48">
        <f t="shared" si="213"/>
        <v>0</v>
      </c>
      <c r="DB96" s="48">
        <f t="shared" si="213"/>
        <v>0</v>
      </c>
      <c r="DC96" s="48">
        <f t="shared" si="213"/>
        <v>0</v>
      </c>
      <c r="DD96" s="48">
        <f t="shared" si="213"/>
        <v>0</v>
      </c>
      <c r="DE96" s="48">
        <f t="shared" si="213"/>
        <v>0</v>
      </c>
      <c r="DF96" s="48">
        <f t="shared" si="213"/>
        <v>0</v>
      </c>
      <c r="DG96" s="48">
        <f t="shared" si="213"/>
        <v>0</v>
      </c>
      <c r="DH96" s="48">
        <f t="shared" si="213"/>
        <v>0</v>
      </c>
      <c r="DI96" s="48">
        <f t="shared" si="213"/>
        <v>0</v>
      </c>
      <c r="DJ96" s="48">
        <f t="shared" si="213"/>
        <v>0</v>
      </c>
      <c r="DK96" s="48">
        <f t="shared" si="213"/>
        <v>0</v>
      </c>
      <c r="DL96" s="48">
        <f t="shared" si="213"/>
        <v>0</v>
      </c>
      <c r="DM96" s="48">
        <f t="shared" si="213"/>
        <v>0</v>
      </c>
      <c r="DN96" s="48">
        <f t="shared" si="213"/>
        <v>0</v>
      </c>
      <c r="DO96" s="48">
        <f t="shared" si="213"/>
        <v>0</v>
      </c>
      <c r="DP96" s="48">
        <f t="shared" si="213"/>
        <v>0</v>
      </c>
      <c r="DQ96" s="48">
        <f t="shared" si="213"/>
        <v>0</v>
      </c>
      <c r="DR96" s="48">
        <f t="shared" si="213"/>
        <v>0</v>
      </c>
      <c r="DS96" s="48">
        <f t="shared" si="213"/>
        <v>0</v>
      </c>
      <c r="DT96" s="48">
        <f t="shared" si="213"/>
        <v>0</v>
      </c>
      <c r="DU96" s="48">
        <f t="shared" si="213"/>
        <v>0</v>
      </c>
      <c r="DV96" s="48">
        <f t="shared" si="213"/>
        <v>0</v>
      </c>
      <c r="DW96" s="48">
        <f t="shared" si="213"/>
        <v>0</v>
      </c>
      <c r="DX96" s="48">
        <f t="shared" si="213"/>
        <v>0</v>
      </c>
      <c r="DY96" s="48">
        <f t="shared" si="213"/>
        <v>0</v>
      </c>
      <c r="DZ96" s="48">
        <f t="shared" si="213"/>
        <v>0</v>
      </c>
      <c r="EA96" s="48">
        <f t="shared" si="213"/>
        <v>0</v>
      </c>
      <c r="EB96" s="48">
        <f t="shared" si="213"/>
        <v>0</v>
      </c>
      <c r="EC96" s="48">
        <f t="shared" si="213"/>
        <v>0</v>
      </c>
      <c r="ED96" s="48">
        <f t="shared" si="213"/>
        <v>0</v>
      </c>
      <c r="EE96" s="48">
        <f t="shared" si="213"/>
        <v>0</v>
      </c>
      <c r="EF96" s="48">
        <f t="shared" si="213"/>
        <v>0</v>
      </c>
      <c r="EG96" s="48">
        <f t="shared" si="213"/>
        <v>0</v>
      </c>
      <c r="EH96" s="48">
        <f t="shared" si="213"/>
        <v>0</v>
      </c>
      <c r="EI96" s="48">
        <f t="shared" si="213"/>
        <v>0</v>
      </c>
      <c r="EJ96" s="48">
        <f t="shared" si="213"/>
        <v>0</v>
      </c>
      <c r="EK96" s="48">
        <f t="shared" si="213"/>
        <v>0</v>
      </c>
      <c r="EL96" s="48">
        <f t="shared" si="213"/>
        <v>0</v>
      </c>
      <c r="EM96" s="48">
        <f t="shared" ref="EM96:GX96" si="214">-IF(EN75=1,EM95,EM74*$G96)</f>
        <v>0</v>
      </c>
      <c r="EN96" s="48">
        <f t="shared" si="214"/>
        <v>0</v>
      </c>
      <c r="EO96" s="48">
        <f t="shared" si="214"/>
        <v>0</v>
      </c>
      <c r="EP96" s="48">
        <f t="shared" si="214"/>
        <v>0</v>
      </c>
      <c r="EQ96" s="48">
        <f t="shared" si="214"/>
        <v>0</v>
      </c>
      <c r="ER96" s="48">
        <f t="shared" si="214"/>
        <v>0</v>
      </c>
      <c r="ES96" s="48">
        <f t="shared" si="214"/>
        <v>0</v>
      </c>
      <c r="ET96" s="48">
        <f t="shared" si="214"/>
        <v>0</v>
      </c>
      <c r="EU96" s="48">
        <f t="shared" si="214"/>
        <v>0</v>
      </c>
      <c r="EV96" s="48">
        <f t="shared" si="214"/>
        <v>0</v>
      </c>
      <c r="EW96" s="48">
        <f t="shared" si="214"/>
        <v>0</v>
      </c>
      <c r="EX96" s="48">
        <f t="shared" si="214"/>
        <v>0</v>
      </c>
      <c r="EY96" s="48">
        <f t="shared" si="214"/>
        <v>0</v>
      </c>
      <c r="EZ96" s="48">
        <f t="shared" si="214"/>
        <v>0</v>
      </c>
      <c r="FA96" s="48">
        <f t="shared" si="214"/>
        <v>0</v>
      </c>
      <c r="FB96" s="48">
        <f t="shared" si="214"/>
        <v>0</v>
      </c>
      <c r="FC96" s="48">
        <f t="shared" si="214"/>
        <v>0</v>
      </c>
      <c r="FD96" s="48">
        <f t="shared" si="214"/>
        <v>0</v>
      </c>
      <c r="FE96" s="48">
        <f t="shared" si="214"/>
        <v>0</v>
      </c>
      <c r="FF96" s="48">
        <f t="shared" si="214"/>
        <v>0</v>
      </c>
      <c r="FG96" s="48">
        <f t="shared" si="214"/>
        <v>0</v>
      </c>
      <c r="FH96" s="48">
        <f t="shared" si="214"/>
        <v>0</v>
      </c>
      <c r="FI96" s="48">
        <f t="shared" si="214"/>
        <v>0</v>
      </c>
      <c r="FJ96" s="48">
        <f t="shared" si="214"/>
        <v>0</v>
      </c>
      <c r="FK96" s="48">
        <f t="shared" si="214"/>
        <v>0</v>
      </c>
      <c r="FL96" s="48">
        <f t="shared" si="214"/>
        <v>0</v>
      </c>
      <c r="FM96" s="48">
        <f t="shared" si="214"/>
        <v>0</v>
      </c>
      <c r="FN96" s="48">
        <f t="shared" si="214"/>
        <v>0</v>
      </c>
      <c r="FO96" s="48">
        <f t="shared" si="214"/>
        <v>0</v>
      </c>
      <c r="FP96" s="48">
        <f t="shared" si="214"/>
        <v>0</v>
      </c>
      <c r="FQ96" s="48">
        <f t="shared" si="214"/>
        <v>0</v>
      </c>
      <c r="FR96" s="48">
        <f t="shared" si="214"/>
        <v>0</v>
      </c>
      <c r="FS96" s="48">
        <f t="shared" si="214"/>
        <v>0</v>
      </c>
      <c r="FT96" s="48">
        <f t="shared" si="214"/>
        <v>0</v>
      </c>
      <c r="FU96" s="48">
        <f t="shared" si="214"/>
        <v>0</v>
      </c>
      <c r="FV96" s="48">
        <f t="shared" si="214"/>
        <v>0</v>
      </c>
      <c r="FW96" s="48">
        <f t="shared" si="214"/>
        <v>0</v>
      </c>
      <c r="FX96" s="48">
        <f t="shared" si="214"/>
        <v>0</v>
      </c>
      <c r="FY96" s="48">
        <f t="shared" si="214"/>
        <v>0</v>
      </c>
      <c r="FZ96" s="48">
        <f t="shared" si="214"/>
        <v>0</v>
      </c>
      <c r="GA96" s="48">
        <f t="shared" si="214"/>
        <v>0</v>
      </c>
      <c r="GB96" s="48">
        <f t="shared" si="214"/>
        <v>0</v>
      </c>
      <c r="GC96" s="48">
        <f t="shared" si="214"/>
        <v>0</v>
      </c>
      <c r="GD96" s="48">
        <f t="shared" si="214"/>
        <v>0</v>
      </c>
      <c r="GE96" s="48">
        <f t="shared" si="214"/>
        <v>0</v>
      </c>
      <c r="GF96" s="48">
        <f t="shared" si="214"/>
        <v>0</v>
      </c>
      <c r="GG96" s="48">
        <f t="shared" si="214"/>
        <v>0</v>
      </c>
      <c r="GH96" s="48">
        <f t="shared" si="214"/>
        <v>0</v>
      </c>
      <c r="GI96" s="48">
        <f t="shared" si="214"/>
        <v>0</v>
      </c>
      <c r="GJ96" s="48">
        <f t="shared" si="214"/>
        <v>0</v>
      </c>
      <c r="GK96" s="48">
        <f t="shared" si="214"/>
        <v>0</v>
      </c>
      <c r="GL96" s="48">
        <f t="shared" si="214"/>
        <v>0</v>
      </c>
      <c r="GM96" s="48">
        <f t="shared" si="214"/>
        <v>0</v>
      </c>
      <c r="GN96" s="48">
        <f t="shared" si="214"/>
        <v>0</v>
      </c>
      <c r="GO96" s="48">
        <f t="shared" si="214"/>
        <v>0</v>
      </c>
      <c r="GP96" s="48">
        <f t="shared" si="214"/>
        <v>0</v>
      </c>
      <c r="GQ96" s="48">
        <f t="shared" si="214"/>
        <v>0</v>
      </c>
      <c r="GR96" s="48">
        <f t="shared" si="214"/>
        <v>0</v>
      </c>
      <c r="GS96" s="48">
        <f t="shared" si="214"/>
        <v>0</v>
      </c>
      <c r="GT96" s="48">
        <f t="shared" si="214"/>
        <v>0</v>
      </c>
      <c r="GU96" s="48">
        <f t="shared" si="214"/>
        <v>0</v>
      </c>
      <c r="GV96" s="48">
        <f t="shared" si="214"/>
        <v>0</v>
      </c>
      <c r="GW96" s="48">
        <f t="shared" si="214"/>
        <v>0</v>
      </c>
      <c r="GX96" s="48">
        <f t="shared" si="214"/>
        <v>0</v>
      </c>
      <c r="GY96" s="48">
        <f t="shared" ref="GY96:JJ96" si="215">-IF(GZ75=1,GY95,GY74*$G96)</f>
        <v>0</v>
      </c>
      <c r="GZ96" s="48">
        <f t="shared" si="215"/>
        <v>0</v>
      </c>
      <c r="HA96" s="48">
        <f t="shared" si="215"/>
        <v>0</v>
      </c>
      <c r="HB96" s="48">
        <f t="shared" si="215"/>
        <v>0</v>
      </c>
      <c r="HC96" s="48">
        <f t="shared" si="215"/>
        <v>0</v>
      </c>
      <c r="HD96" s="48">
        <f t="shared" si="215"/>
        <v>0</v>
      </c>
      <c r="HE96" s="48">
        <f t="shared" si="215"/>
        <v>0</v>
      </c>
      <c r="HF96" s="48">
        <f t="shared" si="215"/>
        <v>0</v>
      </c>
      <c r="HG96" s="48">
        <f t="shared" si="215"/>
        <v>0</v>
      </c>
      <c r="HH96" s="48">
        <f t="shared" si="215"/>
        <v>0</v>
      </c>
      <c r="HI96" s="48">
        <f t="shared" si="215"/>
        <v>0</v>
      </c>
      <c r="HJ96" s="48">
        <f t="shared" si="215"/>
        <v>0</v>
      </c>
      <c r="HK96" s="48">
        <f t="shared" si="215"/>
        <v>0</v>
      </c>
      <c r="HL96" s="48">
        <f t="shared" si="215"/>
        <v>0</v>
      </c>
      <c r="HM96" s="48">
        <f t="shared" si="215"/>
        <v>0</v>
      </c>
      <c r="HN96" s="48">
        <f t="shared" si="215"/>
        <v>0</v>
      </c>
      <c r="HO96" s="48">
        <f t="shared" si="215"/>
        <v>0</v>
      </c>
      <c r="HP96" s="48">
        <f t="shared" si="215"/>
        <v>0</v>
      </c>
      <c r="HQ96" s="48">
        <f t="shared" si="215"/>
        <v>0</v>
      </c>
      <c r="HR96" s="48">
        <f t="shared" si="215"/>
        <v>0</v>
      </c>
      <c r="HS96" s="48">
        <f t="shared" si="215"/>
        <v>0</v>
      </c>
      <c r="HT96" s="48">
        <f t="shared" si="215"/>
        <v>0</v>
      </c>
      <c r="HU96" s="48">
        <f t="shared" si="215"/>
        <v>0</v>
      </c>
      <c r="HV96" s="48">
        <f t="shared" si="215"/>
        <v>0</v>
      </c>
      <c r="HW96" s="48">
        <f t="shared" si="215"/>
        <v>0</v>
      </c>
      <c r="HX96" s="48">
        <f t="shared" si="215"/>
        <v>0</v>
      </c>
      <c r="HY96" s="48">
        <f t="shared" si="215"/>
        <v>0</v>
      </c>
      <c r="HZ96" s="48">
        <f t="shared" si="215"/>
        <v>0</v>
      </c>
      <c r="IA96" s="48">
        <f t="shared" si="215"/>
        <v>0</v>
      </c>
      <c r="IB96" s="48">
        <f t="shared" si="215"/>
        <v>0</v>
      </c>
      <c r="IC96" s="48">
        <f t="shared" si="215"/>
        <v>0</v>
      </c>
      <c r="ID96" s="48">
        <f t="shared" si="215"/>
        <v>0</v>
      </c>
      <c r="IE96" s="48">
        <f t="shared" si="215"/>
        <v>0</v>
      </c>
      <c r="IF96" s="48">
        <f t="shared" si="215"/>
        <v>0</v>
      </c>
      <c r="IG96" s="48">
        <f t="shared" si="215"/>
        <v>0</v>
      </c>
      <c r="IH96" s="48">
        <f t="shared" si="215"/>
        <v>0</v>
      </c>
      <c r="II96" s="48">
        <f t="shared" si="215"/>
        <v>0</v>
      </c>
      <c r="IJ96" s="48">
        <f t="shared" si="215"/>
        <v>0</v>
      </c>
      <c r="IK96" s="48">
        <f t="shared" si="215"/>
        <v>0</v>
      </c>
      <c r="IL96" s="48">
        <f t="shared" si="215"/>
        <v>0</v>
      </c>
      <c r="IM96" s="48">
        <f t="shared" si="215"/>
        <v>0</v>
      </c>
      <c r="IN96" s="48">
        <f t="shared" si="215"/>
        <v>0</v>
      </c>
      <c r="IO96" s="48">
        <f t="shared" si="215"/>
        <v>0</v>
      </c>
      <c r="IP96" s="48">
        <f t="shared" si="215"/>
        <v>0</v>
      </c>
      <c r="IQ96" s="48">
        <f t="shared" si="215"/>
        <v>0</v>
      </c>
      <c r="IR96" s="48">
        <f t="shared" si="215"/>
        <v>0</v>
      </c>
      <c r="IS96" s="48">
        <f t="shared" si="215"/>
        <v>0</v>
      </c>
      <c r="IT96" s="48">
        <f t="shared" si="215"/>
        <v>0</v>
      </c>
      <c r="IU96" s="48">
        <f t="shared" si="215"/>
        <v>0</v>
      </c>
      <c r="IV96" s="48">
        <f t="shared" si="215"/>
        <v>0</v>
      </c>
      <c r="IW96" s="48">
        <f t="shared" si="215"/>
        <v>0</v>
      </c>
      <c r="IX96" s="48">
        <f t="shared" si="215"/>
        <v>0</v>
      </c>
      <c r="IY96" s="48">
        <f t="shared" si="215"/>
        <v>0</v>
      </c>
      <c r="IZ96" s="48">
        <f t="shared" si="215"/>
        <v>0</v>
      </c>
      <c r="JA96" s="48">
        <f t="shared" si="215"/>
        <v>0</v>
      </c>
      <c r="JB96" s="48">
        <f t="shared" si="215"/>
        <v>0</v>
      </c>
      <c r="JC96" s="48">
        <f t="shared" si="215"/>
        <v>0</v>
      </c>
      <c r="JD96" s="48">
        <f t="shared" si="215"/>
        <v>0</v>
      </c>
      <c r="JE96" s="48">
        <f t="shared" si="215"/>
        <v>0</v>
      </c>
      <c r="JF96" s="48">
        <f t="shared" si="215"/>
        <v>0</v>
      </c>
      <c r="JG96" s="48">
        <f t="shared" si="215"/>
        <v>0</v>
      </c>
      <c r="JH96" s="48">
        <f t="shared" si="215"/>
        <v>0</v>
      </c>
      <c r="JI96" s="48">
        <f t="shared" si="215"/>
        <v>0</v>
      </c>
      <c r="JJ96" s="48">
        <f t="shared" si="215"/>
        <v>0</v>
      </c>
      <c r="JK96" s="48">
        <f t="shared" ref="JK96:KI96" si="216">-IF(JL75=1,JK95,JK74*$G96)</f>
        <v>0</v>
      </c>
      <c r="JL96" s="48">
        <f t="shared" si="216"/>
        <v>0</v>
      </c>
      <c r="JM96" s="48">
        <f t="shared" si="216"/>
        <v>0</v>
      </c>
      <c r="JN96" s="48">
        <f t="shared" si="216"/>
        <v>0</v>
      </c>
      <c r="JO96" s="48">
        <f t="shared" si="216"/>
        <v>0</v>
      </c>
      <c r="JP96" s="48">
        <f t="shared" si="216"/>
        <v>0</v>
      </c>
      <c r="JQ96" s="48">
        <f t="shared" si="216"/>
        <v>0</v>
      </c>
      <c r="JR96" s="48">
        <f t="shared" si="216"/>
        <v>0</v>
      </c>
      <c r="JS96" s="48">
        <f t="shared" si="216"/>
        <v>0</v>
      </c>
      <c r="JT96" s="48">
        <f t="shared" si="216"/>
        <v>0</v>
      </c>
      <c r="JU96" s="48">
        <f t="shared" si="216"/>
        <v>0</v>
      </c>
      <c r="JV96" s="48">
        <f t="shared" si="216"/>
        <v>0</v>
      </c>
      <c r="JW96" s="48">
        <f t="shared" si="216"/>
        <v>0</v>
      </c>
      <c r="JX96" s="48">
        <f t="shared" si="216"/>
        <v>0</v>
      </c>
      <c r="JY96" s="48">
        <f t="shared" si="216"/>
        <v>0</v>
      </c>
      <c r="JZ96" s="48">
        <f t="shared" si="216"/>
        <v>0</v>
      </c>
      <c r="KA96" s="48">
        <f t="shared" si="216"/>
        <v>0</v>
      </c>
      <c r="KB96" s="48">
        <f t="shared" si="216"/>
        <v>0</v>
      </c>
      <c r="KC96" s="48">
        <f t="shared" si="216"/>
        <v>0</v>
      </c>
      <c r="KD96" s="48">
        <f t="shared" si="216"/>
        <v>0</v>
      </c>
      <c r="KE96" s="48">
        <f t="shared" si="216"/>
        <v>0</v>
      </c>
      <c r="KF96" s="48">
        <f t="shared" si="216"/>
        <v>0</v>
      </c>
      <c r="KG96" s="48">
        <f t="shared" si="216"/>
        <v>0</v>
      </c>
      <c r="KH96" s="48">
        <f t="shared" si="216"/>
        <v>0</v>
      </c>
      <c r="KI96" s="48">
        <f t="shared" si="216"/>
        <v>0</v>
      </c>
      <c r="KJ96" s="1"/>
    </row>
    <row r="97" spans="7:296" x14ac:dyDescent="0.35">
      <c r="G97" s="26"/>
      <c r="H97" s="13" t="s">
        <v>49</v>
      </c>
      <c r="M97" s="47" t="s">
        <v>102</v>
      </c>
      <c r="N97" s="48">
        <f>SUM(N95:N96)</f>
        <v>2.3833333333333333</v>
      </c>
      <c r="O97" s="48">
        <f t="shared" ref="O97:BZ97" si="217">SUM(O95:O96)</f>
        <v>2.2666666666666666</v>
      </c>
      <c r="P97" s="48">
        <f t="shared" si="217"/>
        <v>2.15</v>
      </c>
      <c r="Q97" s="48">
        <f t="shared" si="217"/>
        <v>2.0333333333333332</v>
      </c>
      <c r="R97" s="48">
        <f t="shared" si="217"/>
        <v>1.9166666666666665</v>
      </c>
      <c r="S97" s="48">
        <f t="shared" si="217"/>
        <v>0</v>
      </c>
      <c r="T97" s="48">
        <f t="shared" si="217"/>
        <v>0</v>
      </c>
      <c r="U97" s="48">
        <f t="shared" si="217"/>
        <v>0</v>
      </c>
      <c r="V97" s="48">
        <f t="shared" si="217"/>
        <v>0</v>
      </c>
      <c r="W97" s="48">
        <f t="shared" si="217"/>
        <v>0</v>
      </c>
      <c r="X97" s="48">
        <f t="shared" si="217"/>
        <v>0</v>
      </c>
      <c r="Y97" s="48">
        <f t="shared" si="217"/>
        <v>0</v>
      </c>
      <c r="Z97" s="48">
        <f t="shared" si="217"/>
        <v>0</v>
      </c>
      <c r="AA97" s="48">
        <f t="shared" si="217"/>
        <v>0</v>
      </c>
      <c r="AB97" s="48">
        <f t="shared" si="217"/>
        <v>0</v>
      </c>
      <c r="AC97" s="48">
        <f t="shared" si="217"/>
        <v>0</v>
      </c>
      <c r="AD97" s="48">
        <f t="shared" si="217"/>
        <v>0</v>
      </c>
      <c r="AE97" s="48">
        <f t="shared" si="217"/>
        <v>0</v>
      </c>
      <c r="AF97" s="48">
        <f t="shared" si="217"/>
        <v>0</v>
      </c>
      <c r="AG97" s="48">
        <f t="shared" si="217"/>
        <v>0</v>
      </c>
      <c r="AH97" s="48">
        <f t="shared" si="217"/>
        <v>0</v>
      </c>
      <c r="AI97" s="48">
        <f t="shared" si="217"/>
        <v>0</v>
      </c>
      <c r="AJ97" s="48">
        <f t="shared" si="217"/>
        <v>0</v>
      </c>
      <c r="AK97" s="48">
        <f t="shared" si="217"/>
        <v>0</v>
      </c>
      <c r="AL97" s="48">
        <f t="shared" si="217"/>
        <v>0</v>
      </c>
      <c r="AM97" s="48">
        <f t="shared" si="217"/>
        <v>0</v>
      </c>
      <c r="AN97" s="48">
        <f t="shared" si="217"/>
        <v>0</v>
      </c>
      <c r="AO97" s="48">
        <f t="shared" si="217"/>
        <v>0</v>
      </c>
      <c r="AP97" s="48">
        <f t="shared" si="217"/>
        <v>0</v>
      </c>
      <c r="AQ97" s="48">
        <f t="shared" si="217"/>
        <v>0</v>
      </c>
      <c r="AR97" s="48">
        <f t="shared" si="217"/>
        <v>0</v>
      </c>
      <c r="AS97" s="48">
        <f t="shared" si="217"/>
        <v>0</v>
      </c>
      <c r="AT97" s="48">
        <f t="shared" si="217"/>
        <v>0</v>
      </c>
      <c r="AU97" s="48">
        <f t="shared" si="217"/>
        <v>0</v>
      </c>
      <c r="AV97" s="48">
        <f t="shared" si="217"/>
        <v>0</v>
      </c>
      <c r="AW97" s="48">
        <f t="shared" si="217"/>
        <v>0</v>
      </c>
      <c r="AX97" s="48">
        <f t="shared" si="217"/>
        <v>0</v>
      </c>
      <c r="AY97" s="48">
        <f t="shared" si="217"/>
        <v>0</v>
      </c>
      <c r="AZ97" s="48">
        <f t="shared" si="217"/>
        <v>0</v>
      </c>
      <c r="BA97" s="48">
        <f t="shared" si="217"/>
        <v>0</v>
      </c>
      <c r="BB97" s="48">
        <f t="shared" si="217"/>
        <v>0</v>
      </c>
      <c r="BC97" s="48">
        <f t="shared" si="217"/>
        <v>0</v>
      </c>
      <c r="BD97" s="48">
        <f t="shared" si="217"/>
        <v>0</v>
      </c>
      <c r="BE97" s="48">
        <f t="shared" si="217"/>
        <v>0</v>
      </c>
      <c r="BF97" s="48">
        <f t="shared" si="217"/>
        <v>0</v>
      </c>
      <c r="BG97" s="48">
        <f t="shared" si="217"/>
        <v>0</v>
      </c>
      <c r="BH97" s="48">
        <f t="shared" si="217"/>
        <v>0</v>
      </c>
      <c r="BI97" s="48">
        <f t="shared" si="217"/>
        <v>0</v>
      </c>
      <c r="BJ97" s="48">
        <f t="shared" si="217"/>
        <v>0</v>
      </c>
      <c r="BK97" s="48">
        <f t="shared" si="217"/>
        <v>0</v>
      </c>
      <c r="BL97" s="48">
        <f t="shared" si="217"/>
        <v>0</v>
      </c>
      <c r="BM97" s="48">
        <f t="shared" si="217"/>
        <v>0</v>
      </c>
      <c r="BN97" s="48">
        <f t="shared" si="217"/>
        <v>0</v>
      </c>
      <c r="BO97" s="48">
        <f t="shared" si="217"/>
        <v>0</v>
      </c>
      <c r="BP97" s="48">
        <f t="shared" si="217"/>
        <v>0</v>
      </c>
      <c r="BQ97" s="48">
        <f t="shared" si="217"/>
        <v>0</v>
      </c>
      <c r="BR97" s="48">
        <f t="shared" si="217"/>
        <v>0</v>
      </c>
      <c r="BS97" s="48">
        <f t="shared" si="217"/>
        <v>0</v>
      </c>
      <c r="BT97" s="48">
        <f t="shared" si="217"/>
        <v>0</v>
      </c>
      <c r="BU97" s="48">
        <f t="shared" si="217"/>
        <v>0</v>
      </c>
      <c r="BV97" s="48">
        <f t="shared" si="217"/>
        <v>0</v>
      </c>
      <c r="BW97" s="48">
        <f t="shared" si="217"/>
        <v>0</v>
      </c>
      <c r="BX97" s="48">
        <f t="shared" si="217"/>
        <v>0</v>
      </c>
      <c r="BY97" s="48">
        <f t="shared" si="217"/>
        <v>0</v>
      </c>
      <c r="BZ97" s="48">
        <f t="shared" si="217"/>
        <v>0</v>
      </c>
      <c r="CA97" s="48">
        <f t="shared" ref="CA97:EL97" si="218">SUM(CA95:CA96)</f>
        <v>0</v>
      </c>
      <c r="CB97" s="48">
        <f t="shared" si="218"/>
        <v>0</v>
      </c>
      <c r="CC97" s="48">
        <f t="shared" si="218"/>
        <v>0</v>
      </c>
      <c r="CD97" s="48">
        <f t="shared" si="218"/>
        <v>0</v>
      </c>
      <c r="CE97" s="48">
        <f t="shared" si="218"/>
        <v>0</v>
      </c>
      <c r="CF97" s="48">
        <f t="shared" si="218"/>
        <v>0</v>
      </c>
      <c r="CG97" s="48">
        <f t="shared" si="218"/>
        <v>0</v>
      </c>
      <c r="CH97" s="48">
        <f t="shared" si="218"/>
        <v>0</v>
      </c>
      <c r="CI97" s="48">
        <f t="shared" si="218"/>
        <v>0</v>
      </c>
      <c r="CJ97" s="48">
        <f t="shared" si="218"/>
        <v>0</v>
      </c>
      <c r="CK97" s="48">
        <f t="shared" si="218"/>
        <v>0</v>
      </c>
      <c r="CL97" s="48">
        <f t="shared" si="218"/>
        <v>0</v>
      </c>
      <c r="CM97" s="48">
        <f t="shared" si="218"/>
        <v>0</v>
      </c>
      <c r="CN97" s="48">
        <f t="shared" si="218"/>
        <v>0</v>
      </c>
      <c r="CO97" s="48">
        <f t="shared" si="218"/>
        <v>0</v>
      </c>
      <c r="CP97" s="48">
        <f t="shared" si="218"/>
        <v>0</v>
      </c>
      <c r="CQ97" s="48">
        <f t="shared" si="218"/>
        <v>0</v>
      </c>
      <c r="CR97" s="48">
        <f t="shared" si="218"/>
        <v>0</v>
      </c>
      <c r="CS97" s="48">
        <f t="shared" si="218"/>
        <v>0</v>
      </c>
      <c r="CT97" s="48">
        <f t="shared" si="218"/>
        <v>0</v>
      </c>
      <c r="CU97" s="48">
        <f t="shared" si="218"/>
        <v>0</v>
      </c>
      <c r="CV97" s="48">
        <f t="shared" si="218"/>
        <v>0</v>
      </c>
      <c r="CW97" s="48">
        <f t="shared" si="218"/>
        <v>0</v>
      </c>
      <c r="CX97" s="48">
        <f t="shared" si="218"/>
        <v>0</v>
      </c>
      <c r="CY97" s="48">
        <f t="shared" si="218"/>
        <v>0</v>
      </c>
      <c r="CZ97" s="48">
        <f t="shared" si="218"/>
        <v>0</v>
      </c>
      <c r="DA97" s="48">
        <f t="shared" si="218"/>
        <v>0</v>
      </c>
      <c r="DB97" s="48">
        <f t="shared" si="218"/>
        <v>0</v>
      </c>
      <c r="DC97" s="48">
        <f t="shared" si="218"/>
        <v>0</v>
      </c>
      <c r="DD97" s="48">
        <f t="shared" si="218"/>
        <v>0</v>
      </c>
      <c r="DE97" s="48">
        <f t="shared" si="218"/>
        <v>0</v>
      </c>
      <c r="DF97" s="48">
        <f t="shared" si="218"/>
        <v>0</v>
      </c>
      <c r="DG97" s="48">
        <f t="shared" si="218"/>
        <v>0</v>
      </c>
      <c r="DH97" s="48">
        <f t="shared" si="218"/>
        <v>0</v>
      </c>
      <c r="DI97" s="48">
        <f t="shared" si="218"/>
        <v>0</v>
      </c>
      <c r="DJ97" s="48">
        <f t="shared" si="218"/>
        <v>0</v>
      </c>
      <c r="DK97" s="48">
        <f t="shared" si="218"/>
        <v>0</v>
      </c>
      <c r="DL97" s="48">
        <f t="shared" si="218"/>
        <v>0</v>
      </c>
      <c r="DM97" s="48">
        <f t="shared" si="218"/>
        <v>0</v>
      </c>
      <c r="DN97" s="48">
        <f t="shared" si="218"/>
        <v>0</v>
      </c>
      <c r="DO97" s="48">
        <f t="shared" si="218"/>
        <v>0</v>
      </c>
      <c r="DP97" s="48">
        <f t="shared" si="218"/>
        <v>0</v>
      </c>
      <c r="DQ97" s="48">
        <f t="shared" si="218"/>
        <v>0</v>
      </c>
      <c r="DR97" s="48">
        <f t="shared" si="218"/>
        <v>0</v>
      </c>
      <c r="DS97" s="48">
        <f t="shared" si="218"/>
        <v>0</v>
      </c>
      <c r="DT97" s="48">
        <f t="shared" si="218"/>
        <v>0</v>
      </c>
      <c r="DU97" s="48">
        <f t="shared" si="218"/>
        <v>0</v>
      </c>
      <c r="DV97" s="48">
        <f t="shared" si="218"/>
        <v>0</v>
      </c>
      <c r="DW97" s="48">
        <f t="shared" si="218"/>
        <v>0</v>
      </c>
      <c r="DX97" s="48">
        <f t="shared" si="218"/>
        <v>0</v>
      </c>
      <c r="DY97" s="48">
        <f t="shared" si="218"/>
        <v>0</v>
      </c>
      <c r="DZ97" s="48">
        <f t="shared" si="218"/>
        <v>0</v>
      </c>
      <c r="EA97" s="48">
        <f t="shared" si="218"/>
        <v>0</v>
      </c>
      <c r="EB97" s="48">
        <f t="shared" si="218"/>
        <v>0</v>
      </c>
      <c r="EC97" s="48">
        <f t="shared" si="218"/>
        <v>0</v>
      </c>
      <c r="ED97" s="48">
        <f t="shared" si="218"/>
        <v>0</v>
      </c>
      <c r="EE97" s="48">
        <f t="shared" si="218"/>
        <v>0</v>
      </c>
      <c r="EF97" s="48">
        <f t="shared" si="218"/>
        <v>0</v>
      </c>
      <c r="EG97" s="48">
        <f t="shared" si="218"/>
        <v>0</v>
      </c>
      <c r="EH97" s="48">
        <f t="shared" si="218"/>
        <v>0</v>
      </c>
      <c r="EI97" s="48">
        <f t="shared" si="218"/>
        <v>0</v>
      </c>
      <c r="EJ97" s="48">
        <f t="shared" si="218"/>
        <v>0</v>
      </c>
      <c r="EK97" s="48">
        <f t="shared" si="218"/>
        <v>0</v>
      </c>
      <c r="EL97" s="48">
        <f t="shared" si="218"/>
        <v>0</v>
      </c>
      <c r="EM97" s="48">
        <f t="shared" ref="EM97:GX97" si="219">SUM(EM95:EM96)</f>
        <v>0</v>
      </c>
      <c r="EN97" s="48">
        <f t="shared" si="219"/>
        <v>0</v>
      </c>
      <c r="EO97" s="48">
        <f t="shared" si="219"/>
        <v>0</v>
      </c>
      <c r="EP97" s="48">
        <f t="shared" si="219"/>
        <v>0</v>
      </c>
      <c r="EQ97" s="48">
        <f t="shared" si="219"/>
        <v>0</v>
      </c>
      <c r="ER97" s="48">
        <f t="shared" si="219"/>
        <v>0</v>
      </c>
      <c r="ES97" s="48">
        <f t="shared" si="219"/>
        <v>0</v>
      </c>
      <c r="ET97" s="48">
        <f t="shared" si="219"/>
        <v>0</v>
      </c>
      <c r="EU97" s="48">
        <f t="shared" si="219"/>
        <v>0</v>
      </c>
      <c r="EV97" s="48">
        <f t="shared" si="219"/>
        <v>0</v>
      </c>
      <c r="EW97" s="48">
        <f t="shared" si="219"/>
        <v>0</v>
      </c>
      <c r="EX97" s="48">
        <f t="shared" si="219"/>
        <v>0</v>
      </c>
      <c r="EY97" s="48">
        <f t="shared" si="219"/>
        <v>0</v>
      </c>
      <c r="EZ97" s="48">
        <f t="shared" si="219"/>
        <v>0</v>
      </c>
      <c r="FA97" s="48">
        <f t="shared" si="219"/>
        <v>0</v>
      </c>
      <c r="FB97" s="48">
        <f t="shared" si="219"/>
        <v>0</v>
      </c>
      <c r="FC97" s="48">
        <f t="shared" si="219"/>
        <v>0</v>
      </c>
      <c r="FD97" s="48">
        <f t="shared" si="219"/>
        <v>0</v>
      </c>
      <c r="FE97" s="48">
        <f t="shared" si="219"/>
        <v>0</v>
      </c>
      <c r="FF97" s="48">
        <f t="shared" si="219"/>
        <v>0</v>
      </c>
      <c r="FG97" s="48">
        <f t="shared" si="219"/>
        <v>0</v>
      </c>
      <c r="FH97" s="48">
        <f t="shared" si="219"/>
        <v>0</v>
      </c>
      <c r="FI97" s="48">
        <f t="shared" si="219"/>
        <v>0</v>
      </c>
      <c r="FJ97" s="48">
        <f t="shared" si="219"/>
        <v>0</v>
      </c>
      <c r="FK97" s="48">
        <f t="shared" si="219"/>
        <v>0</v>
      </c>
      <c r="FL97" s="48">
        <f t="shared" si="219"/>
        <v>0</v>
      </c>
      <c r="FM97" s="48">
        <f t="shared" si="219"/>
        <v>0</v>
      </c>
      <c r="FN97" s="48">
        <f t="shared" si="219"/>
        <v>0</v>
      </c>
      <c r="FO97" s="48">
        <f t="shared" si="219"/>
        <v>0</v>
      </c>
      <c r="FP97" s="48">
        <f t="shared" si="219"/>
        <v>0</v>
      </c>
      <c r="FQ97" s="48">
        <f t="shared" si="219"/>
        <v>0</v>
      </c>
      <c r="FR97" s="48">
        <f t="shared" si="219"/>
        <v>0</v>
      </c>
      <c r="FS97" s="48">
        <f t="shared" si="219"/>
        <v>0</v>
      </c>
      <c r="FT97" s="48">
        <f t="shared" si="219"/>
        <v>0</v>
      </c>
      <c r="FU97" s="48">
        <f t="shared" si="219"/>
        <v>0</v>
      </c>
      <c r="FV97" s="48">
        <f t="shared" si="219"/>
        <v>0</v>
      </c>
      <c r="FW97" s="48">
        <f t="shared" si="219"/>
        <v>0</v>
      </c>
      <c r="FX97" s="48">
        <f t="shared" si="219"/>
        <v>0</v>
      </c>
      <c r="FY97" s="48">
        <f t="shared" si="219"/>
        <v>0</v>
      </c>
      <c r="FZ97" s="48">
        <f t="shared" si="219"/>
        <v>0</v>
      </c>
      <c r="GA97" s="48">
        <f t="shared" si="219"/>
        <v>0</v>
      </c>
      <c r="GB97" s="48">
        <f t="shared" si="219"/>
        <v>0</v>
      </c>
      <c r="GC97" s="48">
        <f t="shared" si="219"/>
        <v>0</v>
      </c>
      <c r="GD97" s="48">
        <f t="shared" si="219"/>
        <v>0</v>
      </c>
      <c r="GE97" s="48">
        <f t="shared" si="219"/>
        <v>0</v>
      </c>
      <c r="GF97" s="48">
        <f t="shared" si="219"/>
        <v>0</v>
      </c>
      <c r="GG97" s="48">
        <f t="shared" si="219"/>
        <v>0</v>
      </c>
      <c r="GH97" s="48">
        <f t="shared" si="219"/>
        <v>0</v>
      </c>
      <c r="GI97" s="48">
        <f t="shared" si="219"/>
        <v>0</v>
      </c>
      <c r="GJ97" s="48">
        <f t="shared" si="219"/>
        <v>0</v>
      </c>
      <c r="GK97" s="48">
        <f t="shared" si="219"/>
        <v>0</v>
      </c>
      <c r="GL97" s="48">
        <f t="shared" si="219"/>
        <v>0</v>
      </c>
      <c r="GM97" s="48">
        <f t="shared" si="219"/>
        <v>0</v>
      </c>
      <c r="GN97" s="48">
        <f t="shared" si="219"/>
        <v>0</v>
      </c>
      <c r="GO97" s="48">
        <f t="shared" si="219"/>
        <v>0</v>
      </c>
      <c r="GP97" s="48">
        <f t="shared" si="219"/>
        <v>0</v>
      </c>
      <c r="GQ97" s="48">
        <f t="shared" si="219"/>
        <v>0</v>
      </c>
      <c r="GR97" s="48">
        <f t="shared" si="219"/>
        <v>0</v>
      </c>
      <c r="GS97" s="48">
        <f t="shared" si="219"/>
        <v>0</v>
      </c>
      <c r="GT97" s="48">
        <f t="shared" si="219"/>
        <v>0</v>
      </c>
      <c r="GU97" s="48">
        <f t="shared" si="219"/>
        <v>0</v>
      </c>
      <c r="GV97" s="48">
        <f t="shared" si="219"/>
        <v>0</v>
      </c>
      <c r="GW97" s="48">
        <f t="shared" si="219"/>
        <v>0</v>
      </c>
      <c r="GX97" s="48">
        <f t="shared" si="219"/>
        <v>0</v>
      </c>
      <c r="GY97" s="48">
        <f t="shared" ref="GY97:JJ97" si="220">SUM(GY95:GY96)</f>
        <v>0</v>
      </c>
      <c r="GZ97" s="48">
        <f t="shared" si="220"/>
        <v>0</v>
      </c>
      <c r="HA97" s="48">
        <f t="shared" si="220"/>
        <v>0</v>
      </c>
      <c r="HB97" s="48">
        <f t="shared" si="220"/>
        <v>0</v>
      </c>
      <c r="HC97" s="48">
        <f t="shared" si="220"/>
        <v>0</v>
      </c>
      <c r="HD97" s="48">
        <f t="shared" si="220"/>
        <v>0</v>
      </c>
      <c r="HE97" s="48">
        <f t="shared" si="220"/>
        <v>0</v>
      </c>
      <c r="HF97" s="48">
        <f t="shared" si="220"/>
        <v>0</v>
      </c>
      <c r="HG97" s="48">
        <f t="shared" si="220"/>
        <v>0</v>
      </c>
      <c r="HH97" s="48">
        <f t="shared" si="220"/>
        <v>0</v>
      </c>
      <c r="HI97" s="48">
        <f t="shared" si="220"/>
        <v>0</v>
      </c>
      <c r="HJ97" s="48">
        <f t="shared" si="220"/>
        <v>0</v>
      </c>
      <c r="HK97" s="48">
        <f t="shared" si="220"/>
        <v>0</v>
      </c>
      <c r="HL97" s="48">
        <f t="shared" si="220"/>
        <v>0</v>
      </c>
      <c r="HM97" s="48">
        <f t="shared" si="220"/>
        <v>0</v>
      </c>
      <c r="HN97" s="48">
        <f t="shared" si="220"/>
        <v>0</v>
      </c>
      <c r="HO97" s="48">
        <f t="shared" si="220"/>
        <v>0</v>
      </c>
      <c r="HP97" s="48">
        <f t="shared" si="220"/>
        <v>0</v>
      </c>
      <c r="HQ97" s="48">
        <f t="shared" si="220"/>
        <v>0</v>
      </c>
      <c r="HR97" s="48">
        <f t="shared" si="220"/>
        <v>0</v>
      </c>
      <c r="HS97" s="48">
        <f t="shared" si="220"/>
        <v>0</v>
      </c>
      <c r="HT97" s="48">
        <f t="shared" si="220"/>
        <v>0</v>
      </c>
      <c r="HU97" s="48">
        <f t="shared" si="220"/>
        <v>0</v>
      </c>
      <c r="HV97" s="48">
        <f t="shared" si="220"/>
        <v>0</v>
      </c>
      <c r="HW97" s="48">
        <f t="shared" si="220"/>
        <v>0</v>
      </c>
      <c r="HX97" s="48">
        <f t="shared" si="220"/>
        <v>0</v>
      </c>
      <c r="HY97" s="48">
        <f t="shared" si="220"/>
        <v>0</v>
      </c>
      <c r="HZ97" s="48">
        <f t="shared" si="220"/>
        <v>0</v>
      </c>
      <c r="IA97" s="48">
        <f t="shared" si="220"/>
        <v>0</v>
      </c>
      <c r="IB97" s="48">
        <f t="shared" si="220"/>
        <v>0</v>
      </c>
      <c r="IC97" s="48">
        <f t="shared" si="220"/>
        <v>0</v>
      </c>
      <c r="ID97" s="48">
        <f t="shared" si="220"/>
        <v>0</v>
      </c>
      <c r="IE97" s="48">
        <f t="shared" si="220"/>
        <v>0</v>
      </c>
      <c r="IF97" s="48">
        <f t="shared" si="220"/>
        <v>0</v>
      </c>
      <c r="IG97" s="48">
        <f t="shared" si="220"/>
        <v>0</v>
      </c>
      <c r="IH97" s="48">
        <f t="shared" si="220"/>
        <v>0</v>
      </c>
      <c r="II97" s="48">
        <f t="shared" si="220"/>
        <v>0</v>
      </c>
      <c r="IJ97" s="48">
        <f t="shared" si="220"/>
        <v>0</v>
      </c>
      <c r="IK97" s="48">
        <f t="shared" si="220"/>
        <v>0</v>
      </c>
      <c r="IL97" s="48">
        <f t="shared" si="220"/>
        <v>0</v>
      </c>
      <c r="IM97" s="48">
        <f t="shared" si="220"/>
        <v>0</v>
      </c>
      <c r="IN97" s="48">
        <f t="shared" si="220"/>
        <v>0</v>
      </c>
      <c r="IO97" s="48">
        <f t="shared" si="220"/>
        <v>0</v>
      </c>
      <c r="IP97" s="48">
        <f t="shared" si="220"/>
        <v>0</v>
      </c>
      <c r="IQ97" s="48">
        <f t="shared" si="220"/>
        <v>0</v>
      </c>
      <c r="IR97" s="48">
        <f t="shared" si="220"/>
        <v>0</v>
      </c>
      <c r="IS97" s="48">
        <f t="shared" si="220"/>
        <v>0</v>
      </c>
      <c r="IT97" s="48">
        <f t="shared" si="220"/>
        <v>0</v>
      </c>
      <c r="IU97" s="48">
        <f t="shared" si="220"/>
        <v>0</v>
      </c>
      <c r="IV97" s="48">
        <f t="shared" si="220"/>
        <v>0</v>
      </c>
      <c r="IW97" s="48">
        <f t="shared" si="220"/>
        <v>0</v>
      </c>
      <c r="IX97" s="48">
        <f t="shared" si="220"/>
        <v>0</v>
      </c>
      <c r="IY97" s="48">
        <f t="shared" si="220"/>
        <v>0</v>
      </c>
      <c r="IZ97" s="48">
        <f t="shared" si="220"/>
        <v>0</v>
      </c>
      <c r="JA97" s="48">
        <f t="shared" si="220"/>
        <v>0</v>
      </c>
      <c r="JB97" s="48">
        <f t="shared" si="220"/>
        <v>0</v>
      </c>
      <c r="JC97" s="48">
        <f t="shared" si="220"/>
        <v>0</v>
      </c>
      <c r="JD97" s="48">
        <f t="shared" si="220"/>
        <v>0</v>
      </c>
      <c r="JE97" s="48">
        <f t="shared" si="220"/>
        <v>0</v>
      </c>
      <c r="JF97" s="48">
        <f t="shared" si="220"/>
        <v>0</v>
      </c>
      <c r="JG97" s="48">
        <f t="shared" si="220"/>
        <v>0</v>
      </c>
      <c r="JH97" s="48">
        <f t="shared" si="220"/>
        <v>0</v>
      </c>
      <c r="JI97" s="48">
        <f t="shared" si="220"/>
        <v>0</v>
      </c>
      <c r="JJ97" s="48">
        <f t="shared" si="220"/>
        <v>0</v>
      </c>
      <c r="JK97" s="48">
        <f t="shared" ref="JK97:KI97" si="221">SUM(JK95:JK96)</f>
        <v>0</v>
      </c>
      <c r="JL97" s="48">
        <f t="shared" si="221"/>
        <v>0</v>
      </c>
      <c r="JM97" s="48">
        <f t="shared" si="221"/>
        <v>0</v>
      </c>
      <c r="JN97" s="48">
        <f t="shared" si="221"/>
        <v>0</v>
      </c>
      <c r="JO97" s="48">
        <f t="shared" si="221"/>
        <v>0</v>
      </c>
      <c r="JP97" s="48">
        <f t="shared" si="221"/>
        <v>0</v>
      </c>
      <c r="JQ97" s="48">
        <f t="shared" si="221"/>
        <v>0</v>
      </c>
      <c r="JR97" s="48">
        <f t="shared" si="221"/>
        <v>0</v>
      </c>
      <c r="JS97" s="48">
        <f t="shared" si="221"/>
        <v>0</v>
      </c>
      <c r="JT97" s="48">
        <f t="shared" si="221"/>
        <v>0</v>
      </c>
      <c r="JU97" s="48">
        <f t="shared" si="221"/>
        <v>0</v>
      </c>
      <c r="JV97" s="48">
        <f t="shared" si="221"/>
        <v>0</v>
      </c>
      <c r="JW97" s="48">
        <f t="shared" si="221"/>
        <v>0</v>
      </c>
      <c r="JX97" s="48">
        <f t="shared" si="221"/>
        <v>0</v>
      </c>
      <c r="JY97" s="48">
        <f t="shared" si="221"/>
        <v>0</v>
      </c>
      <c r="JZ97" s="48">
        <f t="shared" si="221"/>
        <v>0</v>
      </c>
      <c r="KA97" s="48">
        <f t="shared" si="221"/>
        <v>0</v>
      </c>
      <c r="KB97" s="48">
        <f t="shared" si="221"/>
        <v>0</v>
      </c>
      <c r="KC97" s="48">
        <f t="shared" si="221"/>
        <v>0</v>
      </c>
      <c r="KD97" s="48">
        <f t="shared" si="221"/>
        <v>0</v>
      </c>
      <c r="KE97" s="48">
        <f t="shared" si="221"/>
        <v>0</v>
      </c>
      <c r="KF97" s="48">
        <f t="shared" si="221"/>
        <v>0</v>
      </c>
      <c r="KG97" s="48">
        <f t="shared" si="221"/>
        <v>0</v>
      </c>
      <c r="KH97" s="48">
        <f t="shared" si="221"/>
        <v>0</v>
      </c>
      <c r="KI97" s="48">
        <f t="shared" si="221"/>
        <v>0</v>
      </c>
      <c r="KJ97" s="1"/>
    </row>
    <row r="98" spans="7:296" x14ac:dyDescent="0.35">
      <c r="KJ98" s="1"/>
    </row>
    <row r="99" spans="7:296" x14ac:dyDescent="0.35">
      <c r="K99" s="19" t="s">
        <v>114</v>
      </c>
      <c r="L99" s="19"/>
      <c r="M99" s="16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7"/>
      <c r="BC99" s="17"/>
      <c r="BD99" s="17"/>
      <c r="BE99" s="17"/>
      <c r="BF99" s="17"/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7"/>
      <c r="DK99" s="17"/>
      <c r="DL99" s="17"/>
      <c r="DM99" s="17"/>
      <c r="DN99" s="17"/>
      <c r="DO99" s="17"/>
      <c r="DP99" s="17"/>
      <c r="DQ99" s="17"/>
      <c r="DR99" s="17"/>
      <c r="DS99" s="17"/>
      <c r="DT99" s="17"/>
      <c r="DU99" s="17"/>
      <c r="DV99" s="17"/>
      <c r="DW99" s="17"/>
      <c r="DX99" s="17"/>
      <c r="DY99" s="17"/>
      <c r="DZ99" s="17"/>
      <c r="EA99" s="17"/>
      <c r="EB99" s="17"/>
      <c r="EC99" s="17"/>
      <c r="ED99" s="17"/>
      <c r="EE99" s="17"/>
      <c r="EF99" s="17"/>
      <c r="EG99" s="17"/>
      <c r="EH99" s="17"/>
      <c r="EI99" s="17"/>
      <c r="EJ99" s="17"/>
      <c r="EK99" s="17"/>
      <c r="EL99" s="17"/>
      <c r="EM99" s="17"/>
      <c r="EN99" s="17"/>
      <c r="EO99" s="17"/>
      <c r="EP99" s="17"/>
      <c r="EQ99" s="17"/>
      <c r="ER99" s="17"/>
      <c r="ES99" s="17"/>
      <c r="ET99" s="17"/>
      <c r="EU99" s="17"/>
      <c r="EV99" s="17"/>
      <c r="EW99" s="17"/>
      <c r="EX99" s="17"/>
      <c r="EY99" s="17"/>
      <c r="EZ99" s="17"/>
      <c r="FA99" s="17"/>
      <c r="FB99" s="17"/>
      <c r="FC99" s="17"/>
      <c r="FD99" s="17"/>
      <c r="FE99" s="17"/>
      <c r="FF99" s="17"/>
      <c r="FG99" s="17"/>
      <c r="FH99" s="17"/>
      <c r="FI99" s="17"/>
      <c r="FJ99" s="17"/>
      <c r="FK99" s="17"/>
      <c r="FL99" s="17"/>
      <c r="FM99" s="17"/>
      <c r="FN99" s="17"/>
      <c r="FO99" s="17"/>
      <c r="FP99" s="17"/>
      <c r="FQ99" s="17"/>
      <c r="FR99" s="17"/>
      <c r="FS99" s="17"/>
      <c r="FT99" s="17"/>
      <c r="FU99" s="17"/>
      <c r="FV99" s="17"/>
      <c r="FW99" s="17"/>
      <c r="FX99" s="17"/>
      <c r="FY99" s="17"/>
      <c r="FZ99" s="17"/>
      <c r="GA99" s="17"/>
      <c r="GB99" s="17"/>
      <c r="GC99" s="17"/>
      <c r="GD99" s="17"/>
      <c r="GE99" s="17"/>
      <c r="GF99" s="17"/>
      <c r="GG99" s="17"/>
      <c r="GH99" s="17"/>
      <c r="GI99" s="17"/>
      <c r="GJ99" s="17"/>
      <c r="GK99" s="17"/>
      <c r="GL99" s="17"/>
      <c r="GM99" s="17"/>
      <c r="GN99" s="17"/>
      <c r="GO99" s="17"/>
      <c r="GP99" s="17"/>
      <c r="GQ99" s="17"/>
      <c r="GR99" s="17"/>
      <c r="GS99" s="17"/>
      <c r="GT99" s="17"/>
      <c r="GU99" s="17"/>
      <c r="GV99" s="17"/>
      <c r="GW99" s="17"/>
      <c r="GX99" s="17"/>
      <c r="GY99" s="17"/>
      <c r="GZ99" s="17"/>
      <c r="HA99" s="17"/>
      <c r="HB99" s="17"/>
      <c r="HC99" s="17"/>
      <c r="HD99" s="17"/>
      <c r="HE99" s="17"/>
      <c r="HF99" s="17"/>
      <c r="HG99" s="17"/>
      <c r="HH99" s="17"/>
      <c r="HI99" s="17"/>
      <c r="HJ99" s="17"/>
      <c r="HK99" s="17"/>
      <c r="HL99" s="17"/>
      <c r="HM99" s="17"/>
      <c r="HN99" s="17"/>
      <c r="HO99" s="17"/>
      <c r="HP99" s="17"/>
      <c r="HQ99" s="17"/>
      <c r="HR99" s="17"/>
      <c r="HS99" s="17"/>
      <c r="HT99" s="17"/>
      <c r="HU99" s="17"/>
      <c r="HV99" s="17"/>
      <c r="HW99" s="17"/>
      <c r="HX99" s="17"/>
      <c r="HY99" s="17"/>
      <c r="HZ99" s="17"/>
      <c r="IA99" s="17"/>
      <c r="IB99" s="17"/>
      <c r="IC99" s="17"/>
      <c r="ID99" s="17"/>
      <c r="IE99" s="17"/>
      <c r="IF99" s="17"/>
      <c r="IG99" s="17"/>
      <c r="IH99" s="17"/>
      <c r="II99" s="17"/>
      <c r="IJ99" s="17"/>
      <c r="IK99" s="17"/>
      <c r="IL99" s="17"/>
      <c r="IM99" s="17"/>
      <c r="IN99" s="17"/>
      <c r="IO99" s="17"/>
      <c r="IP99" s="17"/>
      <c r="IQ99" s="17"/>
      <c r="IR99" s="17"/>
      <c r="IS99" s="17"/>
      <c r="IT99" s="17"/>
      <c r="IU99" s="17"/>
      <c r="IV99" s="17"/>
      <c r="IW99" s="17"/>
      <c r="IX99" s="17"/>
      <c r="IY99" s="17"/>
      <c r="IZ99" s="17"/>
      <c r="JA99" s="17"/>
      <c r="JB99" s="17"/>
      <c r="JC99" s="17"/>
      <c r="JD99" s="17"/>
      <c r="JE99" s="17"/>
      <c r="JF99" s="17"/>
      <c r="JG99" s="17"/>
      <c r="JH99" s="17"/>
      <c r="JI99" s="17"/>
      <c r="JJ99" s="17"/>
      <c r="JK99" s="17"/>
      <c r="JL99" s="17"/>
      <c r="JM99" s="17"/>
      <c r="JN99" s="17"/>
      <c r="JO99" s="17"/>
      <c r="JP99" s="17"/>
      <c r="JQ99" s="17"/>
      <c r="JR99" s="17"/>
      <c r="JS99" s="17"/>
      <c r="JT99" s="17"/>
      <c r="JU99" s="17"/>
      <c r="JV99" s="17"/>
      <c r="JW99" s="17"/>
      <c r="JX99" s="17"/>
      <c r="JY99" s="17"/>
      <c r="JZ99" s="17"/>
      <c r="KA99" s="17"/>
      <c r="KB99" s="17"/>
      <c r="KC99" s="17"/>
      <c r="KD99" s="17"/>
      <c r="KE99" s="17"/>
      <c r="KF99" s="17"/>
      <c r="KG99" s="17"/>
      <c r="KH99" s="17"/>
      <c r="KI99" s="17"/>
      <c r="KJ99" s="1"/>
    </row>
    <row r="100" spans="7:296" x14ac:dyDescent="0.35">
      <c r="KJ100" s="1"/>
    </row>
    <row r="101" spans="7:296" x14ac:dyDescent="0.35">
      <c r="L101" s="22" t="s">
        <v>92</v>
      </c>
      <c r="M101" s="5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</row>
    <row r="102" spans="7:296" x14ac:dyDescent="0.35">
      <c r="G102" s="36">
        <f>Control!J65</f>
        <v>46418</v>
      </c>
      <c r="H102" s="13" t="s">
        <v>110</v>
      </c>
      <c r="M102" s="15" t="s">
        <v>93</v>
      </c>
      <c r="N102" s="46">
        <f>IF(AND($G102&gt;=N$11,$G102&lt;=N$12),1,0)</f>
        <v>0</v>
      </c>
      <c r="O102" s="46">
        <f t="shared" ref="O102:BZ102" si="222">IF(AND($G102&gt;=O$11,$G102&lt;=O$12),1,0)</f>
        <v>0</v>
      </c>
      <c r="P102" s="46">
        <f t="shared" si="222"/>
        <v>0</v>
      </c>
      <c r="Q102" s="46">
        <f t="shared" si="222"/>
        <v>0</v>
      </c>
      <c r="R102" s="46">
        <f t="shared" si="222"/>
        <v>0</v>
      </c>
      <c r="S102" s="46">
        <f t="shared" si="222"/>
        <v>0</v>
      </c>
      <c r="T102" s="46">
        <f t="shared" si="222"/>
        <v>1</v>
      </c>
      <c r="U102" s="46">
        <f t="shared" si="222"/>
        <v>0</v>
      </c>
      <c r="V102" s="46">
        <f t="shared" si="222"/>
        <v>0</v>
      </c>
      <c r="W102" s="46">
        <f t="shared" si="222"/>
        <v>0</v>
      </c>
      <c r="X102" s="46">
        <f t="shared" si="222"/>
        <v>0</v>
      </c>
      <c r="Y102" s="46">
        <f t="shared" si="222"/>
        <v>0</v>
      </c>
      <c r="Z102" s="46">
        <f t="shared" si="222"/>
        <v>0</v>
      </c>
      <c r="AA102" s="46">
        <f t="shared" si="222"/>
        <v>0</v>
      </c>
      <c r="AB102" s="46">
        <f t="shared" si="222"/>
        <v>0</v>
      </c>
      <c r="AC102" s="46">
        <f t="shared" si="222"/>
        <v>0</v>
      </c>
      <c r="AD102" s="46">
        <f t="shared" si="222"/>
        <v>0</v>
      </c>
      <c r="AE102" s="46">
        <f t="shared" si="222"/>
        <v>0</v>
      </c>
      <c r="AF102" s="46">
        <f t="shared" si="222"/>
        <v>0</v>
      </c>
      <c r="AG102" s="46">
        <f t="shared" si="222"/>
        <v>0</v>
      </c>
      <c r="AH102" s="46">
        <f t="shared" si="222"/>
        <v>0</v>
      </c>
      <c r="AI102" s="46">
        <f t="shared" si="222"/>
        <v>0</v>
      </c>
      <c r="AJ102" s="46">
        <f t="shared" si="222"/>
        <v>0</v>
      </c>
      <c r="AK102" s="46">
        <f t="shared" si="222"/>
        <v>0</v>
      </c>
      <c r="AL102" s="46">
        <f t="shared" si="222"/>
        <v>0</v>
      </c>
      <c r="AM102" s="46">
        <f t="shared" si="222"/>
        <v>0</v>
      </c>
      <c r="AN102" s="46">
        <f t="shared" si="222"/>
        <v>0</v>
      </c>
      <c r="AO102" s="46">
        <f t="shared" si="222"/>
        <v>0</v>
      </c>
      <c r="AP102" s="46">
        <f t="shared" si="222"/>
        <v>0</v>
      </c>
      <c r="AQ102" s="46">
        <f t="shared" si="222"/>
        <v>0</v>
      </c>
      <c r="AR102" s="46">
        <f t="shared" si="222"/>
        <v>0</v>
      </c>
      <c r="AS102" s="46">
        <f t="shared" si="222"/>
        <v>0</v>
      </c>
      <c r="AT102" s="46">
        <f t="shared" si="222"/>
        <v>0</v>
      </c>
      <c r="AU102" s="46">
        <f t="shared" si="222"/>
        <v>0</v>
      </c>
      <c r="AV102" s="46">
        <f t="shared" si="222"/>
        <v>0</v>
      </c>
      <c r="AW102" s="46">
        <f t="shared" si="222"/>
        <v>0</v>
      </c>
      <c r="AX102" s="46">
        <f t="shared" si="222"/>
        <v>0</v>
      </c>
      <c r="AY102" s="46">
        <f t="shared" si="222"/>
        <v>0</v>
      </c>
      <c r="AZ102" s="46">
        <f t="shared" si="222"/>
        <v>0</v>
      </c>
      <c r="BA102" s="46">
        <f t="shared" si="222"/>
        <v>0</v>
      </c>
      <c r="BB102" s="46">
        <f t="shared" si="222"/>
        <v>0</v>
      </c>
      <c r="BC102" s="46">
        <f t="shared" si="222"/>
        <v>0</v>
      </c>
      <c r="BD102" s="46">
        <f t="shared" si="222"/>
        <v>0</v>
      </c>
      <c r="BE102" s="46">
        <f t="shared" si="222"/>
        <v>0</v>
      </c>
      <c r="BF102" s="46">
        <f t="shared" si="222"/>
        <v>0</v>
      </c>
      <c r="BG102" s="46">
        <f t="shared" si="222"/>
        <v>0</v>
      </c>
      <c r="BH102" s="46">
        <f t="shared" si="222"/>
        <v>0</v>
      </c>
      <c r="BI102" s="46">
        <f t="shared" si="222"/>
        <v>0</v>
      </c>
      <c r="BJ102" s="46">
        <f t="shared" si="222"/>
        <v>0</v>
      </c>
      <c r="BK102" s="46">
        <f t="shared" si="222"/>
        <v>0</v>
      </c>
      <c r="BL102" s="46">
        <f t="shared" si="222"/>
        <v>0</v>
      </c>
      <c r="BM102" s="46">
        <f t="shared" si="222"/>
        <v>0</v>
      </c>
      <c r="BN102" s="46">
        <f t="shared" si="222"/>
        <v>0</v>
      </c>
      <c r="BO102" s="46">
        <f t="shared" si="222"/>
        <v>0</v>
      </c>
      <c r="BP102" s="46">
        <f t="shared" si="222"/>
        <v>0</v>
      </c>
      <c r="BQ102" s="46">
        <f t="shared" si="222"/>
        <v>0</v>
      </c>
      <c r="BR102" s="46">
        <f t="shared" si="222"/>
        <v>0</v>
      </c>
      <c r="BS102" s="46">
        <f t="shared" si="222"/>
        <v>0</v>
      </c>
      <c r="BT102" s="46">
        <f t="shared" si="222"/>
        <v>0</v>
      </c>
      <c r="BU102" s="46">
        <f t="shared" si="222"/>
        <v>0</v>
      </c>
      <c r="BV102" s="46">
        <f t="shared" si="222"/>
        <v>0</v>
      </c>
      <c r="BW102" s="46">
        <f t="shared" si="222"/>
        <v>0</v>
      </c>
      <c r="BX102" s="46">
        <f t="shared" si="222"/>
        <v>0</v>
      </c>
      <c r="BY102" s="46">
        <f t="shared" si="222"/>
        <v>0</v>
      </c>
      <c r="BZ102" s="46">
        <f t="shared" si="222"/>
        <v>0</v>
      </c>
      <c r="CA102" s="46">
        <f t="shared" ref="CA102:EL102" si="223">IF(AND($G102&gt;=CA$11,$G102&lt;=CA$12),1,0)</f>
        <v>0</v>
      </c>
      <c r="CB102" s="46">
        <f t="shared" si="223"/>
        <v>0</v>
      </c>
      <c r="CC102" s="46">
        <f t="shared" si="223"/>
        <v>0</v>
      </c>
      <c r="CD102" s="46">
        <f t="shared" si="223"/>
        <v>0</v>
      </c>
      <c r="CE102" s="46">
        <f t="shared" si="223"/>
        <v>0</v>
      </c>
      <c r="CF102" s="46">
        <f t="shared" si="223"/>
        <v>0</v>
      </c>
      <c r="CG102" s="46">
        <f t="shared" si="223"/>
        <v>0</v>
      </c>
      <c r="CH102" s="46">
        <f t="shared" si="223"/>
        <v>0</v>
      </c>
      <c r="CI102" s="46">
        <f t="shared" si="223"/>
        <v>0</v>
      </c>
      <c r="CJ102" s="46">
        <f t="shared" si="223"/>
        <v>0</v>
      </c>
      <c r="CK102" s="46">
        <f t="shared" si="223"/>
        <v>0</v>
      </c>
      <c r="CL102" s="46">
        <f t="shared" si="223"/>
        <v>0</v>
      </c>
      <c r="CM102" s="46">
        <f t="shared" si="223"/>
        <v>0</v>
      </c>
      <c r="CN102" s="46">
        <f t="shared" si="223"/>
        <v>0</v>
      </c>
      <c r="CO102" s="46">
        <f t="shared" si="223"/>
        <v>0</v>
      </c>
      <c r="CP102" s="46">
        <f t="shared" si="223"/>
        <v>0</v>
      </c>
      <c r="CQ102" s="46">
        <f t="shared" si="223"/>
        <v>0</v>
      </c>
      <c r="CR102" s="46">
        <f t="shared" si="223"/>
        <v>0</v>
      </c>
      <c r="CS102" s="46">
        <f t="shared" si="223"/>
        <v>0</v>
      </c>
      <c r="CT102" s="46">
        <f t="shared" si="223"/>
        <v>0</v>
      </c>
      <c r="CU102" s="46">
        <f t="shared" si="223"/>
        <v>0</v>
      </c>
      <c r="CV102" s="46">
        <f t="shared" si="223"/>
        <v>0</v>
      </c>
      <c r="CW102" s="46">
        <f t="shared" si="223"/>
        <v>0</v>
      </c>
      <c r="CX102" s="46">
        <f t="shared" si="223"/>
        <v>0</v>
      </c>
      <c r="CY102" s="46">
        <f t="shared" si="223"/>
        <v>0</v>
      </c>
      <c r="CZ102" s="46">
        <f t="shared" si="223"/>
        <v>0</v>
      </c>
      <c r="DA102" s="46">
        <f t="shared" si="223"/>
        <v>0</v>
      </c>
      <c r="DB102" s="46">
        <f t="shared" si="223"/>
        <v>0</v>
      </c>
      <c r="DC102" s="46">
        <f t="shared" si="223"/>
        <v>0</v>
      </c>
      <c r="DD102" s="46">
        <f t="shared" si="223"/>
        <v>0</v>
      </c>
      <c r="DE102" s="46">
        <f t="shared" si="223"/>
        <v>0</v>
      </c>
      <c r="DF102" s="46">
        <f t="shared" si="223"/>
        <v>0</v>
      </c>
      <c r="DG102" s="46">
        <f t="shared" si="223"/>
        <v>0</v>
      </c>
      <c r="DH102" s="46">
        <f t="shared" si="223"/>
        <v>0</v>
      </c>
      <c r="DI102" s="46">
        <f t="shared" si="223"/>
        <v>0</v>
      </c>
      <c r="DJ102" s="46">
        <f t="shared" si="223"/>
        <v>0</v>
      </c>
      <c r="DK102" s="46">
        <f t="shared" si="223"/>
        <v>0</v>
      </c>
      <c r="DL102" s="46">
        <f t="shared" si="223"/>
        <v>0</v>
      </c>
      <c r="DM102" s="46">
        <f t="shared" si="223"/>
        <v>0</v>
      </c>
      <c r="DN102" s="46">
        <f t="shared" si="223"/>
        <v>0</v>
      </c>
      <c r="DO102" s="46">
        <f t="shared" si="223"/>
        <v>0</v>
      </c>
      <c r="DP102" s="46">
        <f t="shared" si="223"/>
        <v>0</v>
      </c>
      <c r="DQ102" s="46">
        <f t="shared" si="223"/>
        <v>0</v>
      </c>
      <c r="DR102" s="46">
        <f t="shared" si="223"/>
        <v>0</v>
      </c>
      <c r="DS102" s="46">
        <f t="shared" si="223"/>
        <v>0</v>
      </c>
      <c r="DT102" s="46">
        <f t="shared" si="223"/>
        <v>0</v>
      </c>
      <c r="DU102" s="46">
        <f t="shared" si="223"/>
        <v>0</v>
      </c>
      <c r="DV102" s="46">
        <f t="shared" si="223"/>
        <v>0</v>
      </c>
      <c r="DW102" s="46">
        <f t="shared" si="223"/>
        <v>0</v>
      </c>
      <c r="DX102" s="46">
        <f t="shared" si="223"/>
        <v>0</v>
      </c>
      <c r="DY102" s="46">
        <f t="shared" si="223"/>
        <v>0</v>
      </c>
      <c r="DZ102" s="46">
        <f t="shared" si="223"/>
        <v>0</v>
      </c>
      <c r="EA102" s="46">
        <f t="shared" si="223"/>
        <v>0</v>
      </c>
      <c r="EB102" s="46">
        <f t="shared" si="223"/>
        <v>0</v>
      </c>
      <c r="EC102" s="46">
        <f t="shared" si="223"/>
        <v>0</v>
      </c>
      <c r="ED102" s="46">
        <f t="shared" si="223"/>
        <v>0</v>
      </c>
      <c r="EE102" s="46">
        <f t="shared" si="223"/>
        <v>0</v>
      </c>
      <c r="EF102" s="46">
        <f t="shared" si="223"/>
        <v>0</v>
      </c>
      <c r="EG102" s="46">
        <f t="shared" si="223"/>
        <v>0</v>
      </c>
      <c r="EH102" s="46">
        <f t="shared" si="223"/>
        <v>0</v>
      </c>
      <c r="EI102" s="46">
        <f t="shared" si="223"/>
        <v>0</v>
      </c>
      <c r="EJ102" s="46">
        <f t="shared" si="223"/>
        <v>0</v>
      </c>
      <c r="EK102" s="46">
        <f t="shared" si="223"/>
        <v>0</v>
      </c>
      <c r="EL102" s="46">
        <f t="shared" si="223"/>
        <v>0</v>
      </c>
      <c r="EM102" s="46">
        <f t="shared" ref="EM102:GX102" si="224">IF(AND($G102&gt;=EM$11,$G102&lt;=EM$12),1,0)</f>
        <v>0</v>
      </c>
      <c r="EN102" s="46">
        <f t="shared" si="224"/>
        <v>0</v>
      </c>
      <c r="EO102" s="46">
        <f t="shared" si="224"/>
        <v>0</v>
      </c>
      <c r="EP102" s="46">
        <f t="shared" si="224"/>
        <v>0</v>
      </c>
      <c r="EQ102" s="46">
        <f t="shared" si="224"/>
        <v>0</v>
      </c>
      <c r="ER102" s="46">
        <f t="shared" si="224"/>
        <v>0</v>
      </c>
      <c r="ES102" s="46">
        <f t="shared" si="224"/>
        <v>0</v>
      </c>
      <c r="ET102" s="46">
        <f t="shared" si="224"/>
        <v>0</v>
      </c>
      <c r="EU102" s="46">
        <f t="shared" si="224"/>
        <v>0</v>
      </c>
      <c r="EV102" s="46">
        <f t="shared" si="224"/>
        <v>0</v>
      </c>
      <c r="EW102" s="46">
        <f t="shared" si="224"/>
        <v>0</v>
      </c>
      <c r="EX102" s="46">
        <f t="shared" si="224"/>
        <v>0</v>
      </c>
      <c r="EY102" s="46">
        <f t="shared" si="224"/>
        <v>0</v>
      </c>
      <c r="EZ102" s="46">
        <f t="shared" si="224"/>
        <v>0</v>
      </c>
      <c r="FA102" s="46">
        <f t="shared" si="224"/>
        <v>0</v>
      </c>
      <c r="FB102" s="46">
        <f t="shared" si="224"/>
        <v>0</v>
      </c>
      <c r="FC102" s="46">
        <f t="shared" si="224"/>
        <v>0</v>
      </c>
      <c r="FD102" s="46">
        <f t="shared" si="224"/>
        <v>0</v>
      </c>
      <c r="FE102" s="46">
        <f t="shared" si="224"/>
        <v>0</v>
      </c>
      <c r="FF102" s="46">
        <f t="shared" si="224"/>
        <v>0</v>
      </c>
      <c r="FG102" s="46">
        <f t="shared" si="224"/>
        <v>0</v>
      </c>
      <c r="FH102" s="46">
        <f t="shared" si="224"/>
        <v>0</v>
      </c>
      <c r="FI102" s="46">
        <f t="shared" si="224"/>
        <v>0</v>
      </c>
      <c r="FJ102" s="46">
        <f t="shared" si="224"/>
        <v>0</v>
      </c>
      <c r="FK102" s="46">
        <f t="shared" si="224"/>
        <v>0</v>
      </c>
      <c r="FL102" s="46">
        <f t="shared" si="224"/>
        <v>0</v>
      </c>
      <c r="FM102" s="46">
        <f t="shared" si="224"/>
        <v>0</v>
      </c>
      <c r="FN102" s="46">
        <f t="shared" si="224"/>
        <v>0</v>
      </c>
      <c r="FO102" s="46">
        <f t="shared" si="224"/>
        <v>0</v>
      </c>
      <c r="FP102" s="46">
        <f t="shared" si="224"/>
        <v>0</v>
      </c>
      <c r="FQ102" s="46">
        <f t="shared" si="224"/>
        <v>0</v>
      </c>
      <c r="FR102" s="46">
        <f t="shared" si="224"/>
        <v>0</v>
      </c>
      <c r="FS102" s="46">
        <f t="shared" si="224"/>
        <v>0</v>
      </c>
      <c r="FT102" s="46">
        <f t="shared" si="224"/>
        <v>0</v>
      </c>
      <c r="FU102" s="46">
        <f t="shared" si="224"/>
        <v>0</v>
      </c>
      <c r="FV102" s="46">
        <f t="shared" si="224"/>
        <v>0</v>
      </c>
      <c r="FW102" s="46">
        <f t="shared" si="224"/>
        <v>0</v>
      </c>
      <c r="FX102" s="46">
        <f t="shared" si="224"/>
        <v>0</v>
      </c>
      <c r="FY102" s="46">
        <f t="shared" si="224"/>
        <v>0</v>
      </c>
      <c r="FZ102" s="46">
        <f t="shared" si="224"/>
        <v>0</v>
      </c>
      <c r="GA102" s="46">
        <f t="shared" si="224"/>
        <v>0</v>
      </c>
      <c r="GB102" s="46">
        <f t="shared" si="224"/>
        <v>0</v>
      </c>
      <c r="GC102" s="46">
        <f t="shared" si="224"/>
        <v>0</v>
      </c>
      <c r="GD102" s="46">
        <f t="shared" si="224"/>
        <v>0</v>
      </c>
      <c r="GE102" s="46">
        <f t="shared" si="224"/>
        <v>0</v>
      </c>
      <c r="GF102" s="46">
        <f t="shared" si="224"/>
        <v>0</v>
      </c>
      <c r="GG102" s="46">
        <f t="shared" si="224"/>
        <v>0</v>
      </c>
      <c r="GH102" s="46">
        <f t="shared" si="224"/>
        <v>0</v>
      </c>
      <c r="GI102" s="46">
        <f t="shared" si="224"/>
        <v>0</v>
      </c>
      <c r="GJ102" s="46">
        <f t="shared" si="224"/>
        <v>0</v>
      </c>
      <c r="GK102" s="46">
        <f t="shared" si="224"/>
        <v>0</v>
      </c>
      <c r="GL102" s="46">
        <f t="shared" si="224"/>
        <v>0</v>
      </c>
      <c r="GM102" s="46">
        <f t="shared" si="224"/>
        <v>0</v>
      </c>
      <c r="GN102" s="46">
        <f t="shared" si="224"/>
        <v>0</v>
      </c>
      <c r="GO102" s="46">
        <f t="shared" si="224"/>
        <v>0</v>
      </c>
      <c r="GP102" s="46">
        <f t="shared" si="224"/>
        <v>0</v>
      </c>
      <c r="GQ102" s="46">
        <f t="shared" si="224"/>
        <v>0</v>
      </c>
      <c r="GR102" s="46">
        <f t="shared" si="224"/>
        <v>0</v>
      </c>
      <c r="GS102" s="46">
        <f t="shared" si="224"/>
        <v>0</v>
      </c>
      <c r="GT102" s="46">
        <f t="shared" si="224"/>
        <v>0</v>
      </c>
      <c r="GU102" s="46">
        <f t="shared" si="224"/>
        <v>0</v>
      </c>
      <c r="GV102" s="46">
        <f t="shared" si="224"/>
        <v>0</v>
      </c>
      <c r="GW102" s="46">
        <f t="shared" si="224"/>
        <v>0</v>
      </c>
      <c r="GX102" s="46">
        <f t="shared" si="224"/>
        <v>0</v>
      </c>
      <c r="GY102" s="46">
        <f t="shared" ref="GY102:JJ102" si="225">IF(AND($G102&gt;=GY$11,$G102&lt;=GY$12),1,0)</f>
        <v>0</v>
      </c>
      <c r="GZ102" s="46">
        <f t="shared" si="225"/>
        <v>0</v>
      </c>
      <c r="HA102" s="46">
        <f t="shared" si="225"/>
        <v>0</v>
      </c>
      <c r="HB102" s="46">
        <f t="shared" si="225"/>
        <v>0</v>
      </c>
      <c r="HC102" s="46">
        <f t="shared" si="225"/>
        <v>0</v>
      </c>
      <c r="HD102" s="46">
        <f t="shared" si="225"/>
        <v>0</v>
      </c>
      <c r="HE102" s="46">
        <f t="shared" si="225"/>
        <v>0</v>
      </c>
      <c r="HF102" s="46">
        <f t="shared" si="225"/>
        <v>0</v>
      </c>
      <c r="HG102" s="46">
        <f t="shared" si="225"/>
        <v>0</v>
      </c>
      <c r="HH102" s="46">
        <f t="shared" si="225"/>
        <v>0</v>
      </c>
      <c r="HI102" s="46">
        <f t="shared" si="225"/>
        <v>0</v>
      </c>
      <c r="HJ102" s="46">
        <f t="shared" si="225"/>
        <v>0</v>
      </c>
      <c r="HK102" s="46">
        <f t="shared" si="225"/>
        <v>0</v>
      </c>
      <c r="HL102" s="46">
        <f t="shared" si="225"/>
        <v>0</v>
      </c>
      <c r="HM102" s="46">
        <f t="shared" si="225"/>
        <v>0</v>
      </c>
      <c r="HN102" s="46">
        <f t="shared" si="225"/>
        <v>0</v>
      </c>
      <c r="HO102" s="46">
        <f t="shared" si="225"/>
        <v>0</v>
      </c>
      <c r="HP102" s="46">
        <f t="shared" si="225"/>
        <v>0</v>
      </c>
      <c r="HQ102" s="46">
        <f t="shared" si="225"/>
        <v>0</v>
      </c>
      <c r="HR102" s="46">
        <f t="shared" si="225"/>
        <v>0</v>
      </c>
      <c r="HS102" s="46">
        <f t="shared" si="225"/>
        <v>0</v>
      </c>
      <c r="HT102" s="46">
        <f t="shared" si="225"/>
        <v>0</v>
      </c>
      <c r="HU102" s="46">
        <f t="shared" si="225"/>
        <v>0</v>
      </c>
      <c r="HV102" s="46">
        <f t="shared" si="225"/>
        <v>0</v>
      </c>
      <c r="HW102" s="46">
        <f t="shared" si="225"/>
        <v>0</v>
      </c>
      <c r="HX102" s="46">
        <f t="shared" si="225"/>
        <v>0</v>
      </c>
      <c r="HY102" s="46">
        <f t="shared" si="225"/>
        <v>0</v>
      </c>
      <c r="HZ102" s="46">
        <f t="shared" si="225"/>
        <v>0</v>
      </c>
      <c r="IA102" s="46">
        <f t="shared" si="225"/>
        <v>0</v>
      </c>
      <c r="IB102" s="46">
        <f t="shared" si="225"/>
        <v>0</v>
      </c>
      <c r="IC102" s="46">
        <f t="shared" si="225"/>
        <v>0</v>
      </c>
      <c r="ID102" s="46">
        <f t="shared" si="225"/>
        <v>0</v>
      </c>
      <c r="IE102" s="46">
        <f t="shared" si="225"/>
        <v>0</v>
      </c>
      <c r="IF102" s="46">
        <f t="shared" si="225"/>
        <v>0</v>
      </c>
      <c r="IG102" s="46">
        <f t="shared" si="225"/>
        <v>0</v>
      </c>
      <c r="IH102" s="46">
        <f t="shared" si="225"/>
        <v>0</v>
      </c>
      <c r="II102" s="46">
        <f t="shared" si="225"/>
        <v>0</v>
      </c>
      <c r="IJ102" s="46">
        <f t="shared" si="225"/>
        <v>0</v>
      </c>
      <c r="IK102" s="46">
        <f t="shared" si="225"/>
        <v>0</v>
      </c>
      <c r="IL102" s="46">
        <f t="shared" si="225"/>
        <v>0</v>
      </c>
      <c r="IM102" s="46">
        <f t="shared" si="225"/>
        <v>0</v>
      </c>
      <c r="IN102" s="46">
        <f t="shared" si="225"/>
        <v>0</v>
      </c>
      <c r="IO102" s="46">
        <f t="shared" si="225"/>
        <v>0</v>
      </c>
      <c r="IP102" s="46">
        <f t="shared" si="225"/>
        <v>0</v>
      </c>
      <c r="IQ102" s="46">
        <f t="shared" si="225"/>
        <v>0</v>
      </c>
      <c r="IR102" s="46">
        <f t="shared" si="225"/>
        <v>0</v>
      </c>
      <c r="IS102" s="46">
        <f t="shared" si="225"/>
        <v>0</v>
      </c>
      <c r="IT102" s="46">
        <f t="shared" si="225"/>
        <v>0</v>
      </c>
      <c r="IU102" s="46">
        <f t="shared" si="225"/>
        <v>0</v>
      </c>
      <c r="IV102" s="46">
        <f t="shared" si="225"/>
        <v>0</v>
      </c>
      <c r="IW102" s="46">
        <f t="shared" si="225"/>
        <v>0</v>
      </c>
      <c r="IX102" s="46">
        <f t="shared" si="225"/>
        <v>0</v>
      </c>
      <c r="IY102" s="46">
        <f t="shared" si="225"/>
        <v>0</v>
      </c>
      <c r="IZ102" s="46">
        <f t="shared" si="225"/>
        <v>0</v>
      </c>
      <c r="JA102" s="46">
        <f t="shared" si="225"/>
        <v>0</v>
      </c>
      <c r="JB102" s="46">
        <f t="shared" si="225"/>
        <v>0</v>
      </c>
      <c r="JC102" s="46">
        <f t="shared" si="225"/>
        <v>0</v>
      </c>
      <c r="JD102" s="46">
        <f t="shared" si="225"/>
        <v>0</v>
      </c>
      <c r="JE102" s="46">
        <f t="shared" si="225"/>
        <v>0</v>
      </c>
      <c r="JF102" s="46">
        <f t="shared" si="225"/>
        <v>0</v>
      </c>
      <c r="JG102" s="46">
        <f t="shared" si="225"/>
        <v>0</v>
      </c>
      <c r="JH102" s="46">
        <f t="shared" si="225"/>
        <v>0</v>
      </c>
      <c r="JI102" s="46">
        <f t="shared" si="225"/>
        <v>0</v>
      </c>
      <c r="JJ102" s="46">
        <f t="shared" si="225"/>
        <v>0</v>
      </c>
      <c r="JK102" s="46">
        <f t="shared" ref="JK102:KI102" si="226">IF(AND($G102&gt;=JK$11,$G102&lt;=JK$12),1,0)</f>
        <v>0</v>
      </c>
      <c r="JL102" s="46">
        <f t="shared" si="226"/>
        <v>0</v>
      </c>
      <c r="JM102" s="46">
        <f t="shared" si="226"/>
        <v>0</v>
      </c>
      <c r="JN102" s="46">
        <f t="shared" si="226"/>
        <v>0</v>
      </c>
      <c r="JO102" s="46">
        <f t="shared" si="226"/>
        <v>0</v>
      </c>
      <c r="JP102" s="46">
        <f t="shared" si="226"/>
        <v>0</v>
      </c>
      <c r="JQ102" s="46">
        <f t="shared" si="226"/>
        <v>0</v>
      </c>
      <c r="JR102" s="46">
        <f t="shared" si="226"/>
        <v>0</v>
      </c>
      <c r="JS102" s="46">
        <f t="shared" si="226"/>
        <v>0</v>
      </c>
      <c r="JT102" s="46">
        <f t="shared" si="226"/>
        <v>0</v>
      </c>
      <c r="JU102" s="46">
        <f t="shared" si="226"/>
        <v>0</v>
      </c>
      <c r="JV102" s="46">
        <f t="shared" si="226"/>
        <v>0</v>
      </c>
      <c r="JW102" s="46">
        <f t="shared" si="226"/>
        <v>0</v>
      </c>
      <c r="JX102" s="46">
        <f t="shared" si="226"/>
        <v>0</v>
      </c>
      <c r="JY102" s="46">
        <f t="shared" si="226"/>
        <v>0</v>
      </c>
      <c r="JZ102" s="46">
        <f t="shared" si="226"/>
        <v>0</v>
      </c>
      <c r="KA102" s="46">
        <f t="shared" si="226"/>
        <v>0</v>
      </c>
      <c r="KB102" s="46">
        <f t="shared" si="226"/>
        <v>0</v>
      </c>
      <c r="KC102" s="46">
        <f t="shared" si="226"/>
        <v>0</v>
      </c>
      <c r="KD102" s="46">
        <f t="shared" si="226"/>
        <v>0</v>
      </c>
      <c r="KE102" s="46">
        <f t="shared" si="226"/>
        <v>0</v>
      </c>
      <c r="KF102" s="46">
        <f t="shared" si="226"/>
        <v>0</v>
      </c>
      <c r="KG102" s="46">
        <f t="shared" si="226"/>
        <v>0</v>
      </c>
      <c r="KH102" s="46">
        <f t="shared" si="226"/>
        <v>0</v>
      </c>
      <c r="KI102" s="46">
        <f t="shared" si="226"/>
        <v>0</v>
      </c>
      <c r="KJ102" s="1"/>
    </row>
    <row r="103" spans="7:296" x14ac:dyDescent="0.35">
      <c r="G103" s="36">
        <f>Control!J67</f>
        <v>48213</v>
      </c>
      <c r="H103" s="13" t="s">
        <v>110</v>
      </c>
      <c r="M103" s="15" t="s">
        <v>112</v>
      </c>
      <c r="N103" s="46">
        <f>IF(AND(N$12&gt;=$G102,N$12&lt;=$G103),1,0)</f>
        <v>0</v>
      </c>
      <c r="O103" s="46">
        <f t="shared" ref="O103:BZ103" si="227">IF(AND(O$12&gt;=$G102,O$12&lt;=$G103),1,0)</f>
        <v>0</v>
      </c>
      <c r="P103" s="46">
        <f t="shared" si="227"/>
        <v>0</v>
      </c>
      <c r="Q103" s="46">
        <f t="shared" si="227"/>
        <v>0</v>
      </c>
      <c r="R103" s="46">
        <f t="shared" si="227"/>
        <v>0</v>
      </c>
      <c r="S103" s="46">
        <f t="shared" si="227"/>
        <v>0</v>
      </c>
      <c r="T103" s="46">
        <f t="shared" si="227"/>
        <v>1</v>
      </c>
      <c r="U103" s="46">
        <f t="shared" si="227"/>
        <v>1</v>
      </c>
      <c r="V103" s="46">
        <f t="shared" si="227"/>
        <v>1</v>
      </c>
      <c r="W103" s="46">
        <f t="shared" si="227"/>
        <v>1</v>
      </c>
      <c r="X103" s="46">
        <f t="shared" si="227"/>
        <v>1</v>
      </c>
      <c r="Y103" s="46">
        <f t="shared" si="227"/>
        <v>1</v>
      </c>
      <c r="Z103" s="46">
        <f t="shared" si="227"/>
        <v>1</v>
      </c>
      <c r="AA103" s="46">
        <f t="shared" si="227"/>
        <v>1</v>
      </c>
      <c r="AB103" s="46">
        <f t="shared" si="227"/>
        <v>1</v>
      </c>
      <c r="AC103" s="46">
        <f t="shared" si="227"/>
        <v>1</v>
      </c>
      <c r="AD103" s="46">
        <f t="shared" si="227"/>
        <v>1</v>
      </c>
      <c r="AE103" s="46">
        <f t="shared" si="227"/>
        <v>1</v>
      </c>
      <c r="AF103" s="46">
        <f t="shared" si="227"/>
        <v>1</v>
      </c>
      <c r="AG103" s="46">
        <f t="shared" si="227"/>
        <v>1</v>
      </c>
      <c r="AH103" s="46">
        <f t="shared" si="227"/>
        <v>1</v>
      </c>
      <c r="AI103" s="46">
        <f t="shared" si="227"/>
        <v>1</v>
      </c>
      <c r="AJ103" s="46">
        <f t="shared" si="227"/>
        <v>1</v>
      </c>
      <c r="AK103" s="46">
        <f t="shared" si="227"/>
        <v>1</v>
      </c>
      <c r="AL103" s="46">
        <f t="shared" si="227"/>
        <v>1</v>
      </c>
      <c r="AM103" s="46">
        <f t="shared" si="227"/>
        <v>1</v>
      </c>
      <c r="AN103" s="46">
        <f t="shared" si="227"/>
        <v>1</v>
      </c>
      <c r="AO103" s="46">
        <f t="shared" si="227"/>
        <v>1</v>
      </c>
      <c r="AP103" s="46">
        <f t="shared" si="227"/>
        <v>1</v>
      </c>
      <c r="AQ103" s="46">
        <f t="shared" si="227"/>
        <v>1</v>
      </c>
      <c r="AR103" s="46">
        <f t="shared" si="227"/>
        <v>1</v>
      </c>
      <c r="AS103" s="46">
        <f t="shared" si="227"/>
        <v>1</v>
      </c>
      <c r="AT103" s="46">
        <f t="shared" si="227"/>
        <v>1</v>
      </c>
      <c r="AU103" s="46">
        <f t="shared" si="227"/>
        <v>1</v>
      </c>
      <c r="AV103" s="46">
        <f t="shared" si="227"/>
        <v>1</v>
      </c>
      <c r="AW103" s="46">
        <f t="shared" si="227"/>
        <v>1</v>
      </c>
      <c r="AX103" s="46">
        <f t="shared" si="227"/>
        <v>1</v>
      </c>
      <c r="AY103" s="46">
        <f t="shared" si="227"/>
        <v>1</v>
      </c>
      <c r="AZ103" s="46">
        <f t="shared" si="227"/>
        <v>1</v>
      </c>
      <c r="BA103" s="46">
        <f t="shared" si="227"/>
        <v>1</v>
      </c>
      <c r="BB103" s="46">
        <f t="shared" si="227"/>
        <v>1</v>
      </c>
      <c r="BC103" s="46">
        <f t="shared" si="227"/>
        <v>1</v>
      </c>
      <c r="BD103" s="46">
        <f t="shared" si="227"/>
        <v>1</v>
      </c>
      <c r="BE103" s="46">
        <f t="shared" si="227"/>
        <v>1</v>
      </c>
      <c r="BF103" s="46">
        <f t="shared" si="227"/>
        <v>1</v>
      </c>
      <c r="BG103" s="46">
        <f t="shared" si="227"/>
        <v>1</v>
      </c>
      <c r="BH103" s="46">
        <f t="shared" si="227"/>
        <v>1</v>
      </c>
      <c r="BI103" s="46">
        <f t="shared" si="227"/>
        <v>1</v>
      </c>
      <c r="BJ103" s="46">
        <f t="shared" si="227"/>
        <v>1</v>
      </c>
      <c r="BK103" s="46">
        <f t="shared" si="227"/>
        <v>1</v>
      </c>
      <c r="BL103" s="46">
        <f t="shared" si="227"/>
        <v>1</v>
      </c>
      <c r="BM103" s="46">
        <f t="shared" si="227"/>
        <v>1</v>
      </c>
      <c r="BN103" s="46">
        <f t="shared" si="227"/>
        <v>1</v>
      </c>
      <c r="BO103" s="46">
        <f t="shared" si="227"/>
        <v>1</v>
      </c>
      <c r="BP103" s="46">
        <f t="shared" si="227"/>
        <v>1</v>
      </c>
      <c r="BQ103" s="46">
        <f t="shared" si="227"/>
        <v>1</v>
      </c>
      <c r="BR103" s="46">
        <f t="shared" si="227"/>
        <v>1</v>
      </c>
      <c r="BS103" s="46">
        <f t="shared" si="227"/>
        <v>1</v>
      </c>
      <c r="BT103" s="46">
        <f t="shared" si="227"/>
        <v>1</v>
      </c>
      <c r="BU103" s="46">
        <f t="shared" si="227"/>
        <v>1</v>
      </c>
      <c r="BV103" s="46">
        <f t="shared" si="227"/>
        <v>1</v>
      </c>
      <c r="BW103" s="46">
        <f t="shared" si="227"/>
        <v>1</v>
      </c>
      <c r="BX103" s="46">
        <f t="shared" si="227"/>
        <v>1</v>
      </c>
      <c r="BY103" s="46">
        <f t="shared" si="227"/>
        <v>1</v>
      </c>
      <c r="BZ103" s="46">
        <f t="shared" si="227"/>
        <v>1</v>
      </c>
      <c r="CA103" s="46">
        <f t="shared" ref="CA103:EL103" si="228">IF(AND(CA$12&gt;=$G102,CA$12&lt;=$G103),1,0)</f>
        <v>1</v>
      </c>
      <c r="CB103" s="46">
        <f t="shared" si="228"/>
        <v>0</v>
      </c>
      <c r="CC103" s="46">
        <f t="shared" si="228"/>
        <v>0</v>
      </c>
      <c r="CD103" s="46">
        <f t="shared" si="228"/>
        <v>0</v>
      </c>
      <c r="CE103" s="46">
        <f t="shared" si="228"/>
        <v>0</v>
      </c>
      <c r="CF103" s="46">
        <f t="shared" si="228"/>
        <v>0</v>
      </c>
      <c r="CG103" s="46">
        <f t="shared" si="228"/>
        <v>0</v>
      </c>
      <c r="CH103" s="46">
        <f t="shared" si="228"/>
        <v>0</v>
      </c>
      <c r="CI103" s="46">
        <f t="shared" si="228"/>
        <v>0</v>
      </c>
      <c r="CJ103" s="46">
        <f t="shared" si="228"/>
        <v>0</v>
      </c>
      <c r="CK103" s="46">
        <f t="shared" si="228"/>
        <v>0</v>
      </c>
      <c r="CL103" s="46">
        <f t="shared" si="228"/>
        <v>0</v>
      </c>
      <c r="CM103" s="46">
        <f t="shared" si="228"/>
        <v>0</v>
      </c>
      <c r="CN103" s="46">
        <f t="shared" si="228"/>
        <v>0</v>
      </c>
      <c r="CO103" s="46">
        <f t="shared" si="228"/>
        <v>0</v>
      </c>
      <c r="CP103" s="46">
        <f t="shared" si="228"/>
        <v>0</v>
      </c>
      <c r="CQ103" s="46">
        <f t="shared" si="228"/>
        <v>0</v>
      </c>
      <c r="CR103" s="46">
        <f t="shared" si="228"/>
        <v>0</v>
      </c>
      <c r="CS103" s="46">
        <f t="shared" si="228"/>
        <v>0</v>
      </c>
      <c r="CT103" s="46">
        <f t="shared" si="228"/>
        <v>0</v>
      </c>
      <c r="CU103" s="46">
        <f t="shared" si="228"/>
        <v>0</v>
      </c>
      <c r="CV103" s="46">
        <f t="shared" si="228"/>
        <v>0</v>
      </c>
      <c r="CW103" s="46">
        <f t="shared" si="228"/>
        <v>0</v>
      </c>
      <c r="CX103" s="46">
        <f t="shared" si="228"/>
        <v>0</v>
      </c>
      <c r="CY103" s="46">
        <f t="shared" si="228"/>
        <v>0</v>
      </c>
      <c r="CZ103" s="46">
        <f t="shared" si="228"/>
        <v>0</v>
      </c>
      <c r="DA103" s="46">
        <f t="shared" si="228"/>
        <v>0</v>
      </c>
      <c r="DB103" s="46">
        <f t="shared" si="228"/>
        <v>0</v>
      </c>
      <c r="DC103" s="46">
        <f t="shared" si="228"/>
        <v>0</v>
      </c>
      <c r="DD103" s="46">
        <f t="shared" si="228"/>
        <v>0</v>
      </c>
      <c r="DE103" s="46">
        <f t="shared" si="228"/>
        <v>0</v>
      </c>
      <c r="DF103" s="46">
        <f t="shared" si="228"/>
        <v>0</v>
      </c>
      <c r="DG103" s="46">
        <f t="shared" si="228"/>
        <v>0</v>
      </c>
      <c r="DH103" s="46">
        <f t="shared" si="228"/>
        <v>0</v>
      </c>
      <c r="DI103" s="46">
        <f t="shared" si="228"/>
        <v>0</v>
      </c>
      <c r="DJ103" s="46">
        <f t="shared" si="228"/>
        <v>0</v>
      </c>
      <c r="DK103" s="46">
        <f t="shared" si="228"/>
        <v>0</v>
      </c>
      <c r="DL103" s="46">
        <f t="shared" si="228"/>
        <v>0</v>
      </c>
      <c r="DM103" s="46">
        <f t="shared" si="228"/>
        <v>0</v>
      </c>
      <c r="DN103" s="46">
        <f t="shared" si="228"/>
        <v>0</v>
      </c>
      <c r="DO103" s="46">
        <f t="shared" si="228"/>
        <v>0</v>
      </c>
      <c r="DP103" s="46">
        <f t="shared" si="228"/>
        <v>0</v>
      </c>
      <c r="DQ103" s="46">
        <f t="shared" si="228"/>
        <v>0</v>
      </c>
      <c r="DR103" s="46">
        <f t="shared" si="228"/>
        <v>0</v>
      </c>
      <c r="DS103" s="46">
        <f t="shared" si="228"/>
        <v>0</v>
      </c>
      <c r="DT103" s="46">
        <f t="shared" si="228"/>
        <v>0</v>
      </c>
      <c r="DU103" s="46">
        <f t="shared" si="228"/>
        <v>0</v>
      </c>
      <c r="DV103" s="46">
        <f t="shared" si="228"/>
        <v>0</v>
      </c>
      <c r="DW103" s="46">
        <f t="shared" si="228"/>
        <v>0</v>
      </c>
      <c r="DX103" s="46">
        <f t="shared" si="228"/>
        <v>0</v>
      </c>
      <c r="DY103" s="46">
        <f t="shared" si="228"/>
        <v>0</v>
      </c>
      <c r="DZ103" s="46">
        <f t="shared" si="228"/>
        <v>0</v>
      </c>
      <c r="EA103" s="46">
        <f t="shared" si="228"/>
        <v>0</v>
      </c>
      <c r="EB103" s="46">
        <f t="shared" si="228"/>
        <v>0</v>
      </c>
      <c r="EC103" s="46">
        <f t="shared" si="228"/>
        <v>0</v>
      </c>
      <c r="ED103" s="46">
        <f t="shared" si="228"/>
        <v>0</v>
      </c>
      <c r="EE103" s="46">
        <f t="shared" si="228"/>
        <v>0</v>
      </c>
      <c r="EF103" s="46">
        <f t="shared" si="228"/>
        <v>0</v>
      </c>
      <c r="EG103" s="46">
        <f t="shared" si="228"/>
        <v>0</v>
      </c>
      <c r="EH103" s="46">
        <f t="shared" si="228"/>
        <v>0</v>
      </c>
      <c r="EI103" s="46">
        <f t="shared" si="228"/>
        <v>0</v>
      </c>
      <c r="EJ103" s="46">
        <f t="shared" si="228"/>
        <v>0</v>
      </c>
      <c r="EK103" s="46">
        <f t="shared" si="228"/>
        <v>0</v>
      </c>
      <c r="EL103" s="46">
        <f t="shared" si="228"/>
        <v>0</v>
      </c>
      <c r="EM103" s="46">
        <f t="shared" ref="EM103:GX103" si="229">IF(AND(EM$12&gt;=$G102,EM$12&lt;=$G103),1,0)</f>
        <v>0</v>
      </c>
      <c r="EN103" s="46">
        <f t="shared" si="229"/>
        <v>0</v>
      </c>
      <c r="EO103" s="46">
        <f t="shared" si="229"/>
        <v>0</v>
      </c>
      <c r="EP103" s="46">
        <f t="shared" si="229"/>
        <v>0</v>
      </c>
      <c r="EQ103" s="46">
        <f t="shared" si="229"/>
        <v>0</v>
      </c>
      <c r="ER103" s="46">
        <f t="shared" si="229"/>
        <v>0</v>
      </c>
      <c r="ES103" s="46">
        <f t="shared" si="229"/>
        <v>0</v>
      </c>
      <c r="ET103" s="46">
        <f t="shared" si="229"/>
        <v>0</v>
      </c>
      <c r="EU103" s="46">
        <f t="shared" si="229"/>
        <v>0</v>
      </c>
      <c r="EV103" s="46">
        <f t="shared" si="229"/>
        <v>0</v>
      </c>
      <c r="EW103" s="46">
        <f t="shared" si="229"/>
        <v>0</v>
      </c>
      <c r="EX103" s="46">
        <f t="shared" si="229"/>
        <v>0</v>
      </c>
      <c r="EY103" s="46">
        <f t="shared" si="229"/>
        <v>0</v>
      </c>
      <c r="EZ103" s="46">
        <f t="shared" si="229"/>
        <v>0</v>
      </c>
      <c r="FA103" s="46">
        <f t="shared" si="229"/>
        <v>0</v>
      </c>
      <c r="FB103" s="46">
        <f t="shared" si="229"/>
        <v>0</v>
      </c>
      <c r="FC103" s="46">
        <f t="shared" si="229"/>
        <v>0</v>
      </c>
      <c r="FD103" s="46">
        <f t="shared" si="229"/>
        <v>0</v>
      </c>
      <c r="FE103" s="46">
        <f t="shared" si="229"/>
        <v>0</v>
      </c>
      <c r="FF103" s="46">
        <f t="shared" si="229"/>
        <v>0</v>
      </c>
      <c r="FG103" s="46">
        <f t="shared" si="229"/>
        <v>0</v>
      </c>
      <c r="FH103" s="46">
        <f t="shared" si="229"/>
        <v>0</v>
      </c>
      <c r="FI103" s="46">
        <f t="shared" si="229"/>
        <v>0</v>
      </c>
      <c r="FJ103" s="46">
        <f t="shared" si="229"/>
        <v>0</v>
      </c>
      <c r="FK103" s="46">
        <f t="shared" si="229"/>
        <v>0</v>
      </c>
      <c r="FL103" s="46">
        <f t="shared" si="229"/>
        <v>0</v>
      </c>
      <c r="FM103" s="46">
        <f t="shared" si="229"/>
        <v>0</v>
      </c>
      <c r="FN103" s="46">
        <f t="shared" si="229"/>
        <v>0</v>
      </c>
      <c r="FO103" s="46">
        <f t="shared" si="229"/>
        <v>0</v>
      </c>
      <c r="FP103" s="46">
        <f t="shared" si="229"/>
        <v>0</v>
      </c>
      <c r="FQ103" s="46">
        <f t="shared" si="229"/>
        <v>0</v>
      </c>
      <c r="FR103" s="46">
        <f t="shared" si="229"/>
        <v>0</v>
      </c>
      <c r="FS103" s="46">
        <f t="shared" si="229"/>
        <v>0</v>
      </c>
      <c r="FT103" s="46">
        <f t="shared" si="229"/>
        <v>0</v>
      </c>
      <c r="FU103" s="46">
        <f t="shared" si="229"/>
        <v>0</v>
      </c>
      <c r="FV103" s="46">
        <f t="shared" si="229"/>
        <v>0</v>
      </c>
      <c r="FW103" s="46">
        <f t="shared" si="229"/>
        <v>0</v>
      </c>
      <c r="FX103" s="46">
        <f t="shared" si="229"/>
        <v>0</v>
      </c>
      <c r="FY103" s="46">
        <f t="shared" si="229"/>
        <v>0</v>
      </c>
      <c r="FZ103" s="46">
        <f t="shared" si="229"/>
        <v>0</v>
      </c>
      <c r="GA103" s="46">
        <f t="shared" si="229"/>
        <v>0</v>
      </c>
      <c r="GB103" s="46">
        <f t="shared" si="229"/>
        <v>0</v>
      </c>
      <c r="GC103" s="46">
        <f t="shared" si="229"/>
        <v>0</v>
      </c>
      <c r="GD103" s="46">
        <f t="shared" si="229"/>
        <v>0</v>
      </c>
      <c r="GE103" s="46">
        <f t="shared" si="229"/>
        <v>0</v>
      </c>
      <c r="GF103" s="46">
        <f t="shared" si="229"/>
        <v>0</v>
      </c>
      <c r="GG103" s="46">
        <f t="shared" si="229"/>
        <v>0</v>
      </c>
      <c r="GH103" s="46">
        <f t="shared" si="229"/>
        <v>0</v>
      </c>
      <c r="GI103" s="46">
        <f t="shared" si="229"/>
        <v>0</v>
      </c>
      <c r="GJ103" s="46">
        <f t="shared" si="229"/>
        <v>0</v>
      </c>
      <c r="GK103" s="46">
        <f t="shared" si="229"/>
        <v>0</v>
      </c>
      <c r="GL103" s="46">
        <f t="shared" si="229"/>
        <v>0</v>
      </c>
      <c r="GM103" s="46">
        <f t="shared" si="229"/>
        <v>0</v>
      </c>
      <c r="GN103" s="46">
        <f t="shared" si="229"/>
        <v>0</v>
      </c>
      <c r="GO103" s="46">
        <f t="shared" si="229"/>
        <v>0</v>
      </c>
      <c r="GP103" s="46">
        <f t="shared" si="229"/>
        <v>0</v>
      </c>
      <c r="GQ103" s="46">
        <f t="shared" si="229"/>
        <v>0</v>
      </c>
      <c r="GR103" s="46">
        <f t="shared" si="229"/>
        <v>0</v>
      </c>
      <c r="GS103" s="46">
        <f t="shared" si="229"/>
        <v>0</v>
      </c>
      <c r="GT103" s="46">
        <f t="shared" si="229"/>
        <v>0</v>
      </c>
      <c r="GU103" s="46">
        <f t="shared" si="229"/>
        <v>0</v>
      </c>
      <c r="GV103" s="46">
        <f t="shared" si="229"/>
        <v>0</v>
      </c>
      <c r="GW103" s="46">
        <f t="shared" si="229"/>
        <v>0</v>
      </c>
      <c r="GX103" s="46">
        <f t="shared" si="229"/>
        <v>0</v>
      </c>
      <c r="GY103" s="46">
        <f t="shared" ref="GY103:JJ103" si="230">IF(AND(GY$12&gt;=$G102,GY$12&lt;=$G103),1,0)</f>
        <v>0</v>
      </c>
      <c r="GZ103" s="46">
        <f t="shared" si="230"/>
        <v>0</v>
      </c>
      <c r="HA103" s="46">
        <f t="shared" si="230"/>
        <v>0</v>
      </c>
      <c r="HB103" s="46">
        <f t="shared" si="230"/>
        <v>0</v>
      </c>
      <c r="HC103" s="46">
        <f t="shared" si="230"/>
        <v>0</v>
      </c>
      <c r="HD103" s="46">
        <f t="shared" si="230"/>
        <v>0</v>
      </c>
      <c r="HE103" s="46">
        <f t="shared" si="230"/>
        <v>0</v>
      </c>
      <c r="HF103" s="46">
        <f t="shared" si="230"/>
        <v>0</v>
      </c>
      <c r="HG103" s="46">
        <f t="shared" si="230"/>
        <v>0</v>
      </c>
      <c r="HH103" s="46">
        <f t="shared" si="230"/>
        <v>0</v>
      </c>
      <c r="HI103" s="46">
        <f t="shared" si="230"/>
        <v>0</v>
      </c>
      <c r="HJ103" s="46">
        <f t="shared" si="230"/>
        <v>0</v>
      </c>
      <c r="HK103" s="46">
        <f t="shared" si="230"/>
        <v>0</v>
      </c>
      <c r="HL103" s="46">
        <f t="shared" si="230"/>
        <v>0</v>
      </c>
      <c r="HM103" s="46">
        <f t="shared" si="230"/>
        <v>0</v>
      </c>
      <c r="HN103" s="46">
        <f t="shared" si="230"/>
        <v>0</v>
      </c>
      <c r="HO103" s="46">
        <f t="shared" si="230"/>
        <v>0</v>
      </c>
      <c r="HP103" s="46">
        <f t="shared" si="230"/>
        <v>0</v>
      </c>
      <c r="HQ103" s="46">
        <f t="shared" si="230"/>
        <v>0</v>
      </c>
      <c r="HR103" s="46">
        <f t="shared" si="230"/>
        <v>0</v>
      </c>
      <c r="HS103" s="46">
        <f t="shared" si="230"/>
        <v>0</v>
      </c>
      <c r="HT103" s="46">
        <f t="shared" si="230"/>
        <v>0</v>
      </c>
      <c r="HU103" s="46">
        <f t="shared" si="230"/>
        <v>0</v>
      </c>
      <c r="HV103" s="46">
        <f t="shared" si="230"/>
        <v>0</v>
      </c>
      <c r="HW103" s="46">
        <f t="shared" si="230"/>
        <v>0</v>
      </c>
      <c r="HX103" s="46">
        <f t="shared" si="230"/>
        <v>0</v>
      </c>
      <c r="HY103" s="46">
        <f t="shared" si="230"/>
        <v>0</v>
      </c>
      <c r="HZ103" s="46">
        <f t="shared" si="230"/>
        <v>0</v>
      </c>
      <c r="IA103" s="46">
        <f t="shared" si="230"/>
        <v>0</v>
      </c>
      <c r="IB103" s="46">
        <f t="shared" si="230"/>
        <v>0</v>
      </c>
      <c r="IC103" s="46">
        <f t="shared" si="230"/>
        <v>0</v>
      </c>
      <c r="ID103" s="46">
        <f t="shared" si="230"/>
        <v>0</v>
      </c>
      <c r="IE103" s="46">
        <f t="shared" si="230"/>
        <v>0</v>
      </c>
      <c r="IF103" s="46">
        <f t="shared" si="230"/>
        <v>0</v>
      </c>
      <c r="IG103" s="46">
        <f t="shared" si="230"/>
        <v>0</v>
      </c>
      <c r="IH103" s="46">
        <f t="shared" si="230"/>
        <v>0</v>
      </c>
      <c r="II103" s="46">
        <f t="shared" si="230"/>
        <v>0</v>
      </c>
      <c r="IJ103" s="46">
        <f t="shared" si="230"/>
        <v>0</v>
      </c>
      <c r="IK103" s="46">
        <f t="shared" si="230"/>
        <v>0</v>
      </c>
      <c r="IL103" s="46">
        <f t="shared" si="230"/>
        <v>0</v>
      </c>
      <c r="IM103" s="46">
        <f t="shared" si="230"/>
        <v>0</v>
      </c>
      <c r="IN103" s="46">
        <f t="shared" si="230"/>
        <v>0</v>
      </c>
      <c r="IO103" s="46">
        <f t="shared" si="230"/>
        <v>0</v>
      </c>
      <c r="IP103" s="46">
        <f t="shared" si="230"/>
        <v>0</v>
      </c>
      <c r="IQ103" s="46">
        <f t="shared" si="230"/>
        <v>0</v>
      </c>
      <c r="IR103" s="46">
        <f t="shared" si="230"/>
        <v>0</v>
      </c>
      <c r="IS103" s="46">
        <f t="shared" si="230"/>
        <v>0</v>
      </c>
      <c r="IT103" s="46">
        <f t="shared" si="230"/>
        <v>0</v>
      </c>
      <c r="IU103" s="46">
        <f t="shared" si="230"/>
        <v>0</v>
      </c>
      <c r="IV103" s="46">
        <f t="shared" si="230"/>
        <v>0</v>
      </c>
      <c r="IW103" s="46">
        <f t="shared" si="230"/>
        <v>0</v>
      </c>
      <c r="IX103" s="46">
        <f t="shared" si="230"/>
        <v>0</v>
      </c>
      <c r="IY103" s="46">
        <f t="shared" si="230"/>
        <v>0</v>
      </c>
      <c r="IZ103" s="46">
        <f t="shared" si="230"/>
        <v>0</v>
      </c>
      <c r="JA103" s="46">
        <f t="shared" si="230"/>
        <v>0</v>
      </c>
      <c r="JB103" s="46">
        <f t="shared" si="230"/>
        <v>0</v>
      </c>
      <c r="JC103" s="46">
        <f t="shared" si="230"/>
        <v>0</v>
      </c>
      <c r="JD103" s="46">
        <f t="shared" si="230"/>
        <v>0</v>
      </c>
      <c r="JE103" s="46">
        <f t="shared" si="230"/>
        <v>0</v>
      </c>
      <c r="JF103" s="46">
        <f t="shared" si="230"/>
        <v>0</v>
      </c>
      <c r="JG103" s="46">
        <f t="shared" si="230"/>
        <v>0</v>
      </c>
      <c r="JH103" s="46">
        <f t="shared" si="230"/>
        <v>0</v>
      </c>
      <c r="JI103" s="46">
        <f t="shared" si="230"/>
        <v>0</v>
      </c>
      <c r="JJ103" s="46">
        <f t="shared" si="230"/>
        <v>0</v>
      </c>
      <c r="JK103" s="46">
        <f t="shared" ref="JK103:KI103" si="231">IF(AND(JK$12&gt;=$G102,JK$12&lt;=$G103),1,0)</f>
        <v>0</v>
      </c>
      <c r="JL103" s="46">
        <f t="shared" si="231"/>
        <v>0</v>
      </c>
      <c r="JM103" s="46">
        <f t="shared" si="231"/>
        <v>0</v>
      </c>
      <c r="JN103" s="46">
        <f t="shared" si="231"/>
        <v>0</v>
      </c>
      <c r="JO103" s="46">
        <f t="shared" si="231"/>
        <v>0</v>
      </c>
      <c r="JP103" s="46">
        <f t="shared" si="231"/>
        <v>0</v>
      </c>
      <c r="JQ103" s="46">
        <f t="shared" si="231"/>
        <v>0</v>
      </c>
      <c r="JR103" s="46">
        <f t="shared" si="231"/>
        <v>0</v>
      </c>
      <c r="JS103" s="46">
        <f t="shared" si="231"/>
        <v>0</v>
      </c>
      <c r="JT103" s="46">
        <f t="shared" si="231"/>
        <v>0</v>
      </c>
      <c r="JU103" s="46">
        <f t="shared" si="231"/>
        <v>0</v>
      </c>
      <c r="JV103" s="46">
        <f t="shared" si="231"/>
        <v>0</v>
      </c>
      <c r="JW103" s="46">
        <f t="shared" si="231"/>
        <v>0</v>
      </c>
      <c r="JX103" s="46">
        <f t="shared" si="231"/>
        <v>0</v>
      </c>
      <c r="JY103" s="46">
        <f t="shared" si="231"/>
        <v>0</v>
      </c>
      <c r="JZ103" s="46">
        <f t="shared" si="231"/>
        <v>0</v>
      </c>
      <c r="KA103" s="46">
        <f t="shared" si="231"/>
        <v>0</v>
      </c>
      <c r="KB103" s="46">
        <f t="shared" si="231"/>
        <v>0</v>
      </c>
      <c r="KC103" s="46">
        <f t="shared" si="231"/>
        <v>0</v>
      </c>
      <c r="KD103" s="46">
        <f t="shared" si="231"/>
        <v>0</v>
      </c>
      <c r="KE103" s="46">
        <f t="shared" si="231"/>
        <v>0</v>
      </c>
      <c r="KF103" s="46">
        <f t="shared" si="231"/>
        <v>0</v>
      </c>
      <c r="KG103" s="46">
        <f t="shared" si="231"/>
        <v>0</v>
      </c>
      <c r="KH103" s="46">
        <f t="shared" si="231"/>
        <v>0</v>
      </c>
      <c r="KI103" s="46">
        <f t="shared" si="231"/>
        <v>0</v>
      </c>
      <c r="KJ103" s="1"/>
    </row>
    <row r="104" spans="7:296" x14ac:dyDescent="0.35">
      <c r="G104" s="36">
        <f>Control!H67</f>
        <v>48213</v>
      </c>
      <c r="H104" s="13" t="s">
        <v>110</v>
      </c>
      <c r="M104" s="15" t="s">
        <v>94</v>
      </c>
      <c r="N104" s="46">
        <f>IF(AND(N$11&lt;=$G104,N$12&gt;=$G104),1,0)</f>
        <v>0</v>
      </c>
      <c r="O104" s="46">
        <f t="shared" ref="O104:BZ104" si="232">IF(AND(O$11&lt;=$G104,O$12&gt;=$G104),1,0)</f>
        <v>0</v>
      </c>
      <c r="P104" s="46">
        <f t="shared" si="232"/>
        <v>0</v>
      </c>
      <c r="Q104" s="46">
        <f t="shared" si="232"/>
        <v>0</v>
      </c>
      <c r="R104" s="46">
        <f t="shared" si="232"/>
        <v>0</v>
      </c>
      <c r="S104" s="46">
        <f t="shared" si="232"/>
        <v>0</v>
      </c>
      <c r="T104" s="46">
        <f t="shared" si="232"/>
        <v>0</v>
      </c>
      <c r="U104" s="46">
        <f t="shared" si="232"/>
        <v>0</v>
      </c>
      <c r="V104" s="46">
        <f t="shared" si="232"/>
        <v>0</v>
      </c>
      <c r="W104" s="46">
        <f t="shared" si="232"/>
        <v>0</v>
      </c>
      <c r="X104" s="46">
        <f t="shared" si="232"/>
        <v>0</v>
      </c>
      <c r="Y104" s="46">
        <f t="shared" si="232"/>
        <v>0</v>
      </c>
      <c r="Z104" s="46">
        <f t="shared" si="232"/>
        <v>0</v>
      </c>
      <c r="AA104" s="46">
        <f t="shared" si="232"/>
        <v>0</v>
      </c>
      <c r="AB104" s="46">
        <f t="shared" si="232"/>
        <v>0</v>
      </c>
      <c r="AC104" s="46">
        <f t="shared" si="232"/>
        <v>0</v>
      </c>
      <c r="AD104" s="46">
        <f t="shared" si="232"/>
        <v>0</v>
      </c>
      <c r="AE104" s="46">
        <f t="shared" si="232"/>
        <v>0</v>
      </c>
      <c r="AF104" s="46">
        <f t="shared" si="232"/>
        <v>0</v>
      </c>
      <c r="AG104" s="46">
        <f t="shared" si="232"/>
        <v>0</v>
      </c>
      <c r="AH104" s="46">
        <f t="shared" si="232"/>
        <v>0</v>
      </c>
      <c r="AI104" s="46">
        <f t="shared" si="232"/>
        <v>0</v>
      </c>
      <c r="AJ104" s="46">
        <f t="shared" si="232"/>
        <v>0</v>
      </c>
      <c r="AK104" s="46">
        <f t="shared" si="232"/>
        <v>0</v>
      </c>
      <c r="AL104" s="46">
        <f t="shared" si="232"/>
        <v>0</v>
      </c>
      <c r="AM104" s="46">
        <f t="shared" si="232"/>
        <v>0</v>
      </c>
      <c r="AN104" s="46">
        <f t="shared" si="232"/>
        <v>0</v>
      </c>
      <c r="AO104" s="46">
        <f t="shared" si="232"/>
        <v>0</v>
      </c>
      <c r="AP104" s="46">
        <f t="shared" si="232"/>
        <v>0</v>
      </c>
      <c r="AQ104" s="46">
        <f t="shared" si="232"/>
        <v>0</v>
      </c>
      <c r="AR104" s="46">
        <f t="shared" si="232"/>
        <v>0</v>
      </c>
      <c r="AS104" s="46">
        <f t="shared" si="232"/>
        <v>0</v>
      </c>
      <c r="AT104" s="46">
        <f t="shared" si="232"/>
        <v>0</v>
      </c>
      <c r="AU104" s="46">
        <f t="shared" si="232"/>
        <v>0</v>
      </c>
      <c r="AV104" s="46">
        <f t="shared" si="232"/>
        <v>0</v>
      </c>
      <c r="AW104" s="46">
        <f t="shared" si="232"/>
        <v>0</v>
      </c>
      <c r="AX104" s="46">
        <f t="shared" si="232"/>
        <v>0</v>
      </c>
      <c r="AY104" s="46">
        <f t="shared" si="232"/>
        <v>0</v>
      </c>
      <c r="AZ104" s="46">
        <f t="shared" si="232"/>
        <v>0</v>
      </c>
      <c r="BA104" s="46">
        <f t="shared" si="232"/>
        <v>0</v>
      </c>
      <c r="BB104" s="46">
        <f t="shared" si="232"/>
        <v>0</v>
      </c>
      <c r="BC104" s="46">
        <f t="shared" si="232"/>
        <v>0</v>
      </c>
      <c r="BD104" s="46">
        <f t="shared" si="232"/>
        <v>0</v>
      </c>
      <c r="BE104" s="46">
        <f t="shared" si="232"/>
        <v>0</v>
      </c>
      <c r="BF104" s="46">
        <f t="shared" si="232"/>
        <v>0</v>
      </c>
      <c r="BG104" s="46">
        <f t="shared" si="232"/>
        <v>0</v>
      </c>
      <c r="BH104" s="46">
        <f t="shared" si="232"/>
        <v>0</v>
      </c>
      <c r="BI104" s="46">
        <f t="shared" si="232"/>
        <v>0</v>
      </c>
      <c r="BJ104" s="46">
        <f t="shared" si="232"/>
        <v>0</v>
      </c>
      <c r="BK104" s="46">
        <f t="shared" si="232"/>
        <v>0</v>
      </c>
      <c r="BL104" s="46">
        <f t="shared" si="232"/>
        <v>0</v>
      </c>
      <c r="BM104" s="46">
        <f t="shared" si="232"/>
        <v>0</v>
      </c>
      <c r="BN104" s="46">
        <f t="shared" si="232"/>
        <v>0</v>
      </c>
      <c r="BO104" s="46">
        <f t="shared" si="232"/>
        <v>0</v>
      </c>
      <c r="BP104" s="46">
        <f t="shared" si="232"/>
        <v>0</v>
      </c>
      <c r="BQ104" s="46">
        <f t="shared" si="232"/>
        <v>0</v>
      </c>
      <c r="BR104" s="46">
        <f t="shared" si="232"/>
        <v>0</v>
      </c>
      <c r="BS104" s="46">
        <f t="shared" si="232"/>
        <v>0</v>
      </c>
      <c r="BT104" s="46">
        <f t="shared" si="232"/>
        <v>0</v>
      </c>
      <c r="BU104" s="46">
        <f t="shared" si="232"/>
        <v>0</v>
      </c>
      <c r="BV104" s="46">
        <f t="shared" si="232"/>
        <v>0</v>
      </c>
      <c r="BW104" s="46">
        <f t="shared" si="232"/>
        <v>0</v>
      </c>
      <c r="BX104" s="46">
        <f t="shared" si="232"/>
        <v>0</v>
      </c>
      <c r="BY104" s="46">
        <f t="shared" si="232"/>
        <v>0</v>
      </c>
      <c r="BZ104" s="46">
        <f t="shared" si="232"/>
        <v>0</v>
      </c>
      <c r="CA104" s="46">
        <f t="shared" ref="CA104:EL104" si="233">IF(AND(CA$11&lt;=$G104,CA$12&gt;=$G104),1,0)</f>
        <v>1</v>
      </c>
      <c r="CB104" s="46">
        <f t="shared" si="233"/>
        <v>0</v>
      </c>
      <c r="CC104" s="46">
        <f t="shared" si="233"/>
        <v>0</v>
      </c>
      <c r="CD104" s="46">
        <f t="shared" si="233"/>
        <v>0</v>
      </c>
      <c r="CE104" s="46">
        <f t="shared" si="233"/>
        <v>0</v>
      </c>
      <c r="CF104" s="46">
        <f t="shared" si="233"/>
        <v>0</v>
      </c>
      <c r="CG104" s="46">
        <f t="shared" si="233"/>
        <v>0</v>
      </c>
      <c r="CH104" s="46">
        <f t="shared" si="233"/>
        <v>0</v>
      </c>
      <c r="CI104" s="46">
        <f t="shared" si="233"/>
        <v>0</v>
      </c>
      <c r="CJ104" s="46">
        <f t="shared" si="233"/>
        <v>0</v>
      </c>
      <c r="CK104" s="46">
        <f t="shared" si="233"/>
        <v>0</v>
      </c>
      <c r="CL104" s="46">
        <f t="shared" si="233"/>
        <v>0</v>
      </c>
      <c r="CM104" s="46">
        <f t="shared" si="233"/>
        <v>0</v>
      </c>
      <c r="CN104" s="46">
        <f t="shared" si="233"/>
        <v>0</v>
      </c>
      <c r="CO104" s="46">
        <f t="shared" si="233"/>
        <v>0</v>
      </c>
      <c r="CP104" s="46">
        <f t="shared" si="233"/>
        <v>0</v>
      </c>
      <c r="CQ104" s="46">
        <f t="shared" si="233"/>
        <v>0</v>
      </c>
      <c r="CR104" s="46">
        <f t="shared" si="233"/>
        <v>0</v>
      </c>
      <c r="CS104" s="46">
        <f t="shared" si="233"/>
        <v>0</v>
      </c>
      <c r="CT104" s="46">
        <f t="shared" si="233"/>
        <v>0</v>
      </c>
      <c r="CU104" s="46">
        <f t="shared" si="233"/>
        <v>0</v>
      </c>
      <c r="CV104" s="46">
        <f t="shared" si="233"/>
        <v>0</v>
      </c>
      <c r="CW104" s="46">
        <f t="shared" si="233"/>
        <v>0</v>
      </c>
      <c r="CX104" s="46">
        <f t="shared" si="233"/>
        <v>0</v>
      </c>
      <c r="CY104" s="46">
        <f t="shared" si="233"/>
        <v>0</v>
      </c>
      <c r="CZ104" s="46">
        <f t="shared" si="233"/>
        <v>0</v>
      </c>
      <c r="DA104" s="46">
        <f t="shared" si="233"/>
        <v>0</v>
      </c>
      <c r="DB104" s="46">
        <f t="shared" si="233"/>
        <v>0</v>
      </c>
      <c r="DC104" s="46">
        <f t="shared" si="233"/>
        <v>0</v>
      </c>
      <c r="DD104" s="46">
        <f t="shared" si="233"/>
        <v>0</v>
      </c>
      <c r="DE104" s="46">
        <f t="shared" si="233"/>
        <v>0</v>
      </c>
      <c r="DF104" s="46">
        <f t="shared" si="233"/>
        <v>0</v>
      </c>
      <c r="DG104" s="46">
        <f t="shared" si="233"/>
        <v>0</v>
      </c>
      <c r="DH104" s="46">
        <f t="shared" si="233"/>
        <v>0</v>
      </c>
      <c r="DI104" s="46">
        <f t="shared" si="233"/>
        <v>0</v>
      </c>
      <c r="DJ104" s="46">
        <f t="shared" si="233"/>
        <v>0</v>
      </c>
      <c r="DK104" s="46">
        <f t="shared" si="233"/>
        <v>0</v>
      </c>
      <c r="DL104" s="46">
        <f t="shared" si="233"/>
        <v>0</v>
      </c>
      <c r="DM104" s="46">
        <f t="shared" si="233"/>
        <v>0</v>
      </c>
      <c r="DN104" s="46">
        <f t="shared" si="233"/>
        <v>0</v>
      </c>
      <c r="DO104" s="46">
        <f t="shared" si="233"/>
        <v>0</v>
      </c>
      <c r="DP104" s="46">
        <f t="shared" si="233"/>
        <v>0</v>
      </c>
      <c r="DQ104" s="46">
        <f t="shared" si="233"/>
        <v>0</v>
      </c>
      <c r="DR104" s="46">
        <f t="shared" si="233"/>
        <v>0</v>
      </c>
      <c r="DS104" s="46">
        <f t="shared" si="233"/>
        <v>0</v>
      </c>
      <c r="DT104" s="46">
        <f t="shared" si="233"/>
        <v>0</v>
      </c>
      <c r="DU104" s="46">
        <f t="shared" si="233"/>
        <v>0</v>
      </c>
      <c r="DV104" s="46">
        <f t="shared" si="233"/>
        <v>0</v>
      </c>
      <c r="DW104" s="46">
        <f t="shared" si="233"/>
        <v>0</v>
      </c>
      <c r="DX104" s="46">
        <f t="shared" si="233"/>
        <v>0</v>
      </c>
      <c r="DY104" s="46">
        <f t="shared" si="233"/>
        <v>0</v>
      </c>
      <c r="DZ104" s="46">
        <f t="shared" si="233"/>
        <v>0</v>
      </c>
      <c r="EA104" s="46">
        <f t="shared" si="233"/>
        <v>0</v>
      </c>
      <c r="EB104" s="46">
        <f t="shared" si="233"/>
        <v>0</v>
      </c>
      <c r="EC104" s="46">
        <f t="shared" si="233"/>
        <v>0</v>
      </c>
      <c r="ED104" s="46">
        <f t="shared" si="233"/>
        <v>0</v>
      </c>
      <c r="EE104" s="46">
        <f t="shared" si="233"/>
        <v>0</v>
      </c>
      <c r="EF104" s="46">
        <f t="shared" si="233"/>
        <v>0</v>
      </c>
      <c r="EG104" s="46">
        <f t="shared" si="233"/>
        <v>0</v>
      </c>
      <c r="EH104" s="46">
        <f t="shared" si="233"/>
        <v>0</v>
      </c>
      <c r="EI104" s="46">
        <f t="shared" si="233"/>
        <v>0</v>
      </c>
      <c r="EJ104" s="46">
        <f t="shared" si="233"/>
        <v>0</v>
      </c>
      <c r="EK104" s="46">
        <f t="shared" si="233"/>
        <v>0</v>
      </c>
      <c r="EL104" s="46">
        <f t="shared" si="233"/>
        <v>0</v>
      </c>
      <c r="EM104" s="46">
        <f t="shared" ref="EM104:GX104" si="234">IF(AND(EM$11&lt;=$G104,EM$12&gt;=$G104),1,0)</f>
        <v>0</v>
      </c>
      <c r="EN104" s="46">
        <f t="shared" si="234"/>
        <v>0</v>
      </c>
      <c r="EO104" s="46">
        <f t="shared" si="234"/>
        <v>0</v>
      </c>
      <c r="EP104" s="46">
        <f t="shared" si="234"/>
        <v>0</v>
      </c>
      <c r="EQ104" s="46">
        <f t="shared" si="234"/>
        <v>0</v>
      </c>
      <c r="ER104" s="46">
        <f t="shared" si="234"/>
        <v>0</v>
      </c>
      <c r="ES104" s="46">
        <f t="shared" si="234"/>
        <v>0</v>
      </c>
      <c r="ET104" s="46">
        <f t="shared" si="234"/>
        <v>0</v>
      </c>
      <c r="EU104" s="46">
        <f t="shared" si="234"/>
        <v>0</v>
      </c>
      <c r="EV104" s="46">
        <f t="shared" si="234"/>
        <v>0</v>
      </c>
      <c r="EW104" s="46">
        <f t="shared" si="234"/>
        <v>0</v>
      </c>
      <c r="EX104" s="46">
        <f t="shared" si="234"/>
        <v>0</v>
      </c>
      <c r="EY104" s="46">
        <f t="shared" si="234"/>
        <v>0</v>
      </c>
      <c r="EZ104" s="46">
        <f t="shared" si="234"/>
        <v>0</v>
      </c>
      <c r="FA104" s="46">
        <f t="shared" si="234"/>
        <v>0</v>
      </c>
      <c r="FB104" s="46">
        <f t="shared" si="234"/>
        <v>0</v>
      </c>
      <c r="FC104" s="46">
        <f t="shared" si="234"/>
        <v>0</v>
      </c>
      <c r="FD104" s="46">
        <f t="shared" si="234"/>
        <v>0</v>
      </c>
      <c r="FE104" s="46">
        <f t="shared" si="234"/>
        <v>0</v>
      </c>
      <c r="FF104" s="46">
        <f t="shared" si="234"/>
        <v>0</v>
      </c>
      <c r="FG104" s="46">
        <f t="shared" si="234"/>
        <v>0</v>
      </c>
      <c r="FH104" s="46">
        <f t="shared" si="234"/>
        <v>0</v>
      </c>
      <c r="FI104" s="46">
        <f t="shared" si="234"/>
        <v>0</v>
      </c>
      <c r="FJ104" s="46">
        <f t="shared" si="234"/>
        <v>0</v>
      </c>
      <c r="FK104" s="46">
        <f t="shared" si="234"/>
        <v>0</v>
      </c>
      <c r="FL104" s="46">
        <f t="shared" si="234"/>
        <v>0</v>
      </c>
      <c r="FM104" s="46">
        <f t="shared" si="234"/>
        <v>0</v>
      </c>
      <c r="FN104" s="46">
        <f t="shared" si="234"/>
        <v>0</v>
      </c>
      <c r="FO104" s="46">
        <f t="shared" si="234"/>
        <v>0</v>
      </c>
      <c r="FP104" s="46">
        <f t="shared" si="234"/>
        <v>0</v>
      </c>
      <c r="FQ104" s="46">
        <f t="shared" si="234"/>
        <v>0</v>
      </c>
      <c r="FR104" s="46">
        <f t="shared" si="234"/>
        <v>0</v>
      </c>
      <c r="FS104" s="46">
        <f t="shared" si="234"/>
        <v>0</v>
      </c>
      <c r="FT104" s="46">
        <f t="shared" si="234"/>
        <v>0</v>
      </c>
      <c r="FU104" s="46">
        <f t="shared" si="234"/>
        <v>0</v>
      </c>
      <c r="FV104" s="46">
        <f t="shared" si="234"/>
        <v>0</v>
      </c>
      <c r="FW104" s="46">
        <f t="shared" si="234"/>
        <v>0</v>
      </c>
      <c r="FX104" s="46">
        <f t="shared" si="234"/>
        <v>0</v>
      </c>
      <c r="FY104" s="46">
        <f t="shared" si="234"/>
        <v>0</v>
      </c>
      <c r="FZ104" s="46">
        <f t="shared" si="234"/>
        <v>0</v>
      </c>
      <c r="GA104" s="46">
        <f t="shared" si="234"/>
        <v>0</v>
      </c>
      <c r="GB104" s="46">
        <f t="shared" si="234"/>
        <v>0</v>
      </c>
      <c r="GC104" s="46">
        <f t="shared" si="234"/>
        <v>0</v>
      </c>
      <c r="GD104" s="46">
        <f t="shared" si="234"/>
        <v>0</v>
      </c>
      <c r="GE104" s="46">
        <f t="shared" si="234"/>
        <v>0</v>
      </c>
      <c r="GF104" s="46">
        <f t="shared" si="234"/>
        <v>0</v>
      </c>
      <c r="GG104" s="46">
        <f t="shared" si="234"/>
        <v>0</v>
      </c>
      <c r="GH104" s="46">
        <f t="shared" si="234"/>
        <v>0</v>
      </c>
      <c r="GI104" s="46">
        <f t="shared" si="234"/>
        <v>0</v>
      </c>
      <c r="GJ104" s="46">
        <f t="shared" si="234"/>
        <v>0</v>
      </c>
      <c r="GK104" s="46">
        <f t="shared" si="234"/>
        <v>0</v>
      </c>
      <c r="GL104" s="46">
        <f t="shared" si="234"/>
        <v>0</v>
      </c>
      <c r="GM104" s="46">
        <f t="shared" si="234"/>
        <v>0</v>
      </c>
      <c r="GN104" s="46">
        <f t="shared" si="234"/>
        <v>0</v>
      </c>
      <c r="GO104" s="46">
        <f t="shared" si="234"/>
        <v>0</v>
      </c>
      <c r="GP104" s="46">
        <f t="shared" si="234"/>
        <v>0</v>
      </c>
      <c r="GQ104" s="46">
        <f t="shared" si="234"/>
        <v>0</v>
      </c>
      <c r="GR104" s="46">
        <f t="shared" si="234"/>
        <v>0</v>
      </c>
      <c r="GS104" s="46">
        <f t="shared" si="234"/>
        <v>0</v>
      </c>
      <c r="GT104" s="46">
        <f t="shared" si="234"/>
        <v>0</v>
      </c>
      <c r="GU104" s="46">
        <f t="shared" si="234"/>
        <v>0</v>
      </c>
      <c r="GV104" s="46">
        <f t="shared" si="234"/>
        <v>0</v>
      </c>
      <c r="GW104" s="46">
        <f t="shared" si="234"/>
        <v>0</v>
      </c>
      <c r="GX104" s="46">
        <f t="shared" si="234"/>
        <v>0</v>
      </c>
      <c r="GY104" s="46">
        <f t="shared" ref="GY104:JJ104" si="235">IF(AND(GY$11&lt;=$G104,GY$12&gt;=$G104),1,0)</f>
        <v>0</v>
      </c>
      <c r="GZ104" s="46">
        <f t="shared" si="235"/>
        <v>0</v>
      </c>
      <c r="HA104" s="46">
        <f t="shared" si="235"/>
        <v>0</v>
      </c>
      <c r="HB104" s="46">
        <f t="shared" si="235"/>
        <v>0</v>
      </c>
      <c r="HC104" s="46">
        <f t="shared" si="235"/>
        <v>0</v>
      </c>
      <c r="HD104" s="46">
        <f t="shared" si="235"/>
        <v>0</v>
      </c>
      <c r="HE104" s="46">
        <f t="shared" si="235"/>
        <v>0</v>
      </c>
      <c r="HF104" s="46">
        <f t="shared" si="235"/>
        <v>0</v>
      </c>
      <c r="HG104" s="46">
        <f t="shared" si="235"/>
        <v>0</v>
      </c>
      <c r="HH104" s="46">
        <f t="shared" si="235"/>
        <v>0</v>
      </c>
      <c r="HI104" s="46">
        <f t="shared" si="235"/>
        <v>0</v>
      </c>
      <c r="HJ104" s="46">
        <f t="shared" si="235"/>
        <v>0</v>
      </c>
      <c r="HK104" s="46">
        <f t="shared" si="235"/>
        <v>0</v>
      </c>
      <c r="HL104" s="46">
        <f t="shared" si="235"/>
        <v>0</v>
      </c>
      <c r="HM104" s="46">
        <f t="shared" si="235"/>
        <v>0</v>
      </c>
      <c r="HN104" s="46">
        <f t="shared" si="235"/>
        <v>0</v>
      </c>
      <c r="HO104" s="46">
        <f t="shared" si="235"/>
        <v>0</v>
      </c>
      <c r="HP104" s="46">
        <f t="shared" si="235"/>
        <v>0</v>
      </c>
      <c r="HQ104" s="46">
        <f t="shared" si="235"/>
        <v>0</v>
      </c>
      <c r="HR104" s="46">
        <f t="shared" si="235"/>
        <v>0</v>
      </c>
      <c r="HS104" s="46">
        <f t="shared" si="235"/>
        <v>0</v>
      </c>
      <c r="HT104" s="46">
        <f t="shared" si="235"/>
        <v>0</v>
      </c>
      <c r="HU104" s="46">
        <f t="shared" si="235"/>
        <v>0</v>
      </c>
      <c r="HV104" s="46">
        <f t="shared" si="235"/>
        <v>0</v>
      </c>
      <c r="HW104" s="46">
        <f t="shared" si="235"/>
        <v>0</v>
      </c>
      <c r="HX104" s="46">
        <f t="shared" si="235"/>
        <v>0</v>
      </c>
      <c r="HY104" s="46">
        <f t="shared" si="235"/>
        <v>0</v>
      </c>
      <c r="HZ104" s="46">
        <f t="shared" si="235"/>
        <v>0</v>
      </c>
      <c r="IA104" s="46">
        <f t="shared" si="235"/>
        <v>0</v>
      </c>
      <c r="IB104" s="46">
        <f t="shared" si="235"/>
        <v>0</v>
      </c>
      <c r="IC104" s="46">
        <f t="shared" si="235"/>
        <v>0</v>
      </c>
      <c r="ID104" s="46">
        <f t="shared" si="235"/>
        <v>0</v>
      </c>
      <c r="IE104" s="46">
        <f t="shared" si="235"/>
        <v>0</v>
      </c>
      <c r="IF104" s="46">
        <f t="shared" si="235"/>
        <v>0</v>
      </c>
      <c r="IG104" s="46">
        <f t="shared" si="235"/>
        <v>0</v>
      </c>
      <c r="IH104" s="46">
        <f t="shared" si="235"/>
        <v>0</v>
      </c>
      <c r="II104" s="46">
        <f t="shared" si="235"/>
        <v>0</v>
      </c>
      <c r="IJ104" s="46">
        <f t="shared" si="235"/>
        <v>0</v>
      </c>
      <c r="IK104" s="46">
        <f t="shared" si="235"/>
        <v>0</v>
      </c>
      <c r="IL104" s="46">
        <f t="shared" si="235"/>
        <v>0</v>
      </c>
      <c r="IM104" s="46">
        <f t="shared" si="235"/>
        <v>0</v>
      </c>
      <c r="IN104" s="46">
        <f t="shared" si="235"/>
        <v>0</v>
      </c>
      <c r="IO104" s="46">
        <f t="shared" si="235"/>
        <v>0</v>
      </c>
      <c r="IP104" s="46">
        <f t="shared" si="235"/>
        <v>0</v>
      </c>
      <c r="IQ104" s="46">
        <f t="shared" si="235"/>
        <v>0</v>
      </c>
      <c r="IR104" s="46">
        <f t="shared" si="235"/>
        <v>0</v>
      </c>
      <c r="IS104" s="46">
        <f t="shared" si="235"/>
        <v>0</v>
      </c>
      <c r="IT104" s="46">
        <f t="shared" si="235"/>
        <v>0</v>
      </c>
      <c r="IU104" s="46">
        <f t="shared" si="235"/>
        <v>0</v>
      </c>
      <c r="IV104" s="46">
        <f t="shared" si="235"/>
        <v>0</v>
      </c>
      <c r="IW104" s="46">
        <f t="shared" si="235"/>
        <v>0</v>
      </c>
      <c r="IX104" s="46">
        <f t="shared" si="235"/>
        <v>0</v>
      </c>
      <c r="IY104" s="46">
        <f t="shared" si="235"/>
        <v>0</v>
      </c>
      <c r="IZ104" s="46">
        <f t="shared" si="235"/>
        <v>0</v>
      </c>
      <c r="JA104" s="46">
        <f t="shared" si="235"/>
        <v>0</v>
      </c>
      <c r="JB104" s="46">
        <f t="shared" si="235"/>
        <v>0</v>
      </c>
      <c r="JC104" s="46">
        <f t="shared" si="235"/>
        <v>0</v>
      </c>
      <c r="JD104" s="46">
        <f t="shared" si="235"/>
        <v>0</v>
      </c>
      <c r="JE104" s="46">
        <f t="shared" si="235"/>
        <v>0</v>
      </c>
      <c r="JF104" s="46">
        <f t="shared" si="235"/>
        <v>0</v>
      </c>
      <c r="JG104" s="46">
        <f t="shared" si="235"/>
        <v>0</v>
      </c>
      <c r="JH104" s="46">
        <f t="shared" si="235"/>
        <v>0</v>
      </c>
      <c r="JI104" s="46">
        <f t="shared" si="235"/>
        <v>0</v>
      </c>
      <c r="JJ104" s="46">
        <f t="shared" si="235"/>
        <v>0</v>
      </c>
      <c r="JK104" s="46">
        <f t="shared" ref="JK104:KI104" si="236">IF(AND(JK$11&lt;=$G104,JK$12&gt;=$G104),1,0)</f>
        <v>0</v>
      </c>
      <c r="JL104" s="46">
        <f t="shared" si="236"/>
        <v>0</v>
      </c>
      <c r="JM104" s="46">
        <f t="shared" si="236"/>
        <v>0</v>
      </c>
      <c r="JN104" s="46">
        <f t="shared" si="236"/>
        <v>0</v>
      </c>
      <c r="JO104" s="46">
        <f t="shared" si="236"/>
        <v>0</v>
      </c>
      <c r="JP104" s="46">
        <f t="shared" si="236"/>
        <v>0</v>
      </c>
      <c r="JQ104" s="46">
        <f t="shared" si="236"/>
        <v>0</v>
      </c>
      <c r="JR104" s="46">
        <f t="shared" si="236"/>
        <v>0</v>
      </c>
      <c r="JS104" s="46">
        <f t="shared" si="236"/>
        <v>0</v>
      </c>
      <c r="JT104" s="46">
        <f t="shared" si="236"/>
        <v>0</v>
      </c>
      <c r="JU104" s="46">
        <f t="shared" si="236"/>
        <v>0</v>
      </c>
      <c r="JV104" s="46">
        <f t="shared" si="236"/>
        <v>0</v>
      </c>
      <c r="JW104" s="46">
        <f t="shared" si="236"/>
        <v>0</v>
      </c>
      <c r="JX104" s="46">
        <f t="shared" si="236"/>
        <v>0</v>
      </c>
      <c r="JY104" s="46">
        <f t="shared" si="236"/>
        <v>0</v>
      </c>
      <c r="JZ104" s="46">
        <f t="shared" si="236"/>
        <v>0</v>
      </c>
      <c r="KA104" s="46">
        <f t="shared" si="236"/>
        <v>0</v>
      </c>
      <c r="KB104" s="46">
        <f t="shared" si="236"/>
        <v>0</v>
      </c>
      <c r="KC104" s="46">
        <f t="shared" si="236"/>
        <v>0</v>
      </c>
      <c r="KD104" s="46">
        <f t="shared" si="236"/>
        <v>0</v>
      </c>
      <c r="KE104" s="46">
        <f t="shared" si="236"/>
        <v>0</v>
      </c>
      <c r="KF104" s="46">
        <f t="shared" si="236"/>
        <v>0</v>
      </c>
      <c r="KG104" s="46">
        <f t="shared" si="236"/>
        <v>0</v>
      </c>
      <c r="KH104" s="46">
        <f t="shared" si="236"/>
        <v>0</v>
      </c>
      <c r="KI104" s="46">
        <f t="shared" si="236"/>
        <v>0</v>
      </c>
      <c r="KJ104" s="1"/>
    </row>
    <row r="105" spans="7:296" x14ac:dyDescent="0.35">
      <c r="H105" s="13" t="s">
        <v>26</v>
      </c>
      <c r="M105" s="15" t="s">
        <v>96</v>
      </c>
      <c r="N105" s="46">
        <f t="shared" ref="N105:S105" si="237">IF(N103=1,YEARFRAC($G102,N$12)*12+1,0)</f>
        <v>0</v>
      </c>
      <c r="O105" s="46">
        <f t="shared" si="237"/>
        <v>0</v>
      </c>
      <c r="P105" s="46">
        <f t="shared" si="237"/>
        <v>0</v>
      </c>
      <c r="Q105" s="46">
        <f t="shared" si="237"/>
        <v>0</v>
      </c>
      <c r="R105" s="46">
        <f t="shared" si="237"/>
        <v>0</v>
      </c>
      <c r="S105" s="46">
        <f t="shared" si="237"/>
        <v>0</v>
      </c>
      <c r="T105" s="46">
        <f>IF(T103=1,YEARFRAC($G102,T$12)*12+1,0)</f>
        <v>1</v>
      </c>
      <c r="U105" s="46">
        <f t="shared" ref="U105:CF105" si="238">IF(U103=1,YEARFRAC($G102,U$12)*12+1,0)</f>
        <v>1.9333333333333333</v>
      </c>
      <c r="V105" s="46">
        <f t="shared" si="238"/>
        <v>3</v>
      </c>
      <c r="W105" s="46">
        <f t="shared" si="238"/>
        <v>4</v>
      </c>
      <c r="X105" s="46">
        <f t="shared" si="238"/>
        <v>5</v>
      </c>
      <c r="Y105" s="46">
        <f t="shared" si="238"/>
        <v>6</v>
      </c>
      <c r="Z105" s="46">
        <f t="shared" si="238"/>
        <v>7</v>
      </c>
      <c r="AA105" s="46">
        <f t="shared" si="238"/>
        <v>8</v>
      </c>
      <c r="AB105" s="46">
        <f t="shared" si="238"/>
        <v>9</v>
      </c>
      <c r="AC105" s="46">
        <f t="shared" si="238"/>
        <v>10</v>
      </c>
      <c r="AD105" s="46">
        <f t="shared" si="238"/>
        <v>11</v>
      </c>
      <c r="AE105" s="46">
        <f t="shared" si="238"/>
        <v>12</v>
      </c>
      <c r="AF105" s="46">
        <f t="shared" si="238"/>
        <v>13</v>
      </c>
      <c r="AG105" s="46">
        <f t="shared" si="238"/>
        <v>13.966666666666665</v>
      </c>
      <c r="AH105" s="46">
        <f t="shared" si="238"/>
        <v>15</v>
      </c>
      <c r="AI105" s="46">
        <f t="shared" si="238"/>
        <v>16</v>
      </c>
      <c r="AJ105" s="46">
        <f t="shared" si="238"/>
        <v>17</v>
      </c>
      <c r="AK105" s="46">
        <f t="shared" si="238"/>
        <v>18</v>
      </c>
      <c r="AL105" s="46">
        <f t="shared" si="238"/>
        <v>19</v>
      </c>
      <c r="AM105" s="46">
        <f t="shared" si="238"/>
        <v>20</v>
      </c>
      <c r="AN105" s="46">
        <f t="shared" si="238"/>
        <v>21</v>
      </c>
      <c r="AO105" s="46">
        <f t="shared" si="238"/>
        <v>22</v>
      </c>
      <c r="AP105" s="46">
        <f t="shared" si="238"/>
        <v>23</v>
      </c>
      <c r="AQ105" s="46">
        <f t="shared" si="238"/>
        <v>24</v>
      </c>
      <c r="AR105" s="46">
        <f t="shared" si="238"/>
        <v>25</v>
      </c>
      <c r="AS105" s="46">
        <f t="shared" si="238"/>
        <v>25.933333333333337</v>
      </c>
      <c r="AT105" s="46">
        <f t="shared" si="238"/>
        <v>27</v>
      </c>
      <c r="AU105" s="46">
        <f t="shared" si="238"/>
        <v>28</v>
      </c>
      <c r="AV105" s="46">
        <f t="shared" si="238"/>
        <v>29</v>
      </c>
      <c r="AW105" s="46">
        <f t="shared" si="238"/>
        <v>30</v>
      </c>
      <c r="AX105" s="46">
        <f t="shared" si="238"/>
        <v>31</v>
      </c>
      <c r="AY105" s="46">
        <f t="shared" si="238"/>
        <v>32</v>
      </c>
      <c r="AZ105" s="46">
        <f t="shared" si="238"/>
        <v>33</v>
      </c>
      <c r="BA105" s="46">
        <f t="shared" si="238"/>
        <v>34</v>
      </c>
      <c r="BB105" s="46">
        <f t="shared" si="238"/>
        <v>35</v>
      </c>
      <c r="BC105" s="46">
        <f t="shared" si="238"/>
        <v>36</v>
      </c>
      <c r="BD105" s="46">
        <f t="shared" si="238"/>
        <v>37</v>
      </c>
      <c r="BE105" s="46">
        <f t="shared" si="238"/>
        <v>37.933333333333337</v>
      </c>
      <c r="BF105" s="46">
        <f t="shared" si="238"/>
        <v>39</v>
      </c>
      <c r="BG105" s="46">
        <f t="shared" si="238"/>
        <v>40</v>
      </c>
      <c r="BH105" s="46">
        <f t="shared" si="238"/>
        <v>41</v>
      </c>
      <c r="BI105" s="46">
        <f t="shared" si="238"/>
        <v>42</v>
      </c>
      <c r="BJ105" s="46">
        <f t="shared" si="238"/>
        <v>43</v>
      </c>
      <c r="BK105" s="46">
        <f t="shared" si="238"/>
        <v>44</v>
      </c>
      <c r="BL105" s="46">
        <f t="shared" si="238"/>
        <v>45</v>
      </c>
      <c r="BM105" s="46">
        <f t="shared" si="238"/>
        <v>46</v>
      </c>
      <c r="BN105" s="46">
        <f t="shared" si="238"/>
        <v>47</v>
      </c>
      <c r="BO105" s="46">
        <f t="shared" si="238"/>
        <v>48</v>
      </c>
      <c r="BP105" s="46">
        <f t="shared" si="238"/>
        <v>49</v>
      </c>
      <c r="BQ105" s="46">
        <f t="shared" si="238"/>
        <v>49.93333333333333</v>
      </c>
      <c r="BR105" s="46">
        <f t="shared" si="238"/>
        <v>51</v>
      </c>
      <c r="BS105" s="46">
        <f t="shared" si="238"/>
        <v>52</v>
      </c>
      <c r="BT105" s="46">
        <f t="shared" si="238"/>
        <v>53</v>
      </c>
      <c r="BU105" s="46">
        <f t="shared" si="238"/>
        <v>54</v>
      </c>
      <c r="BV105" s="46">
        <f t="shared" si="238"/>
        <v>55</v>
      </c>
      <c r="BW105" s="46">
        <f t="shared" si="238"/>
        <v>56</v>
      </c>
      <c r="BX105" s="46">
        <f t="shared" si="238"/>
        <v>57</v>
      </c>
      <c r="BY105" s="46">
        <f t="shared" si="238"/>
        <v>58</v>
      </c>
      <c r="BZ105" s="46">
        <f t="shared" si="238"/>
        <v>59</v>
      </c>
      <c r="CA105" s="46">
        <f t="shared" si="238"/>
        <v>60</v>
      </c>
      <c r="CB105" s="46">
        <f t="shared" si="238"/>
        <v>0</v>
      </c>
      <c r="CC105" s="46">
        <f t="shared" si="238"/>
        <v>0</v>
      </c>
      <c r="CD105" s="46">
        <f t="shared" si="238"/>
        <v>0</v>
      </c>
      <c r="CE105" s="46">
        <f t="shared" si="238"/>
        <v>0</v>
      </c>
      <c r="CF105" s="46">
        <f t="shared" si="238"/>
        <v>0</v>
      </c>
      <c r="CG105" s="46">
        <f t="shared" ref="CG105:ER105" si="239">IF(CG103=1,YEARFRAC($G102,CG$12)*12+1,0)</f>
        <v>0</v>
      </c>
      <c r="CH105" s="46">
        <f t="shared" si="239"/>
        <v>0</v>
      </c>
      <c r="CI105" s="46">
        <f t="shared" si="239"/>
        <v>0</v>
      </c>
      <c r="CJ105" s="46">
        <f t="shared" si="239"/>
        <v>0</v>
      </c>
      <c r="CK105" s="46">
        <f t="shared" si="239"/>
        <v>0</v>
      </c>
      <c r="CL105" s="46">
        <f t="shared" si="239"/>
        <v>0</v>
      </c>
      <c r="CM105" s="46">
        <f t="shared" si="239"/>
        <v>0</v>
      </c>
      <c r="CN105" s="46">
        <f t="shared" si="239"/>
        <v>0</v>
      </c>
      <c r="CO105" s="46">
        <f t="shared" si="239"/>
        <v>0</v>
      </c>
      <c r="CP105" s="46">
        <f t="shared" si="239"/>
        <v>0</v>
      </c>
      <c r="CQ105" s="46">
        <f t="shared" si="239"/>
        <v>0</v>
      </c>
      <c r="CR105" s="46">
        <f t="shared" si="239"/>
        <v>0</v>
      </c>
      <c r="CS105" s="46">
        <f t="shared" si="239"/>
        <v>0</v>
      </c>
      <c r="CT105" s="46">
        <f t="shared" si="239"/>
        <v>0</v>
      </c>
      <c r="CU105" s="46">
        <f t="shared" si="239"/>
        <v>0</v>
      </c>
      <c r="CV105" s="46">
        <f t="shared" si="239"/>
        <v>0</v>
      </c>
      <c r="CW105" s="46">
        <f t="shared" si="239"/>
        <v>0</v>
      </c>
      <c r="CX105" s="46">
        <f t="shared" si="239"/>
        <v>0</v>
      </c>
      <c r="CY105" s="46">
        <f t="shared" si="239"/>
        <v>0</v>
      </c>
      <c r="CZ105" s="46">
        <f t="shared" si="239"/>
        <v>0</v>
      </c>
      <c r="DA105" s="46">
        <f t="shared" si="239"/>
        <v>0</v>
      </c>
      <c r="DB105" s="46">
        <f t="shared" si="239"/>
        <v>0</v>
      </c>
      <c r="DC105" s="46">
        <f t="shared" si="239"/>
        <v>0</v>
      </c>
      <c r="DD105" s="46">
        <f t="shared" si="239"/>
        <v>0</v>
      </c>
      <c r="DE105" s="46">
        <f t="shared" si="239"/>
        <v>0</v>
      </c>
      <c r="DF105" s="46">
        <f t="shared" si="239"/>
        <v>0</v>
      </c>
      <c r="DG105" s="46">
        <f t="shared" si="239"/>
        <v>0</v>
      </c>
      <c r="DH105" s="46">
        <f t="shared" si="239"/>
        <v>0</v>
      </c>
      <c r="DI105" s="46">
        <f t="shared" si="239"/>
        <v>0</v>
      </c>
      <c r="DJ105" s="46">
        <f t="shared" si="239"/>
        <v>0</v>
      </c>
      <c r="DK105" s="46">
        <f t="shared" si="239"/>
        <v>0</v>
      </c>
      <c r="DL105" s="46">
        <f t="shared" si="239"/>
        <v>0</v>
      </c>
      <c r="DM105" s="46">
        <f t="shared" si="239"/>
        <v>0</v>
      </c>
      <c r="DN105" s="46">
        <f t="shared" si="239"/>
        <v>0</v>
      </c>
      <c r="DO105" s="46">
        <f t="shared" si="239"/>
        <v>0</v>
      </c>
      <c r="DP105" s="46">
        <f t="shared" si="239"/>
        <v>0</v>
      </c>
      <c r="DQ105" s="46">
        <f t="shared" si="239"/>
        <v>0</v>
      </c>
      <c r="DR105" s="46">
        <f t="shared" si="239"/>
        <v>0</v>
      </c>
      <c r="DS105" s="46">
        <f t="shared" si="239"/>
        <v>0</v>
      </c>
      <c r="DT105" s="46">
        <f t="shared" si="239"/>
        <v>0</v>
      </c>
      <c r="DU105" s="46">
        <f t="shared" si="239"/>
        <v>0</v>
      </c>
      <c r="DV105" s="46">
        <f t="shared" si="239"/>
        <v>0</v>
      </c>
      <c r="DW105" s="46">
        <f t="shared" si="239"/>
        <v>0</v>
      </c>
      <c r="DX105" s="46">
        <f t="shared" si="239"/>
        <v>0</v>
      </c>
      <c r="DY105" s="46">
        <f t="shared" si="239"/>
        <v>0</v>
      </c>
      <c r="DZ105" s="46">
        <f t="shared" si="239"/>
        <v>0</v>
      </c>
      <c r="EA105" s="46">
        <f t="shared" si="239"/>
        <v>0</v>
      </c>
      <c r="EB105" s="46">
        <f t="shared" si="239"/>
        <v>0</v>
      </c>
      <c r="EC105" s="46">
        <f t="shared" si="239"/>
        <v>0</v>
      </c>
      <c r="ED105" s="46">
        <f t="shared" si="239"/>
        <v>0</v>
      </c>
      <c r="EE105" s="46">
        <f t="shared" si="239"/>
        <v>0</v>
      </c>
      <c r="EF105" s="46">
        <f t="shared" si="239"/>
        <v>0</v>
      </c>
      <c r="EG105" s="46">
        <f t="shared" si="239"/>
        <v>0</v>
      </c>
      <c r="EH105" s="46">
        <f t="shared" si="239"/>
        <v>0</v>
      </c>
      <c r="EI105" s="46">
        <f t="shared" si="239"/>
        <v>0</v>
      </c>
      <c r="EJ105" s="46">
        <f t="shared" si="239"/>
        <v>0</v>
      </c>
      <c r="EK105" s="46">
        <f t="shared" si="239"/>
        <v>0</v>
      </c>
      <c r="EL105" s="46">
        <f t="shared" si="239"/>
        <v>0</v>
      </c>
      <c r="EM105" s="46">
        <f t="shared" si="239"/>
        <v>0</v>
      </c>
      <c r="EN105" s="46">
        <f t="shared" si="239"/>
        <v>0</v>
      </c>
      <c r="EO105" s="46">
        <f t="shared" si="239"/>
        <v>0</v>
      </c>
      <c r="EP105" s="46">
        <f t="shared" si="239"/>
        <v>0</v>
      </c>
      <c r="EQ105" s="46">
        <f t="shared" si="239"/>
        <v>0</v>
      </c>
      <c r="ER105" s="46">
        <f t="shared" si="239"/>
        <v>0</v>
      </c>
      <c r="ES105" s="46">
        <f t="shared" ref="ES105:HD105" si="240">IF(ES103=1,YEARFRAC($G102,ES$12)*12+1,0)</f>
        <v>0</v>
      </c>
      <c r="ET105" s="46">
        <f t="shared" si="240"/>
        <v>0</v>
      </c>
      <c r="EU105" s="46">
        <f t="shared" si="240"/>
        <v>0</v>
      </c>
      <c r="EV105" s="46">
        <f t="shared" si="240"/>
        <v>0</v>
      </c>
      <c r="EW105" s="46">
        <f t="shared" si="240"/>
        <v>0</v>
      </c>
      <c r="EX105" s="46">
        <f t="shared" si="240"/>
        <v>0</v>
      </c>
      <c r="EY105" s="46">
        <f t="shared" si="240"/>
        <v>0</v>
      </c>
      <c r="EZ105" s="46">
        <f t="shared" si="240"/>
        <v>0</v>
      </c>
      <c r="FA105" s="46">
        <f t="shared" si="240"/>
        <v>0</v>
      </c>
      <c r="FB105" s="46">
        <f t="shared" si="240"/>
        <v>0</v>
      </c>
      <c r="FC105" s="46">
        <f t="shared" si="240"/>
        <v>0</v>
      </c>
      <c r="FD105" s="46">
        <f t="shared" si="240"/>
        <v>0</v>
      </c>
      <c r="FE105" s="46">
        <f t="shared" si="240"/>
        <v>0</v>
      </c>
      <c r="FF105" s="46">
        <f t="shared" si="240"/>
        <v>0</v>
      </c>
      <c r="FG105" s="46">
        <f t="shared" si="240"/>
        <v>0</v>
      </c>
      <c r="FH105" s="46">
        <f t="shared" si="240"/>
        <v>0</v>
      </c>
      <c r="FI105" s="46">
        <f t="shared" si="240"/>
        <v>0</v>
      </c>
      <c r="FJ105" s="46">
        <f t="shared" si="240"/>
        <v>0</v>
      </c>
      <c r="FK105" s="46">
        <f t="shared" si="240"/>
        <v>0</v>
      </c>
      <c r="FL105" s="46">
        <f t="shared" si="240"/>
        <v>0</v>
      </c>
      <c r="FM105" s="46">
        <f t="shared" si="240"/>
        <v>0</v>
      </c>
      <c r="FN105" s="46">
        <f t="shared" si="240"/>
        <v>0</v>
      </c>
      <c r="FO105" s="46">
        <f t="shared" si="240"/>
        <v>0</v>
      </c>
      <c r="FP105" s="46">
        <f t="shared" si="240"/>
        <v>0</v>
      </c>
      <c r="FQ105" s="46">
        <f t="shared" si="240"/>
        <v>0</v>
      </c>
      <c r="FR105" s="46">
        <f t="shared" si="240"/>
        <v>0</v>
      </c>
      <c r="FS105" s="46">
        <f t="shared" si="240"/>
        <v>0</v>
      </c>
      <c r="FT105" s="46">
        <f t="shared" si="240"/>
        <v>0</v>
      </c>
      <c r="FU105" s="46">
        <f t="shared" si="240"/>
        <v>0</v>
      </c>
      <c r="FV105" s="46">
        <f t="shared" si="240"/>
        <v>0</v>
      </c>
      <c r="FW105" s="46">
        <f t="shared" si="240"/>
        <v>0</v>
      </c>
      <c r="FX105" s="46">
        <f t="shared" si="240"/>
        <v>0</v>
      </c>
      <c r="FY105" s="46">
        <f t="shared" si="240"/>
        <v>0</v>
      </c>
      <c r="FZ105" s="46">
        <f t="shared" si="240"/>
        <v>0</v>
      </c>
      <c r="GA105" s="46">
        <f t="shared" si="240"/>
        <v>0</v>
      </c>
      <c r="GB105" s="46">
        <f t="shared" si="240"/>
        <v>0</v>
      </c>
      <c r="GC105" s="46">
        <f t="shared" si="240"/>
        <v>0</v>
      </c>
      <c r="GD105" s="46">
        <f t="shared" si="240"/>
        <v>0</v>
      </c>
      <c r="GE105" s="46">
        <f t="shared" si="240"/>
        <v>0</v>
      </c>
      <c r="GF105" s="46">
        <f t="shared" si="240"/>
        <v>0</v>
      </c>
      <c r="GG105" s="46">
        <f t="shared" si="240"/>
        <v>0</v>
      </c>
      <c r="GH105" s="46">
        <f t="shared" si="240"/>
        <v>0</v>
      </c>
      <c r="GI105" s="46">
        <f t="shared" si="240"/>
        <v>0</v>
      </c>
      <c r="GJ105" s="46">
        <f t="shared" si="240"/>
        <v>0</v>
      </c>
      <c r="GK105" s="46">
        <f t="shared" si="240"/>
        <v>0</v>
      </c>
      <c r="GL105" s="46">
        <f t="shared" si="240"/>
        <v>0</v>
      </c>
      <c r="GM105" s="46">
        <f t="shared" si="240"/>
        <v>0</v>
      </c>
      <c r="GN105" s="46">
        <f t="shared" si="240"/>
        <v>0</v>
      </c>
      <c r="GO105" s="46">
        <f t="shared" si="240"/>
        <v>0</v>
      </c>
      <c r="GP105" s="46">
        <f t="shared" si="240"/>
        <v>0</v>
      </c>
      <c r="GQ105" s="46">
        <f t="shared" si="240"/>
        <v>0</v>
      </c>
      <c r="GR105" s="46">
        <f t="shared" si="240"/>
        <v>0</v>
      </c>
      <c r="GS105" s="46">
        <f t="shared" si="240"/>
        <v>0</v>
      </c>
      <c r="GT105" s="46">
        <f t="shared" si="240"/>
        <v>0</v>
      </c>
      <c r="GU105" s="46">
        <f t="shared" si="240"/>
        <v>0</v>
      </c>
      <c r="GV105" s="46">
        <f t="shared" si="240"/>
        <v>0</v>
      </c>
      <c r="GW105" s="46">
        <f t="shared" si="240"/>
        <v>0</v>
      </c>
      <c r="GX105" s="46">
        <f t="shared" si="240"/>
        <v>0</v>
      </c>
      <c r="GY105" s="46">
        <f t="shared" si="240"/>
        <v>0</v>
      </c>
      <c r="GZ105" s="46">
        <f t="shared" si="240"/>
        <v>0</v>
      </c>
      <c r="HA105" s="46">
        <f t="shared" si="240"/>
        <v>0</v>
      </c>
      <c r="HB105" s="46">
        <f t="shared" si="240"/>
        <v>0</v>
      </c>
      <c r="HC105" s="46">
        <f t="shared" si="240"/>
        <v>0</v>
      </c>
      <c r="HD105" s="46">
        <f t="shared" si="240"/>
        <v>0</v>
      </c>
      <c r="HE105" s="46">
        <f t="shared" ref="HE105:JP105" si="241">IF(HE103=1,YEARFRAC($G102,HE$12)*12+1,0)</f>
        <v>0</v>
      </c>
      <c r="HF105" s="46">
        <f t="shared" si="241"/>
        <v>0</v>
      </c>
      <c r="HG105" s="46">
        <f t="shared" si="241"/>
        <v>0</v>
      </c>
      <c r="HH105" s="46">
        <f t="shared" si="241"/>
        <v>0</v>
      </c>
      <c r="HI105" s="46">
        <f t="shared" si="241"/>
        <v>0</v>
      </c>
      <c r="HJ105" s="46">
        <f t="shared" si="241"/>
        <v>0</v>
      </c>
      <c r="HK105" s="46">
        <f t="shared" si="241"/>
        <v>0</v>
      </c>
      <c r="HL105" s="46">
        <f t="shared" si="241"/>
        <v>0</v>
      </c>
      <c r="HM105" s="46">
        <f t="shared" si="241"/>
        <v>0</v>
      </c>
      <c r="HN105" s="46">
        <f t="shared" si="241"/>
        <v>0</v>
      </c>
      <c r="HO105" s="46">
        <f t="shared" si="241"/>
        <v>0</v>
      </c>
      <c r="HP105" s="46">
        <f t="shared" si="241"/>
        <v>0</v>
      </c>
      <c r="HQ105" s="46">
        <f t="shared" si="241"/>
        <v>0</v>
      </c>
      <c r="HR105" s="46">
        <f t="shared" si="241"/>
        <v>0</v>
      </c>
      <c r="HS105" s="46">
        <f t="shared" si="241"/>
        <v>0</v>
      </c>
      <c r="HT105" s="46">
        <f t="shared" si="241"/>
        <v>0</v>
      </c>
      <c r="HU105" s="46">
        <f t="shared" si="241"/>
        <v>0</v>
      </c>
      <c r="HV105" s="46">
        <f t="shared" si="241"/>
        <v>0</v>
      </c>
      <c r="HW105" s="46">
        <f t="shared" si="241"/>
        <v>0</v>
      </c>
      <c r="HX105" s="46">
        <f t="shared" si="241"/>
        <v>0</v>
      </c>
      <c r="HY105" s="46">
        <f t="shared" si="241"/>
        <v>0</v>
      </c>
      <c r="HZ105" s="46">
        <f t="shared" si="241"/>
        <v>0</v>
      </c>
      <c r="IA105" s="46">
        <f t="shared" si="241"/>
        <v>0</v>
      </c>
      <c r="IB105" s="46">
        <f t="shared" si="241"/>
        <v>0</v>
      </c>
      <c r="IC105" s="46">
        <f t="shared" si="241"/>
        <v>0</v>
      </c>
      <c r="ID105" s="46">
        <f t="shared" si="241"/>
        <v>0</v>
      </c>
      <c r="IE105" s="46">
        <f t="shared" si="241"/>
        <v>0</v>
      </c>
      <c r="IF105" s="46">
        <f t="shared" si="241"/>
        <v>0</v>
      </c>
      <c r="IG105" s="46">
        <f t="shared" si="241"/>
        <v>0</v>
      </c>
      <c r="IH105" s="46">
        <f t="shared" si="241"/>
        <v>0</v>
      </c>
      <c r="II105" s="46">
        <f t="shared" si="241"/>
        <v>0</v>
      </c>
      <c r="IJ105" s="46">
        <f t="shared" si="241"/>
        <v>0</v>
      </c>
      <c r="IK105" s="46">
        <f t="shared" si="241"/>
        <v>0</v>
      </c>
      <c r="IL105" s="46">
        <f t="shared" si="241"/>
        <v>0</v>
      </c>
      <c r="IM105" s="46">
        <f t="shared" si="241"/>
        <v>0</v>
      </c>
      <c r="IN105" s="46">
        <f t="shared" si="241"/>
        <v>0</v>
      </c>
      <c r="IO105" s="46">
        <f t="shared" si="241"/>
        <v>0</v>
      </c>
      <c r="IP105" s="46">
        <f t="shared" si="241"/>
        <v>0</v>
      </c>
      <c r="IQ105" s="46">
        <f t="shared" si="241"/>
        <v>0</v>
      </c>
      <c r="IR105" s="46">
        <f t="shared" si="241"/>
        <v>0</v>
      </c>
      <c r="IS105" s="46">
        <f t="shared" si="241"/>
        <v>0</v>
      </c>
      <c r="IT105" s="46">
        <f t="shared" si="241"/>
        <v>0</v>
      </c>
      <c r="IU105" s="46">
        <f t="shared" si="241"/>
        <v>0</v>
      </c>
      <c r="IV105" s="46">
        <f t="shared" si="241"/>
        <v>0</v>
      </c>
      <c r="IW105" s="46">
        <f t="shared" si="241"/>
        <v>0</v>
      </c>
      <c r="IX105" s="46">
        <f t="shared" si="241"/>
        <v>0</v>
      </c>
      <c r="IY105" s="46">
        <f t="shared" si="241"/>
        <v>0</v>
      </c>
      <c r="IZ105" s="46">
        <f t="shared" si="241"/>
        <v>0</v>
      </c>
      <c r="JA105" s="46">
        <f t="shared" si="241"/>
        <v>0</v>
      </c>
      <c r="JB105" s="46">
        <f t="shared" si="241"/>
        <v>0</v>
      </c>
      <c r="JC105" s="46">
        <f t="shared" si="241"/>
        <v>0</v>
      </c>
      <c r="JD105" s="46">
        <f t="shared" si="241"/>
        <v>0</v>
      </c>
      <c r="JE105" s="46">
        <f t="shared" si="241"/>
        <v>0</v>
      </c>
      <c r="JF105" s="46">
        <f t="shared" si="241"/>
        <v>0</v>
      </c>
      <c r="JG105" s="46">
        <f t="shared" si="241"/>
        <v>0</v>
      </c>
      <c r="JH105" s="46">
        <f t="shared" si="241"/>
        <v>0</v>
      </c>
      <c r="JI105" s="46">
        <f t="shared" si="241"/>
        <v>0</v>
      </c>
      <c r="JJ105" s="46">
        <f t="shared" si="241"/>
        <v>0</v>
      </c>
      <c r="JK105" s="46">
        <f t="shared" si="241"/>
        <v>0</v>
      </c>
      <c r="JL105" s="46">
        <f t="shared" si="241"/>
        <v>0</v>
      </c>
      <c r="JM105" s="46">
        <f t="shared" si="241"/>
        <v>0</v>
      </c>
      <c r="JN105" s="46">
        <f t="shared" si="241"/>
        <v>0</v>
      </c>
      <c r="JO105" s="46">
        <f t="shared" si="241"/>
        <v>0</v>
      </c>
      <c r="JP105" s="46">
        <f t="shared" si="241"/>
        <v>0</v>
      </c>
      <c r="JQ105" s="46">
        <f t="shared" ref="JQ105:KI105" si="242">IF(JQ103=1,YEARFRAC($G102,JQ$12)*12+1,0)</f>
        <v>0</v>
      </c>
      <c r="JR105" s="46">
        <f t="shared" si="242"/>
        <v>0</v>
      </c>
      <c r="JS105" s="46">
        <f t="shared" si="242"/>
        <v>0</v>
      </c>
      <c r="JT105" s="46">
        <f t="shared" si="242"/>
        <v>0</v>
      </c>
      <c r="JU105" s="46">
        <f t="shared" si="242"/>
        <v>0</v>
      </c>
      <c r="JV105" s="46">
        <f t="shared" si="242"/>
        <v>0</v>
      </c>
      <c r="JW105" s="46">
        <f t="shared" si="242"/>
        <v>0</v>
      </c>
      <c r="JX105" s="46">
        <f t="shared" si="242"/>
        <v>0</v>
      </c>
      <c r="JY105" s="46">
        <f t="shared" si="242"/>
        <v>0</v>
      </c>
      <c r="JZ105" s="46">
        <f t="shared" si="242"/>
        <v>0</v>
      </c>
      <c r="KA105" s="46">
        <f t="shared" si="242"/>
        <v>0</v>
      </c>
      <c r="KB105" s="46">
        <f t="shared" si="242"/>
        <v>0</v>
      </c>
      <c r="KC105" s="46">
        <f t="shared" si="242"/>
        <v>0</v>
      </c>
      <c r="KD105" s="46">
        <f t="shared" si="242"/>
        <v>0</v>
      </c>
      <c r="KE105" s="46">
        <f t="shared" si="242"/>
        <v>0</v>
      </c>
      <c r="KF105" s="46">
        <f t="shared" si="242"/>
        <v>0</v>
      </c>
      <c r="KG105" s="46">
        <f t="shared" si="242"/>
        <v>0</v>
      </c>
      <c r="KH105" s="46">
        <f t="shared" si="242"/>
        <v>0</v>
      </c>
      <c r="KI105" s="46">
        <f t="shared" si="242"/>
        <v>0</v>
      </c>
      <c r="KJ105" s="1"/>
    </row>
    <row r="106" spans="7:296" x14ac:dyDescent="0.35">
      <c r="H106" s="13" t="s">
        <v>110</v>
      </c>
      <c r="M106" s="15" t="s">
        <v>97</v>
      </c>
      <c r="N106" s="46">
        <f>IF(MOD(MONTH(N$12),6)=0,1,0)</f>
        <v>0</v>
      </c>
      <c r="O106" s="46">
        <f t="shared" ref="O106:BZ106" si="243">IF(MOD(MONTH(O$12),6)=0,1,0)</f>
        <v>0</v>
      </c>
      <c r="P106" s="46">
        <f t="shared" si="243"/>
        <v>0</v>
      </c>
      <c r="Q106" s="46">
        <f t="shared" si="243"/>
        <v>0</v>
      </c>
      <c r="R106" s="46">
        <f t="shared" si="243"/>
        <v>0</v>
      </c>
      <c r="S106" s="46">
        <f t="shared" si="243"/>
        <v>1</v>
      </c>
      <c r="T106" s="46">
        <f t="shared" si="243"/>
        <v>0</v>
      </c>
      <c r="U106" s="46">
        <f t="shared" si="243"/>
        <v>0</v>
      </c>
      <c r="V106" s="46">
        <f t="shared" si="243"/>
        <v>0</v>
      </c>
      <c r="W106" s="46">
        <f t="shared" si="243"/>
        <v>0</v>
      </c>
      <c r="X106" s="46">
        <f t="shared" si="243"/>
        <v>0</v>
      </c>
      <c r="Y106" s="46">
        <f t="shared" si="243"/>
        <v>1</v>
      </c>
      <c r="Z106" s="46">
        <f t="shared" si="243"/>
        <v>0</v>
      </c>
      <c r="AA106" s="46">
        <f t="shared" si="243"/>
        <v>0</v>
      </c>
      <c r="AB106" s="46">
        <f t="shared" si="243"/>
        <v>0</v>
      </c>
      <c r="AC106" s="46">
        <f t="shared" si="243"/>
        <v>0</v>
      </c>
      <c r="AD106" s="46">
        <f t="shared" si="243"/>
        <v>0</v>
      </c>
      <c r="AE106" s="46">
        <f t="shared" si="243"/>
        <v>1</v>
      </c>
      <c r="AF106" s="46">
        <f t="shared" si="243"/>
        <v>0</v>
      </c>
      <c r="AG106" s="46">
        <f t="shared" si="243"/>
        <v>0</v>
      </c>
      <c r="AH106" s="46">
        <f t="shared" si="243"/>
        <v>0</v>
      </c>
      <c r="AI106" s="46">
        <f t="shared" si="243"/>
        <v>0</v>
      </c>
      <c r="AJ106" s="46">
        <f t="shared" si="243"/>
        <v>0</v>
      </c>
      <c r="AK106" s="46">
        <f t="shared" si="243"/>
        <v>1</v>
      </c>
      <c r="AL106" s="46">
        <f t="shared" si="243"/>
        <v>0</v>
      </c>
      <c r="AM106" s="46">
        <f t="shared" si="243"/>
        <v>0</v>
      </c>
      <c r="AN106" s="46">
        <f t="shared" si="243"/>
        <v>0</v>
      </c>
      <c r="AO106" s="46">
        <f t="shared" si="243"/>
        <v>0</v>
      </c>
      <c r="AP106" s="46">
        <f t="shared" si="243"/>
        <v>0</v>
      </c>
      <c r="AQ106" s="46">
        <f t="shared" si="243"/>
        <v>1</v>
      </c>
      <c r="AR106" s="46">
        <f t="shared" si="243"/>
        <v>0</v>
      </c>
      <c r="AS106" s="46">
        <f t="shared" si="243"/>
        <v>0</v>
      </c>
      <c r="AT106" s="46">
        <f t="shared" si="243"/>
        <v>0</v>
      </c>
      <c r="AU106" s="46">
        <f t="shared" si="243"/>
        <v>0</v>
      </c>
      <c r="AV106" s="46">
        <f t="shared" si="243"/>
        <v>0</v>
      </c>
      <c r="AW106" s="46">
        <f t="shared" si="243"/>
        <v>1</v>
      </c>
      <c r="AX106" s="46">
        <f t="shared" si="243"/>
        <v>0</v>
      </c>
      <c r="AY106" s="46">
        <f t="shared" si="243"/>
        <v>0</v>
      </c>
      <c r="AZ106" s="46">
        <f t="shared" si="243"/>
        <v>0</v>
      </c>
      <c r="BA106" s="46">
        <f t="shared" si="243"/>
        <v>0</v>
      </c>
      <c r="BB106" s="46">
        <f t="shared" si="243"/>
        <v>0</v>
      </c>
      <c r="BC106" s="46">
        <f t="shared" si="243"/>
        <v>1</v>
      </c>
      <c r="BD106" s="46">
        <f t="shared" si="243"/>
        <v>0</v>
      </c>
      <c r="BE106" s="46">
        <f t="shared" si="243"/>
        <v>0</v>
      </c>
      <c r="BF106" s="46">
        <f t="shared" si="243"/>
        <v>0</v>
      </c>
      <c r="BG106" s="46">
        <f t="shared" si="243"/>
        <v>0</v>
      </c>
      <c r="BH106" s="46">
        <f t="shared" si="243"/>
        <v>0</v>
      </c>
      <c r="BI106" s="46">
        <f t="shared" si="243"/>
        <v>1</v>
      </c>
      <c r="BJ106" s="46">
        <f t="shared" si="243"/>
        <v>0</v>
      </c>
      <c r="BK106" s="46">
        <f t="shared" si="243"/>
        <v>0</v>
      </c>
      <c r="BL106" s="46">
        <f t="shared" si="243"/>
        <v>0</v>
      </c>
      <c r="BM106" s="46">
        <f t="shared" si="243"/>
        <v>0</v>
      </c>
      <c r="BN106" s="46">
        <f t="shared" si="243"/>
        <v>0</v>
      </c>
      <c r="BO106" s="46">
        <f t="shared" si="243"/>
        <v>1</v>
      </c>
      <c r="BP106" s="46">
        <f t="shared" si="243"/>
        <v>0</v>
      </c>
      <c r="BQ106" s="46">
        <f t="shared" si="243"/>
        <v>0</v>
      </c>
      <c r="BR106" s="46">
        <f t="shared" si="243"/>
        <v>0</v>
      </c>
      <c r="BS106" s="46">
        <f t="shared" si="243"/>
        <v>0</v>
      </c>
      <c r="BT106" s="46">
        <f t="shared" si="243"/>
        <v>0</v>
      </c>
      <c r="BU106" s="46">
        <f t="shared" si="243"/>
        <v>1</v>
      </c>
      <c r="BV106" s="46">
        <f t="shared" si="243"/>
        <v>0</v>
      </c>
      <c r="BW106" s="46">
        <f t="shared" si="243"/>
        <v>0</v>
      </c>
      <c r="BX106" s="46">
        <f t="shared" si="243"/>
        <v>0</v>
      </c>
      <c r="BY106" s="46">
        <f t="shared" si="243"/>
        <v>0</v>
      </c>
      <c r="BZ106" s="46">
        <f t="shared" si="243"/>
        <v>0</v>
      </c>
      <c r="CA106" s="46">
        <f t="shared" ref="CA106:EL106" si="244">IF(MOD(MONTH(CA$12),6)=0,1,0)</f>
        <v>1</v>
      </c>
      <c r="CB106" s="46">
        <f t="shared" si="244"/>
        <v>0</v>
      </c>
      <c r="CC106" s="46">
        <f t="shared" si="244"/>
        <v>0</v>
      </c>
      <c r="CD106" s="46">
        <f t="shared" si="244"/>
        <v>0</v>
      </c>
      <c r="CE106" s="46">
        <f t="shared" si="244"/>
        <v>0</v>
      </c>
      <c r="CF106" s="46">
        <f t="shared" si="244"/>
        <v>0</v>
      </c>
      <c r="CG106" s="46">
        <f t="shared" si="244"/>
        <v>1</v>
      </c>
      <c r="CH106" s="46">
        <f t="shared" si="244"/>
        <v>0</v>
      </c>
      <c r="CI106" s="46">
        <f t="shared" si="244"/>
        <v>0</v>
      </c>
      <c r="CJ106" s="46">
        <f t="shared" si="244"/>
        <v>0</v>
      </c>
      <c r="CK106" s="46">
        <f t="shared" si="244"/>
        <v>0</v>
      </c>
      <c r="CL106" s="46">
        <f t="shared" si="244"/>
        <v>0</v>
      </c>
      <c r="CM106" s="46">
        <f t="shared" si="244"/>
        <v>1</v>
      </c>
      <c r="CN106" s="46">
        <f t="shared" si="244"/>
        <v>0</v>
      </c>
      <c r="CO106" s="46">
        <f t="shared" si="244"/>
        <v>0</v>
      </c>
      <c r="CP106" s="46">
        <f t="shared" si="244"/>
        <v>0</v>
      </c>
      <c r="CQ106" s="46">
        <f t="shared" si="244"/>
        <v>0</v>
      </c>
      <c r="CR106" s="46">
        <f t="shared" si="244"/>
        <v>0</v>
      </c>
      <c r="CS106" s="46">
        <f t="shared" si="244"/>
        <v>1</v>
      </c>
      <c r="CT106" s="46">
        <f t="shared" si="244"/>
        <v>0</v>
      </c>
      <c r="CU106" s="46">
        <f t="shared" si="244"/>
        <v>0</v>
      </c>
      <c r="CV106" s="46">
        <f t="shared" si="244"/>
        <v>0</v>
      </c>
      <c r="CW106" s="46">
        <f t="shared" si="244"/>
        <v>0</v>
      </c>
      <c r="CX106" s="46">
        <f t="shared" si="244"/>
        <v>0</v>
      </c>
      <c r="CY106" s="46">
        <f t="shared" si="244"/>
        <v>1</v>
      </c>
      <c r="CZ106" s="46">
        <f t="shared" si="244"/>
        <v>0</v>
      </c>
      <c r="DA106" s="46">
        <f t="shared" si="244"/>
        <v>0</v>
      </c>
      <c r="DB106" s="46">
        <f t="shared" si="244"/>
        <v>0</v>
      </c>
      <c r="DC106" s="46">
        <f t="shared" si="244"/>
        <v>0</v>
      </c>
      <c r="DD106" s="46">
        <f t="shared" si="244"/>
        <v>0</v>
      </c>
      <c r="DE106" s="46">
        <f t="shared" si="244"/>
        <v>1</v>
      </c>
      <c r="DF106" s="46">
        <f t="shared" si="244"/>
        <v>0</v>
      </c>
      <c r="DG106" s="46">
        <f t="shared" si="244"/>
        <v>0</v>
      </c>
      <c r="DH106" s="46">
        <f t="shared" si="244"/>
        <v>0</v>
      </c>
      <c r="DI106" s="46">
        <f t="shared" si="244"/>
        <v>0</v>
      </c>
      <c r="DJ106" s="46">
        <f t="shared" si="244"/>
        <v>0</v>
      </c>
      <c r="DK106" s="46">
        <f t="shared" si="244"/>
        <v>1</v>
      </c>
      <c r="DL106" s="46">
        <f t="shared" si="244"/>
        <v>0</v>
      </c>
      <c r="DM106" s="46">
        <f t="shared" si="244"/>
        <v>0</v>
      </c>
      <c r="DN106" s="46">
        <f t="shared" si="244"/>
        <v>0</v>
      </c>
      <c r="DO106" s="46">
        <f t="shared" si="244"/>
        <v>0</v>
      </c>
      <c r="DP106" s="46">
        <f t="shared" si="244"/>
        <v>0</v>
      </c>
      <c r="DQ106" s="46">
        <f t="shared" si="244"/>
        <v>1</v>
      </c>
      <c r="DR106" s="46">
        <f t="shared" si="244"/>
        <v>0</v>
      </c>
      <c r="DS106" s="46">
        <f t="shared" si="244"/>
        <v>0</v>
      </c>
      <c r="DT106" s="46">
        <f t="shared" si="244"/>
        <v>0</v>
      </c>
      <c r="DU106" s="46">
        <f t="shared" si="244"/>
        <v>0</v>
      </c>
      <c r="DV106" s="46">
        <f t="shared" si="244"/>
        <v>0</v>
      </c>
      <c r="DW106" s="46">
        <f t="shared" si="244"/>
        <v>1</v>
      </c>
      <c r="DX106" s="46">
        <f t="shared" si="244"/>
        <v>0</v>
      </c>
      <c r="DY106" s="46">
        <f t="shared" si="244"/>
        <v>0</v>
      </c>
      <c r="DZ106" s="46">
        <f t="shared" si="244"/>
        <v>0</v>
      </c>
      <c r="EA106" s="46">
        <f t="shared" si="244"/>
        <v>0</v>
      </c>
      <c r="EB106" s="46">
        <f t="shared" si="244"/>
        <v>0</v>
      </c>
      <c r="EC106" s="46">
        <f t="shared" si="244"/>
        <v>1</v>
      </c>
      <c r="ED106" s="46">
        <f t="shared" si="244"/>
        <v>0</v>
      </c>
      <c r="EE106" s="46">
        <f t="shared" si="244"/>
        <v>0</v>
      </c>
      <c r="EF106" s="46">
        <f t="shared" si="244"/>
        <v>0</v>
      </c>
      <c r="EG106" s="46">
        <f t="shared" si="244"/>
        <v>0</v>
      </c>
      <c r="EH106" s="46">
        <f t="shared" si="244"/>
        <v>0</v>
      </c>
      <c r="EI106" s="46">
        <f t="shared" si="244"/>
        <v>1</v>
      </c>
      <c r="EJ106" s="46">
        <f t="shared" si="244"/>
        <v>0</v>
      </c>
      <c r="EK106" s="46">
        <f t="shared" si="244"/>
        <v>0</v>
      </c>
      <c r="EL106" s="46">
        <f t="shared" si="244"/>
        <v>0</v>
      </c>
      <c r="EM106" s="46">
        <f t="shared" ref="EM106:GX106" si="245">IF(MOD(MONTH(EM$12),6)=0,1,0)</f>
        <v>0</v>
      </c>
      <c r="EN106" s="46">
        <f t="shared" si="245"/>
        <v>0</v>
      </c>
      <c r="EO106" s="46">
        <f t="shared" si="245"/>
        <v>1</v>
      </c>
      <c r="EP106" s="46">
        <f t="shared" si="245"/>
        <v>0</v>
      </c>
      <c r="EQ106" s="46">
        <f t="shared" si="245"/>
        <v>0</v>
      </c>
      <c r="ER106" s="46">
        <f t="shared" si="245"/>
        <v>0</v>
      </c>
      <c r="ES106" s="46">
        <f t="shared" si="245"/>
        <v>0</v>
      </c>
      <c r="ET106" s="46">
        <f t="shared" si="245"/>
        <v>0</v>
      </c>
      <c r="EU106" s="46">
        <f t="shared" si="245"/>
        <v>1</v>
      </c>
      <c r="EV106" s="46">
        <f t="shared" si="245"/>
        <v>0</v>
      </c>
      <c r="EW106" s="46">
        <f t="shared" si="245"/>
        <v>0</v>
      </c>
      <c r="EX106" s="46">
        <f t="shared" si="245"/>
        <v>0</v>
      </c>
      <c r="EY106" s="46">
        <f t="shared" si="245"/>
        <v>0</v>
      </c>
      <c r="EZ106" s="46">
        <f t="shared" si="245"/>
        <v>0</v>
      </c>
      <c r="FA106" s="46">
        <f t="shared" si="245"/>
        <v>1</v>
      </c>
      <c r="FB106" s="46">
        <f t="shared" si="245"/>
        <v>0</v>
      </c>
      <c r="FC106" s="46">
        <f t="shared" si="245"/>
        <v>0</v>
      </c>
      <c r="FD106" s="46">
        <f t="shared" si="245"/>
        <v>0</v>
      </c>
      <c r="FE106" s="46">
        <f t="shared" si="245"/>
        <v>0</v>
      </c>
      <c r="FF106" s="46">
        <f t="shared" si="245"/>
        <v>0</v>
      </c>
      <c r="FG106" s="46">
        <f t="shared" si="245"/>
        <v>1</v>
      </c>
      <c r="FH106" s="46">
        <f t="shared" si="245"/>
        <v>0</v>
      </c>
      <c r="FI106" s="46">
        <f t="shared" si="245"/>
        <v>0</v>
      </c>
      <c r="FJ106" s="46">
        <f t="shared" si="245"/>
        <v>0</v>
      </c>
      <c r="FK106" s="46">
        <f t="shared" si="245"/>
        <v>0</v>
      </c>
      <c r="FL106" s="46">
        <f t="shared" si="245"/>
        <v>0</v>
      </c>
      <c r="FM106" s="46">
        <f t="shared" si="245"/>
        <v>1</v>
      </c>
      <c r="FN106" s="46">
        <f t="shared" si="245"/>
        <v>0</v>
      </c>
      <c r="FO106" s="46">
        <f t="shared" si="245"/>
        <v>0</v>
      </c>
      <c r="FP106" s="46">
        <f t="shared" si="245"/>
        <v>0</v>
      </c>
      <c r="FQ106" s="46">
        <f t="shared" si="245"/>
        <v>0</v>
      </c>
      <c r="FR106" s="46">
        <f t="shared" si="245"/>
        <v>0</v>
      </c>
      <c r="FS106" s="46">
        <f t="shared" si="245"/>
        <v>1</v>
      </c>
      <c r="FT106" s="46">
        <f t="shared" si="245"/>
        <v>0</v>
      </c>
      <c r="FU106" s="46">
        <f t="shared" si="245"/>
        <v>0</v>
      </c>
      <c r="FV106" s="46">
        <f t="shared" si="245"/>
        <v>0</v>
      </c>
      <c r="FW106" s="46">
        <f t="shared" si="245"/>
        <v>0</v>
      </c>
      <c r="FX106" s="46">
        <f t="shared" si="245"/>
        <v>0</v>
      </c>
      <c r="FY106" s="46">
        <f t="shared" si="245"/>
        <v>1</v>
      </c>
      <c r="FZ106" s="46">
        <f t="shared" si="245"/>
        <v>0</v>
      </c>
      <c r="GA106" s="46">
        <f t="shared" si="245"/>
        <v>0</v>
      </c>
      <c r="GB106" s="46">
        <f t="shared" si="245"/>
        <v>0</v>
      </c>
      <c r="GC106" s="46">
        <f t="shared" si="245"/>
        <v>0</v>
      </c>
      <c r="GD106" s="46">
        <f t="shared" si="245"/>
        <v>0</v>
      </c>
      <c r="GE106" s="46">
        <f t="shared" si="245"/>
        <v>1</v>
      </c>
      <c r="GF106" s="46">
        <f t="shared" si="245"/>
        <v>0</v>
      </c>
      <c r="GG106" s="46">
        <f t="shared" si="245"/>
        <v>0</v>
      </c>
      <c r="GH106" s="46">
        <f t="shared" si="245"/>
        <v>0</v>
      </c>
      <c r="GI106" s="46">
        <f t="shared" si="245"/>
        <v>0</v>
      </c>
      <c r="GJ106" s="46">
        <f t="shared" si="245"/>
        <v>0</v>
      </c>
      <c r="GK106" s="46">
        <f t="shared" si="245"/>
        <v>1</v>
      </c>
      <c r="GL106" s="46">
        <f t="shared" si="245"/>
        <v>0</v>
      </c>
      <c r="GM106" s="46">
        <f t="shared" si="245"/>
        <v>0</v>
      </c>
      <c r="GN106" s="46">
        <f t="shared" si="245"/>
        <v>0</v>
      </c>
      <c r="GO106" s="46">
        <f t="shared" si="245"/>
        <v>0</v>
      </c>
      <c r="GP106" s="46">
        <f t="shared" si="245"/>
        <v>0</v>
      </c>
      <c r="GQ106" s="46">
        <f t="shared" si="245"/>
        <v>1</v>
      </c>
      <c r="GR106" s="46">
        <f t="shared" si="245"/>
        <v>0</v>
      </c>
      <c r="GS106" s="46">
        <f t="shared" si="245"/>
        <v>0</v>
      </c>
      <c r="GT106" s="46">
        <f t="shared" si="245"/>
        <v>0</v>
      </c>
      <c r="GU106" s="46">
        <f t="shared" si="245"/>
        <v>0</v>
      </c>
      <c r="GV106" s="46">
        <f t="shared" si="245"/>
        <v>0</v>
      </c>
      <c r="GW106" s="46">
        <f t="shared" si="245"/>
        <v>1</v>
      </c>
      <c r="GX106" s="46">
        <f t="shared" si="245"/>
        <v>0</v>
      </c>
      <c r="GY106" s="46">
        <f t="shared" ref="GY106:JJ106" si="246">IF(MOD(MONTH(GY$12),6)=0,1,0)</f>
        <v>0</v>
      </c>
      <c r="GZ106" s="46">
        <f t="shared" si="246"/>
        <v>0</v>
      </c>
      <c r="HA106" s="46">
        <f t="shared" si="246"/>
        <v>0</v>
      </c>
      <c r="HB106" s="46">
        <f t="shared" si="246"/>
        <v>0</v>
      </c>
      <c r="HC106" s="46">
        <f t="shared" si="246"/>
        <v>1</v>
      </c>
      <c r="HD106" s="46">
        <f t="shared" si="246"/>
        <v>0</v>
      </c>
      <c r="HE106" s="46">
        <f t="shared" si="246"/>
        <v>0</v>
      </c>
      <c r="HF106" s="46">
        <f t="shared" si="246"/>
        <v>0</v>
      </c>
      <c r="HG106" s="46">
        <f t="shared" si="246"/>
        <v>0</v>
      </c>
      <c r="HH106" s="46">
        <f t="shared" si="246"/>
        <v>0</v>
      </c>
      <c r="HI106" s="46">
        <f t="shared" si="246"/>
        <v>1</v>
      </c>
      <c r="HJ106" s="46">
        <f t="shared" si="246"/>
        <v>0</v>
      </c>
      <c r="HK106" s="46">
        <f t="shared" si="246"/>
        <v>0</v>
      </c>
      <c r="HL106" s="46">
        <f t="shared" si="246"/>
        <v>0</v>
      </c>
      <c r="HM106" s="46">
        <f t="shared" si="246"/>
        <v>0</v>
      </c>
      <c r="HN106" s="46">
        <f t="shared" si="246"/>
        <v>0</v>
      </c>
      <c r="HO106" s="46">
        <f t="shared" si="246"/>
        <v>1</v>
      </c>
      <c r="HP106" s="46">
        <f t="shared" si="246"/>
        <v>0</v>
      </c>
      <c r="HQ106" s="46">
        <f t="shared" si="246"/>
        <v>0</v>
      </c>
      <c r="HR106" s="46">
        <f t="shared" si="246"/>
        <v>0</v>
      </c>
      <c r="HS106" s="46">
        <f t="shared" si="246"/>
        <v>0</v>
      </c>
      <c r="HT106" s="46">
        <f t="shared" si="246"/>
        <v>0</v>
      </c>
      <c r="HU106" s="46">
        <f t="shared" si="246"/>
        <v>1</v>
      </c>
      <c r="HV106" s="46">
        <f t="shared" si="246"/>
        <v>0</v>
      </c>
      <c r="HW106" s="46">
        <f t="shared" si="246"/>
        <v>0</v>
      </c>
      <c r="HX106" s="46">
        <f t="shared" si="246"/>
        <v>0</v>
      </c>
      <c r="HY106" s="46">
        <f t="shared" si="246"/>
        <v>0</v>
      </c>
      <c r="HZ106" s="46">
        <f t="shared" si="246"/>
        <v>0</v>
      </c>
      <c r="IA106" s="46">
        <f t="shared" si="246"/>
        <v>1</v>
      </c>
      <c r="IB106" s="46">
        <f t="shared" si="246"/>
        <v>0</v>
      </c>
      <c r="IC106" s="46">
        <f t="shared" si="246"/>
        <v>0</v>
      </c>
      <c r="ID106" s="46">
        <f t="shared" si="246"/>
        <v>0</v>
      </c>
      <c r="IE106" s="46">
        <f t="shared" si="246"/>
        <v>0</v>
      </c>
      <c r="IF106" s="46">
        <f t="shared" si="246"/>
        <v>0</v>
      </c>
      <c r="IG106" s="46">
        <f t="shared" si="246"/>
        <v>1</v>
      </c>
      <c r="IH106" s="46">
        <f t="shared" si="246"/>
        <v>0</v>
      </c>
      <c r="II106" s="46">
        <f t="shared" si="246"/>
        <v>0</v>
      </c>
      <c r="IJ106" s="46">
        <f t="shared" si="246"/>
        <v>0</v>
      </c>
      <c r="IK106" s="46">
        <f t="shared" si="246"/>
        <v>0</v>
      </c>
      <c r="IL106" s="46">
        <f t="shared" si="246"/>
        <v>0</v>
      </c>
      <c r="IM106" s="46">
        <f t="shared" si="246"/>
        <v>1</v>
      </c>
      <c r="IN106" s="46">
        <f t="shared" si="246"/>
        <v>0</v>
      </c>
      <c r="IO106" s="46">
        <f t="shared" si="246"/>
        <v>0</v>
      </c>
      <c r="IP106" s="46">
        <f t="shared" si="246"/>
        <v>0</v>
      </c>
      <c r="IQ106" s="46">
        <f t="shared" si="246"/>
        <v>0</v>
      </c>
      <c r="IR106" s="46">
        <f t="shared" si="246"/>
        <v>0</v>
      </c>
      <c r="IS106" s="46">
        <f t="shared" si="246"/>
        <v>1</v>
      </c>
      <c r="IT106" s="46">
        <f t="shared" si="246"/>
        <v>0</v>
      </c>
      <c r="IU106" s="46">
        <f t="shared" si="246"/>
        <v>0</v>
      </c>
      <c r="IV106" s="46">
        <f t="shared" si="246"/>
        <v>0</v>
      </c>
      <c r="IW106" s="46">
        <f t="shared" si="246"/>
        <v>0</v>
      </c>
      <c r="IX106" s="46">
        <f t="shared" si="246"/>
        <v>0</v>
      </c>
      <c r="IY106" s="46">
        <f t="shared" si="246"/>
        <v>1</v>
      </c>
      <c r="IZ106" s="46">
        <f t="shared" si="246"/>
        <v>0</v>
      </c>
      <c r="JA106" s="46">
        <f t="shared" si="246"/>
        <v>0</v>
      </c>
      <c r="JB106" s="46">
        <f t="shared" si="246"/>
        <v>0</v>
      </c>
      <c r="JC106" s="46">
        <f t="shared" si="246"/>
        <v>0</v>
      </c>
      <c r="JD106" s="46">
        <f t="shared" si="246"/>
        <v>0</v>
      </c>
      <c r="JE106" s="46">
        <f t="shared" si="246"/>
        <v>1</v>
      </c>
      <c r="JF106" s="46">
        <f t="shared" si="246"/>
        <v>0</v>
      </c>
      <c r="JG106" s="46">
        <f t="shared" si="246"/>
        <v>0</v>
      </c>
      <c r="JH106" s="46">
        <f t="shared" si="246"/>
        <v>0</v>
      </c>
      <c r="JI106" s="46">
        <f t="shared" si="246"/>
        <v>0</v>
      </c>
      <c r="JJ106" s="46">
        <f t="shared" si="246"/>
        <v>0</v>
      </c>
      <c r="JK106" s="46">
        <f t="shared" ref="JK106:KI106" si="247">IF(MOD(MONTH(JK$12),6)=0,1,0)</f>
        <v>1</v>
      </c>
      <c r="JL106" s="46">
        <f t="shared" si="247"/>
        <v>0</v>
      </c>
      <c r="JM106" s="46">
        <f t="shared" si="247"/>
        <v>0</v>
      </c>
      <c r="JN106" s="46">
        <f t="shared" si="247"/>
        <v>0</v>
      </c>
      <c r="JO106" s="46">
        <f t="shared" si="247"/>
        <v>0</v>
      </c>
      <c r="JP106" s="46">
        <f t="shared" si="247"/>
        <v>0</v>
      </c>
      <c r="JQ106" s="46">
        <f t="shared" si="247"/>
        <v>1</v>
      </c>
      <c r="JR106" s="46">
        <f t="shared" si="247"/>
        <v>0</v>
      </c>
      <c r="JS106" s="46">
        <f t="shared" si="247"/>
        <v>0</v>
      </c>
      <c r="JT106" s="46">
        <f t="shared" si="247"/>
        <v>0</v>
      </c>
      <c r="JU106" s="46">
        <f t="shared" si="247"/>
        <v>0</v>
      </c>
      <c r="JV106" s="46">
        <f t="shared" si="247"/>
        <v>0</v>
      </c>
      <c r="JW106" s="46">
        <f t="shared" si="247"/>
        <v>1</v>
      </c>
      <c r="JX106" s="46">
        <f t="shared" si="247"/>
        <v>0</v>
      </c>
      <c r="JY106" s="46">
        <f t="shared" si="247"/>
        <v>0</v>
      </c>
      <c r="JZ106" s="46">
        <f t="shared" si="247"/>
        <v>0</v>
      </c>
      <c r="KA106" s="46">
        <f t="shared" si="247"/>
        <v>0</v>
      </c>
      <c r="KB106" s="46">
        <f t="shared" si="247"/>
        <v>0</v>
      </c>
      <c r="KC106" s="46">
        <f t="shared" si="247"/>
        <v>1</v>
      </c>
      <c r="KD106" s="46">
        <f t="shared" si="247"/>
        <v>0</v>
      </c>
      <c r="KE106" s="46">
        <f t="shared" si="247"/>
        <v>0</v>
      </c>
      <c r="KF106" s="46">
        <f t="shared" si="247"/>
        <v>0</v>
      </c>
      <c r="KG106" s="46">
        <f t="shared" si="247"/>
        <v>0</v>
      </c>
      <c r="KH106" s="46">
        <f t="shared" si="247"/>
        <v>0</v>
      </c>
      <c r="KI106" s="46">
        <f t="shared" si="247"/>
        <v>1</v>
      </c>
      <c r="KJ106" s="1"/>
    </row>
    <row r="107" spans="7:296" x14ac:dyDescent="0.35">
      <c r="KJ107" s="1"/>
    </row>
    <row r="108" spans="7:296" x14ac:dyDescent="0.35">
      <c r="L108" s="22" t="s">
        <v>98</v>
      </c>
      <c r="KJ108" s="1"/>
    </row>
    <row r="109" spans="7:296" x14ac:dyDescent="0.35">
      <c r="H109" s="13" t="s">
        <v>49</v>
      </c>
      <c r="M109" s="15" t="s">
        <v>99</v>
      </c>
      <c r="N109" s="48">
        <f>0</f>
        <v>0</v>
      </c>
      <c r="O109" s="48">
        <f>N113</f>
        <v>0</v>
      </c>
      <c r="P109" s="48">
        <f t="shared" ref="P109:CA109" si="248">O113</f>
        <v>0</v>
      </c>
      <c r="Q109" s="48">
        <f t="shared" si="248"/>
        <v>0</v>
      </c>
      <c r="R109" s="48">
        <f t="shared" si="248"/>
        <v>0</v>
      </c>
      <c r="S109" s="48">
        <f t="shared" si="248"/>
        <v>0</v>
      </c>
      <c r="T109" s="48">
        <f t="shared" si="248"/>
        <v>0</v>
      </c>
      <c r="U109" s="48">
        <f t="shared" si="248"/>
        <v>250</v>
      </c>
      <c r="V109" s="48">
        <f t="shared" si="248"/>
        <v>250</v>
      </c>
      <c r="W109" s="48">
        <f t="shared" si="248"/>
        <v>225</v>
      </c>
      <c r="X109" s="48">
        <f t="shared" si="248"/>
        <v>225</v>
      </c>
      <c r="Y109" s="48">
        <f t="shared" si="248"/>
        <v>225</v>
      </c>
      <c r="Z109" s="48">
        <f t="shared" si="248"/>
        <v>225</v>
      </c>
      <c r="AA109" s="48">
        <f t="shared" si="248"/>
        <v>225</v>
      </c>
      <c r="AB109" s="48">
        <f t="shared" si="248"/>
        <v>225</v>
      </c>
      <c r="AC109" s="48">
        <f t="shared" si="248"/>
        <v>200</v>
      </c>
      <c r="AD109" s="48">
        <f t="shared" si="248"/>
        <v>200</v>
      </c>
      <c r="AE109" s="48">
        <f t="shared" si="248"/>
        <v>200</v>
      </c>
      <c r="AF109" s="48">
        <f t="shared" si="248"/>
        <v>200</v>
      </c>
      <c r="AG109" s="48">
        <f t="shared" si="248"/>
        <v>200</v>
      </c>
      <c r="AH109" s="48">
        <f t="shared" si="248"/>
        <v>200</v>
      </c>
      <c r="AI109" s="48">
        <f t="shared" si="248"/>
        <v>175</v>
      </c>
      <c r="AJ109" s="48">
        <f t="shared" si="248"/>
        <v>175</v>
      </c>
      <c r="AK109" s="48">
        <f t="shared" si="248"/>
        <v>175</v>
      </c>
      <c r="AL109" s="48">
        <f t="shared" si="248"/>
        <v>175</v>
      </c>
      <c r="AM109" s="48">
        <f t="shared" si="248"/>
        <v>175</v>
      </c>
      <c r="AN109" s="48">
        <f t="shared" si="248"/>
        <v>175</v>
      </c>
      <c r="AO109" s="48">
        <f t="shared" si="248"/>
        <v>150</v>
      </c>
      <c r="AP109" s="48">
        <f t="shared" si="248"/>
        <v>150</v>
      </c>
      <c r="AQ109" s="48">
        <f t="shared" si="248"/>
        <v>150</v>
      </c>
      <c r="AR109" s="48">
        <f t="shared" si="248"/>
        <v>150</v>
      </c>
      <c r="AS109" s="48">
        <f t="shared" si="248"/>
        <v>150</v>
      </c>
      <c r="AT109" s="48">
        <f t="shared" si="248"/>
        <v>150</v>
      </c>
      <c r="AU109" s="48">
        <f t="shared" si="248"/>
        <v>125</v>
      </c>
      <c r="AV109" s="48">
        <f t="shared" si="248"/>
        <v>125</v>
      </c>
      <c r="AW109" s="48">
        <f t="shared" si="248"/>
        <v>125</v>
      </c>
      <c r="AX109" s="48">
        <f t="shared" si="248"/>
        <v>125</v>
      </c>
      <c r="AY109" s="48">
        <f t="shared" si="248"/>
        <v>125</v>
      </c>
      <c r="AZ109" s="48">
        <f t="shared" si="248"/>
        <v>125</v>
      </c>
      <c r="BA109" s="48">
        <f t="shared" si="248"/>
        <v>100</v>
      </c>
      <c r="BB109" s="48">
        <f t="shared" si="248"/>
        <v>100</v>
      </c>
      <c r="BC109" s="48">
        <f t="shared" si="248"/>
        <v>100</v>
      </c>
      <c r="BD109" s="48">
        <f t="shared" si="248"/>
        <v>100</v>
      </c>
      <c r="BE109" s="48">
        <f t="shared" si="248"/>
        <v>100</v>
      </c>
      <c r="BF109" s="48">
        <f t="shared" si="248"/>
        <v>100</v>
      </c>
      <c r="BG109" s="48">
        <f t="shared" si="248"/>
        <v>75</v>
      </c>
      <c r="BH109" s="48">
        <f t="shared" si="248"/>
        <v>75</v>
      </c>
      <c r="BI109" s="48">
        <f t="shared" si="248"/>
        <v>75</v>
      </c>
      <c r="BJ109" s="48">
        <f t="shared" si="248"/>
        <v>75</v>
      </c>
      <c r="BK109" s="48">
        <f t="shared" si="248"/>
        <v>75</v>
      </c>
      <c r="BL109" s="48">
        <f t="shared" si="248"/>
        <v>75</v>
      </c>
      <c r="BM109" s="48">
        <f t="shared" si="248"/>
        <v>50</v>
      </c>
      <c r="BN109" s="48">
        <f t="shared" si="248"/>
        <v>50</v>
      </c>
      <c r="BO109" s="48">
        <f t="shared" si="248"/>
        <v>50</v>
      </c>
      <c r="BP109" s="48">
        <f t="shared" si="248"/>
        <v>50</v>
      </c>
      <c r="BQ109" s="48">
        <f t="shared" si="248"/>
        <v>50</v>
      </c>
      <c r="BR109" s="48">
        <f t="shared" si="248"/>
        <v>50</v>
      </c>
      <c r="BS109" s="48">
        <f t="shared" si="248"/>
        <v>25</v>
      </c>
      <c r="BT109" s="48">
        <f t="shared" si="248"/>
        <v>25</v>
      </c>
      <c r="BU109" s="48">
        <f t="shared" si="248"/>
        <v>25</v>
      </c>
      <c r="BV109" s="48">
        <f t="shared" si="248"/>
        <v>25</v>
      </c>
      <c r="BW109" s="48">
        <f t="shared" si="248"/>
        <v>25</v>
      </c>
      <c r="BX109" s="48">
        <f t="shared" si="248"/>
        <v>25</v>
      </c>
      <c r="BY109" s="48">
        <f t="shared" si="248"/>
        <v>0</v>
      </c>
      <c r="BZ109" s="48">
        <f t="shared" si="248"/>
        <v>0</v>
      </c>
      <c r="CA109" s="48">
        <f t="shared" si="248"/>
        <v>0</v>
      </c>
      <c r="CB109" s="48">
        <f t="shared" ref="CB109:EM109" si="249">CA113</f>
        <v>0</v>
      </c>
      <c r="CC109" s="48">
        <f t="shared" si="249"/>
        <v>0</v>
      </c>
      <c r="CD109" s="48">
        <f t="shared" si="249"/>
        <v>0</v>
      </c>
      <c r="CE109" s="48">
        <f t="shared" si="249"/>
        <v>0</v>
      </c>
      <c r="CF109" s="48">
        <f t="shared" si="249"/>
        <v>0</v>
      </c>
      <c r="CG109" s="48">
        <f t="shared" si="249"/>
        <v>0</v>
      </c>
      <c r="CH109" s="48">
        <f t="shared" si="249"/>
        <v>0</v>
      </c>
      <c r="CI109" s="48">
        <f t="shared" si="249"/>
        <v>0</v>
      </c>
      <c r="CJ109" s="48">
        <f t="shared" si="249"/>
        <v>0</v>
      </c>
      <c r="CK109" s="48">
        <f t="shared" si="249"/>
        <v>0</v>
      </c>
      <c r="CL109" s="48">
        <f t="shared" si="249"/>
        <v>0</v>
      </c>
      <c r="CM109" s="48">
        <f t="shared" si="249"/>
        <v>0</v>
      </c>
      <c r="CN109" s="48">
        <f t="shared" si="249"/>
        <v>0</v>
      </c>
      <c r="CO109" s="48">
        <f t="shared" si="249"/>
        <v>0</v>
      </c>
      <c r="CP109" s="48">
        <f t="shared" si="249"/>
        <v>0</v>
      </c>
      <c r="CQ109" s="48">
        <f t="shared" si="249"/>
        <v>0</v>
      </c>
      <c r="CR109" s="48">
        <f t="shared" si="249"/>
        <v>0</v>
      </c>
      <c r="CS109" s="48">
        <f t="shared" si="249"/>
        <v>0</v>
      </c>
      <c r="CT109" s="48">
        <f t="shared" si="249"/>
        <v>0</v>
      </c>
      <c r="CU109" s="48">
        <f t="shared" si="249"/>
        <v>0</v>
      </c>
      <c r="CV109" s="48">
        <f t="shared" si="249"/>
        <v>0</v>
      </c>
      <c r="CW109" s="48">
        <f t="shared" si="249"/>
        <v>0</v>
      </c>
      <c r="CX109" s="48">
        <f t="shared" si="249"/>
        <v>0</v>
      </c>
      <c r="CY109" s="48">
        <f t="shared" si="249"/>
        <v>0</v>
      </c>
      <c r="CZ109" s="48">
        <f t="shared" si="249"/>
        <v>0</v>
      </c>
      <c r="DA109" s="48">
        <f t="shared" si="249"/>
        <v>0</v>
      </c>
      <c r="DB109" s="48">
        <f t="shared" si="249"/>
        <v>0</v>
      </c>
      <c r="DC109" s="48">
        <f t="shared" si="249"/>
        <v>0</v>
      </c>
      <c r="DD109" s="48">
        <f t="shared" si="249"/>
        <v>0</v>
      </c>
      <c r="DE109" s="48">
        <f t="shared" si="249"/>
        <v>0</v>
      </c>
      <c r="DF109" s="48">
        <f t="shared" si="249"/>
        <v>0</v>
      </c>
      <c r="DG109" s="48">
        <f t="shared" si="249"/>
        <v>0</v>
      </c>
      <c r="DH109" s="48">
        <f t="shared" si="249"/>
        <v>0</v>
      </c>
      <c r="DI109" s="48">
        <f t="shared" si="249"/>
        <v>0</v>
      </c>
      <c r="DJ109" s="48">
        <f t="shared" si="249"/>
        <v>0</v>
      </c>
      <c r="DK109" s="48">
        <f t="shared" si="249"/>
        <v>0</v>
      </c>
      <c r="DL109" s="48">
        <f t="shared" si="249"/>
        <v>0</v>
      </c>
      <c r="DM109" s="48">
        <f t="shared" si="249"/>
        <v>0</v>
      </c>
      <c r="DN109" s="48">
        <f t="shared" si="249"/>
        <v>0</v>
      </c>
      <c r="DO109" s="48">
        <f t="shared" si="249"/>
        <v>0</v>
      </c>
      <c r="DP109" s="48">
        <f t="shared" si="249"/>
        <v>0</v>
      </c>
      <c r="DQ109" s="48">
        <f t="shared" si="249"/>
        <v>0</v>
      </c>
      <c r="DR109" s="48">
        <f t="shared" si="249"/>
        <v>0</v>
      </c>
      <c r="DS109" s="48">
        <f t="shared" si="249"/>
        <v>0</v>
      </c>
      <c r="DT109" s="48">
        <f t="shared" si="249"/>
        <v>0</v>
      </c>
      <c r="DU109" s="48">
        <f t="shared" si="249"/>
        <v>0</v>
      </c>
      <c r="DV109" s="48">
        <f t="shared" si="249"/>
        <v>0</v>
      </c>
      <c r="DW109" s="48">
        <f t="shared" si="249"/>
        <v>0</v>
      </c>
      <c r="DX109" s="48">
        <f t="shared" si="249"/>
        <v>0</v>
      </c>
      <c r="DY109" s="48">
        <f t="shared" si="249"/>
        <v>0</v>
      </c>
      <c r="DZ109" s="48">
        <f t="shared" si="249"/>
        <v>0</v>
      </c>
      <c r="EA109" s="48">
        <f t="shared" si="249"/>
        <v>0</v>
      </c>
      <c r="EB109" s="48">
        <f t="shared" si="249"/>
        <v>0</v>
      </c>
      <c r="EC109" s="48">
        <f t="shared" si="249"/>
        <v>0</v>
      </c>
      <c r="ED109" s="48">
        <f t="shared" si="249"/>
        <v>0</v>
      </c>
      <c r="EE109" s="48">
        <f t="shared" si="249"/>
        <v>0</v>
      </c>
      <c r="EF109" s="48">
        <f t="shared" si="249"/>
        <v>0</v>
      </c>
      <c r="EG109" s="48">
        <f t="shared" si="249"/>
        <v>0</v>
      </c>
      <c r="EH109" s="48">
        <f t="shared" si="249"/>
        <v>0</v>
      </c>
      <c r="EI109" s="48">
        <f t="shared" si="249"/>
        <v>0</v>
      </c>
      <c r="EJ109" s="48">
        <f t="shared" si="249"/>
        <v>0</v>
      </c>
      <c r="EK109" s="48">
        <f t="shared" si="249"/>
        <v>0</v>
      </c>
      <c r="EL109" s="48">
        <f t="shared" si="249"/>
        <v>0</v>
      </c>
      <c r="EM109" s="48">
        <f t="shared" si="249"/>
        <v>0</v>
      </c>
      <c r="EN109" s="48">
        <f t="shared" ref="EN109:GY109" si="250">EM113</f>
        <v>0</v>
      </c>
      <c r="EO109" s="48">
        <f t="shared" si="250"/>
        <v>0</v>
      </c>
      <c r="EP109" s="48">
        <f t="shared" si="250"/>
        <v>0</v>
      </c>
      <c r="EQ109" s="48">
        <f t="shared" si="250"/>
        <v>0</v>
      </c>
      <c r="ER109" s="48">
        <f t="shared" si="250"/>
        <v>0</v>
      </c>
      <c r="ES109" s="48">
        <f t="shared" si="250"/>
        <v>0</v>
      </c>
      <c r="ET109" s="48">
        <f t="shared" si="250"/>
        <v>0</v>
      </c>
      <c r="EU109" s="48">
        <f t="shared" si="250"/>
        <v>0</v>
      </c>
      <c r="EV109" s="48">
        <f t="shared" si="250"/>
        <v>0</v>
      </c>
      <c r="EW109" s="48">
        <f t="shared" si="250"/>
        <v>0</v>
      </c>
      <c r="EX109" s="48">
        <f t="shared" si="250"/>
        <v>0</v>
      </c>
      <c r="EY109" s="48">
        <f t="shared" si="250"/>
        <v>0</v>
      </c>
      <c r="EZ109" s="48">
        <f t="shared" si="250"/>
        <v>0</v>
      </c>
      <c r="FA109" s="48">
        <f t="shared" si="250"/>
        <v>0</v>
      </c>
      <c r="FB109" s="48">
        <f t="shared" si="250"/>
        <v>0</v>
      </c>
      <c r="FC109" s="48">
        <f t="shared" si="250"/>
        <v>0</v>
      </c>
      <c r="FD109" s="48">
        <f t="shared" si="250"/>
        <v>0</v>
      </c>
      <c r="FE109" s="48">
        <f t="shared" si="250"/>
        <v>0</v>
      </c>
      <c r="FF109" s="48">
        <f t="shared" si="250"/>
        <v>0</v>
      </c>
      <c r="FG109" s="48">
        <f t="shared" si="250"/>
        <v>0</v>
      </c>
      <c r="FH109" s="48">
        <f t="shared" si="250"/>
        <v>0</v>
      </c>
      <c r="FI109" s="48">
        <f t="shared" si="250"/>
        <v>0</v>
      </c>
      <c r="FJ109" s="48">
        <f t="shared" si="250"/>
        <v>0</v>
      </c>
      <c r="FK109" s="48">
        <f t="shared" si="250"/>
        <v>0</v>
      </c>
      <c r="FL109" s="48">
        <f t="shared" si="250"/>
        <v>0</v>
      </c>
      <c r="FM109" s="48">
        <f t="shared" si="250"/>
        <v>0</v>
      </c>
      <c r="FN109" s="48">
        <f t="shared" si="250"/>
        <v>0</v>
      </c>
      <c r="FO109" s="48">
        <f t="shared" si="250"/>
        <v>0</v>
      </c>
      <c r="FP109" s="48">
        <f t="shared" si="250"/>
        <v>0</v>
      </c>
      <c r="FQ109" s="48">
        <f t="shared" si="250"/>
        <v>0</v>
      </c>
      <c r="FR109" s="48">
        <f t="shared" si="250"/>
        <v>0</v>
      </c>
      <c r="FS109" s="48">
        <f t="shared" si="250"/>
        <v>0</v>
      </c>
      <c r="FT109" s="48">
        <f t="shared" si="250"/>
        <v>0</v>
      </c>
      <c r="FU109" s="48">
        <f t="shared" si="250"/>
        <v>0</v>
      </c>
      <c r="FV109" s="48">
        <f t="shared" si="250"/>
        <v>0</v>
      </c>
      <c r="FW109" s="48">
        <f t="shared" si="250"/>
        <v>0</v>
      </c>
      <c r="FX109" s="48">
        <f t="shared" si="250"/>
        <v>0</v>
      </c>
      <c r="FY109" s="48">
        <f t="shared" si="250"/>
        <v>0</v>
      </c>
      <c r="FZ109" s="48">
        <f t="shared" si="250"/>
        <v>0</v>
      </c>
      <c r="GA109" s="48">
        <f t="shared" si="250"/>
        <v>0</v>
      </c>
      <c r="GB109" s="48">
        <f t="shared" si="250"/>
        <v>0</v>
      </c>
      <c r="GC109" s="48">
        <f t="shared" si="250"/>
        <v>0</v>
      </c>
      <c r="GD109" s="48">
        <f t="shared" si="250"/>
        <v>0</v>
      </c>
      <c r="GE109" s="48">
        <f t="shared" si="250"/>
        <v>0</v>
      </c>
      <c r="GF109" s="48">
        <f t="shared" si="250"/>
        <v>0</v>
      </c>
      <c r="GG109" s="48">
        <f t="shared" si="250"/>
        <v>0</v>
      </c>
      <c r="GH109" s="48">
        <f t="shared" si="250"/>
        <v>0</v>
      </c>
      <c r="GI109" s="48">
        <f t="shared" si="250"/>
        <v>0</v>
      </c>
      <c r="GJ109" s="48">
        <f t="shared" si="250"/>
        <v>0</v>
      </c>
      <c r="GK109" s="48">
        <f t="shared" si="250"/>
        <v>0</v>
      </c>
      <c r="GL109" s="48">
        <f t="shared" si="250"/>
        <v>0</v>
      </c>
      <c r="GM109" s="48">
        <f t="shared" si="250"/>
        <v>0</v>
      </c>
      <c r="GN109" s="48">
        <f t="shared" si="250"/>
        <v>0</v>
      </c>
      <c r="GO109" s="48">
        <f t="shared" si="250"/>
        <v>0</v>
      </c>
      <c r="GP109" s="48">
        <f t="shared" si="250"/>
        <v>0</v>
      </c>
      <c r="GQ109" s="48">
        <f t="shared" si="250"/>
        <v>0</v>
      </c>
      <c r="GR109" s="48">
        <f t="shared" si="250"/>
        <v>0</v>
      </c>
      <c r="GS109" s="48">
        <f t="shared" si="250"/>
        <v>0</v>
      </c>
      <c r="GT109" s="48">
        <f t="shared" si="250"/>
        <v>0</v>
      </c>
      <c r="GU109" s="48">
        <f t="shared" si="250"/>
        <v>0</v>
      </c>
      <c r="GV109" s="48">
        <f t="shared" si="250"/>
        <v>0</v>
      </c>
      <c r="GW109" s="48">
        <f t="shared" si="250"/>
        <v>0</v>
      </c>
      <c r="GX109" s="48">
        <f t="shared" si="250"/>
        <v>0</v>
      </c>
      <c r="GY109" s="48">
        <f t="shared" si="250"/>
        <v>0</v>
      </c>
      <c r="GZ109" s="48">
        <f t="shared" ref="GZ109:JK109" si="251">GY113</f>
        <v>0</v>
      </c>
      <c r="HA109" s="48">
        <f t="shared" si="251"/>
        <v>0</v>
      </c>
      <c r="HB109" s="48">
        <f t="shared" si="251"/>
        <v>0</v>
      </c>
      <c r="HC109" s="48">
        <f t="shared" si="251"/>
        <v>0</v>
      </c>
      <c r="HD109" s="48">
        <f t="shared" si="251"/>
        <v>0</v>
      </c>
      <c r="HE109" s="48">
        <f t="shared" si="251"/>
        <v>0</v>
      </c>
      <c r="HF109" s="48">
        <f t="shared" si="251"/>
        <v>0</v>
      </c>
      <c r="HG109" s="48">
        <f t="shared" si="251"/>
        <v>0</v>
      </c>
      <c r="HH109" s="48">
        <f t="shared" si="251"/>
        <v>0</v>
      </c>
      <c r="HI109" s="48">
        <f t="shared" si="251"/>
        <v>0</v>
      </c>
      <c r="HJ109" s="48">
        <f t="shared" si="251"/>
        <v>0</v>
      </c>
      <c r="HK109" s="48">
        <f t="shared" si="251"/>
        <v>0</v>
      </c>
      <c r="HL109" s="48">
        <f t="shared" si="251"/>
        <v>0</v>
      </c>
      <c r="HM109" s="48">
        <f t="shared" si="251"/>
        <v>0</v>
      </c>
      <c r="HN109" s="48">
        <f t="shared" si="251"/>
        <v>0</v>
      </c>
      <c r="HO109" s="48">
        <f t="shared" si="251"/>
        <v>0</v>
      </c>
      <c r="HP109" s="48">
        <f t="shared" si="251"/>
        <v>0</v>
      </c>
      <c r="HQ109" s="48">
        <f t="shared" si="251"/>
        <v>0</v>
      </c>
      <c r="HR109" s="48">
        <f t="shared" si="251"/>
        <v>0</v>
      </c>
      <c r="HS109" s="48">
        <f t="shared" si="251"/>
        <v>0</v>
      </c>
      <c r="HT109" s="48">
        <f t="shared" si="251"/>
        <v>0</v>
      </c>
      <c r="HU109" s="48">
        <f t="shared" si="251"/>
        <v>0</v>
      </c>
      <c r="HV109" s="48">
        <f t="shared" si="251"/>
        <v>0</v>
      </c>
      <c r="HW109" s="48">
        <f t="shared" si="251"/>
        <v>0</v>
      </c>
      <c r="HX109" s="48">
        <f t="shared" si="251"/>
        <v>0</v>
      </c>
      <c r="HY109" s="48">
        <f t="shared" si="251"/>
        <v>0</v>
      </c>
      <c r="HZ109" s="48">
        <f t="shared" si="251"/>
        <v>0</v>
      </c>
      <c r="IA109" s="48">
        <f t="shared" si="251"/>
        <v>0</v>
      </c>
      <c r="IB109" s="48">
        <f t="shared" si="251"/>
        <v>0</v>
      </c>
      <c r="IC109" s="48">
        <f t="shared" si="251"/>
        <v>0</v>
      </c>
      <c r="ID109" s="48">
        <f t="shared" si="251"/>
        <v>0</v>
      </c>
      <c r="IE109" s="48">
        <f t="shared" si="251"/>
        <v>0</v>
      </c>
      <c r="IF109" s="48">
        <f t="shared" si="251"/>
        <v>0</v>
      </c>
      <c r="IG109" s="48">
        <f t="shared" si="251"/>
        <v>0</v>
      </c>
      <c r="IH109" s="48">
        <f t="shared" si="251"/>
        <v>0</v>
      </c>
      <c r="II109" s="48">
        <f t="shared" si="251"/>
        <v>0</v>
      </c>
      <c r="IJ109" s="48">
        <f t="shared" si="251"/>
        <v>0</v>
      </c>
      <c r="IK109" s="48">
        <f t="shared" si="251"/>
        <v>0</v>
      </c>
      <c r="IL109" s="48">
        <f t="shared" si="251"/>
        <v>0</v>
      </c>
      <c r="IM109" s="48">
        <f t="shared" si="251"/>
        <v>0</v>
      </c>
      <c r="IN109" s="48">
        <f t="shared" si="251"/>
        <v>0</v>
      </c>
      <c r="IO109" s="48">
        <f t="shared" si="251"/>
        <v>0</v>
      </c>
      <c r="IP109" s="48">
        <f t="shared" si="251"/>
        <v>0</v>
      </c>
      <c r="IQ109" s="48">
        <f t="shared" si="251"/>
        <v>0</v>
      </c>
      <c r="IR109" s="48">
        <f t="shared" si="251"/>
        <v>0</v>
      </c>
      <c r="IS109" s="48">
        <f t="shared" si="251"/>
        <v>0</v>
      </c>
      <c r="IT109" s="48">
        <f t="shared" si="251"/>
        <v>0</v>
      </c>
      <c r="IU109" s="48">
        <f t="shared" si="251"/>
        <v>0</v>
      </c>
      <c r="IV109" s="48">
        <f t="shared" si="251"/>
        <v>0</v>
      </c>
      <c r="IW109" s="48">
        <f t="shared" si="251"/>
        <v>0</v>
      </c>
      <c r="IX109" s="48">
        <f t="shared" si="251"/>
        <v>0</v>
      </c>
      <c r="IY109" s="48">
        <f t="shared" si="251"/>
        <v>0</v>
      </c>
      <c r="IZ109" s="48">
        <f t="shared" si="251"/>
        <v>0</v>
      </c>
      <c r="JA109" s="48">
        <f t="shared" si="251"/>
        <v>0</v>
      </c>
      <c r="JB109" s="48">
        <f t="shared" si="251"/>
        <v>0</v>
      </c>
      <c r="JC109" s="48">
        <f t="shared" si="251"/>
        <v>0</v>
      </c>
      <c r="JD109" s="48">
        <f t="shared" si="251"/>
        <v>0</v>
      </c>
      <c r="JE109" s="48">
        <f t="shared" si="251"/>
        <v>0</v>
      </c>
      <c r="JF109" s="48">
        <f t="shared" si="251"/>
        <v>0</v>
      </c>
      <c r="JG109" s="48">
        <f t="shared" si="251"/>
        <v>0</v>
      </c>
      <c r="JH109" s="48">
        <f t="shared" si="251"/>
        <v>0</v>
      </c>
      <c r="JI109" s="48">
        <f t="shared" si="251"/>
        <v>0</v>
      </c>
      <c r="JJ109" s="48">
        <f t="shared" si="251"/>
        <v>0</v>
      </c>
      <c r="JK109" s="48">
        <f t="shared" si="251"/>
        <v>0</v>
      </c>
      <c r="JL109" s="48">
        <f t="shared" ref="JL109:KI109" si="252">JK113</f>
        <v>0</v>
      </c>
      <c r="JM109" s="48">
        <f t="shared" si="252"/>
        <v>0</v>
      </c>
      <c r="JN109" s="48">
        <f t="shared" si="252"/>
        <v>0</v>
      </c>
      <c r="JO109" s="48">
        <f t="shared" si="252"/>
        <v>0</v>
      </c>
      <c r="JP109" s="48">
        <f t="shared" si="252"/>
        <v>0</v>
      </c>
      <c r="JQ109" s="48">
        <f t="shared" si="252"/>
        <v>0</v>
      </c>
      <c r="JR109" s="48">
        <f t="shared" si="252"/>
        <v>0</v>
      </c>
      <c r="JS109" s="48">
        <f t="shared" si="252"/>
        <v>0</v>
      </c>
      <c r="JT109" s="48">
        <f t="shared" si="252"/>
        <v>0</v>
      </c>
      <c r="JU109" s="48">
        <f t="shared" si="252"/>
        <v>0</v>
      </c>
      <c r="JV109" s="48">
        <f t="shared" si="252"/>
        <v>0</v>
      </c>
      <c r="JW109" s="48">
        <f t="shared" si="252"/>
        <v>0</v>
      </c>
      <c r="JX109" s="48">
        <f t="shared" si="252"/>
        <v>0</v>
      </c>
      <c r="JY109" s="48">
        <f t="shared" si="252"/>
        <v>0</v>
      </c>
      <c r="JZ109" s="48">
        <f t="shared" si="252"/>
        <v>0</v>
      </c>
      <c r="KA109" s="48">
        <f t="shared" si="252"/>
        <v>0</v>
      </c>
      <c r="KB109" s="48">
        <f t="shared" si="252"/>
        <v>0</v>
      </c>
      <c r="KC109" s="48">
        <f t="shared" si="252"/>
        <v>0</v>
      </c>
      <c r="KD109" s="48">
        <f t="shared" si="252"/>
        <v>0</v>
      </c>
      <c r="KE109" s="48">
        <f t="shared" si="252"/>
        <v>0</v>
      </c>
      <c r="KF109" s="48">
        <f t="shared" si="252"/>
        <v>0</v>
      </c>
      <c r="KG109" s="48">
        <f t="shared" si="252"/>
        <v>0</v>
      </c>
      <c r="KH109" s="48">
        <f t="shared" si="252"/>
        <v>0</v>
      </c>
      <c r="KI109" s="48">
        <f t="shared" si="252"/>
        <v>0</v>
      </c>
      <c r="KJ109" s="1"/>
    </row>
    <row r="110" spans="7:296" x14ac:dyDescent="0.35">
      <c r="G110" s="35">
        <f>Control!H66</f>
        <v>250</v>
      </c>
      <c r="H110" s="13" t="s">
        <v>49</v>
      </c>
      <c r="M110" s="15" t="s">
        <v>115</v>
      </c>
      <c r="N110" s="48">
        <f>$G110*N102</f>
        <v>0</v>
      </c>
      <c r="O110" s="48">
        <f t="shared" ref="O110:BZ110" si="253">$G110*O102</f>
        <v>0</v>
      </c>
      <c r="P110" s="48">
        <f t="shared" si="253"/>
        <v>0</v>
      </c>
      <c r="Q110" s="48">
        <f t="shared" si="253"/>
        <v>0</v>
      </c>
      <c r="R110" s="48">
        <f t="shared" si="253"/>
        <v>0</v>
      </c>
      <c r="S110" s="48">
        <f t="shared" si="253"/>
        <v>0</v>
      </c>
      <c r="T110" s="48">
        <f t="shared" si="253"/>
        <v>250</v>
      </c>
      <c r="U110" s="48">
        <f t="shared" si="253"/>
        <v>0</v>
      </c>
      <c r="V110" s="48">
        <f t="shared" si="253"/>
        <v>0</v>
      </c>
      <c r="W110" s="48">
        <f t="shared" si="253"/>
        <v>0</v>
      </c>
      <c r="X110" s="48">
        <f t="shared" si="253"/>
        <v>0</v>
      </c>
      <c r="Y110" s="48">
        <f t="shared" si="253"/>
        <v>0</v>
      </c>
      <c r="Z110" s="48">
        <f t="shared" si="253"/>
        <v>0</v>
      </c>
      <c r="AA110" s="48">
        <f t="shared" si="253"/>
        <v>0</v>
      </c>
      <c r="AB110" s="48">
        <f t="shared" si="253"/>
        <v>0</v>
      </c>
      <c r="AC110" s="48">
        <f t="shared" si="253"/>
        <v>0</v>
      </c>
      <c r="AD110" s="48">
        <f t="shared" si="253"/>
        <v>0</v>
      </c>
      <c r="AE110" s="48">
        <f t="shared" si="253"/>
        <v>0</v>
      </c>
      <c r="AF110" s="48">
        <f t="shared" si="253"/>
        <v>0</v>
      </c>
      <c r="AG110" s="48">
        <f t="shared" si="253"/>
        <v>0</v>
      </c>
      <c r="AH110" s="48">
        <f t="shared" si="253"/>
        <v>0</v>
      </c>
      <c r="AI110" s="48">
        <f t="shared" si="253"/>
        <v>0</v>
      </c>
      <c r="AJ110" s="48">
        <f t="shared" si="253"/>
        <v>0</v>
      </c>
      <c r="AK110" s="48">
        <f t="shared" si="253"/>
        <v>0</v>
      </c>
      <c r="AL110" s="48">
        <f t="shared" si="253"/>
        <v>0</v>
      </c>
      <c r="AM110" s="48">
        <f t="shared" si="253"/>
        <v>0</v>
      </c>
      <c r="AN110" s="48">
        <f t="shared" si="253"/>
        <v>0</v>
      </c>
      <c r="AO110" s="48">
        <f t="shared" si="253"/>
        <v>0</v>
      </c>
      <c r="AP110" s="48">
        <f t="shared" si="253"/>
        <v>0</v>
      </c>
      <c r="AQ110" s="48">
        <f t="shared" si="253"/>
        <v>0</v>
      </c>
      <c r="AR110" s="48">
        <f t="shared" si="253"/>
        <v>0</v>
      </c>
      <c r="AS110" s="48">
        <f t="shared" si="253"/>
        <v>0</v>
      </c>
      <c r="AT110" s="48">
        <f t="shared" si="253"/>
        <v>0</v>
      </c>
      <c r="AU110" s="48">
        <f t="shared" si="253"/>
        <v>0</v>
      </c>
      <c r="AV110" s="48">
        <f t="shared" si="253"/>
        <v>0</v>
      </c>
      <c r="AW110" s="48">
        <f t="shared" si="253"/>
        <v>0</v>
      </c>
      <c r="AX110" s="48">
        <f t="shared" si="253"/>
        <v>0</v>
      </c>
      <c r="AY110" s="48">
        <f t="shared" si="253"/>
        <v>0</v>
      </c>
      <c r="AZ110" s="48">
        <f t="shared" si="253"/>
        <v>0</v>
      </c>
      <c r="BA110" s="48">
        <f t="shared" si="253"/>
        <v>0</v>
      </c>
      <c r="BB110" s="48">
        <f t="shared" si="253"/>
        <v>0</v>
      </c>
      <c r="BC110" s="48">
        <f t="shared" si="253"/>
        <v>0</v>
      </c>
      <c r="BD110" s="48">
        <f t="shared" si="253"/>
        <v>0</v>
      </c>
      <c r="BE110" s="48">
        <f t="shared" si="253"/>
        <v>0</v>
      </c>
      <c r="BF110" s="48">
        <f t="shared" si="253"/>
        <v>0</v>
      </c>
      <c r="BG110" s="48">
        <f t="shared" si="253"/>
        <v>0</v>
      </c>
      <c r="BH110" s="48">
        <f t="shared" si="253"/>
        <v>0</v>
      </c>
      <c r="BI110" s="48">
        <f t="shared" si="253"/>
        <v>0</v>
      </c>
      <c r="BJ110" s="48">
        <f t="shared" si="253"/>
        <v>0</v>
      </c>
      <c r="BK110" s="48">
        <f t="shared" si="253"/>
        <v>0</v>
      </c>
      <c r="BL110" s="48">
        <f t="shared" si="253"/>
        <v>0</v>
      </c>
      <c r="BM110" s="48">
        <f t="shared" si="253"/>
        <v>0</v>
      </c>
      <c r="BN110" s="48">
        <f t="shared" si="253"/>
        <v>0</v>
      </c>
      <c r="BO110" s="48">
        <f t="shared" si="253"/>
        <v>0</v>
      </c>
      <c r="BP110" s="48">
        <f t="shared" si="253"/>
        <v>0</v>
      </c>
      <c r="BQ110" s="48">
        <f t="shared" si="253"/>
        <v>0</v>
      </c>
      <c r="BR110" s="48">
        <f t="shared" si="253"/>
        <v>0</v>
      </c>
      <c r="BS110" s="48">
        <f t="shared" si="253"/>
        <v>0</v>
      </c>
      <c r="BT110" s="48">
        <f t="shared" si="253"/>
        <v>0</v>
      </c>
      <c r="BU110" s="48">
        <f t="shared" si="253"/>
        <v>0</v>
      </c>
      <c r="BV110" s="48">
        <f t="shared" si="253"/>
        <v>0</v>
      </c>
      <c r="BW110" s="48">
        <f t="shared" si="253"/>
        <v>0</v>
      </c>
      <c r="BX110" s="48">
        <f t="shared" si="253"/>
        <v>0</v>
      </c>
      <c r="BY110" s="48">
        <f t="shared" si="253"/>
        <v>0</v>
      </c>
      <c r="BZ110" s="48">
        <f t="shared" si="253"/>
        <v>0</v>
      </c>
      <c r="CA110" s="48">
        <f t="shared" ref="CA110:EL110" si="254">$G110*CA102</f>
        <v>0</v>
      </c>
      <c r="CB110" s="48">
        <f t="shared" si="254"/>
        <v>0</v>
      </c>
      <c r="CC110" s="48">
        <f t="shared" si="254"/>
        <v>0</v>
      </c>
      <c r="CD110" s="48">
        <f t="shared" si="254"/>
        <v>0</v>
      </c>
      <c r="CE110" s="48">
        <f t="shared" si="254"/>
        <v>0</v>
      </c>
      <c r="CF110" s="48">
        <f t="shared" si="254"/>
        <v>0</v>
      </c>
      <c r="CG110" s="48">
        <f t="shared" si="254"/>
        <v>0</v>
      </c>
      <c r="CH110" s="48">
        <f t="shared" si="254"/>
        <v>0</v>
      </c>
      <c r="CI110" s="48">
        <f t="shared" si="254"/>
        <v>0</v>
      </c>
      <c r="CJ110" s="48">
        <f t="shared" si="254"/>
        <v>0</v>
      </c>
      <c r="CK110" s="48">
        <f t="shared" si="254"/>
        <v>0</v>
      </c>
      <c r="CL110" s="48">
        <f t="shared" si="254"/>
        <v>0</v>
      </c>
      <c r="CM110" s="48">
        <f t="shared" si="254"/>
        <v>0</v>
      </c>
      <c r="CN110" s="48">
        <f t="shared" si="254"/>
        <v>0</v>
      </c>
      <c r="CO110" s="48">
        <f t="shared" si="254"/>
        <v>0</v>
      </c>
      <c r="CP110" s="48">
        <f t="shared" si="254"/>
        <v>0</v>
      </c>
      <c r="CQ110" s="48">
        <f t="shared" si="254"/>
        <v>0</v>
      </c>
      <c r="CR110" s="48">
        <f t="shared" si="254"/>
        <v>0</v>
      </c>
      <c r="CS110" s="48">
        <f t="shared" si="254"/>
        <v>0</v>
      </c>
      <c r="CT110" s="48">
        <f t="shared" si="254"/>
        <v>0</v>
      </c>
      <c r="CU110" s="48">
        <f t="shared" si="254"/>
        <v>0</v>
      </c>
      <c r="CV110" s="48">
        <f t="shared" si="254"/>
        <v>0</v>
      </c>
      <c r="CW110" s="48">
        <f t="shared" si="254"/>
        <v>0</v>
      </c>
      <c r="CX110" s="48">
        <f t="shared" si="254"/>
        <v>0</v>
      </c>
      <c r="CY110" s="48">
        <f t="shared" si="254"/>
        <v>0</v>
      </c>
      <c r="CZ110" s="48">
        <f t="shared" si="254"/>
        <v>0</v>
      </c>
      <c r="DA110" s="48">
        <f t="shared" si="254"/>
        <v>0</v>
      </c>
      <c r="DB110" s="48">
        <f t="shared" si="254"/>
        <v>0</v>
      </c>
      <c r="DC110" s="48">
        <f t="shared" si="254"/>
        <v>0</v>
      </c>
      <c r="DD110" s="48">
        <f t="shared" si="254"/>
        <v>0</v>
      </c>
      <c r="DE110" s="48">
        <f t="shared" si="254"/>
        <v>0</v>
      </c>
      <c r="DF110" s="48">
        <f t="shared" si="254"/>
        <v>0</v>
      </c>
      <c r="DG110" s="48">
        <f t="shared" si="254"/>
        <v>0</v>
      </c>
      <c r="DH110" s="48">
        <f t="shared" si="254"/>
        <v>0</v>
      </c>
      <c r="DI110" s="48">
        <f t="shared" si="254"/>
        <v>0</v>
      </c>
      <c r="DJ110" s="48">
        <f t="shared" si="254"/>
        <v>0</v>
      </c>
      <c r="DK110" s="48">
        <f t="shared" si="254"/>
        <v>0</v>
      </c>
      <c r="DL110" s="48">
        <f t="shared" si="254"/>
        <v>0</v>
      </c>
      <c r="DM110" s="48">
        <f t="shared" si="254"/>
        <v>0</v>
      </c>
      <c r="DN110" s="48">
        <f t="shared" si="254"/>
        <v>0</v>
      </c>
      <c r="DO110" s="48">
        <f t="shared" si="254"/>
        <v>0</v>
      </c>
      <c r="DP110" s="48">
        <f t="shared" si="254"/>
        <v>0</v>
      </c>
      <c r="DQ110" s="48">
        <f t="shared" si="254"/>
        <v>0</v>
      </c>
      <c r="DR110" s="48">
        <f t="shared" si="254"/>
        <v>0</v>
      </c>
      <c r="DS110" s="48">
        <f t="shared" si="254"/>
        <v>0</v>
      </c>
      <c r="DT110" s="48">
        <f t="shared" si="254"/>
        <v>0</v>
      </c>
      <c r="DU110" s="48">
        <f t="shared" si="254"/>
        <v>0</v>
      </c>
      <c r="DV110" s="48">
        <f t="shared" si="254"/>
        <v>0</v>
      </c>
      <c r="DW110" s="48">
        <f t="shared" si="254"/>
        <v>0</v>
      </c>
      <c r="DX110" s="48">
        <f t="shared" si="254"/>
        <v>0</v>
      </c>
      <c r="DY110" s="48">
        <f t="shared" si="254"/>
        <v>0</v>
      </c>
      <c r="DZ110" s="48">
        <f t="shared" si="254"/>
        <v>0</v>
      </c>
      <c r="EA110" s="48">
        <f t="shared" si="254"/>
        <v>0</v>
      </c>
      <c r="EB110" s="48">
        <f t="shared" si="254"/>
        <v>0</v>
      </c>
      <c r="EC110" s="48">
        <f t="shared" si="254"/>
        <v>0</v>
      </c>
      <c r="ED110" s="48">
        <f t="shared" si="254"/>
        <v>0</v>
      </c>
      <c r="EE110" s="48">
        <f t="shared" si="254"/>
        <v>0</v>
      </c>
      <c r="EF110" s="48">
        <f t="shared" si="254"/>
        <v>0</v>
      </c>
      <c r="EG110" s="48">
        <f t="shared" si="254"/>
        <v>0</v>
      </c>
      <c r="EH110" s="48">
        <f t="shared" si="254"/>
        <v>0</v>
      </c>
      <c r="EI110" s="48">
        <f t="shared" si="254"/>
        <v>0</v>
      </c>
      <c r="EJ110" s="48">
        <f t="shared" si="254"/>
        <v>0</v>
      </c>
      <c r="EK110" s="48">
        <f t="shared" si="254"/>
        <v>0</v>
      </c>
      <c r="EL110" s="48">
        <f t="shared" si="254"/>
        <v>0</v>
      </c>
      <c r="EM110" s="48">
        <f t="shared" ref="EM110:GX110" si="255">$G110*EM102</f>
        <v>0</v>
      </c>
      <c r="EN110" s="48">
        <f t="shared" si="255"/>
        <v>0</v>
      </c>
      <c r="EO110" s="48">
        <f t="shared" si="255"/>
        <v>0</v>
      </c>
      <c r="EP110" s="48">
        <f t="shared" si="255"/>
        <v>0</v>
      </c>
      <c r="EQ110" s="48">
        <f t="shared" si="255"/>
        <v>0</v>
      </c>
      <c r="ER110" s="48">
        <f t="shared" si="255"/>
        <v>0</v>
      </c>
      <c r="ES110" s="48">
        <f t="shared" si="255"/>
        <v>0</v>
      </c>
      <c r="ET110" s="48">
        <f t="shared" si="255"/>
        <v>0</v>
      </c>
      <c r="EU110" s="48">
        <f t="shared" si="255"/>
        <v>0</v>
      </c>
      <c r="EV110" s="48">
        <f t="shared" si="255"/>
        <v>0</v>
      </c>
      <c r="EW110" s="48">
        <f t="shared" si="255"/>
        <v>0</v>
      </c>
      <c r="EX110" s="48">
        <f t="shared" si="255"/>
        <v>0</v>
      </c>
      <c r="EY110" s="48">
        <f t="shared" si="255"/>
        <v>0</v>
      </c>
      <c r="EZ110" s="48">
        <f t="shared" si="255"/>
        <v>0</v>
      </c>
      <c r="FA110" s="48">
        <f t="shared" si="255"/>
        <v>0</v>
      </c>
      <c r="FB110" s="48">
        <f t="shared" si="255"/>
        <v>0</v>
      </c>
      <c r="FC110" s="48">
        <f t="shared" si="255"/>
        <v>0</v>
      </c>
      <c r="FD110" s="48">
        <f t="shared" si="255"/>
        <v>0</v>
      </c>
      <c r="FE110" s="48">
        <f t="shared" si="255"/>
        <v>0</v>
      </c>
      <c r="FF110" s="48">
        <f t="shared" si="255"/>
        <v>0</v>
      </c>
      <c r="FG110" s="48">
        <f t="shared" si="255"/>
        <v>0</v>
      </c>
      <c r="FH110" s="48">
        <f t="shared" si="255"/>
        <v>0</v>
      </c>
      <c r="FI110" s="48">
        <f t="shared" si="255"/>
        <v>0</v>
      </c>
      <c r="FJ110" s="48">
        <f t="shared" si="255"/>
        <v>0</v>
      </c>
      <c r="FK110" s="48">
        <f t="shared" si="255"/>
        <v>0</v>
      </c>
      <c r="FL110" s="48">
        <f t="shared" si="255"/>
        <v>0</v>
      </c>
      <c r="FM110" s="48">
        <f t="shared" si="255"/>
        <v>0</v>
      </c>
      <c r="FN110" s="48">
        <f t="shared" si="255"/>
        <v>0</v>
      </c>
      <c r="FO110" s="48">
        <f t="shared" si="255"/>
        <v>0</v>
      </c>
      <c r="FP110" s="48">
        <f t="shared" si="255"/>
        <v>0</v>
      </c>
      <c r="FQ110" s="48">
        <f t="shared" si="255"/>
        <v>0</v>
      </c>
      <c r="FR110" s="48">
        <f t="shared" si="255"/>
        <v>0</v>
      </c>
      <c r="FS110" s="48">
        <f t="shared" si="255"/>
        <v>0</v>
      </c>
      <c r="FT110" s="48">
        <f t="shared" si="255"/>
        <v>0</v>
      </c>
      <c r="FU110" s="48">
        <f t="shared" si="255"/>
        <v>0</v>
      </c>
      <c r="FV110" s="48">
        <f t="shared" si="255"/>
        <v>0</v>
      </c>
      <c r="FW110" s="48">
        <f t="shared" si="255"/>
        <v>0</v>
      </c>
      <c r="FX110" s="48">
        <f t="shared" si="255"/>
        <v>0</v>
      </c>
      <c r="FY110" s="48">
        <f t="shared" si="255"/>
        <v>0</v>
      </c>
      <c r="FZ110" s="48">
        <f t="shared" si="255"/>
        <v>0</v>
      </c>
      <c r="GA110" s="48">
        <f t="shared" si="255"/>
        <v>0</v>
      </c>
      <c r="GB110" s="48">
        <f t="shared" si="255"/>
        <v>0</v>
      </c>
      <c r="GC110" s="48">
        <f t="shared" si="255"/>
        <v>0</v>
      </c>
      <c r="GD110" s="48">
        <f t="shared" si="255"/>
        <v>0</v>
      </c>
      <c r="GE110" s="48">
        <f t="shared" si="255"/>
        <v>0</v>
      </c>
      <c r="GF110" s="48">
        <f t="shared" si="255"/>
        <v>0</v>
      </c>
      <c r="GG110" s="48">
        <f t="shared" si="255"/>
        <v>0</v>
      </c>
      <c r="GH110" s="48">
        <f t="shared" si="255"/>
        <v>0</v>
      </c>
      <c r="GI110" s="48">
        <f t="shared" si="255"/>
        <v>0</v>
      </c>
      <c r="GJ110" s="48">
        <f t="shared" si="255"/>
        <v>0</v>
      </c>
      <c r="GK110" s="48">
        <f t="shared" si="255"/>
        <v>0</v>
      </c>
      <c r="GL110" s="48">
        <f t="shared" si="255"/>
        <v>0</v>
      </c>
      <c r="GM110" s="48">
        <f t="shared" si="255"/>
        <v>0</v>
      </c>
      <c r="GN110" s="48">
        <f t="shared" si="255"/>
        <v>0</v>
      </c>
      <c r="GO110" s="48">
        <f t="shared" si="255"/>
        <v>0</v>
      </c>
      <c r="GP110" s="48">
        <f t="shared" si="255"/>
        <v>0</v>
      </c>
      <c r="GQ110" s="48">
        <f t="shared" si="255"/>
        <v>0</v>
      </c>
      <c r="GR110" s="48">
        <f t="shared" si="255"/>
        <v>0</v>
      </c>
      <c r="GS110" s="48">
        <f t="shared" si="255"/>
        <v>0</v>
      </c>
      <c r="GT110" s="48">
        <f t="shared" si="255"/>
        <v>0</v>
      </c>
      <c r="GU110" s="48">
        <f t="shared" si="255"/>
        <v>0</v>
      </c>
      <c r="GV110" s="48">
        <f t="shared" si="255"/>
        <v>0</v>
      </c>
      <c r="GW110" s="48">
        <f t="shared" si="255"/>
        <v>0</v>
      </c>
      <c r="GX110" s="48">
        <f t="shared" si="255"/>
        <v>0</v>
      </c>
      <c r="GY110" s="48">
        <f t="shared" ref="GY110:JJ110" si="256">$G110*GY102</f>
        <v>0</v>
      </c>
      <c r="GZ110" s="48">
        <f t="shared" si="256"/>
        <v>0</v>
      </c>
      <c r="HA110" s="48">
        <f t="shared" si="256"/>
        <v>0</v>
      </c>
      <c r="HB110" s="48">
        <f t="shared" si="256"/>
        <v>0</v>
      </c>
      <c r="HC110" s="48">
        <f t="shared" si="256"/>
        <v>0</v>
      </c>
      <c r="HD110" s="48">
        <f t="shared" si="256"/>
        <v>0</v>
      </c>
      <c r="HE110" s="48">
        <f t="shared" si="256"/>
        <v>0</v>
      </c>
      <c r="HF110" s="48">
        <f t="shared" si="256"/>
        <v>0</v>
      </c>
      <c r="HG110" s="48">
        <f t="shared" si="256"/>
        <v>0</v>
      </c>
      <c r="HH110" s="48">
        <f t="shared" si="256"/>
        <v>0</v>
      </c>
      <c r="HI110" s="48">
        <f t="shared" si="256"/>
        <v>0</v>
      </c>
      <c r="HJ110" s="48">
        <f t="shared" si="256"/>
        <v>0</v>
      </c>
      <c r="HK110" s="48">
        <f t="shared" si="256"/>
        <v>0</v>
      </c>
      <c r="HL110" s="48">
        <f t="shared" si="256"/>
        <v>0</v>
      </c>
      <c r="HM110" s="48">
        <f t="shared" si="256"/>
        <v>0</v>
      </c>
      <c r="HN110" s="48">
        <f t="shared" si="256"/>
        <v>0</v>
      </c>
      <c r="HO110" s="48">
        <f t="shared" si="256"/>
        <v>0</v>
      </c>
      <c r="HP110" s="48">
        <f t="shared" si="256"/>
        <v>0</v>
      </c>
      <c r="HQ110" s="48">
        <f t="shared" si="256"/>
        <v>0</v>
      </c>
      <c r="HR110" s="48">
        <f t="shared" si="256"/>
        <v>0</v>
      </c>
      <c r="HS110" s="48">
        <f t="shared" si="256"/>
        <v>0</v>
      </c>
      <c r="HT110" s="48">
        <f t="shared" si="256"/>
        <v>0</v>
      </c>
      <c r="HU110" s="48">
        <f t="shared" si="256"/>
        <v>0</v>
      </c>
      <c r="HV110" s="48">
        <f t="shared" si="256"/>
        <v>0</v>
      </c>
      <c r="HW110" s="48">
        <f t="shared" si="256"/>
        <v>0</v>
      </c>
      <c r="HX110" s="48">
        <f t="shared" si="256"/>
        <v>0</v>
      </c>
      <c r="HY110" s="48">
        <f t="shared" si="256"/>
        <v>0</v>
      </c>
      <c r="HZ110" s="48">
        <f t="shared" si="256"/>
        <v>0</v>
      </c>
      <c r="IA110" s="48">
        <f t="shared" si="256"/>
        <v>0</v>
      </c>
      <c r="IB110" s="48">
        <f t="shared" si="256"/>
        <v>0</v>
      </c>
      <c r="IC110" s="48">
        <f t="shared" si="256"/>
        <v>0</v>
      </c>
      <c r="ID110" s="48">
        <f t="shared" si="256"/>
        <v>0</v>
      </c>
      <c r="IE110" s="48">
        <f t="shared" si="256"/>
        <v>0</v>
      </c>
      <c r="IF110" s="48">
        <f t="shared" si="256"/>
        <v>0</v>
      </c>
      <c r="IG110" s="48">
        <f t="shared" si="256"/>
        <v>0</v>
      </c>
      <c r="IH110" s="48">
        <f t="shared" si="256"/>
        <v>0</v>
      </c>
      <c r="II110" s="48">
        <f t="shared" si="256"/>
        <v>0</v>
      </c>
      <c r="IJ110" s="48">
        <f t="shared" si="256"/>
        <v>0</v>
      </c>
      <c r="IK110" s="48">
        <f t="shared" si="256"/>
        <v>0</v>
      </c>
      <c r="IL110" s="48">
        <f t="shared" si="256"/>
        <v>0</v>
      </c>
      <c r="IM110" s="48">
        <f t="shared" si="256"/>
        <v>0</v>
      </c>
      <c r="IN110" s="48">
        <f t="shared" si="256"/>
        <v>0</v>
      </c>
      <c r="IO110" s="48">
        <f t="shared" si="256"/>
        <v>0</v>
      </c>
      <c r="IP110" s="48">
        <f t="shared" si="256"/>
        <v>0</v>
      </c>
      <c r="IQ110" s="48">
        <f t="shared" si="256"/>
        <v>0</v>
      </c>
      <c r="IR110" s="48">
        <f t="shared" si="256"/>
        <v>0</v>
      </c>
      <c r="IS110" s="48">
        <f t="shared" si="256"/>
        <v>0</v>
      </c>
      <c r="IT110" s="48">
        <f t="shared" si="256"/>
        <v>0</v>
      </c>
      <c r="IU110" s="48">
        <f t="shared" si="256"/>
        <v>0</v>
      </c>
      <c r="IV110" s="48">
        <f t="shared" si="256"/>
        <v>0</v>
      </c>
      <c r="IW110" s="48">
        <f t="shared" si="256"/>
        <v>0</v>
      </c>
      <c r="IX110" s="48">
        <f t="shared" si="256"/>
        <v>0</v>
      </c>
      <c r="IY110" s="48">
        <f t="shared" si="256"/>
        <v>0</v>
      </c>
      <c r="IZ110" s="48">
        <f t="shared" si="256"/>
        <v>0</v>
      </c>
      <c r="JA110" s="48">
        <f t="shared" si="256"/>
        <v>0</v>
      </c>
      <c r="JB110" s="48">
        <f t="shared" si="256"/>
        <v>0</v>
      </c>
      <c r="JC110" s="48">
        <f t="shared" si="256"/>
        <v>0</v>
      </c>
      <c r="JD110" s="48">
        <f t="shared" si="256"/>
        <v>0</v>
      </c>
      <c r="JE110" s="48">
        <f t="shared" si="256"/>
        <v>0</v>
      </c>
      <c r="JF110" s="48">
        <f t="shared" si="256"/>
        <v>0</v>
      </c>
      <c r="JG110" s="48">
        <f t="shared" si="256"/>
        <v>0</v>
      </c>
      <c r="JH110" s="48">
        <f t="shared" si="256"/>
        <v>0</v>
      </c>
      <c r="JI110" s="48">
        <f t="shared" si="256"/>
        <v>0</v>
      </c>
      <c r="JJ110" s="48">
        <f t="shared" si="256"/>
        <v>0</v>
      </c>
      <c r="JK110" s="48">
        <f t="shared" ref="JK110:KI110" si="257">$G110*JK102</f>
        <v>0</v>
      </c>
      <c r="JL110" s="48">
        <f t="shared" si="257"/>
        <v>0</v>
      </c>
      <c r="JM110" s="48">
        <f t="shared" si="257"/>
        <v>0</v>
      </c>
      <c r="JN110" s="48">
        <f t="shared" si="257"/>
        <v>0</v>
      </c>
      <c r="JO110" s="48">
        <f t="shared" si="257"/>
        <v>0</v>
      </c>
      <c r="JP110" s="48">
        <f t="shared" si="257"/>
        <v>0</v>
      </c>
      <c r="JQ110" s="48">
        <f t="shared" si="257"/>
        <v>0</v>
      </c>
      <c r="JR110" s="48">
        <f t="shared" si="257"/>
        <v>0</v>
      </c>
      <c r="JS110" s="48">
        <f t="shared" si="257"/>
        <v>0</v>
      </c>
      <c r="JT110" s="48">
        <f t="shared" si="257"/>
        <v>0</v>
      </c>
      <c r="JU110" s="48">
        <f t="shared" si="257"/>
        <v>0</v>
      </c>
      <c r="JV110" s="48">
        <f t="shared" si="257"/>
        <v>0</v>
      </c>
      <c r="JW110" s="48">
        <f t="shared" si="257"/>
        <v>0</v>
      </c>
      <c r="JX110" s="48">
        <f t="shared" si="257"/>
        <v>0</v>
      </c>
      <c r="JY110" s="48">
        <f t="shared" si="257"/>
        <v>0</v>
      </c>
      <c r="JZ110" s="48">
        <f t="shared" si="257"/>
        <v>0</v>
      </c>
      <c r="KA110" s="48">
        <f t="shared" si="257"/>
        <v>0</v>
      </c>
      <c r="KB110" s="48">
        <f t="shared" si="257"/>
        <v>0</v>
      </c>
      <c r="KC110" s="48">
        <f t="shared" si="257"/>
        <v>0</v>
      </c>
      <c r="KD110" s="48">
        <f t="shared" si="257"/>
        <v>0</v>
      </c>
      <c r="KE110" s="48">
        <f t="shared" si="257"/>
        <v>0</v>
      </c>
      <c r="KF110" s="48">
        <f t="shared" si="257"/>
        <v>0</v>
      </c>
      <c r="KG110" s="48">
        <f t="shared" si="257"/>
        <v>0</v>
      </c>
      <c r="KH110" s="48">
        <f t="shared" si="257"/>
        <v>0</v>
      </c>
      <c r="KI110" s="48">
        <f t="shared" si="257"/>
        <v>0</v>
      </c>
      <c r="KJ110" s="1"/>
    </row>
    <row r="111" spans="7:296" x14ac:dyDescent="0.35">
      <c r="H111" s="13" t="s">
        <v>49</v>
      </c>
      <c r="M111" s="15" t="s">
        <v>126</v>
      </c>
      <c r="N111" s="48">
        <f>-IFERROR(INDEX(Control!$H$81:$H$90,MATCH(N105,Control!$G$81:$G$90,0)),0)</f>
        <v>0</v>
      </c>
      <c r="O111" s="48">
        <f>-IFERROR(INDEX(Control!$H$81:$H$90,MATCH(O105,Control!$G$81:$G$90,0)),0)</f>
        <v>0</v>
      </c>
      <c r="P111" s="48">
        <f>-IFERROR(INDEX(Control!$H$81:$H$90,MATCH(P105,Control!$G$81:$G$90,0)),0)</f>
        <v>0</v>
      </c>
      <c r="Q111" s="48">
        <f>-IFERROR(INDEX(Control!$H$81:$H$90,MATCH(Q105,Control!$G$81:$G$90,0)),0)</f>
        <v>0</v>
      </c>
      <c r="R111" s="48">
        <f>-IFERROR(INDEX(Control!$H$81:$H$90,MATCH(R105,Control!$G$81:$G$90,0)),0)</f>
        <v>0</v>
      </c>
      <c r="S111" s="48">
        <f>-IFERROR(INDEX(Control!$H$81:$H$90,MATCH(S105,Control!$G$81:$G$90,0)),0)</f>
        <v>0</v>
      </c>
      <c r="T111" s="48">
        <f>-IFERROR(INDEX(Control!$H$81:$H$90,MATCH(T105,Control!$G$81:$G$90,0)),0)</f>
        <v>0</v>
      </c>
      <c r="U111" s="48">
        <f>-IFERROR(INDEX(Control!$H$81:$H$90,MATCH(U105,Control!$G$81:$G$90,0)),0)</f>
        <v>0</v>
      </c>
      <c r="V111" s="48">
        <f>-IFERROR(INDEX(Control!$H$81:$H$90,MATCH(V105,Control!$G$81:$G$90,0)),0)</f>
        <v>-25</v>
      </c>
      <c r="W111" s="48">
        <f>-IFERROR(INDEX(Control!$H$81:$H$90,MATCH(W105,Control!$G$81:$G$90,0)),0)</f>
        <v>0</v>
      </c>
      <c r="X111" s="48">
        <f>-IFERROR(INDEX(Control!$H$81:$H$90,MATCH(X105,Control!$G$81:$G$90,0)),0)</f>
        <v>0</v>
      </c>
      <c r="Y111" s="48">
        <f>-IFERROR(INDEX(Control!$H$81:$H$90,MATCH(Y105,Control!$G$81:$G$90,0)),0)</f>
        <v>0</v>
      </c>
      <c r="Z111" s="48">
        <f>-IFERROR(INDEX(Control!$H$81:$H$90,MATCH(Z105,Control!$G$81:$G$90,0)),0)</f>
        <v>0</v>
      </c>
      <c r="AA111" s="48">
        <f>-IFERROR(INDEX(Control!$H$81:$H$90,MATCH(AA105,Control!$G$81:$G$90,0)),0)</f>
        <v>0</v>
      </c>
      <c r="AB111" s="48">
        <f>-IFERROR(INDEX(Control!$H$81:$H$90,MATCH(AB105,Control!$G$81:$G$90,0)),0)</f>
        <v>-25</v>
      </c>
      <c r="AC111" s="48">
        <f>-IFERROR(INDEX(Control!$H$81:$H$90,MATCH(AC105,Control!$G$81:$G$90,0)),0)</f>
        <v>0</v>
      </c>
      <c r="AD111" s="48">
        <f>-IFERROR(INDEX(Control!$H$81:$H$90,MATCH(AD105,Control!$G$81:$G$90,0)),0)</f>
        <v>0</v>
      </c>
      <c r="AE111" s="48">
        <f>-IFERROR(INDEX(Control!$H$81:$H$90,MATCH(AE105,Control!$G$81:$G$90,0)),0)</f>
        <v>0</v>
      </c>
      <c r="AF111" s="48">
        <f>-IFERROR(INDEX(Control!$H$81:$H$90,MATCH(AF105,Control!$G$81:$G$90,0)),0)</f>
        <v>0</v>
      </c>
      <c r="AG111" s="48">
        <f>-IFERROR(INDEX(Control!$H$81:$H$90,MATCH(AG105,Control!$G$81:$G$90,0)),0)</f>
        <v>0</v>
      </c>
      <c r="AH111" s="48">
        <f>-IFERROR(INDEX(Control!$H$81:$H$90,MATCH(AH105,Control!$G$81:$G$90,0)),0)</f>
        <v>-25</v>
      </c>
      <c r="AI111" s="48">
        <f>-IFERROR(INDEX(Control!$H$81:$H$90,MATCH(AI105,Control!$G$81:$G$90,0)),0)</f>
        <v>0</v>
      </c>
      <c r="AJ111" s="48">
        <f>-IFERROR(INDEX(Control!$H$81:$H$90,MATCH(AJ105,Control!$G$81:$G$90,0)),0)</f>
        <v>0</v>
      </c>
      <c r="AK111" s="48">
        <f>-IFERROR(INDEX(Control!$H$81:$H$90,MATCH(AK105,Control!$G$81:$G$90,0)),0)</f>
        <v>0</v>
      </c>
      <c r="AL111" s="48">
        <f>-IFERROR(INDEX(Control!$H$81:$H$90,MATCH(AL105,Control!$G$81:$G$90,0)),0)</f>
        <v>0</v>
      </c>
      <c r="AM111" s="48">
        <f>-IFERROR(INDEX(Control!$H$81:$H$90,MATCH(AM105,Control!$G$81:$G$90,0)),0)</f>
        <v>0</v>
      </c>
      <c r="AN111" s="48">
        <f>-IFERROR(INDEX(Control!$H$81:$H$90,MATCH(AN105,Control!$G$81:$G$90,0)),0)</f>
        <v>-25</v>
      </c>
      <c r="AO111" s="48">
        <f>-IFERROR(INDEX(Control!$H$81:$H$90,MATCH(AO105,Control!$G$81:$G$90,0)),0)</f>
        <v>0</v>
      </c>
      <c r="AP111" s="48">
        <f>-IFERROR(INDEX(Control!$H$81:$H$90,MATCH(AP105,Control!$G$81:$G$90,0)),0)</f>
        <v>0</v>
      </c>
      <c r="AQ111" s="48">
        <f>-IFERROR(INDEX(Control!$H$81:$H$90,MATCH(AQ105,Control!$G$81:$G$90,0)),0)</f>
        <v>0</v>
      </c>
      <c r="AR111" s="48">
        <f>-IFERROR(INDEX(Control!$H$81:$H$90,MATCH(AR105,Control!$G$81:$G$90,0)),0)</f>
        <v>0</v>
      </c>
      <c r="AS111" s="48">
        <f>-IFERROR(INDEX(Control!$H$81:$H$90,MATCH(AS105,Control!$G$81:$G$90,0)),0)</f>
        <v>0</v>
      </c>
      <c r="AT111" s="48">
        <f>-IFERROR(INDEX(Control!$H$81:$H$90,MATCH(AT105,Control!$G$81:$G$90,0)),0)</f>
        <v>-25</v>
      </c>
      <c r="AU111" s="48">
        <f>-IFERROR(INDEX(Control!$H$81:$H$90,MATCH(AU105,Control!$G$81:$G$90,0)),0)</f>
        <v>0</v>
      </c>
      <c r="AV111" s="48">
        <f>-IFERROR(INDEX(Control!$H$81:$H$90,MATCH(AV105,Control!$G$81:$G$90,0)),0)</f>
        <v>0</v>
      </c>
      <c r="AW111" s="48">
        <f>-IFERROR(INDEX(Control!$H$81:$H$90,MATCH(AW105,Control!$G$81:$G$90,0)),0)</f>
        <v>0</v>
      </c>
      <c r="AX111" s="48">
        <f>-IFERROR(INDEX(Control!$H$81:$H$90,MATCH(AX105,Control!$G$81:$G$90,0)),0)</f>
        <v>0</v>
      </c>
      <c r="AY111" s="48">
        <f>-IFERROR(INDEX(Control!$H$81:$H$90,MATCH(AY105,Control!$G$81:$G$90,0)),0)</f>
        <v>0</v>
      </c>
      <c r="AZ111" s="48">
        <f>-IFERROR(INDEX(Control!$H$81:$H$90,MATCH(AZ105,Control!$G$81:$G$90,0)),0)</f>
        <v>-25</v>
      </c>
      <c r="BA111" s="48">
        <f>-IFERROR(INDEX(Control!$H$81:$H$90,MATCH(BA105,Control!$G$81:$G$90,0)),0)</f>
        <v>0</v>
      </c>
      <c r="BB111" s="48">
        <f>-IFERROR(INDEX(Control!$H$81:$H$90,MATCH(BB105,Control!$G$81:$G$90,0)),0)</f>
        <v>0</v>
      </c>
      <c r="BC111" s="48">
        <f>-IFERROR(INDEX(Control!$H$81:$H$90,MATCH(BC105,Control!$G$81:$G$90,0)),0)</f>
        <v>0</v>
      </c>
      <c r="BD111" s="48">
        <f>-IFERROR(INDEX(Control!$H$81:$H$90,MATCH(BD105,Control!$G$81:$G$90,0)),0)</f>
        <v>0</v>
      </c>
      <c r="BE111" s="48">
        <f>-IFERROR(INDEX(Control!$H$81:$H$90,MATCH(BE105,Control!$G$81:$G$90,0)),0)</f>
        <v>0</v>
      </c>
      <c r="BF111" s="48">
        <f>-IFERROR(INDEX(Control!$H$81:$H$90,MATCH(BF105,Control!$G$81:$G$90,0)),0)</f>
        <v>-25</v>
      </c>
      <c r="BG111" s="48">
        <f>-IFERROR(INDEX(Control!$H$81:$H$90,MATCH(BG105,Control!$G$81:$G$90,0)),0)</f>
        <v>0</v>
      </c>
      <c r="BH111" s="48">
        <f>-IFERROR(INDEX(Control!$H$81:$H$90,MATCH(BH105,Control!$G$81:$G$90,0)),0)</f>
        <v>0</v>
      </c>
      <c r="BI111" s="48">
        <f>-IFERROR(INDEX(Control!$H$81:$H$90,MATCH(BI105,Control!$G$81:$G$90,0)),0)</f>
        <v>0</v>
      </c>
      <c r="BJ111" s="48">
        <f>-IFERROR(INDEX(Control!$H$81:$H$90,MATCH(BJ105,Control!$G$81:$G$90,0)),0)</f>
        <v>0</v>
      </c>
      <c r="BK111" s="48">
        <f>-IFERROR(INDEX(Control!$H$81:$H$90,MATCH(BK105,Control!$G$81:$G$90,0)),0)</f>
        <v>0</v>
      </c>
      <c r="BL111" s="48">
        <f>-IFERROR(INDEX(Control!$H$81:$H$90,MATCH(BL105,Control!$G$81:$G$90,0)),0)</f>
        <v>-25</v>
      </c>
      <c r="BM111" s="48">
        <f>-IFERROR(INDEX(Control!$H$81:$H$90,MATCH(BM105,Control!$G$81:$G$90,0)),0)</f>
        <v>0</v>
      </c>
      <c r="BN111" s="48">
        <f>-IFERROR(INDEX(Control!$H$81:$H$90,MATCH(BN105,Control!$G$81:$G$90,0)),0)</f>
        <v>0</v>
      </c>
      <c r="BO111" s="48">
        <f>-IFERROR(INDEX(Control!$H$81:$H$90,MATCH(BO105,Control!$G$81:$G$90,0)),0)</f>
        <v>0</v>
      </c>
      <c r="BP111" s="48">
        <f>-IFERROR(INDEX(Control!$H$81:$H$90,MATCH(BP105,Control!$G$81:$G$90,0)),0)</f>
        <v>0</v>
      </c>
      <c r="BQ111" s="48">
        <f>-IFERROR(INDEX(Control!$H$81:$H$90,MATCH(BQ105,Control!$G$81:$G$90,0)),0)</f>
        <v>0</v>
      </c>
      <c r="BR111" s="48">
        <f>-IFERROR(INDEX(Control!$H$81:$H$90,MATCH(BR105,Control!$G$81:$G$90,0)),0)</f>
        <v>-25</v>
      </c>
      <c r="BS111" s="48">
        <f>-IFERROR(INDEX(Control!$H$81:$H$90,MATCH(BS105,Control!$G$81:$G$90,0)),0)</f>
        <v>0</v>
      </c>
      <c r="BT111" s="48">
        <f>-IFERROR(INDEX(Control!$H$81:$H$90,MATCH(BT105,Control!$G$81:$G$90,0)),0)</f>
        <v>0</v>
      </c>
      <c r="BU111" s="48">
        <f>-IFERROR(INDEX(Control!$H$81:$H$90,MATCH(BU105,Control!$G$81:$G$90,0)),0)</f>
        <v>0</v>
      </c>
      <c r="BV111" s="48">
        <f>-IFERROR(INDEX(Control!$H$81:$H$90,MATCH(BV105,Control!$G$81:$G$90,0)),0)</f>
        <v>0</v>
      </c>
      <c r="BW111" s="48">
        <f>-IFERROR(INDEX(Control!$H$81:$H$90,MATCH(BW105,Control!$G$81:$G$90,0)),0)</f>
        <v>0</v>
      </c>
      <c r="BX111" s="48">
        <f>-IFERROR(INDEX(Control!$H$81:$H$90,MATCH(BX105,Control!$G$81:$G$90,0)),0)</f>
        <v>-25</v>
      </c>
      <c r="BY111" s="48">
        <f>-IFERROR(INDEX(Control!$H$81:$H$90,MATCH(BY105,Control!$G$81:$G$90,0)),0)</f>
        <v>0</v>
      </c>
      <c r="BZ111" s="48">
        <f>-IFERROR(INDEX(Control!$H$81:$H$90,MATCH(BZ105,Control!$G$81:$G$90,0)),0)</f>
        <v>0</v>
      </c>
      <c r="CA111" s="48">
        <f>-IFERROR(INDEX(Control!$H$81:$H$90,MATCH(CA105,Control!$G$81:$G$90,0)),0)</f>
        <v>0</v>
      </c>
      <c r="CB111" s="48">
        <f>-IFERROR(INDEX(Control!$H$81:$H$90,MATCH(CB105,Control!$G$81:$G$90,0)),0)</f>
        <v>0</v>
      </c>
      <c r="CC111" s="48">
        <f>-IFERROR(INDEX(Control!$H$81:$H$90,MATCH(CC105,Control!$G$81:$G$90,0)),0)</f>
        <v>0</v>
      </c>
      <c r="CD111" s="48">
        <f>-IFERROR(INDEX(Control!$H$81:$H$90,MATCH(CD105,Control!$G$81:$G$90,0)),0)</f>
        <v>0</v>
      </c>
      <c r="CE111" s="48">
        <f>-IFERROR(INDEX(Control!$H$81:$H$90,MATCH(CE105,Control!$G$81:$G$90,0)),0)</f>
        <v>0</v>
      </c>
      <c r="CF111" s="48">
        <f>-IFERROR(INDEX(Control!$H$81:$H$90,MATCH(CF105,Control!$G$81:$G$90,0)),0)</f>
        <v>0</v>
      </c>
      <c r="CG111" s="48">
        <f>-IFERROR(INDEX(Control!$H$81:$H$90,MATCH(CG105,Control!$G$81:$G$90,0)),0)</f>
        <v>0</v>
      </c>
      <c r="CH111" s="48">
        <f>-IFERROR(INDEX(Control!$H$81:$H$90,MATCH(CH105,Control!$G$81:$G$90,0)),0)</f>
        <v>0</v>
      </c>
      <c r="CI111" s="48">
        <f>-IFERROR(INDEX(Control!$H$81:$H$90,MATCH(CI105,Control!$G$81:$G$90,0)),0)</f>
        <v>0</v>
      </c>
      <c r="CJ111" s="48">
        <f>-IFERROR(INDEX(Control!$H$81:$H$90,MATCH(CJ105,Control!$G$81:$G$90,0)),0)</f>
        <v>0</v>
      </c>
      <c r="CK111" s="48">
        <f>-IFERROR(INDEX(Control!$H$81:$H$90,MATCH(CK105,Control!$G$81:$G$90,0)),0)</f>
        <v>0</v>
      </c>
      <c r="CL111" s="48">
        <f>-IFERROR(INDEX(Control!$H$81:$H$90,MATCH(CL105,Control!$G$81:$G$90,0)),0)</f>
        <v>0</v>
      </c>
      <c r="CM111" s="48">
        <f>-IFERROR(INDEX(Control!$H$81:$H$90,MATCH(CM105,Control!$G$81:$G$90,0)),0)</f>
        <v>0</v>
      </c>
      <c r="CN111" s="48">
        <f>-IFERROR(INDEX(Control!$H$81:$H$90,MATCH(CN105,Control!$G$81:$G$90,0)),0)</f>
        <v>0</v>
      </c>
      <c r="CO111" s="48">
        <f>-IFERROR(INDEX(Control!$H$81:$H$90,MATCH(CO105,Control!$G$81:$G$90,0)),0)</f>
        <v>0</v>
      </c>
      <c r="CP111" s="48">
        <f>-IFERROR(INDEX(Control!$H$81:$H$90,MATCH(CP105,Control!$G$81:$G$90,0)),0)</f>
        <v>0</v>
      </c>
      <c r="CQ111" s="48">
        <f>-IFERROR(INDEX(Control!$H$81:$H$90,MATCH(CQ105,Control!$G$81:$G$90,0)),0)</f>
        <v>0</v>
      </c>
      <c r="CR111" s="48">
        <f>-IFERROR(INDEX(Control!$H$81:$H$90,MATCH(CR105,Control!$G$81:$G$90,0)),0)</f>
        <v>0</v>
      </c>
      <c r="CS111" s="48">
        <f>-IFERROR(INDEX(Control!$H$81:$H$90,MATCH(CS105,Control!$G$81:$G$90,0)),0)</f>
        <v>0</v>
      </c>
      <c r="CT111" s="48">
        <f>-IFERROR(INDEX(Control!$H$81:$H$90,MATCH(CT105,Control!$G$81:$G$90,0)),0)</f>
        <v>0</v>
      </c>
      <c r="CU111" s="48">
        <f>-IFERROR(INDEX(Control!$H$81:$H$90,MATCH(CU105,Control!$G$81:$G$90,0)),0)</f>
        <v>0</v>
      </c>
      <c r="CV111" s="48">
        <f>-IFERROR(INDEX(Control!$H$81:$H$90,MATCH(CV105,Control!$G$81:$G$90,0)),0)</f>
        <v>0</v>
      </c>
      <c r="CW111" s="48">
        <f>-IFERROR(INDEX(Control!$H$81:$H$90,MATCH(CW105,Control!$G$81:$G$90,0)),0)</f>
        <v>0</v>
      </c>
      <c r="CX111" s="48">
        <f>-IFERROR(INDEX(Control!$H$81:$H$90,MATCH(CX105,Control!$G$81:$G$90,0)),0)</f>
        <v>0</v>
      </c>
      <c r="CY111" s="48">
        <f>-IFERROR(INDEX(Control!$H$81:$H$90,MATCH(CY105,Control!$G$81:$G$90,0)),0)</f>
        <v>0</v>
      </c>
      <c r="CZ111" s="48">
        <f>-IFERROR(INDEX(Control!$H$81:$H$90,MATCH(CZ105,Control!$G$81:$G$90,0)),0)</f>
        <v>0</v>
      </c>
      <c r="DA111" s="48">
        <f>-IFERROR(INDEX(Control!$H$81:$H$90,MATCH(DA105,Control!$G$81:$G$90,0)),0)</f>
        <v>0</v>
      </c>
      <c r="DB111" s="48">
        <f>-IFERROR(INDEX(Control!$H$81:$H$90,MATCH(DB105,Control!$G$81:$G$90,0)),0)</f>
        <v>0</v>
      </c>
      <c r="DC111" s="48">
        <f>-IFERROR(INDEX(Control!$H$81:$H$90,MATCH(DC105,Control!$G$81:$G$90,0)),0)</f>
        <v>0</v>
      </c>
      <c r="DD111" s="48">
        <f>-IFERROR(INDEX(Control!$H$81:$H$90,MATCH(DD105,Control!$G$81:$G$90,0)),0)</f>
        <v>0</v>
      </c>
      <c r="DE111" s="48">
        <f>-IFERROR(INDEX(Control!$H$81:$H$90,MATCH(DE105,Control!$G$81:$G$90,0)),0)</f>
        <v>0</v>
      </c>
      <c r="DF111" s="48">
        <f>-IFERROR(INDEX(Control!$H$81:$H$90,MATCH(DF105,Control!$G$81:$G$90,0)),0)</f>
        <v>0</v>
      </c>
      <c r="DG111" s="48">
        <f>-IFERROR(INDEX(Control!$H$81:$H$90,MATCH(DG105,Control!$G$81:$G$90,0)),0)</f>
        <v>0</v>
      </c>
      <c r="DH111" s="48">
        <f>-IFERROR(INDEX(Control!$H$81:$H$90,MATCH(DH105,Control!$G$81:$G$90,0)),0)</f>
        <v>0</v>
      </c>
      <c r="DI111" s="48">
        <f>-IFERROR(INDEX(Control!$H$81:$H$90,MATCH(DI105,Control!$G$81:$G$90,0)),0)</f>
        <v>0</v>
      </c>
      <c r="DJ111" s="48">
        <f>-IFERROR(INDEX(Control!$H$81:$H$90,MATCH(DJ105,Control!$G$81:$G$90,0)),0)</f>
        <v>0</v>
      </c>
      <c r="DK111" s="48">
        <f>-IFERROR(INDEX(Control!$H$81:$H$90,MATCH(DK105,Control!$G$81:$G$90,0)),0)</f>
        <v>0</v>
      </c>
      <c r="DL111" s="48">
        <f>-IFERROR(INDEX(Control!$H$81:$H$90,MATCH(DL105,Control!$G$81:$G$90,0)),0)</f>
        <v>0</v>
      </c>
      <c r="DM111" s="48">
        <f>-IFERROR(INDEX(Control!$H$81:$H$90,MATCH(DM105,Control!$G$81:$G$90,0)),0)</f>
        <v>0</v>
      </c>
      <c r="DN111" s="48">
        <f>-IFERROR(INDEX(Control!$H$81:$H$90,MATCH(DN105,Control!$G$81:$G$90,0)),0)</f>
        <v>0</v>
      </c>
      <c r="DO111" s="48">
        <f>-IFERROR(INDEX(Control!$H$81:$H$90,MATCH(DO105,Control!$G$81:$G$90,0)),0)</f>
        <v>0</v>
      </c>
      <c r="DP111" s="48">
        <f>-IFERROR(INDEX(Control!$H$81:$H$90,MATCH(DP105,Control!$G$81:$G$90,0)),0)</f>
        <v>0</v>
      </c>
      <c r="DQ111" s="48">
        <f>-IFERROR(INDEX(Control!$H$81:$H$90,MATCH(DQ105,Control!$G$81:$G$90,0)),0)</f>
        <v>0</v>
      </c>
      <c r="DR111" s="48">
        <f>-IFERROR(INDEX(Control!$H$81:$H$90,MATCH(DR105,Control!$G$81:$G$90,0)),0)</f>
        <v>0</v>
      </c>
      <c r="DS111" s="48">
        <f>-IFERROR(INDEX(Control!$H$81:$H$90,MATCH(DS105,Control!$G$81:$G$90,0)),0)</f>
        <v>0</v>
      </c>
      <c r="DT111" s="48">
        <f>-IFERROR(INDEX(Control!$H$81:$H$90,MATCH(DT105,Control!$G$81:$G$90,0)),0)</f>
        <v>0</v>
      </c>
      <c r="DU111" s="48">
        <f>-IFERROR(INDEX(Control!$H$81:$H$90,MATCH(DU105,Control!$G$81:$G$90,0)),0)</f>
        <v>0</v>
      </c>
      <c r="DV111" s="48">
        <f>-IFERROR(INDEX(Control!$H$81:$H$90,MATCH(DV105,Control!$G$81:$G$90,0)),0)</f>
        <v>0</v>
      </c>
      <c r="DW111" s="48">
        <f>-IFERROR(INDEX(Control!$H$81:$H$90,MATCH(DW105,Control!$G$81:$G$90,0)),0)</f>
        <v>0</v>
      </c>
      <c r="DX111" s="48">
        <f>-IFERROR(INDEX(Control!$H$81:$H$90,MATCH(DX105,Control!$G$81:$G$90,0)),0)</f>
        <v>0</v>
      </c>
      <c r="DY111" s="48">
        <f>-IFERROR(INDEX(Control!$H$81:$H$90,MATCH(DY105,Control!$G$81:$G$90,0)),0)</f>
        <v>0</v>
      </c>
      <c r="DZ111" s="48">
        <f>-IFERROR(INDEX(Control!$H$81:$H$90,MATCH(DZ105,Control!$G$81:$G$90,0)),0)</f>
        <v>0</v>
      </c>
      <c r="EA111" s="48">
        <f>-IFERROR(INDEX(Control!$H$81:$H$90,MATCH(EA105,Control!$G$81:$G$90,0)),0)</f>
        <v>0</v>
      </c>
      <c r="EB111" s="48">
        <f>-IFERROR(INDEX(Control!$H$81:$H$90,MATCH(EB105,Control!$G$81:$G$90,0)),0)</f>
        <v>0</v>
      </c>
      <c r="EC111" s="48">
        <f>-IFERROR(INDEX(Control!$H$81:$H$90,MATCH(EC105,Control!$G$81:$G$90,0)),0)</f>
        <v>0</v>
      </c>
      <c r="ED111" s="48">
        <f>-IFERROR(INDEX(Control!$H$81:$H$90,MATCH(ED105,Control!$G$81:$G$90,0)),0)</f>
        <v>0</v>
      </c>
      <c r="EE111" s="48">
        <f>-IFERROR(INDEX(Control!$H$81:$H$90,MATCH(EE105,Control!$G$81:$G$90,0)),0)</f>
        <v>0</v>
      </c>
      <c r="EF111" s="48">
        <f>-IFERROR(INDEX(Control!$H$81:$H$90,MATCH(EF105,Control!$G$81:$G$90,0)),0)</f>
        <v>0</v>
      </c>
      <c r="EG111" s="48">
        <f>-IFERROR(INDEX(Control!$H$81:$H$90,MATCH(EG105,Control!$G$81:$G$90,0)),0)</f>
        <v>0</v>
      </c>
      <c r="EH111" s="48">
        <f>-IFERROR(INDEX(Control!$H$81:$H$90,MATCH(EH105,Control!$G$81:$G$90,0)),0)</f>
        <v>0</v>
      </c>
      <c r="EI111" s="48">
        <f>-IFERROR(INDEX(Control!$H$81:$H$90,MATCH(EI105,Control!$G$81:$G$90,0)),0)</f>
        <v>0</v>
      </c>
      <c r="EJ111" s="48">
        <f>-IFERROR(INDEX(Control!$H$81:$H$90,MATCH(EJ105,Control!$G$81:$G$90,0)),0)</f>
        <v>0</v>
      </c>
      <c r="EK111" s="48">
        <f>-IFERROR(INDEX(Control!$H$81:$H$90,MATCH(EK105,Control!$G$81:$G$90,0)),0)</f>
        <v>0</v>
      </c>
      <c r="EL111" s="48">
        <f>-IFERROR(INDEX(Control!$H$81:$H$90,MATCH(EL105,Control!$G$81:$G$90,0)),0)</f>
        <v>0</v>
      </c>
      <c r="EM111" s="48">
        <f>-IFERROR(INDEX(Control!$H$81:$H$90,MATCH(EM105,Control!$G$81:$G$90,0)),0)</f>
        <v>0</v>
      </c>
      <c r="EN111" s="48">
        <f>-IFERROR(INDEX(Control!$H$81:$H$90,MATCH(EN105,Control!$G$81:$G$90,0)),0)</f>
        <v>0</v>
      </c>
      <c r="EO111" s="48">
        <f>-IFERROR(INDEX(Control!$H$81:$H$90,MATCH(EO105,Control!$G$81:$G$90,0)),0)</f>
        <v>0</v>
      </c>
      <c r="EP111" s="48">
        <f>-IFERROR(INDEX(Control!$H$81:$H$90,MATCH(EP105,Control!$G$81:$G$90,0)),0)</f>
        <v>0</v>
      </c>
      <c r="EQ111" s="48">
        <f>-IFERROR(INDEX(Control!$H$81:$H$90,MATCH(EQ105,Control!$G$81:$G$90,0)),0)</f>
        <v>0</v>
      </c>
      <c r="ER111" s="48">
        <f>-IFERROR(INDEX(Control!$H$81:$H$90,MATCH(ER105,Control!$G$81:$G$90,0)),0)</f>
        <v>0</v>
      </c>
      <c r="ES111" s="48">
        <f>-IFERROR(INDEX(Control!$H$81:$H$90,MATCH(ES105,Control!$G$81:$G$90,0)),0)</f>
        <v>0</v>
      </c>
      <c r="ET111" s="48">
        <f>-IFERROR(INDEX(Control!$H$81:$H$90,MATCH(ET105,Control!$G$81:$G$90,0)),0)</f>
        <v>0</v>
      </c>
      <c r="EU111" s="48">
        <f>-IFERROR(INDEX(Control!$H$81:$H$90,MATCH(EU105,Control!$G$81:$G$90,0)),0)</f>
        <v>0</v>
      </c>
      <c r="EV111" s="48">
        <f>-IFERROR(INDEX(Control!$H$81:$H$90,MATCH(EV105,Control!$G$81:$G$90,0)),0)</f>
        <v>0</v>
      </c>
      <c r="EW111" s="48">
        <f>-IFERROR(INDEX(Control!$H$81:$H$90,MATCH(EW105,Control!$G$81:$G$90,0)),0)</f>
        <v>0</v>
      </c>
      <c r="EX111" s="48">
        <f>-IFERROR(INDEX(Control!$H$81:$H$90,MATCH(EX105,Control!$G$81:$G$90,0)),0)</f>
        <v>0</v>
      </c>
      <c r="EY111" s="48">
        <f>-IFERROR(INDEX(Control!$H$81:$H$90,MATCH(EY105,Control!$G$81:$G$90,0)),0)</f>
        <v>0</v>
      </c>
      <c r="EZ111" s="48">
        <f>-IFERROR(INDEX(Control!$H$81:$H$90,MATCH(EZ105,Control!$G$81:$G$90,0)),0)</f>
        <v>0</v>
      </c>
      <c r="FA111" s="48">
        <f>-IFERROR(INDEX(Control!$H$81:$H$90,MATCH(FA105,Control!$G$81:$G$90,0)),0)</f>
        <v>0</v>
      </c>
      <c r="FB111" s="48">
        <f>-IFERROR(INDEX(Control!$H$81:$H$90,MATCH(FB105,Control!$G$81:$G$90,0)),0)</f>
        <v>0</v>
      </c>
      <c r="FC111" s="48">
        <f>-IFERROR(INDEX(Control!$H$81:$H$90,MATCH(FC105,Control!$G$81:$G$90,0)),0)</f>
        <v>0</v>
      </c>
      <c r="FD111" s="48">
        <f>-IFERROR(INDEX(Control!$H$81:$H$90,MATCH(FD105,Control!$G$81:$G$90,0)),0)</f>
        <v>0</v>
      </c>
      <c r="FE111" s="48">
        <f>-IFERROR(INDEX(Control!$H$81:$H$90,MATCH(FE105,Control!$G$81:$G$90,0)),0)</f>
        <v>0</v>
      </c>
      <c r="FF111" s="48">
        <f>-IFERROR(INDEX(Control!$H$81:$H$90,MATCH(FF105,Control!$G$81:$G$90,0)),0)</f>
        <v>0</v>
      </c>
      <c r="FG111" s="48">
        <f>-IFERROR(INDEX(Control!$H$81:$H$90,MATCH(FG105,Control!$G$81:$G$90,0)),0)</f>
        <v>0</v>
      </c>
      <c r="FH111" s="48">
        <f>-IFERROR(INDEX(Control!$H$81:$H$90,MATCH(FH105,Control!$G$81:$G$90,0)),0)</f>
        <v>0</v>
      </c>
      <c r="FI111" s="48">
        <f>-IFERROR(INDEX(Control!$H$81:$H$90,MATCH(FI105,Control!$G$81:$G$90,0)),0)</f>
        <v>0</v>
      </c>
      <c r="FJ111" s="48">
        <f>-IFERROR(INDEX(Control!$H$81:$H$90,MATCH(FJ105,Control!$G$81:$G$90,0)),0)</f>
        <v>0</v>
      </c>
      <c r="FK111" s="48">
        <f>-IFERROR(INDEX(Control!$H$81:$H$90,MATCH(FK105,Control!$G$81:$G$90,0)),0)</f>
        <v>0</v>
      </c>
      <c r="FL111" s="48">
        <f>-IFERROR(INDEX(Control!$H$81:$H$90,MATCH(FL105,Control!$G$81:$G$90,0)),0)</f>
        <v>0</v>
      </c>
      <c r="FM111" s="48">
        <f>-IFERROR(INDEX(Control!$H$81:$H$90,MATCH(FM105,Control!$G$81:$G$90,0)),0)</f>
        <v>0</v>
      </c>
      <c r="FN111" s="48">
        <f>-IFERROR(INDEX(Control!$H$81:$H$90,MATCH(FN105,Control!$G$81:$G$90,0)),0)</f>
        <v>0</v>
      </c>
      <c r="FO111" s="48">
        <f>-IFERROR(INDEX(Control!$H$81:$H$90,MATCH(FO105,Control!$G$81:$G$90,0)),0)</f>
        <v>0</v>
      </c>
      <c r="FP111" s="48">
        <f>-IFERROR(INDEX(Control!$H$81:$H$90,MATCH(FP105,Control!$G$81:$G$90,0)),0)</f>
        <v>0</v>
      </c>
      <c r="FQ111" s="48">
        <f>-IFERROR(INDEX(Control!$H$81:$H$90,MATCH(FQ105,Control!$G$81:$G$90,0)),0)</f>
        <v>0</v>
      </c>
      <c r="FR111" s="48">
        <f>-IFERROR(INDEX(Control!$H$81:$H$90,MATCH(FR105,Control!$G$81:$G$90,0)),0)</f>
        <v>0</v>
      </c>
      <c r="FS111" s="48">
        <f>-IFERROR(INDEX(Control!$H$81:$H$90,MATCH(FS105,Control!$G$81:$G$90,0)),0)</f>
        <v>0</v>
      </c>
      <c r="FT111" s="48">
        <f>-IFERROR(INDEX(Control!$H$81:$H$90,MATCH(FT105,Control!$G$81:$G$90,0)),0)</f>
        <v>0</v>
      </c>
      <c r="FU111" s="48">
        <f>-IFERROR(INDEX(Control!$H$81:$H$90,MATCH(FU105,Control!$G$81:$G$90,0)),0)</f>
        <v>0</v>
      </c>
      <c r="FV111" s="48">
        <f>-IFERROR(INDEX(Control!$H$81:$H$90,MATCH(FV105,Control!$G$81:$G$90,0)),0)</f>
        <v>0</v>
      </c>
      <c r="FW111" s="48">
        <f>-IFERROR(INDEX(Control!$H$81:$H$90,MATCH(FW105,Control!$G$81:$G$90,0)),0)</f>
        <v>0</v>
      </c>
      <c r="FX111" s="48">
        <f>-IFERROR(INDEX(Control!$H$81:$H$90,MATCH(FX105,Control!$G$81:$G$90,0)),0)</f>
        <v>0</v>
      </c>
      <c r="FY111" s="48">
        <f>-IFERROR(INDEX(Control!$H$81:$H$90,MATCH(FY105,Control!$G$81:$G$90,0)),0)</f>
        <v>0</v>
      </c>
      <c r="FZ111" s="48">
        <f>-IFERROR(INDEX(Control!$H$81:$H$90,MATCH(FZ105,Control!$G$81:$G$90,0)),0)</f>
        <v>0</v>
      </c>
      <c r="GA111" s="48">
        <f>-IFERROR(INDEX(Control!$H$81:$H$90,MATCH(GA105,Control!$G$81:$G$90,0)),0)</f>
        <v>0</v>
      </c>
      <c r="GB111" s="48">
        <f>-IFERROR(INDEX(Control!$H$81:$H$90,MATCH(GB105,Control!$G$81:$G$90,0)),0)</f>
        <v>0</v>
      </c>
      <c r="GC111" s="48">
        <f>-IFERROR(INDEX(Control!$H$81:$H$90,MATCH(GC105,Control!$G$81:$G$90,0)),0)</f>
        <v>0</v>
      </c>
      <c r="GD111" s="48">
        <f>-IFERROR(INDEX(Control!$H$81:$H$90,MATCH(GD105,Control!$G$81:$G$90,0)),0)</f>
        <v>0</v>
      </c>
      <c r="GE111" s="48">
        <f>-IFERROR(INDEX(Control!$H$81:$H$90,MATCH(GE105,Control!$G$81:$G$90,0)),0)</f>
        <v>0</v>
      </c>
      <c r="GF111" s="48">
        <f>-IFERROR(INDEX(Control!$H$81:$H$90,MATCH(GF105,Control!$G$81:$G$90,0)),0)</f>
        <v>0</v>
      </c>
      <c r="GG111" s="48">
        <f>-IFERROR(INDEX(Control!$H$81:$H$90,MATCH(GG105,Control!$G$81:$G$90,0)),0)</f>
        <v>0</v>
      </c>
      <c r="GH111" s="48">
        <f>-IFERROR(INDEX(Control!$H$81:$H$90,MATCH(GH105,Control!$G$81:$G$90,0)),0)</f>
        <v>0</v>
      </c>
      <c r="GI111" s="48">
        <f>-IFERROR(INDEX(Control!$H$81:$H$90,MATCH(GI105,Control!$G$81:$G$90,0)),0)</f>
        <v>0</v>
      </c>
      <c r="GJ111" s="48">
        <f>-IFERROR(INDEX(Control!$H$81:$H$90,MATCH(GJ105,Control!$G$81:$G$90,0)),0)</f>
        <v>0</v>
      </c>
      <c r="GK111" s="48">
        <f>-IFERROR(INDEX(Control!$H$81:$H$90,MATCH(GK105,Control!$G$81:$G$90,0)),0)</f>
        <v>0</v>
      </c>
      <c r="GL111" s="48">
        <f>-IFERROR(INDEX(Control!$H$81:$H$90,MATCH(GL105,Control!$G$81:$G$90,0)),0)</f>
        <v>0</v>
      </c>
      <c r="GM111" s="48">
        <f>-IFERROR(INDEX(Control!$H$81:$H$90,MATCH(GM105,Control!$G$81:$G$90,0)),0)</f>
        <v>0</v>
      </c>
      <c r="GN111" s="48">
        <f>-IFERROR(INDEX(Control!$H$81:$H$90,MATCH(GN105,Control!$G$81:$G$90,0)),0)</f>
        <v>0</v>
      </c>
      <c r="GO111" s="48">
        <f>-IFERROR(INDEX(Control!$H$81:$H$90,MATCH(GO105,Control!$G$81:$G$90,0)),0)</f>
        <v>0</v>
      </c>
      <c r="GP111" s="48">
        <f>-IFERROR(INDEX(Control!$H$81:$H$90,MATCH(GP105,Control!$G$81:$G$90,0)),0)</f>
        <v>0</v>
      </c>
      <c r="GQ111" s="48">
        <f>-IFERROR(INDEX(Control!$H$81:$H$90,MATCH(GQ105,Control!$G$81:$G$90,0)),0)</f>
        <v>0</v>
      </c>
      <c r="GR111" s="48">
        <f>-IFERROR(INDEX(Control!$H$81:$H$90,MATCH(GR105,Control!$G$81:$G$90,0)),0)</f>
        <v>0</v>
      </c>
      <c r="GS111" s="48">
        <f>-IFERROR(INDEX(Control!$H$81:$H$90,MATCH(GS105,Control!$G$81:$G$90,0)),0)</f>
        <v>0</v>
      </c>
      <c r="GT111" s="48">
        <f>-IFERROR(INDEX(Control!$H$81:$H$90,MATCH(GT105,Control!$G$81:$G$90,0)),0)</f>
        <v>0</v>
      </c>
      <c r="GU111" s="48">
        <f>-IFERROR(INDEX(Control!$H$81:$H$90,MATCH(GU105,Control!$G$81:$G$90,0)),0)</f>
        <v>0</v>
      </c>
      <c r="GV111" s="48">
        <f>-IFERROR(INDEX(Control!$H$81:$H$90,MATCH(GV105,Control!$G$81:$G$90,0)),0)</f>
        <v>0</v>
      </c>
      <c r="GW111" s="48">
        <f>-IFERROR(INDEX(Control!$H$81:$H$90,MATCH(GW105,Control!$G$81:$G$90,0)),0)</f>
        <v>0</v>
      </c>
      <c r="GX111" s="48">
        <f>-IFERROR(INDEX(Control!$H$81:$H$90,MATCH(GX105,Control!$G$81:$G$90,0)),0)</f>
        <v>0</v>
      </c>
      <c r="GY111" s="48">
        <f>-IFERROR(INDEX(Control!$H$81:$H$90,MATCH(GY105,Control!$G$81:$G$90,0)),0)</f>
        <v>0</v>
      </c>
      <c r="GZ111" s="48">
        <f>-IFERROR(INDEX(Control!$H$81:$H$90,MATCH(GZ105,Control!$G$81:$G$90,0)),0)</f>
        <v>0</v>
      </c>
      <c r="HA111" s="48">
        <f>-IFERROR(INDEX(Control!$H$81:$H$90,MATCH(HA105,Control!$G$81:$G$90,0)),0)</f>
        <v>0</v>
      </c>
      <c r="HB111" s="48">
        <f>-IFERROR(INDEX(Control!$H$81:$H$90,MATCH(HB105,Control!$G$81:$G$90,0)),0)</f>
        <v>0</v>
      </c>
      <c r="HC111" s="48">
        <f>-IFERROR(INDEX(Control!$H$81:$H$90,MATCH(HC105,Control!$G$81:$G$90,0)),0)</f>
        <v>0</v>
      </c>
      <c r="HD111" s="48">
        <f>-IFERROR(INDEX(Control!$H$81:$H$90,MATCH(HD105,Control!$G$81:$G$90,0)),0)</f>
        <v>0</v>
      </c>
      <c r="HE111" s="48">
        <f>-IFERROR(INDEX(Control!$H$81:$H$90,MATCH(HE105,Control!$G$81:$G$90,0)),0)</f>
        <v>0</v>
      </c>
      <c r="HF111" s="48">
        <f>-IFERROR(INDEX(Control!$H$81:$H$90,MATCH(HF105,Control!$G$81:$G$90,0)),0)</f>
        <v>0</v>
      </c>
      <c r="HG111" s="48">
        <f>-IFERROR(INDEX(Control!$H$81:$H$90,MATCH(HG105,Control!$G$81:$G$90,0)),0)</f>
        <v>0</v>
      </c>
      <c r="HH111" s="48">
        <f>-IFERROR(INDEX(Control!$H$81:$H$90,MATCH(HH105,Control!$G$81:$G$90,0)),0)</f>
        <v>0</v>
      </c>
      <c r="HI111" s="48">
        <f>-IFERROR(INDEX(Control!$H$81:$H$90,MATCH(HI105,Control!$G$81:$G$90,0)),0)</f>
        <v>0</v>
      </c>
      <c r="HJ111" s="48">
        <f>-IFERROR(INDEX(Control!$H$81:$H$90,MATCH(HJ105,Control!$G$81:$G$90,0)),0)</f>
        <v>0</v>
      </c>
      <c r="HK111" s="48">
        <f>-IFERROR(INDEX(Control!$H$81:$H$90,MATCH(HK105,Control!$G$81:$G$90,0)),0)</f>
        <v>0</v>
      </c>
      <c r="HL111" s="48">
        <f>-IFERROR(INDEX(Control!$H$81:$H$90,MATCH(HL105,Control!$G$81:$G$90,0)),0)</f>
        <v>0</v>
      </c>
      <c r="HM111" s="48">
        <f>-IFERROR(INDEX(Control!$H$81:$H$90,MATCH(HM105,Control!$G$81:$G$90,0)),0)</f>
        <v>0</v>
      </c>
      <c r="HN111" s="48">
        <f>-IFERROR(INDEX(Control!$H$81:$H$90,MATCH(HN105,Control!$G$81:$G$90,0)),0)</f>
        <v>0</v>
      </c>
      <c r="HO111" s="48">
        <f>-IFERROR(INDEX(Control!$H$81:$H$90,MATCH(HO105,Control!$G$81:$G$90,0)),0)</f>
        <v>0</v>
      </c>
      <c r="HP111" s="48">
        <f>-IFERROR(INDEX(Control!$H$81:$H$90,MATCH(HP105,Control!$G$81:$G$90,0)),0)</f>
        <v>0</v>
      </c>
      <c r="HQ111" s="48">
        <f>-IFERROR(INDEX(Control!$H$81:$H$90,MATCH(HQ105,Control!$G$81:$G$90,0)),0)</f>
        <v>0</v>
      </c>
      <c r="HR111" s="48">
        <f>-IFERROR(INDEX(Control!$H$81:$H$90,MATCH(HR105,Control!$G$81:$G$90,0)),0)</f>
        <v>0</v>
      </c>
      <c r="HS111" s="48">
        <f>-IFERROR(INDEX(Control!$H$81:$H$90,MATCH(HS105,Control!$G$81:$G$90,0)),0)</f>
        <v>0</v>
      </c>
      <c r="HT111" s="48">
        <f>-IFERROR(INDEX(Control!$H$81:$H$90,MATCH(HT105,Control!$G$81:$G$90,0)),0)</f>
        <v>0</v>
      </c>
      <c r="HU111" s="48">
        <f>-IFERROR(INDEX(Control!$H$81:$H$90,MATCH(HU105,Control!$G$81:$G$90,0)),0)</f>
        <v>0</v>
      </c>
      <c r="HV111" s="48">
        <f>-IFERROR(INDEX(Control!$H$81:$H$90,MATCH(HV105,Control!$G$81:$G$90,0)),0)</f>
        <v>0</v>
      </c>
      <c r="HW111" s="48">
        <f>-IFERROR(INDEX(Control!$H$81:$H$90,MATCH(HW105,Control!$G$81:$G$90,0)),0)</f>
        <v>0</v>
      </c>
      <c r="HX111" s="48">
        <f>-IFERROR(INDEX(Control!$H$81:$H$90,MATCH(HX105,Control!$G$81:$G$90,0)),0)</f>
        <v>0</v>
      </c>
      <c r="HY111" s="48">
        <f>-IFERROR(INDEX(Control!$H$81:$H$90,MATCH(HY105,Control!$G$81:$G$90,0)),0)</f>
        <v>0</v>
      </c>
      <c r="HZ111" s="48">
        <f>-IFERROR(INDEX(Control!$H$81:$H$90,MATCH(HZ105,Control!$G$81:$G$90,0)),0)</f>
        <v>0</v>
      </c>
      <c r="IA111" s="48">
        <f>-IFERROR(INDEX(Control!$H$81:$H$90,MATCH(IA105,Control!$G$81:$G$90,0)),0)</f>
        <v>0</v>
      </c>
      <c r="IB111" s="48">
        <f>-IFERROR(INDEX(Control!$H$81:$H$90,MATCH(IB105,Control!$G$81:$G$90,0)),0)</f>
        <v>0</v>
      </c>
      <c r="IC111" s="48">
        <f>-IFERROR(INDEX(Control!$H$81:$H$90,MATCH(IC105,Control!$G$81:$G$90,0)),0)</f>
        <v>0</v>
      </c>
      <c r="ID111" s="48">
        <f>-IFERROR(INDEX(Control!$H$81:$H$90,MATCH(ID105,Control!$G$81:$G$90,0)),0)</f>
        <v>0</v>
      </c>
      <c r="IE111" s="48">
        <f>-IFERROR(INDEX(Control!$H$81:$H$90,MATCH(IE105,Control!$G$81:$G$90,0)),0)</f>
        <v>0</v>
      </c>
      <c r="IF111" s="48">
        <f>-IFERROR(INDEX(Control!$H$81:$H$90,MATCH(IF105,Control!$G$81:$G$90,0)),0)</f>
        <v>0</v>
      </c>
      <c r="IG111" s="48">
        <f>-IFERROR(INDEX(Control!$H$81:$H$90,MATCH(IG105,Control!$G$81:$G$90,0)),0)</f>
        <v>0</v>
      </c>
      <c r="IH111" s="48">
        <f>-IFERROR(INDEX(Control!$H$81:$H$90,MATCH(IH105,Control!$G$81:$G$90,0)),0)</f>
        <v>0</v>
      </c>
      <c r="II111" s="48">
        <f>-IFERROR(INDEX(Control!$H$81:$H$90,MATCH(II105,Control!$G$81:$G$90,0)),0)</f>
        <v>0</v>
      </c>
      <c r="IJ111" s="48">
        <f>-IFERROR(INDEX(Control!$H$81:$H$90,MATCH(IJ105,Control!$G$81:$G$90,0)),0)</f>
        <v>0</v>
      </c>
      <c r="IK111" s="48">
        <f>-IFERROR(INDEX(Control!$H$81:$H$90,MATCH(IK105,Control!$G$81:$G$90,0)),0)</f>
        <v>0</v>
      </c>
      <c r="IL111" s="48">
        <f>-IFERROR(INDEX(Control!$H$81:$H$90,MATCH(IL105,Control!$G$81:$G$90,0)),0)</f>
        <v>0</v>
      </c>
      <c r="IM111" s="48">
        <f>-IFERROR(INDEX(Control!$H$81:$H$90,MATCH(IM105,Control!$G$81:$G$90,0)),0)</f>
        <v>0</v>
      </c>
      <c r="IN111" s="48">
        <f>-IFERROR(INDEX(Control!$H$81:$H$90,MATCH(IN105,Control!$G$81:$G$90,0)),0)</f>
        <v>0</v>
      </c>
      <c r="IO111" s="48">
        <f>-IFERROR(INDEX(Control!$H$81:$H$90,MATCH(IO105,Control!$G$81:$G$90,0)),0)</f>
        <v>0</v>
      </c>
      <c r="IP111" s="48">
        <f>-IFERROR(INDEX(Control!$H$81:$H$90,MATCH(IP105,Control!$G$81:$G$90,0)),0)</f>
        <v>0</v>
      </c>
      <c r="IQ111" s="48">
        <f>-IFERROR(INDEX(Control!$H$81:$H$90,MATCH(IQ105,Control!$G$81:$G$90,0)),0)</f>
        <v>0</v>
      </c>
      <c r="IR111" s="48">
        <f>-IFERROR(INDEX(Control!$H$81:$H$90,MATCH(IR105,Control!$G$81:$G$90,0)),0)</f>
        <v>0</v>
      </c>
      <c r="IS111" s="48">
        <f>-IFERROR(INDEX(Control!$H$81:$H$90,MATCH(IS105,Control!$G$81:$G$90,0)),0)</f>
        <v>0</v>
      </c>
      <c r="IT111" s="48">
        <f>-IFERROR(INDEX(Control!$H$81:$H$90,MATCH(IT105,Control!$G$81:$G$90,0)),0)</f>
        <v>0</v>
      </c>
      <c r="IU111" s="48">
        <f>-IFERROR(INDEX(Control!$H$81:$H$90,MATCH(IU105,Control!$G$81:$G$90,0)),0)</f>
        <v>0</v>
      </c>
      <c r="IV111" s="48">
        <f>-IFERROR(INDEX(Control!$H$81:$H$90,MATCH(IV105,Control!$G$81:$G$90,0)),0)</f>
        <v>0</v>
      </c>
      <c r="IW111" s="48">
        <f>-IFERROR(INDEX(Control!$H$81:$H$90,MATCH(IW105,Control!$G$81:$G$90,0)),0)</f>
        <v>0</v>
      </c>
      <c r="IX111" s="48">
        <f>-IFERROR(INDEX(Control!$H$81:$H$90,MATCH(IX105,Control!$G$81:$G$90,0)),0)</f>
        <v>0</v>
      </c>
      <c r="IY111" s="48">
        <f>-IFERROR(INDEX(Control!$H$81:$H$90,MATCH(IY105,Control!$G$81:$G$90,0)),0)</f>
        <v>0</v>
      </c>
      <c r="IZ111" s="48">
        <f>-IFERROR(INDEX(Control!$H$81:$H$90,MATCH(IZ105,Control!$G$81:$G$90,0)),0)</f>
        <v>0</v>
      </c>
      <c r="JA111" s="48">
        <f>-IFERROR(INDEX(Control!$H$81:$H$90,MATCH(JA105,Control!$G$81:$G$90,0)),0)</f>
        <v>0</v>
      </c>
      <c r="JB111" s="48">
        <f>-IFERROR(INDEX(Control!$H$81:$H$90,MATCH(JB105,Control!$G$81:$G$90,0)),0)</f>
        <v>0</v>
      </c>
      <c r="JC111" s="48">
        <f>-IFERROR(INDEX(Control!$H$81:$H$90,MATCH(JC105,Control!$G$81:$G$90,0)),0)</f>
        <v>0</v>
      </c>
      <c r="JD111" s="48">
        <f>-IFERROR(INDEX(Control!$H$81:$H$90,MATCH(JD105,Control!$G$81:$G$90,0)),0)</f>
        <v>0</v>
      </c>
      <c r="JE111" s="48">
        <f>-IFERROR(INDEX(Control!$H$81:$H$90,MATCH(JE105,Control!$G$81:$G$90,0)),0)</f>
        <v>0</v>
      </c>
      <c r="JF111" s="48">
        <f>-IFERROR(INDEX(Control!$H$81:$H$90,MATCH(JF105,Control!$G$81:$G$90,0)),0)</f>
        <v>0</v>
      </c>
      <c r="JG111" s="48">
        <f>-IFERROR(INDEX(Control!$H$81:$H$90,MATCH(JG105,Control!$G$81:$G$90,0)),0)</f>
        <v>0</v>
      </c>
      <c r="JH111" s="48">
        <f>-IFERROR(INDEX(Control!$H$81:$H$90,MATCH(JH105,Control!$G$81:$G$90,0)),0)</f>
        <v>0</v>
      </c>
      <c r="JI111" s="48">
        <f>-IFERROR(INDEX(Control!$H$81:$H$90,MATCH(JI105,Control!$G$81:$G$90,0)),0)</f>
        <v>0</v>
      </c>
      <c r="JJ111" s="48">
        <f>-IFERROR(INDEX(Control!$H$81:$H$90,MATCH(JJ105,Control!$G$81:$G$90,0)),0)</f>
        <v>0</v>
      </c>
      <c r="JK111" s="48">
        <f>-IFERROR(INDEX(Control!$H$81:$H$90,MATCH(JK105,Control!$G$81:$G$90,0)),0)</f>
        <v>0</v>
      </c>
      <c r="JL111" s="48">
        <f>-IFERROR(INDEX(Control!$H$81:$H$90,MATCH(JL105,Control!$G$81:$G$90,0)),0)</f>
        <v>0</v>
      </c>
      <c r="JM111" s="48">
        <f>-IFERROR(INDEX(Control!$H$81:$H$90,MATCH(JM105,Control!$G$81:$G$90,0)),0)</f>
        <v>0</v>
      </c>
      <c r="JN111" s="48">
        <f>-IFERROR(INDEX(Control!$H$81:$H$90,MATCH(JN105,Control!$G$81:$G$90,0)),0)</f>
        <v>0</v>
      </c>
      <c r="JO111" s="48">
        <f>-IFERROR(INDEX(Control!$H$81:$H$90,MATCH(JO105,Control!$G$81:$G$90,0)),0)</f>
        <v>0</v>
      </c>
      <c r="JP111" s="48">
        <f>-IFERROR(INDEX(Control!$H$81:$H$90,MATCH(JP105,Control!$G$81:$G$90,0)),0)</f>
        <v>0</v>
      </c>
      <c r="JQ111" s="48">
        <f>-IFERROR(INDEX(Control!$H$81:$H$90,MATCH(JQ105,Control!$G$81:$G$90,0)),0)</f>
        <v>0</v>
      </c>
      <c r="JR111" s="48">
        <f>-IFERROR(INDEX(Control!$H$81:$H$90,MATCH(JR105,Control!$G$81:$G$90,0)),0)</f>
        <v>0</v>
      </c>
      <c r="JS111" s="48">
        <f>-IFERROR(INDEX(Control!$H$81:$H$90,MATCH(JS105,Control!$G$81:$G$90,0)),0)</f>
        <v>0</v>
      </c>
      <c r="JT111" s="48">
        <f>-IFERROR(INDEX(Control!$H$81:$H$90,MATCH(JT105,Control!$G$81:$G$90,0)),0)</f>
        <v>0</v>
      </c>
      <c r="JU111" s="48">
        <f>-IFERROR(INDEX(Control!$H$81:$H$90,MATCH(JU105,Control!$G$81:$G$90,0)),0)</f>
        <v>0</v>
      </c>
      <c r="JV111" s="48">
        <f>-IFERROR(INDEX(Control!$H$81:$H$90,MATCH(JV105,Control!$G$81:$G$90,0)),0)</f>
        <v>0</v>
      </c>
      <c r="JW111" s="48">
        <f>-IFERROR(INDEX(Control!$H$81:$H$90,MATCH(JW105,Control!$G$81:$G$90,0)),0)</f>
        <v>0</v>
      </c>
      <c r="JX111" s="48">
        <f>-IFERROR(INDEX(Control!$H$81:$H$90,MATCH(JX105,Control!$G$81:$G$90,0)),0)</f>
        <v>0</v>
      </c>
      <c r="JY111" s="48">
        <f>-IFERROR(INDEX(Control!$H$81:$H$90,MATCH(JY105,Control!$G$81:$G$90,0)),0)</f>
        <v>0</v>
      </c>
      <c r="JZ111" s="48">
        <f>-IFERROR(INDEX(Control!$H$81:$H$90,MATCH(JZ105,Control!$G$81:$G$90,0)),0)</f>
        <v>0</v>
      </c>
      <c r="KA111" s="48">
        <f>-IFERROR(INDEX(Control!$H$81:$H$90,MATCH(KA105,Control!$G$81:$G$90,0)),0)</f>
        <v>0</v>
      </c>
      <c r="KB111" s="48">
        <f>-IFERROR(INDEX(Control!$H$81:$H$90,MATCH(KB105,Control!$G$81:$G$90,0)),0)</f>
        <v>0</v>
      </c>
      <c r="KC111" s="48">
        <f>-IFERROR(INDEX(Control!$H$81:$H$90,MATCH(KC105,Control!$G$81:$G$90,0)),0)</f>
        <v>0</v>
      </c>
      <c r="KD111" s="48">
        <f>-IFERROR(INDEX(Control!$H$81:$H$90,MATCH(KD105,Control!$G$81:$G$90,0)),0)</f>
        <v>0</v>
      </c>
      <c r="KE111" s="48">
        <f>-IFERROR(INDEX(Control!$H$81:$H$90,MATCH(KE105,Control!$G$81:$G$90,0)),0)</f>
        <v>0</v>
      </c>
      <c r="KF111" s="48">
        <f>-IFERROR(INDEX(Control!$H$81:$H$90,MATCH(KF105,Control!$G$81:$G$90,0)),0)</f>
        <v>0</v>
      </c>
      <c r="KG111" s="48">
        <f>-IFERROR(INDEX(Control!$H$81:$H$90,MATCH(KG105,Control!$G$81:$G$90,0)),0)</f>
        <v>0</v>
      </c>
      <c r="KH111" s="48">
        <f>-IFERROR(INDEX(Control!$H$81:$H$90,MATCH(KH105,Control!$G$81:$G$90,0)),0)</f>
        <v>0</v>
      </c>
      <c r="KI111" s="48">
        <f>-IFERROR(INDEX(Control!$H$81:$H$90,MATCH(KI105,Control!$G$81:$G$90,0)),0)</f>
        <v>0</v>
      </c>
      <c r="KJ111" s="1"/>
    </row>
    <row r="112" spans="7:296" x14ac:dyDescent="0.35">
      <c r="H112" s="13" t="s">
        <v>49</v>
      </c>
      <c r="M112" s="15" t="s">
        <v>101</v>
      </c>
      <c r="N112" s="48">
        <f t="shared" ref="N112:AY112" si="258">IF(N104,-N109-N111,0)</f>
        <v>0</v>
      </c>
      <c r="O112" s="48">
        <f t="shared" si="258"/>
        <v>0</v>
      </c>
      <c r="P112" s="48">
        <f t="shared" si="258"/>
        <v>0</v>
      </c>
      <c r="Q112" s="48">
        <f t="shared" si="258"/>
        <v>0</v>
      </c>
      <c r="R112" s="48">
        <f t="shared" si="258"/>
        <v>0</v>
      </c>
      <c r="S112" s="48">
        <f t="shared" si="258"/>
        <v>0</v>
      </c>
      <c r="T112" s="48">
        <f t="shared" si="258"/>
        <v>0</v>
      </c>
      <c r="U112" s="48">
        <f t="shared" si="258"/>
        <v>0</v>
      </c>
      <c r="V112" s="48">
        <f t="shared" si="258"/>
        <v>0</v>
      </c>
      <c r="W112" s="48">
        <f t="shared" si="258"/>
        <v>0</v>
      </c>
      <c r="X112" s="48">
        <f t="shared" si="258"/>
        <v>0</v>
      </c>
      <c r="Y112" s="48">
        <f t="shared" si="258"/>
        <v>0</v>
      </c>
      <c r="Z112" s="48">
        <f t="shared" si="258"/>
        <v>0</v>
      </c>
      <c r="AA112" s="48">
        <f t="shared" si="258"/>
        <v>0</v>
      </c>
      <c r="AB112" s="48">
        <f t="shared" si="258"/>
        <v>0</v>
      </c>
      <c r="AC112" s="48">
        <f t="shared" si="258"/>
        <v>0</v>
      </c>
      <c r="AD112" s="48">
        <f t="shared" si="258"/>
        <v>0</v>
      </c>
      <c r="AE112" s="48">
        <f t="shared" si="258"/>
        <v>0</v>
      </c>
      <c r="AF112" s="48">
        <f t="shared" si="258"/>
        <v>0</v>
      </c>
      <c r="AG112" s="48">
        <f t="shared" si="258"/>
        <v>0</v>
      </c>
      <c r="AH112" s="48">
        <f t="shared" si="258"/>
        <v>0</v>
      </c>
      <c r="AI112" s="48">
        <f t="shared" si="258"/>
        <v>0</v>
      </c>
      <c r="AJ112" s="48">
        <f t="shared" si="258"/>
        <v>0</v>
      </c>
      <c r="AK112" s="48">
        <f t="shared" si="258"/>
        <v>0</v>
      </c>
      <c r="AL112" s="48">
        <f t="shared" si="258"/>
        <v>0</v>
      </c>
      <c r="AM112" s="48">
        <f t="shared" si="258"/>
        <v>0</v>
      </c>
      <c r="AN112" s="48">
        <f t="shared" si="258"/>
        <v>0</v>
      </c>
      <c r="AO112" s="48">
        <f t="shared" si="258"/>
        <v>0</v>
      </c>
      <c r="AP112" s="48">
        <f t="shared" si="258"/>
        <v>0</v>
      </c>
      <c r="AQ112" s="48">
        <f t="shared" si="258"/>
        <v>0</v>
      </c>
      <c r="AR112" s="48">
        <f t="shared" si="258"/>
        <v>0</v>
      </c>
      <c r="AS112" s="48">
        <f t="shared" si="258"/>
        <v>0</v>
      </c>
      <c r="AT112" s="48">
        <f t="shared" si="258"/>
        <v>0</v>
      </c>
      <c r="AU112" s="48">
        <f t="shared" si="258"/>
        <v>0</v>
      </c>
      <c r="AV112" s="48">
        <f t="shared" si="258"/>
        <v>0</v>
      </c>
      <c r="AW112" s="48">
        <f t="shared" si="258"/>
        <v>0</v>
      </c>
      <c r="AX112" s="48">
        <f t="shared" si="258"/>
        <v>0</v>
      </c>
      <c r="AY112" s="48">
        <f t="shared" si="258"/>
        <v>0</v>
      </c>
      <c r="AZ112" s="48">
        <f>IF(AZ104,-AZ109-AZ111,0)</f>
        <v>0</v>
      </c>
      <c r="BA112" s="48">
        <f t="shared" ref="BA112:DL112" si="259">IF(BA104,-BA109-BA111,0)</f>
        <v>0</v>
      </c>
      <c r="BB112" s="48">
        <f t="shared" si="259"/>
        <v>0</v>
      </c>
      <c r="BC112" s="48">
        <f t="shared" si="259"/>
        <v>0</v>
      </c>
      <c r="BD112" s="48">
        <f t="shared" si="259"/>
        <v>0</v>
      </c>
      <c r="BE112" s="48">
        <f t="shared" si="259"/>
        <v>0</v>
      </c>
      <c r="BF112" s="48">
        <f t="shared" si="259"/>
        <v>0</v>
      </c>
      <c r="BG112" s="48">
        <f t="shared" si="259"/>
        <v>0</v>
      </c>
      <c r="BH112" s="48">
        <f t="shared" si="259"/>
        <v>0</v>
      </c>
      <c r="BI112" s="48">
        <f t="shared" si="259"/>
        <v>0</v>
      </c>
      <c r="BJ112" s="48">
        <f t="shared" si="259"/>
        <v>0</v>
      </c>
      <c r="BK112" s="48">
        <f t="shared" si="259"/>
        <v>0</v>
      </c>
      <c r="BL112" s="48">
        <f t="shared" si="259"/>
        <v>0</v>
      </c>
      <c r="BM112" s="48">
        <f t="shared" si="259"/>
        <v>0</v>
      </c>
      <c r="BN112" s="48">
        <f t="shared" si="259"/>
        <v>0</v>
      </c>
      <c r="BO112" s="48">
        <f t="shared" si="259"/>
        <v>0</v>
      </c>
      <c r="BP112" s="48">
        <f t="shared" si="259"/>
        <v>0</v>
      </c>
      <c r="BQ112" s="48">
        <f t="shared" si="259"/>
        <v>0</v>
      </c>
      <c r="BR112" s="48">
        <f t="shared" si="259"/>
        <v>0</v>
      </c>
      <c r="BS112" s="48">
        <f t="shared" si="259"/>
        <v>0</v>
      </c>
      <c r="BT112" s="48">
        <f t="shared" si="259"/>
        <v>0</v>
      </c>
      <c r="BU112" s="48">
        <f t="shared" si="259"/>
        <v>0</v>
      </c>
      <c r="BV112" s="48">
        <f t="shared" si="259"/>
        <v>0</v>
      </c>
      <c r="BW112" s="48">
        <f t="shared" si="259"/>
        <v>0</v>
      </c>
      <c r="BX112" s="48">
        <f t="shared" si="259"/>
        <v>0</v>
      </c>
      <c r="BY112" s="48">
        <f t="shared" si="259"/>
        <v>0</v>
      </c>
      <c r="BZ112" s="48">
        <f t="shared" si="259"/>
        <v>0</v>
      </c>
      <c r="CA112" s="48">
        <f t="shared" si="259"/>
        <v>0</v>
      </c>
      <c r="CB112" s="48">
        <f t="shared" si="259"/>
        <v>0</v>
      </c>
      <c r="CC112" s="48">
        <f t="shared" si="259"/>
        <v>0</v>
      </c>
      <c r="CD112" s="48">
        <f t="shared" si="259"/>
        <v>0</v>
      </c>
      <c r="CE112" s="48">
        <f t="shared" si="259"/>
        <v>0</v>
      </c>
      <c r="CF112" s="48">
        <f t="shared" si="259"/>
        <v>0</v>
      </c>
      <c r="CG112" s="48">
        <f t="shared" si="259"/>
        <v>0</v>
      </c>
      <c r="CH112" s="48">
        <f t="shared" si="259"/>
        <v>0</v>
      </c>
      <c r="CI112" s="48">
        <f t="shared" si="259"/>
        <v>0</v>
      </c>
      <c r="CJ112" s="48">
        <f t="shared" si="259"/>
        <v>0</v>
      </c>
      <c r="CK112" s="48">
        <f t="shared" si="259"/>
        <v>0</v>
      </c>
      <c r="CL112" s="48">
        <f t="shared" si="259"/>
        <v>0</v>
      </c>
      <c r="CM112" s="48">
        <f t="shared" si="259"/>
        <v>0</v>
      </c>
      <c r="CN112" s="48">
        <f t="shared" si="259"/>
        <v>0</v>
      </c>
      <c r="CO112" s="48">
        <f t="shared" si="259"/>
        <v>0</v>
      </c>
      <c r="CP112" s="48">
        <f t="shared" si="259"/>
        <v>0</v>
      </c>
      <c r="CQ112" s="48">
        <f t="shared" si="259"/>
        <v>0</v>
      </c>
      <c r="CR112" s="48">
        <f t="shared" si="259"/>
        <v>0</v>
      </c>
      <c r="CS112" s="48">
        <f t="shared" si="259"/>
        <v>0</v>
      </c>
      <c r="CT112" s="48">
        <f t="shared" si="259"/>
        <v>0</v>
      </c>
      <c r="CU112" s="48">
        <f t="shared" si="259"/>
        <v>0</v>
      </c>
      <c r="CV112" s="48">
        <f t="shared" si="259"/>
        <v>0</v>
      </c>
      <c r="CW112" s="48">
        <f t="shared" si="259"/>
        <v>0</v>
      </c>
      <c r="CX112" s="48">
        <f t="shared" si="259"/>
        <v>0</v>
      </c>
      <c r="CY112" s="48">
        <f t="shared" si="259"/>
        <v>0</v>
      </c>
      <c r="CZ112" s="48">
        <f t="shared" si="259"/>
        <v>0</v>
      </c>
      <c r="DA112" s="48">
        <f t="shared" si="259"/>
        <v>0</v>
      </c>
      <c r="DB112" s="48">
        <f t="shared" si="259"/>
        <v>0</v>
      </c>
      <c r="DC112" s="48">
        <f t="shared" si="259"/>
        <v>0</v>
      </c>
      <c r="DD112" s="48">
        <f t="shared" si="259"/>
        <v>0</v>
      </c>
      <c r="DE112" s="48">
        <f t="shared" si="259"/>
        <v>0</v>
      </c>
      <c r="DF112" s="48">
        <f t="shared" si="259"/>
        <v>0</v>
      </c>
      <c r="DG112" s="48">
        <f t="shared" si="259"/>
        <v>0</v>
      </c>
      <c r="DH112" s="48">
        <f t="shared" si="259"/>
        <v>0</v>
      </c>
      <c r="DI112" s="48">
        <f t="shared" si="259"/>
        <v>0</v>
      </c>
      <c r="DJ112" s="48">
        <f t="shared" si="259"/>
        <v>0</v>
      </c>
      <c r="DK112" s="48">
        <f t="shared" si="259"/>
        <v>0</v>
      </c>
      <c r="DL112" s="48">
        <f t="shared" si="259"/>
        <v>0</v>
      </c>
      <c r="DM112" s="48">
        <f t="shared" ref="DM112:FX112" si="260">IF(DM104,-DM109-DM111,0)</f>
        <v>0</v>
      </c>
      <c r="DN112" s="48">
        <f t="shared" si="260"/>
        <v>0</v>
      </c>
      <c r="DO112" s="48">
        <f t="shared" si="260"/>
        <v>0</v>
      </c>
      <c r="DP112" s="48">
        <f t="shared" si="260"/>
        <v>0</v>
      </c>
      <c r="DQ112" s="48">
        <f t="shared" si="260"/>
        <v>0</v>
      </c>
      <c r="DR112" s="48">
        <f t="shared" si="260"/>
        <v>0</v>
      </c>
      <c r="DS112" s="48">
        <f t="shared" si="260"/>
        <v>0</v>
      </c>
      <c r="DT112" s="48">
        <f t="shared" si="260"/>
        <v>0</v>
      </c>
      <c r="DU112" s="48">
        <f t="shared" si="260"/>
        <v>0</v>
      </c>
      <c r="DV112" s="48">
        <f t="shared" si="260"/>
        <v>0</v>
      </c>
      <c r="DW112" s="48">
        <f t="shared" si="260"/>
        <v>0</v>
      </c>
      <c r="DX112" s="48">
        <f t="shared" si="260"/>
        <v>0</v>
      </c>
      <c r="DY112" s="48">
        <f t="shared" si="260"/>
        <v>0</v>
      </c>
      <c r="DZ112" s="48">
        <f t="shared" si="260"/>
        <v>0</v>
      </c>
      <c r="EA112" s="48">
        <f t="shared" si="260"/>
        <v>0</v>
      </c>
      <c r="EB112" s="48">
        <f t="shared" si="260"/>
        <v>0</v>
      </c>
      <c r="EC112" s="48">
        <f t="shared" si="260"/>
        <v>0</v>
      </c>
      <c r="ED112" s="48">
        <f t="shared" si="260"/>
        <v>0</v>
      </c>
      <c r="EE112" s="48">
        <f t="shared" si="260"/>
        <v>0</v>
      </c>
      <c r="EF112" s="48">
        <f t="shared" si="260"/>
        <v>0</v>
      </c>
      <c r="EG112" s="48">
        <f t="shared" si="260"/>
        <v>0</v>
      </c>
      <c r="EH112" s="48">
        <f t="shared" si="260"/>
        <v>0</v>
      </c>
      <c r="EI112" s="48">
        <f t="shared" si="260"/>
        <v>0</v>
      </c>
      <c r="EJ112" s="48">
        <f t="shared" si="260"/>
        <v>0</v>
      </c>
      <c r="EK112" s="48">
        <f t="shared" si="260"/>
        <v>0</v>
      </c>
      <c r="EL112" s="48">
        <f t="shared" si="260"/>
        <v>0</v>
      </c>
      <c r="EM112" s="48">
        <f t="shared" si="260"/>
        <v>0</v>
      </c>
      <c r="EN112" s="48">
        <f t="shared" si="260"/>
        <v>0</v>
      </c>
      <c r="EO112" s="48">
        <f t="shared" si="260"/>
        <v>0</v>
      </c>
      <c r="EP112" s="48">
        <f t="shared" si="260"/>
        <v>0</v>
      </c>
      <c r="EQ112" s="48">
        <f t="shared" si="260"/>
        <v>0</v>
      </c>
      <c r="ER112" s="48">
        <f t="shared" si="260"/>
        <v>0</v>
      </c>
      <c r="ES112" s="48">
        <f t="shared" si="260"/>
        <v>0</v>
      </c>
      <c r="ET112" s="48">
        <f t="shared" si="260"/>
        <v>0</v>
      </c>
      <c r="EU112" s="48">
        <f t="shared" si="260"/>
        <v>0</v>
      </c>
      <c r="EV112" s="48">
        <f t="shared" si="260"/>
        <v>0</v>
      </c>
      <c r="EW112" s="48">
        <f t="shared" si="260"/>
        <v>0</v>
      </c>
      <c r="EX112" s="48">
        <f t="shared" si="260"/>
        <v>0</v>
      </c>
      <c r="EY112" s="48">
        <f t="shared" si="260"/>
        <v>0</v>
      </c>
      <c r="EZ112" s="48">
        <f t="shared" si="260"/>
        <v>0</v>
      </c>
      <c r="FA112" s="48">
        <f t="shared" si="260"/>
        <v>0</v>
      </c>
      <c r="FB112" s="48">
        <f t="shared" si="260"/>
        <v>0</v>
      </c>
      <c r="FC112" s="48">
        <f t="shared" si="260"/>
        <v>0</v>
      </c>
      <c r="FD112" s="48">
        <f t="shared" si="260"/>
        <v>0</v>
      </c>
      <c r="FE112" s="48">
        <f t="shared" si="260"/>
        <v>0</v>
      </c>
      <c r="FF112" s="48">
        <f t="shared" si="260"/>
        <v>0</v>
      </c>
      <c r="FG112" s="48">
        <f t="shared" si="260"/>
        <v>0</v>
      </c>
      <c r="FH112" s="48">
        <f t="shared" si="260"/>
        <v>0</v>
      </c>
      <c r="FI112" s="48">
        <f t="shared" si="260"/>
        <v>0</v>
      </c>
      <c r="FJ112" s="48">
        <f t="shared" si="260"/>
        <v>0</v>
      </c>
      <c r="FK112" s="48">
        <f t="shared" si="260"/>
        <v>0</v>
      </c>
      <c r="FL112" s="48">
        <f t="shared" si="260"/>
        <v>0</v>
      </c>
      <c r="FM112" s="48">
        <f t="shared" si="260"/>
        <v>0</v>
      </c>
      <c r="FN112" s="48">
        <f t="shared" si="260"/>
        <v>0</v>
      </c>
      <c r="FO112" s="48">
        <f t="shared" si="260"/>
        <v>0</v>
      </c>
      <c r="FP112" s="48">
        <f t="shared" si="260"/>
        <v>0</v>
      </c>
      <c r="FQ112" s="48">
        <f t="shared" si="260"/>
        <v>0</v>
      </c>
      <c r="FR112" s="48">
        <f t="shared" si="260"/>
        <v>0</v>
      </c>
      <c r="FS112" s="48">
        <f t="shared" si="260"/>
        <v>0</v>
      </c>
      <c r="FT112" s="48">
        <f t="shared" si="260"/>
        <v>0</v>
      </c>
      <c r="FU112" s="48">
        <f t="shared" si="260"/>
        <v>0</v>
      </c>
      <c r="FV112" s="48">
        <f t="shared" si="260"/>
        <v>0</v>
      </c>
      <c r="FW112" s="48">
        <f t="shared" si="260"/>
        <v>0</v>
      </c>
      <c r="FX112" s="48">
        <f t="shared" si="260"/>
        <v>0</v>
      </c>
      <c r="FY112" s="48">
        <f t="shared" ref="FY112:IJ112" si="261">IF(FY104,-FY109-FY111,0)</f>
        <v>0</v>
      </c>
      <c r="FZ112" s="48">
        <f t="shared" si="261"/>
        <v>0</v>
      </c>
      <c r="GA112" s="48">
        <f t="shared" si="261"/>
        <v>0</v>
      </c>
      <c r="GB112" s="48">
        <f t="shared" si="261"/>
        <v>0</v>
      </c>
      <c r="GC112" s="48">
        <f t="shared" si="261"/>
        <v>0</v>
      </c>
      <c r="GD112" s="48">
        <f t="shared" si="261"/>
        <v>0</v>
      </c>
      <c r="GE112" s="48">
        <f t="shared" si="261"/>
        <v>0</v>
      </c>
      <c r="GF112" s="48">
        <f t="shared" si="261"/>
        <v>0</v>
      </c>
      <c r="GG112" s="48">
        <f t="shared" si="261"/>
        <v>0</v>
      </c>
      <c r="GH112" s="48">
        <f t="shared" si="261"/>
        <v>0</v>
      </c>
      <c r="GI112" s="48">
        <f t="shared" si="261"/>
        <v>0</v>
      </c>
      <c r="GJ112" s="48">
        <f t="shared" si="261"/>
        <v>0</v>
      </c>
      <c r="GK112" s="48">
        <f t="shared" si="261"/>
        <v>0</v>
      </c>
      <c r="GL112" s="48">
        <f t="shared" si="261"/>
        <v>0</v>
      </c>
      <c r="GM112" s="48">
        <f t="shared" si="261"/>
        <v>0</v>
      </c>
      <c r="GN112" s="48">
        <f t="shared" si="261"/>
        <v>0</v>
      </c>
      <c r="GO112" s="48">
        <f t="shared" si="261"/>
        <v>0</v>
      </c>
      <c r="GP112" s="48">
        <f t="shared" si="261"/>
        <v>0</v>
      </c>
      <c r="GQ112" s="48">
        <f t="shared" si="261"/>
        <v>0</v>
      </c>
      <c r="GR112" s="48">
        <f t="shared" si="261"/>
        <v>0</v>
      </c>
      <c r="GS112" s="48">
        <f t="shared" si="261"/>
        <v>0</v>
      </c>
      <c r="GT112" s="48">
        <f t="shared" si="261"/>
        <v>0</v>
      </c>
      <c r="GU112" s="48">
        <f t="shared" si="261"/>
        <v>0</v>
      </c>
      <c r="GV112" s="48">
        <f t="shared" si="261"/>
        <v>0</v>
      </c>
      <c r="GW112" s="48">
        <f t="shared" si="261"/>
        <v>0</v>
      </c>
      <c r="GX112" s="48">
        <f t="shared" si="261"/>
        <v>0</v>
      </c>
      <c r="GY112" s="48">
        <f t="shared" si="261"/>
        <v>0</v>
      </c>
      <c r="GZ112" s="48">
        <f t="shared" si="261"/>
        <v>0</v>
      </c>
      <c r="HA112" s="48">
        <f t="shared" si="261"/>
        <v>0</v>
      </c>
      <c r="HB112" s="48">
        <f t="shared" si="261"/>
        <v>0</v>
      </c>
      <c r="HC112" s="48">
        <f t="shared" si="261"/>
        <v>0</v>
      </c>
      <c r="HD112" s="48">
        <f t="shared" si="261"/>
        <v>0</v>
      </c>
      <c r="HE112" s="48">
        <f t="shared" si="261"/>
        <v>0</v>
      </c>
      <c r="HF112" s="48">
        <f t="shared" si="261"/>
        <v>0</v>
      </c>
      <c r="HG112" s="48">
        <f t="shared" si="261"/>
        <v>0</v>
      </c>
      <c r="HH112" s="48">
        <f t="shared" si="261"/>
        <v>0</v>
      </c>
      <c r="HI112" s="48">
        <f t="shared" si="261"/>
        <v>0</v>
      </c>
      <c r="HJ112" s="48">
        <f t="shared" si="261"/>
        <v>0</v>
      </c>
      <c r="HK112" s="48">
        <f t="shared" si="261"/>
        <v>0</v>
      </c>
      <c r="HL112" s="48">
        <f t="shared" si="261"/>
        <v>0</v>
      </c>
      <c r="HM112" s="48">
        <f t="shared" si="261"/>
        <v>0</v>
      </c>
      <c r="HN112" s="48">
        <f t="shared" si="261"/>
        <v>0</v>
      </c>
      <c r="HO112" s="48">
        <f t="shared" si="261"/>
        <v>0</v>
      </c>
      <c r="HP112" s="48">
        <f t="shared" si="261"/>
        <v>0</v>
      </c>
      <c r="HQ112" s="48">
        <f t="shared" si="261"/>
        <v>0</v>
      </c>
      <c r="HR112" s="48">
        <f t="shared" si="261"/>
        <v>0</v>
      </c>
      <c r="HS112" s="48">
        <f t="shared" si="261"/>
        <v>0</v>
      </c>
      <c r="HT112" s="48">
        <f t="shared" si="261"/>
        <v>0</v>
      </c>
      <c r="HU112" s="48">
        <f t="shared" si="261"/>
        <v>0</v>
      </c>
      <c r="HV112" s="48">
        <f t="shared" si="261"/>
        <v>0</v>
      </c>
      <c r="HW112" s="48">
        <f t="shared" si="261"/>
        <v>0</v>
      </c>
      <c r="HX112" s="48">
        <f t="shared" si="261"/>
        <v>0</v>
      </c>
      <c r="HY112" s="48">
        <f t="shared" si="261"/>
        <v>0</v>
      </c>
      <c r="HZ112" s="48">
        <f t="shared" si="261"/>
        <v>0</v>
      </c>
      <c r="IA112" s="48">
        <f t="shared" si="261"/>
        <v>0</v>
      </c>
      <c r="IB112" s="48">
        <f t="shared" si="261"/>
        <v>0</v>
      </c>
      <c r="IC112" s="48">
        <f t="shared" si="261"/>
        <v>0</v>
      </c>
      <c r="ID112" s="48">
        <f t="shared" si="261"/>
        <v>0</v>
      </c>
      <c r="IE112" s="48">
        <f t="shared" si="261"/>
        <v>0</v>
      </c>
      <c r="IF112" s="48">
        <f t="shared" si="261"/>
        <v>0</v>
      </c>
      <c r="IG112" s="48">
        <f t="shared" si="261"/>
        <v>0</v>
      </c>
      <c r="IH112" s="48">
        <f t="shared" si="261"/>
        <v>0</v>
      </c>
      <c r="II112" s="48">
        <f t="shared" si="261"/>
        <v>0</v>
      </c>
      <c r="IJ112" s="48">
        <f t="shared" si="261"/>
        <v>0</v>
      </c>
      <c r="IK112" s="48">
        <f t="shared" ref="IK112:KI112" si="262">IF(IK104,-IK109-IK111,0)</f>
        <v>0</v>
      </c>
      <c r="IL112" s="48">
        <f t="shared" si="262"/>
        <v>0</v>
      </c>
      <c r="IM112" s="48">
        <f t="shared" si="262"/>
        <v>0</v>
      </c>
      <c r="IN112" s="48">
        <f t="shared" si="262"/>
        <v>0</v>
      </c>
      <c r="IO112" s="48">
        <f t="shared" si="262"/>
        <v>0</v>
      </c>
      <c r="IP112" s="48">
        <f t="shared" si="262"/>
        <v>0</v>
      </c>
      <c r="IQ112" s="48">
        <f t="shared" si="262"/>
        <v>0</v>
      </c>
      <c r="IR112" s="48">
        <f t="shared" si="262"/>
        <v>0</v>
      </c>
      <c r="IS112" s="48">
        <f t="shared" si="262"/>
        <v>0</v>
      </c>
      <c r="IT112" s="48">
        <f t="shared" si="262"/>
        <v>0</v>
      </c>
      <c r="IU112" s="48">
        <f t="shared" si="262"/>
        <v>0</v>
      </c>
      <c r="IV112" s="48">
        <f t="shared" si="262"/>
        <v>0</v>
      </c>
      <c r="IW112" s="48">
        <f t="shared" si="262"/>
        <v>0</v>
      </c>
      <c r="IX112" s="48">
        <f t="shared" si="262"/>
        <v>0</v>
      </c>
      <c r="IY112" s="48">
        <f t="shared" si="262"/>
        <v>0</v>
      </c>
      <c r="IZ112" s="48">
        <f t="shared" si="262"/>
        <v>0</v>
      </c>
      <c r="JA112" s="48">
        <f t="shared" si="262"/>
        <v>0</v>
      </c>
      <c r="JB112" s="48">
        <f t="shared" si="262"/>
        <v>0</v>
      </c>
      <c r="JC112" s="48">
        <f t="shared" si="262"/>
        <v>0</v>
      </c>
      <c r="JD112" s="48">
        <f t="shared" si="262"/>
        <v>0</v>
      </c>
      <c r="JE112" s="48">
        <f t="shared" si="262"/>
        <v>0</v>
      </c>
      <c r="JF112" s="48">
        <f t="shared" si="262"/>
        <v>0</v>
      </c>
      <c r="JG112" s="48">
        <f t="shared" si="262"/>
        <v>0</v>
      </c>
      <c r="JH112" s="48">
        <f t="shared" si="262"/>
        <v>0</v>
      </c>
      <c r="JI112" s="48">
        <f t="shared" si="262"/>
        <v>0</v>
      </c>
      <c r="JJ112" s="48">
        <f t="shared" si="262"/>
        <v>0</v>
      </c>
      <c r="JK112" s="48">
        <f t="shared" si="262"/>
        <v>0</v>
      </c>
      <c r="JL112" s="48">
        <f t="shared" si="262"/>
        <v>0</v>
      </c>
      <c r="JM112" s="48">
        <f t="shared" si="262"/>
        <v>0</v>
      </c>
      <c r="JN112" s="48">
        <f t="shared" si="262"/>
        <v>0</v>
      </c>
      <c r="JO112" s="48">
        <f t="shared" si="262"/>
        <v>0</v>
      </c>
      <c r="JP112" s="48">
        <f t="shared" si="262"/>
        <v>0</v>
      </c>
      <c r="JQ112" s="48">
        <f t="shared" si="262"/>
        <v>0</v>
      </c>
      <c r="JR112" s="48">
        <f t="shared" si="262"/>
        <v>0</v>
      </c>
      <c r="JS112" s="48">
        <f t="shared" si="262"/>
        <v>0</v>
      </c>
      <c r="JT112" s="48">
        <f t="shared" si="262"/>
        <v>0</v>
      </c>
      <c r="JU112" s="48">
        <f t="shared" si="262"/>
        <v>0</v>
      </c>
      <c r="JV112" s="48">
        <f t="shared" si="262"/>
        <v>0</v>
      </c>
      <c r="JW112" s="48">
        <f t="shared" si="262"/>
        <v>0</v>
      </c>
      <c r="JX112" s="48">
        <f t="shared" si="262"/>
        <v>0</v>
      </c>
      <c r="JY112" s="48">
        <f t="shared" si="262"/>
        <v>0</v>
      </c>
      <c r="JZ112" s="48">
        <f t="shared" si="262"/>
        <v>0</v>
      </c>
      <c r="KA112" s="48">
        <f t="shared" si="262"/>
        <v>0</v>
      </c>
      <c r="KB112" s="48">
        <f t="shared" si="262"/>
        <v>0</v>
      </c>
      <c r="KC112" s="48">
        <f t="shared" si="262"/>
        <v>0</v>
      </c>
      <c r="KD112" s="48">
        <f t="shared" si="262"/>
        <v>0</v>
      </c>
      <c r="KE112" s="48">
        <f t="shared" si="262"/>
        <v>0</v>
      </c>
      <c r="KF112" s="48">
        <f t="shared" si="262"/>
        <v>0</v>
      </c>
      <c r="KG112" s="48">
        <f t="shared" si="262"/>
        <v>0</v>
      </c>
      <c r="KH112" s="48">
        <f t="shared" si="262"/>
        <v>0</v>
      </c>
      <c r="KI112" s="48">
        <f t="shared" si="262"/>
        <v>0</v>
      </c>
      <c r="KJ112" s="1"/>
    </row>
    <row r="113" spans="7:296" x14ac:dyDescent="0.35">
      <c r="H113" s="13" t="s">
        <v>49</v>
      </c>
      <c r="M113" s="47" t="s">
        <v>102</v>
      </c>
      <c r="N113" s="49">
        <f>SUM(N109:N112)</f>
        <v>0</v>
      </c>
      <c r="O113" s="49">
        <f t="shared" ref="O113:BZ113" si="263">SUM(O109:O112)</f>
        <v>0</v>
      </c>
      <c r="P113" s="49">
        <f t="shared" si="263"/>
        <v>0</v>
      </c>
      <c r="Q113" s="49">
        <f t="shared" si="263"/>
        <v>0</v>
      </c>
      <c r="R113" s="49">
        <f t="shared" si="263"/>
        <v>0</v>
      </c>
      <c r="S113" s="49">
        <f t="shared" si="263"/>
        <v>0</v>
      </c>
      <c r="T113" s="49">
        <f t="shared" si="263"/>
        <v>250</v>
      </c>
      <c r="U113" s="49">
        <f t="shared" si="263"/>
        <v>250</v>
      </c>
      <c r="V113" s="49">
        <f t="shared" si="263"/>
        <v>225</v>
      </c>
      <c r="W113" s="49">
        <f t="shared" si="263"/>
        <v>225</v>
      </c>
      <c r="X113" s="49">
        <f t="shared" si="263"/>
        <v>225</v>
      </c>
      <c r="Y113" s="49">
        <f t="shared" si="263"/>
        <v>225</v>
      </c>
      <c r="Z113" s="49">
        <f t="shared" si="263"/>
        <v>225</v>
      </c>
      <c r="AA113" s="49">
        <f t="shared" si="263"/>
        <v>225</v>
      </c>
      <c r="AB113" s="49">
        <f t="shared" si="263"/>
        <v>200</v>
      </c>
      <c r="AC113" s="49">
        <f t="shared" si="263"/>
        <v>200</v>
      </c>
      <c r="AD113" s="49">
        <f t="shared" si="263"/>
        <v>200</v>
      </c>
      <c r="AE113" s="49">
        <f t="shared" si="263"/>
        <v>200</v>
      </c>
      <c r="AF113" s="49">
        <f t="shared" si="263"/>
        <v>200</v>
      </c>
      <c r="AG113" s="49">
        <f t="shared" si="263"/>
        <v>200</v>
      </c>
      <c r="AH113" s="49">
        <f t="shared" si="263"/>
        <v>175</v>
      </c>
      <c r="AI113" s="49">
        <f t="shared" si="263"/>
        <v>175</v>
      </c>
      <c r="AJ113" s="49">
        <f t="shared" si="263"/>
        <v>175</v>
      </c>
      <c r="AK113" s="49">
        <f t="shared" si="263"/>
        <v>175</v>
      </c>
      <c r="AL113" s="49">
        <f t="shared" si="263"/>
        <v>175</v>
      </c>
      <c r="AM113" s="49">
        <f t="shared" si="263"/>
        <v>175</v>
      </c>
      <c r="AN113" s="49">
        <f t="shared" si="263"/>
        <v>150</v>
      </c>
      <c r="AO113" s="49">
        <f t="shared" si="263"/>
        <v>150</v>
      </c>
      <c r="AP113" s="49">
        <f t="shared" si="263"/>
        <v>150</v>
      </c>
      <c r="AQ113" s="49">
        <f t="shared" si="263"/>
        <v>150</v>
      </c>
      <c r="AR113" s="49">
        <f t="shared" si="263"/>
        <v>150</v>
      </c>
      <c r="AS113" s="49">
        <f t="shared" si="263"/>
        <v>150</v>
      </c>
      <c r="AT113" s="49">
        <f t="shared" si="263"/>
        <v>125</v>
      </c>
      <c r="AU113" s="49">
        <f t="shared" si="263"/>
        <v>125</v>
      </c>
      <c r="AV113" s="49">
        <f t="shared" si="263"/>
        <v>125</v>
      </c>
      <c r="AW113" s="49">
        <f t="shared" si="263"/>
        <v>125</v>
      </c>
      <c r="AX113" s="49">
        <f t="shared" si="263"/>
        <v>125</v>
      </c>
      <c r="AY113" s="49">
        <f t="shared" si="263"/>
        <v>125</v>
      </c>
      <c r="AZ113" s="49">
        <f t="shared" si="263"/>
        <v>100</v>
      </c>
      <c r="BA113" s="49">
        <f t="shared" si="263"/>
        <v>100</v>
      </c>
      <c r="BB113" s="49">
        <f t="shared" si="263"/>
        <v>100</v>
      </c>
      <c r="BC113" s="49">
        <f t="shared" si="263"/>
        <v>100</v>
      </c>
      <c r="BD113" s="49">
        <f t="shared" si="263"/>
        <v>100</v>
      </c>
      <c r="BE113" s="49">
        <f t="shared" si="263"/>
        <v>100</v>
      </c>
      <c r="BF113" s="49">
        <f t="shared" si="263"/>
        <v>75</v>
      </c>
      <c r="BG113" s="49">
        <f t="shared" si="263"/>
        <v>75</v>
      </c>
      <c r="BH113" s="49">
        <f t="shared" si="263"/>
        <v>75</v>
      </c>
      <c r="BI113" s="49">
        <f t="shared" si="263"/>
        <v>75</v>
      </c>
      <c r="BJ113" s="49">
        <f t="shared" si="263"/>
        <v>75</v>
      </c>
      <c r="BK113" s="49">
        <f t="shared" si="263"/>
        <v>75</v>
      </c>
      <c r="BL113" s="49">
        <f t="shared" si="263"/>
        <v>50</v>
      </c>
      <c r="BM113" s="49">
        <f t="shared" si="263"/>
        <v>50</v>
      </c>
      <c r="BN113" s="49">
        <f t="shared" si="263"/>
        <v>50</v>
      </c>
      <c r="BO113" s="49">
        <f t="shared" si="263"/>
        <v>50</v>
      </c>
      <c r="BP113" s="49">
        <f t="shared" si="263"/>
        <v>50</v>
      </c>
      <c r="BQ113" s="49">
        <f t="shared" si="263"/>
        <v>50</v>
      </c>
      <c r="BR113" s="49">
        <f t="shared" si="263"/>
        <v>25</v>
      </c>
      <c r="BS113" s="49">
        <f t="shared" si="263"/>
        <v>25</v>
      </c>
      <c r="BT113" s="49">
        <f t="shared" si="263"/>
        <v>25</v>
      </c>
      <c r="BU113" s="49">
        <f t="shared" si="263"/>
        <v>25</v>
      </c>
      <c r="BV113" s="49">
        <f t="shared" si="263"/>
        <v>25</v>
      </c>
      <c r="BW113" s="49">
        <f t="shared" si="263"/>
        <v>25</v>
      </c>
      <c r="BX113" s="49">
        <f t="shared" si="263"/>
        <v>0</v>
      </c>
      <c r="BY113" s="49">
        <f t="shared" si="263"/>
        <v>0</v>
      </c>
      <c r="BZ113" s="49">
        <f t="shared" si="263"/>
        <v>0</v>
      </c>
      <c r="CA113" s="49">
        <f t="shared" ref="CA113:EL113" si="264">SUM(CA109:CA112)</f>
        <v>0</v>
      </c>
      <c r="CB113" s="49">
        <f t="shared" si="264"/>
        <v>0</v>
      </c>
      <c r="CC113" s="49">
        <f t="shared" si="264"/>
        <v>0</v>
      </c>
      <c r="CD113" s="49">
        <f t="shared" si="264"/>
        <v>0</v>
      </c>
      <c r="CE113" s="49">
        <f t="shared" si="264"/>
        <v>0</v>
      </c>
      <c r="CF113" s="49">
        <f t="shared" si="264"/>
        <v>0</v>
      </c>
      <c r="CG113" s="49">
        <f t="shared" si="264"/>
        <v>0</v>
      </c>
      <c r="CH113" s="49">
        <f t="shared" si="264"/>
        <v>0</v>
      </c>
      <c r="CI113" s="49">
        <f t="shared" si="264"/>
        <v>0</v>
      </c>
      <c r="CJ113" s="49">
        <f t="shared" si="264"/>
        <v>0</v>
      </c>
      <c r="CK113" s="49">
        <f t="shared" si="264"/>
        <v>0</v>
      </c>
      <c r="CL113" s="49">
        <f t="shared" si="264"/>
        <v>0</v>
      </c>
      <c r="CM113" s="49">
        <f t="shared" si="264"/>
        <v>0</v>
      </c>
      <c r="CN113" s="49">
        <f t="shared" si="264"/>
        <v>0</v>
      </c>
      <c r="CO113" s="49">
        <f t="shared" si="264"/>
        <v>0</v>
      </c>
      <c r="CP113" s="49">
        <f t="shared" si="264"/>
        <v>0</v>
      </c>
      <c r="CQ113" s="49">
        <f t="shared" si="264"/>
        <v>0</v>
      </c>
      <c r="CR113" s="49">
        <f t="shared" si="264"/>
        <v>0</v>
      </c>
      <c r="CS113" s="49">
        <f t="shared" si="264"/>
        <v>0</v>
      </c>
      <c r="CT113" s="49">
        <f t="shared" si="264"/>
        <v>0</v>
      </c>
      <c r="CU113" s="49">
        <f t="shared" si="264"/>
        <v>0</v>
      </c>
      <c r="CV113" s="49">
        <f t="shared" si="264"/>
        <v>0</v>
      </c>
      <c r="CW113" s="49">
        <f t="shared" si="264"/>
        <v>0</v>
      </c>
      <c r="CX113" s="49">
        <f t="shared" si="264"/>
        <v>0</v>
      </c>
      <c r="CY113" s="49">
        <f t="shared" si="264"/>
        <v>0</v>
      </c>
      <c r="CZ113" s="49">
        <f t="shared" si="264"/>
        <v>0</v>
      </c>
      <c r="DA113" s="49">
        <f t="shared" si="264"/>
        <v>0</v>
      </c>
      <c r="DB113" s="49">
        <f t="shared" si="264"/>
        <v>0</v>
      </c>
      <c r="DC113" s="49">
        <f t="shared" si="264"/>
        <v>0</v>
      </c>
      <c r="DD113" s="49">
        <f t="shared" si="264"/>
        <v>0</v>
      </c>
      <c r="DE113" s="49">
        <f t="shared" si="264"/>
        <v>0</v>
      </c>
      <c r="DF113" s="49">
        <f t="shared" si="264"/>
        <v>0</v>
      </c>
      <c r="DG113" s="49">
        <f t="shared" si="264"/>
        <v>0</v>
      </c>
      <c r="DH113" s="49">
        <f t="shared" si="264"/>
        <v>0</v>
      </c>
      <c r="DI113" s="49">
        <f t="shared" si="264"/>
        <v>0</v>
      </c>
      <c r="DJ113" s="49">
        <f t="shared" si="264"/>
        <v>0</v>
      </c>
      <c r="DK113" s="49">
        <f t="shared" si="264"/>
        <v>0</v>
      </c>
      <c r="DL113" s="49">
        <f t="shared" si="264"/>
        <v>0</v>
      </c>
      <c r="DM113" s="49">
        <f t="shared" si="264"/>
        <v>0</v>
      </c>
      <c r="DN113" s="49">
        <f t="shared" si="264"/>
        <v>0</v>
      </c>
      <c r="DO113" s="49">
        <f t="shared" si="264"/>
        <v>0</v>
      </c>
      <c r="DP113" s="49">
        <f t="shared" si="264"/>
        <v>0</v>
      </c>
      <c r="DQ113" s="49">
        <f t="shared" si="264"/>
        <v>0</v>
      </c>
      <c r="DR113" s="49">
        <f t="shared" si="264"/>
        <v>0</v>
      </c>
      <c r="DS113" s="49">
        <f t="shared" si="264"/>
        <v>0</v>
      </c>
      <c r="DT113" s="49">
        <f t="shared" si="264"/>
        <v>0</v>
      </c>
      <c r="DU113" s="49">
        <f t="shared" si="264"/>
        <v>0</v>
      </c>
      <c r="DV113" s="49">
        <f t="shared" si="264"/>
        <v>0</v>
      </c>
      <c r="DW113" s="49">
        <f t="shared" si="264"/>
        <v>0</v>
      </c>
      <c r="DX113" s="49">
        <f t="shared" si="264"/>
        <v>0</v>
      </c>
      <c r="DY113" s="49">
        <f t="shared" si="264"/>
        <v>0</v>
      </c>
      <c r="DZ113" s="49">
        <f t="shared" si="264"/>
        <v>0</v>
      </c>
      <c r="EA113" s="49">
        <f t="shared" si="264"/>
        <v>0</v>
      </c>
      <c r="EB113" s="49">
        <f t="shared" si="264"/>
        <v>0</v>
      </c>
      <c r="EC113" s="49">
        <f t="shared" si="264"/>
        <v>0</v>
      </c>
      <c r="ED113" s="49">
        <f t="shared" si="264"/>
        <v>0</v>
      </c>
      <c r="EE113" s="49">
        <f t="shared" si="264"/>
        <v>0</v>
      </c>
      <c r="EF113" s="49">
        <f t="shared" si="264"/>
        <v>0</v>
      </c>
      <c r="EG113" s="49">
        <f t="shared" si="264"/>
        <v>0</v>
      </c>
      <c r="EH113" s="49">
        <f t="shared" si="264"/>
        <v>0</v>
      </c>
      <c r="EI113" s="49">
        <f t="shared" si="264"/>
        <v>0</v>
      </c>
      <c r="EJ113" s="49">
        <f t="shared" si="264"/>
        <v>0</v>
      </c>
      <c r="EK113" s="49">
        <f t="shared" si="264"/>
        <v>0</v>
      </c>
      <c r="EL113" s="49">
        <f t="shared" si="264"/>
        <v>0</v>
      </c>
      <c r="EM113" s="49">
        <f t="shared" ref="EM113:GX113" si="265">SUM(EM109:EM112)</f>
        <v>0</v>
      </c>
      <c r="EN113" s="49">
        <f t="shared" si="265"/>
        <v>0</v>
      </c>
      <c r="EO113" s="49">
        <f t="shared" si="265"/>
        <v>0</v>
      </c>
      <c r="EP113" s="49">
        <f t="shared" si="265"/>
        <v>0</v>
      </c>
      <c r="EQ113" s="49">
        <f t="shared" si="265"/>
        <v>0</v>
      </c>
      <c r="ER113" s="49">
        <f t="shared" si="265"/>
        <v>0</v>
      </c>
      <c r="ES113" s="49">
        <f t="shared" si="265"/>
        <v>0</v>
      </c>
      <c r="ET113" s="49">
        <f t="shared" si="265"/>
        <v>0</v>
      </c>
      <c r="EU113" s="49">
        <f t="shared" si="265"/>
        <v>0</v>
      </c>
      <c r="EV113" s="49">
        <f t="shared" si="265"/>
        <v>0</v>
      </c>
      <c r="EW113" s="49">
        <f t="shared" si="265"/>
        <v>0</v>
      </c>
      <c r="EX113" s="49">
        <f t="shared" si="265"/>
        <v>0</v>
      </c>
      <c r="EY113" s="49">
        <f t="shared" si="265"/>
        <v>0</v>
      </c>
      <c r="EZ113" s="49">
        <f t="shared" si="265"/>
        <v>0</v>
      </c>
      <c r="FA113" s="49">
        <f t="shared" si="265"/>
        <v>0</v>
      </c>
      <c r="FB113" s="49">
        <f t="shared" si="265"/>
        <v>0</v>
      </c>
      <c r="FC113" s="49">
        <f t="shared" si="265"/>
        <v>0</v>
      </c>
      <c r="FD113" s="49">
        <f t="shared" si="265"/>
        <v>0</v>
      </c>
      <c r="FE113" s="49">
        <f t="shared" si="265"/>
        <v>0</v>
      </c>
      <c r="FF113" s="49">
        <f t="shared" si="265"/>
        <v>0</v>
      </c>
      <c r="FG113" s="49">
        <f t="shared" si="265"/>
        <v>0</v>
      </c>
      <c r="FH113" s="49">
        <f t="shared" si="265"/>
        <v>0</v>
      </c>
      <c r="FI113" s="49">
        <f t="shared" si="265"/>
        <v>0</v>
      </c>
      <c r="FJ113" s="49">
        <f t="shared" si="265"/>
        <v>0</v>
      </c>
      <c r="FK113" s="49">
        <f t="shared" si="265"/>
        <v>0</v>
      </c>
      <c r="FL113" s="49">
        <f t="shared" si="265"/>
        <v>0</v>
      </c>
      <c r="FM113" s="49">
        <f t="shared" si="265"/>
        <v>0</v>
      </c>
      <c r="FN113" s="49">
        <f t="shared" si="265"/>
        <v>0</v>
      </c>
      <c r="FO113" s="49">
        <f t="shared" si="265"/>
        <v>0</v>
      </c>
      <c r="FP113" s="49">
        <f t="shared" si="265"/>
        <v>0</v>
      </c>
      <c r="FQ113" s="49">
        <f t="shared" si="265"/>
        <v>0</v>
      </c>
      <c r="FR113" s="49">
        <f t="shared" si="265"/>
        <v>0</v>
      </c>
      <c r="FS113" s="49">
        <f t="shared" si="265"/>
        <v>0</v>
      </c>
      <c r="FT113" s="49">
        <f t="shared" si="265"/>
        <v>0</v>
      </c>
      <c r="FU113" s="49">
        <f t="shared" si="265"/>
        <v>0</v>
      </c>
      <c r="FV113" s="49">
        <f t="shared" si="265"/>
        <v>0</v>
      </c>
      <c r="FW113" s="49">
        <f t="shared" si="265"/>
        <v>0</v>
      </c>
      <c r="FX113" s="49">
        <f t="shared" si="265"/>
        <v>0</v>
      </c>
      <c r="FY113" s="49">
        <f t="shared" si="265"/>
        <v>0</v>
      </c>
      <c r="FZ113" s="49">
        <f t="shared" si="265"/>
        <v>0</v>
      </c>
      <c r="GA113" s="49">
        <f t="shared" si="265"/>
        <v>0</v>
      </c>
      <c r="GB113" s="49">
        <f t="shared" si="265"/>
        <v>0</v>
      </c>
      <c r="GC113" s="49">
        <f t="shared" si="265"/>
        <v>0</v>
      </c>
      <c r="GD113" s="49">
        <f t="shared" si="265"/>
        <v>0</v>
      </c>
      <c r="GE113" s="49">
        <f t="shared" si="265"/>
        <v>0</v>
      </c>
      <c r="GF113" s="49">
        <f t="shared" si="265"/>
        <v>0</v>
      </c>
      <c r="GG113" s="49">
        <f t="shared" si="265"/>
        <v>0</v>
      </c>
      <c r="GH113" s="49">
        <f t="shared" si="265"/>
        <v>0</v>
      </c>
      <c r="GI113" s="49">
        <f t="shared" si="265"/>
        <v>0</v>
      </c>
      <c r="GJ113" s="49">
        <f t="shared" si="265"/>
        <v>0</v>
      </c>
      <c r="GK113" s="49">
        <f t="shared" si="265"/>
        <v>0</v>
      </c>
      <c r="GL113" s="49">
        <f t="shared" si="265"/>
        <v>0</v>
      </c>
      <c r="GM113" s="49">
        <f t="shared" si="265"/>
        <v>0</v>
      </c>
      <c r="GN113" s="49">
        <f t="shared" si="265"/>
        <v>0</v>
      </c>
      <c r="GO113" s="49">
        <f t="shared" si="265"/>
        <v>0</v>
      </c>
      <c r="GP113" s="49">
        <f t="shared" si="265"/>
        <v>0</v>
      </c>
      <c r="GQ113" s="49">
        <f t="shared" si="265"/>
        <v>0</v>
      </c>
      <c r="GR113" s="49">
        <f t="shared" si="265"/>
        <v>0</v>
      </c>
      <c r="GS113" s="49">
        <f t="shared" si="265"/>
        <v>0</v>
      </c>
      <c r="GT113" s="49">
        <f t="shared" si="265"/>
        <v>0</v>
      </c>
      <c r="GU113" s="49">
        <f t="shared" si="265"/>
        <v>0</v>
      </c>
      <c r="GV113" s="49">
        <f t="shared" si="265"/>
        <v>0</v>
      </c>
      <c r="GW113" s="49">
        <f t="shared" si="265"/>
        <v>0</v>
      </c>
      <c r="GX113" s="49">
        <f t="shared" si="265"/>
        <v>0</v>
      </c>
      <c r="GY113" s="49">
        <f t="shared" ref="GY113:JJ113" si="266">SUM(GY109:GY112)</f>
        <v>0</v>
      </c>
      <c r="GZ113" s="49">
        <f t="shared" si="266"/>
        <v>0</v>
      </c>
      <c r="HA113" s="49">
        <f t="shared" si="266"/>
        <v>0</v>
      </c>
      <c r="HB113" s="49">
        <f t="shared" si="266"/>
        <v>0</v>
      </c>
      <c r="HC113" s="49">
        <f t="shared" si="266"/>
        <v>0</v>
      </c>
      <c r="HD113" s="49">
        <f t="shared" si="266"/>
        <v>0</v>
      </c>
      <c r="HE113" s="49">
        <f t="shared" si="266"/>
        <v>0</v>
      </c>
      <c r="HF113" s="49">
        <f t="shared" si="266"/>
        <v>0</v>
      </c>
      <c r="HG113" s="49">
        <f t="shared" si="266"/>
        <v>0</v>
      </c>
      <c r="HH113" s="49">
        <f t="shared" si="266"/>
        <v>0</v>
      </c>
      <c r="HI113" s="49">
        <f t="shared" si="266"/>
        <v>0</v>
      </c>
      <c r="HJ113" s="49">
        <f t="shared" si="266"/>
        <v>0</v>
      </c>
      <c r="HK113" s="49">
        <f t="shared" si="266"/>
        <v>0</v>
      </c>
      <c r="HL113" s="49">
        <f t="shared" si="266"/>
        <v>0</v>
      </c>
      <c r="HM113" s="49">
        <f t="shared" si="266"/>
        <v>0</v>
      </c>
      <c r="HN113" s="49">
        <f t="shared" si="266"/>
        <v>0</v>
      </c>
      <c r="HO113" s="49">
        <f t="shared" si="266"/>
        <v>0</v>
      </c>
      <c r="HP113" s="49">
        <f t="shared" si="266"/>
        <v>0</v>
      </c>
      <c r="HQ113" s="49">
        <f t="shared" si="266"/>
        <v>0</v>
      </c>
      <c r="HR113" s="49">
        <f t="shared" si="266"/>
        <v>0</v>
      </c>
      <c r="HS113" s="49">
        <f t="shared" si="266"/>
        <v>0</v>
      </c>
      <c r="HT113" s="49">
        <f t="shared" si="266"/>
        <v>0</v>
      </c>
      <c r="HU113" s="49">
        <f t="shared" si="266"/>
        <v>0</v>
      </c>
      <c r="HV113" s="49">
        <f t="shared" si="266"/>
        <v>0</v>
      </c>
      <c r="HW113" s="49">
        <f t="shared" si="266"/>
        <v>0</v>
      </c>
      <c r="HX113" s="49">
        <f t="shared" si="266"/>
        <v>0</v>
      </c>
      <c r="HY113" s="49">
        <f t="shared" si="266"/>
        <v>0</v>
      </c>
      <c r="HZ113" s="49">
        <f t="shared" si="266"/>
        <v>0</v>
      </c>
      <c r="IA113" s="49">
        <f t="shared" si="266"/>
        <v>0</v>
      </c>
      <c r="IB113" s="49">
        <f t="shared" si="266"/>
        <v>0</v>
      </c>
      <c r="IC113" s="49">
        <f t="shared" si="266"/>
        <v>0</v>
      </c>
      <c r="ID113" s="49">
        <f t="shared" si="266"/>
        <v>0</v>
      </c>
      <c r="IE113" s="49">
        <f t="shared" si="266"/>
        <v>0</v>
      </c>
      <c r="IF113" s="49">
        <f t="shared" si="266"/>
        <v>0</v>
      </c>
      <c r="IG113" s="49">
        <f t="shared" si="266"/>
        <v>0</v>
      </c>
      <c r="IH113" s="49">
        <f t="shared" si="266"/>
        <v>0</v>
      </c>
      <c r="II113" s="49">
        <f t="shared" si="266"/>
        <v>0</v>
      </c>
      <c r="IJ113" s="49">
        <f t="shared" si="266"/>
        <v>0</v>
      </c>
      <c r="IK113" s="49">
        <f t="shared" si="266"/>
        <v>0</v>
      </c>
      <c r="IL113" s="49">
        <f t="shared" si="266"/>
        <v>0</v>
      </c>
      <c r="IM113" s="49">
        <f t="shared" si="266"/>
        <v>0</v>
      </c>
      <c r="IN113" s="49">
        <f t="shared" si="266"/>
        <v>0</v>
      </c>
      <c r="IO113" s="49">
        <f t="shared" si="266"/>
        <v>0</v>
      </c>
      <c r="IP113" s="49">
        <f t="shared" si="266"/>
        <v>0</v>
      </c>
      <c r="IQ113" s="49">
        <f t="shared" si="266"/>
        <v>0</v>
      </c>
      <c r="IR113" s="49">
        <f t="shared" si="266"/>
        <v>0</v>
      </c>
      <c r="IS113" s="49">
        <f t="shared" si="266"/>
        <v>0</v>
      </c>
      <c r="IT113" s="49">
        <f t="shared" si="266"/>
        <v>0</v>
      </c>
      <c r="IU113" s="49">
        <f t="shared" si="266"/>
        <v>0</v>
      </c>
      <c r="IV113" s="49">
        <f t="shared" si="266"/>
        <v>0</v>
      </c>
      <c r="IW113" s="49">
        <f t="shared" si="266"/>
        <v>0</v>
      </c>
      <c r="IX113" s="49">
        <f t="shared" si="266"/>
        <v>0</v>
      </c>
      <c r="IY113" s="49">
        <f t="shared" si="266"/>
        <v>0</v>
      </c>
      <c r="IZ113" s="49">
        <f t="shared" si="266"/>
        <v>0</v>
      </c>
      <c r="JA113" s="49">
        <f t="shared" si="266"/>
        <v>0</v>
      </c>
      <c r="JB113" s="49">
        <f t="shared" si="266"/>
        <v>0</v>
      </c>
      <c r="JC113" s="49">
        <f t="shared" si="266"/>
        <v>0</v>
      </c>
      <c r="JD113" s="49">
        <f t="shared" si="266"/>
        <v>0</v>
      </c>
      <c r="JE113" s="49">
        <f t="shared" si="266"/>
        <v>0</v>
      </c>
      <c r="JF113" s="49">
        <f t="shared" si="266"/>
        <v>0</v>
      </c>
      <c r="JG113" s="49">
        <f t="shared" si="266"/>
        <v>0</v>
      </c>
      <c r="JH113" s="49">
        <f t="shared" si="266"/>
        <v>0</v>
      </c>
      <c r="JI113" s="49">
        <f t="shared" si="266"/>
        <v>0</v>
      </c>
      <c r="JJ113" s="49">
        <f t="shared" si="266"/>
        <v>0</v>
      </c>
      <c r="JK113" s="49">
        <f t="shared" ref="JK113:KI113" si="267">SUM(JK109:JK112)</f>
        <v>0</v>
      </c>
      <c r="JL113" s="49">
        <f t="shared" si="267"/>
        <v>0</v>
      </c>
      <c r="JM113" s="49">
        <f t="shared" si="267"/>
        <v>0</v>
      </c>
      <c r="JN113" s="49">
        <f t="shared" si="267"/>
        <v>0</v>
      </c>
      <c r="JO113" s="49">
        <f t="shared" si="267"/>
        <v>0</v>
      </c>
      <c r="JP113" s="49">
        <f t="shared" si="267"/>
        <v>0</v>
      </c>
      <c r="JQ113" s="49">
        <f t="shared" si="267"/>
        <v>0</v>
      </c>
      <c r="JR113" s="49">
        <f t="shared" si="267"/>
        <v>0</v>
      </c>
      <c r="JS113" s="49">
        <f t="shared" si="267"/>
        <v>0</v>
      </c>
      <c r="JT113" s="49">
        <f t="shared" si="267"/>
        <v>0</v>
      </c>
      <c r="JU113" s="49">
        <f t="shared" si="267"/>
        <v>0</v>
      </c>
      <c r="JV113" s="49">
        <f t="shared" si="267"/>
        <v>0</v>
      </c>
      <c r="JW113" s="49">
        <f t="shared" si="267"/>
        <v>0</v>
      </c>
      <c r="JX113" s="49">
        <f t="shared" si="267"/>
        <v>0</v>
      </c>
      <c r="JY113" s="49">
        <f t="shared" si="267"/>
        <v>0</v>
      </c>
      <c r="JZ113" s="49">
        <f t="shared" si="267"/>
        <v>0</v>
      </c>
      <c r="KA113" s="49">
        <f t="shared" si="267"/>
        <v>0</v>
      </c>
      <c r="KB113" s="49">
        <f t="shared" si="267"/>
        <v>0</v>
      </c>
      <c r="KC113" s="49">
        <f t="shared" si="267"/>
        <v>0</v>
      </c>
      <c r="KD113" s="49">
        <f t="shared" si="267"/>
        <v>0</v>
      </c>
      <c r="KE113" s="49">
        <f t="shared" si="267"/>
        <v>0</v>
      </c>
      <c r="KF113" s="49">
        <f t="shared" si="267"/>
        <v>0</v>
      </c>
      <c r="KG113" s="49">
        <f t="shared" si="267"/>
        <v>0</v>
      </c>
      <c r="KH113" s="49">
        <f t="shared" si="267"/>
        <v>0</v>
      </c>
      <c r="KI113" s="49">
        <f t="shared" si="267"/>
        <v>0</v>
      </c>
      <c r="KJ113" s="1"/>
    </row>
    <row r="114" spans="7:296" x14ac:dyDescent="0.35">
      <c r="KJ114" s="1"/>
    </row>
    <row r="115" spans="7:296" x14ac:dyDescent="0.35">
      <c r="L115" s="22" t="s">
        <v>81</v>
      </c>
      <c r="KJ115" s="1"/>
    </row>
    <row r="116" spans="7:296" x14ac:dyDescent="0.35">
      <c r="H116" s="8" t="s">
        <v>16</v>
      </c>
      <c r="M116" s="6" t="s">
        <v>18</v>
      </c>
      <c r="N116" s="43">
        <f>Inputs!K$135</f>
        <v>3.5000000000000003E-2</v>
      </c>
      <c r="O116" s="43">
        <f>Inputs!L$135</f>
        <v>3.5000000000000003E-2</v>
      </c>
      <c r="P116" s="43">
        <f>Inputs!M$135</f>
        <v>3.5000000000000003E-2</v>
      </c>
      <c r="Q116" s="43">
        <f>Inputs!N$135</f>
        <v>3.5000000000000003E-2</v>
      </c>
      <c r="R116" s="43">
        <f>Inputs!O$135</f>
        <v>3.5000000000000003E-2</v>
      </c>
      <c r="S116" s="43">
        <f>Inputs!P$135</f>
        <v>3.5000000000000003E-2</v>
      </c>
      <c r="T116" s="43">
        <f>Inputs!Q$135</f>
        <v>3.5000000000000003E-2</v>
      </c>
      <c r="U116" s="43">
        <f>Inputs!R$135</f>
        <v>3.5000000000000003E-2</v>
      </c>
      <c r="V116" s="43">
        <f>Inputs!S$135</f>
        <v>3.5000000000000003E-2</v>
      </c>
      <c r="W116" s="43">
        <f>Inputs!T$135</f>
        <v>3.5000000000000003E-2</v>
      </c>
      <c r="X116" s="43">
        <f>Inputs!U$135</f>
        <v>3.5000000000000003E-2</v>
      </c>
      <c r="Y116" s="43">
        <f>Inputs!V$135</f>
        <v>3.5000000000000003E-2</v>
      </c>
      <c r="Z116" s="43">
        <f>Inputs!W$135</f>
        <v>3.5000000000000003E-2</v>
      </c>
      <c r="AA116" s="43">
        <f>Inputs!X$135</f>
        <v>3.5000000000000003E-2</v>
      </c>
      <c r="AB116" s="43">
        <f>Inputs!Y$135</f>
        <v>3.5000000000000003E-2</v>
      </c>
      <c r="AC116" s="43">
        <f>Inputs!Z$135</f>
        <v>3.5000000000000003E-2</v>
      </c>
      <c r="AD116" s="43">
        <f>Inputs!AA$135</f>
        <v>3.5000000000000003E-2</v>
      </c>
      <c r="AE116" s="43">
        <f>Inputs!AB$135</f>
        <v>3.5000000000000003E-2</v>
      </c>
      <c r="AF116" s="43">
        <f>Inputs!AC$135</f>
        <v>3.5000000000000003E-2</v>
      </c>
      <c r="AG116" s="43">
        <f>Inputs!AD$135</f>
        <v>3.5000000000000003E-2</v>
      </c>
      <c r="AH116" s="43">
        <f>Inputs!AE$135</f>
        <v>3.5000000000000003E-2</v>
      </c>
      <c r="AI116" s="43">
        <f>Inputs!AF$135</f>
        <v>3.5000000000000003E-2</v>
      </c>
      <c r="AJ116" s="43">
        <f>Inputs!AG$135</f>
        <v>3.5000000000000003E-2</v>
      </c>
      <c r="AK116" s="43">
        <f>Inputs!AH$135</f>
        <v>3.5000000000000003E-2</v>
      </c>
      <c r="AL116" s="43">
        <f>Inputs!AI$135</f>
        <v>3.5000000000000003E-2</v>
      </c>
      <c r="AM116" s="43">
        <f>Inputs!AJ$135</f>
        <v>3.5000000000000003E-2</v>
      </c>
      <c r="AN116" s="43">
        <f>Inputs!AK$135</f>
        <v>3.5000000000000003E-2</v>
      </c>
      <c r="AO116" s="43">
        <f>Inputs!AL$135</f>
        <v>3.5000000000000003E-2</v>
      </c>
      <c r="AP116" s="43">
        <f>Inputs!AM$135</f>
        <v>3.5000000000000003E-2</v>
      </c>
      <c r="AQ116" s="43">
        <f>Inputs!AN$135</f>
        <v>3.5000000000000003E-2</v>
      </c>
      <c r="AR116" s="43">
        <f>Inputs!AO$135</f>
        <v>3.5000000000000003E-2</v>
      </c>
      <c r="AS116" s="43">
        <f>Inputs!AP$135</f>
        <v>3.5000000000000003E-2</v>
      </c>
      <c r="AT116" s="43">
        <f>Inputs!AQ$135</f>
        <v>3.5000000000000003E-2</v>
      </c>
      <c r="AU116" s="43">
        <f>Inputs!AR$135</f>
        <v>3.5000000000000003E-2</v>
      </c>
      <c r="AV116" s="43">
        <f>Inputs!AS$135</f>
        <v>3.5000000000000003E-2</v>
      </c>
      <c r="AW116" s="43">
        <f>Inputs!AT$135</f>
        <v>3.5000000000000003E-2</v>
      </c>
      <c r="AX116" s="43">
        <f>Inputs!AU$135</f>
        <v>3.5000000000000003E-2</v>
      </c>
      <c r="AY116" s="43">
        <f>Inputs!AV$135</f>
        <v>3.5000000000000003E-2</v>
      </c>
      <c r="AZ116" s="43">
        <f>Inputs!AW$135</f>
        <v>3.5000000000000003E-2</v>
      </c>
      <c r="BA116" s="43">
        <f>Inputs!AX$135</f>
        <v>3.5000000000000003E-2</v>
      </c>
      <c r="BB116" s="43">
        <f>Inputs!AY$135</f>
        <v>3.5000000000000003E-2</v>
      </c>
      <c r="BC116" s="43">
        <f>Inputs!AZ$135</f>
        <v>3.5000000000000003E-2</v>
      </c>
      <c r="BD116" s="43">
        <f>Inputs!BA$135</f>
        <v>3.5000000000000003E-2</v>
      </c>
      <c r="BE116" s="43">
        <f>Inputs!BB$135</f>
        <v>3.5000000000000003E-2</v>
      </c>
      <c r="BF116" s="43">
        <f>Inputs!BC$135</f>
        <v>3.5000000000000003E-2</v>
      </c>
      <c r="BG116" s="43">
        <f>Inputs!BD$135</f>
        <v>3.5000000000000003E-2</v>
      </c>
      <c r="BH116" s="43">
        <f>Inputs!BE$135</f>
        <v>3.5000000000000003E-2</v>
      </c>
      <c r="BI116" s="43">
        <f>Inputs!BF$135</f>
        <v>3.5000000000000003E-2</v>
      </c>
      <c r="BJ116" s="43">
        <f>Inputs!BG$135</f>
        <v>3.5000000000000003E-2</v>
      </c>
      <c r="BK116" s="43">
        <f>Inputs!BH$135</f>
        <v>3.5000000000000003E-2</v>
      </c>
      <c r="BL116" s="43">
        <f>Inputs!BI$135</f>
        <v>3.5000000000000003E-2</v>
      </c>
      <c r="BM116" s="43">
        <f>Inputs!BJ$135</f>
        <v>3.5000000000000003E-2</v>
      </c>
      <c r="BN116" s="43">
        <f>Inputs!BK$135</f>
        <v>3.5000000000000003E-2</v>
      </c>
      <c r="BO116" s="43">
        <f>Inputs!BL$135</f>
        <v>3.5000000000000003E-2</v>
      </c>
      <c r="BP116" s="43">
        <f>Inputs!BM$135</f>
        <v>3.5000000000000003E-2</v>
      </c>
      <c r="BQ116" s="43">
        <f>Inputs!BN$135</f>
        <v>3.5000000000000003E-2</v>
      </c>
      <c r="BR116" s="43">
        <f>Inputs!BO$135</f>
        <v>3.5000000000000003E-2</v>
      </c>
      <c r="BS116" s="43">
        <f>Inputs!BP$135</f>
        <v>3.5000000000000003E-2</v>
      </c>
      <c r="BT116" s="43">
        <f>Inputs!BQ$135</f>
        <v>3.5000000000000003E-2</v>
      </c>
      <c r="BU116" s="43">
        <f>Inputs!BR$135</f>
        <v>3.5000000000000003E-2</v>
      </c>
      <c r="BV116" s="43">
        <f>Inputs!BS$135</f>
        <v>3.5000000000000003E-2</v>
      </c>
      <c r="BW116" s="43">
        <f>Inputs!BT$135</f>
        <v>3.5000000000000003E-2</v>
      </c>
      <c r="BX116" s="43">
        <f>Inputs!BU$135</f>
        <v>3.5000000000000003E-2</v>
      </c>
      <c r="BY116" s="43">
        <f>Inputs!BV$135</f>
        <v>3.5000000000000003E-2</v>
      </c>
      <c r="BZ116" s="43">
        <f>Inputs!BW$135</f>
        <v>3.5000000000000003E-2</v>
      </c>
      <c r="CA116" s="43">
        <f>Inputs!BX$135</f>
        <v>3.5000000000000003E-2</v>
      </c>
      <c r="CB116" s="43">
        <f>Inputs!BY$135</f>
        <v>3.5000000000000003E-2</v>
      </c>
      <c r="CC116" s="43">
        <f>Inputs!BZ$135</f>
        <v>3.5000000000000003E-2</v>
      </c>
      <c r="CD116" s="43">
        <f>Inputs!CA$135</f>
        <v>3.5000000000000003E-2</v>
      </c>
      <c r="CE116" s="43">
        <f>Inputs!CB$135</f>
        <v>3.5000000000000003E-2</v>
      </c>
      <c r="CF116" s="43">
        <f>Inputs!CC$135</f>
        <v>3.5000000000000003E-2</v>
      </c>
      <c r="CG116" s="43">
        <f>Inputs!CD$135</f>
        <v>3.5000000000000003E-2</v>
      </c>
      <c r="CH116" s="43">
        <f>Inputs!CE$135</f>
        <v>3.5000000000000003E-2</v>
      </c>
      <c r="CI116" s="43">
        <f>Inputs!CF$135</f>
        <v>3.5000000000000003E-2</v>
      </c>
      <c r="CJ116" s="43">
        <f>Inputs!CG$135</f>
        <v>3.5000000000000003E-2</v>
      </c>
      <c r="CK116" s="43">
        <f>Inputs!CH$135</f>
        <v>3.5000000000000003E-2</v>
      </c>
      <c r="CL116" s="43">
        <f>Inputs!CI$135</f>
        <v>3.5000000000000003E-2</v>
      </c>
      <c r="CM116" s="43">
        <f>Inputs!CJ$135</f>
        <v>3.5000000000000003E-2</v>
      </c>
      <c r="CN116" s="43">
        <f>Inputs!CK$135</f>
        <v>3.5000000000000003E-2</v>
      </c>
      <c r="CO116" s="43">
        <f>Inputs!CL$135</f>
        <v>3.5000000000000003E-2</v>
      </c>
      <c r="CP116" s="43">
        <f>Inputs!CM$135</f>
        <v>3.5000000000000003E-2</v>
      </c>
      <c r="CQ116" s="43">
        <f>Inputs!CN$135</f>
        <v>3.5000000000000003E-2</v>
      </c>
      <c r="CR116" s="43">
        <f>Inputs!CO$135</f>
        <v>3.5000000000000003E-2</v>
      </c>
      <c r="CS116" s="43">
        <f>Inputs!CP$135</f>
        <v>3.5000000000000003E-2</v>
      </c>
      <c r="CT116" s="43">
        <f>Inputs!CQ$135</f>
        <v>3.5000000000000003E-2</v>
      </c>
      <c r="CU116" s="43">
        <f>Inputs!CR$135</f>
        <v>3.5000000000000003E-2</v>
      </c>
      <c r="CV116" s="43">
        <f>Inputs!CS$135</f>
        <v>3.5000000000000003E-2</v>
      </c>
      <c r="CW116" s="43">
        <f>Inputs!CT$135</f>
        <v>3.5000000000000003E-2</v>
      </c>
      <c r="CX116" s="43">
        <f>Inputs!CU$135</f>
        <v>3.5000000000000003E-2</v>
      </c>
      <c r="CY116" s="43">
        <f>Inputs!CV$135</f>
        <v>3.5000000000000003E-2</v>
      </c>
      <c r="CZ116" s="43">
        <f>Inputs!CW$135</f>
        <v>3.5000000000000003E-2</v>
      </c>
      <c r="DA116" s="43">
        <f>Inputs!CX$135</f>
        <v>3.5000000000000003E-2</v>
      </c>
      <c r="DB116" s="43">
        <f>Inputs!CY$135</f>
        <v>3.5000000000000003E-2</v>
      </c>
      <c r="DC116" s="43">
        <f>Inputs!CZ$135</f>
        <v>3.5000000000000003E-2</v>
      </c>
      <c r="DD116" s="43">
        <f>Inputs!DA$135</f>
        <v>3.5000000000000003E-2</v>
      </c>
      <c r="DE116" s="43">
        <f>Inputs!DB$135</f>
        <v>3.5000000000000003E-2</v>
      </c>
      <c r="DF116" s="43">
        <f>Inputs!DC$135</f>
        <v>3.5000000000000003E-2</v>
      </c>
      <c r="DG116" s="43">
        <f>Inputs!DD$135</f>
        <v>3.5000000000000003E-2</v>
      </c>
      <c r="DH116" s="43">
        <f>Inputs!DE$135</f>
        <v>3.5000000000000003E-2</v>
      </c>
      <c r="DI116" s="43">
        <f>Inputs!DF$135</f>
        <v>3.5000000000000003E-2</v>
      </c>
      <c r="DJ116" s="43">
        <f>Inputs!DG$135</f>
        <v>3.5000000000000003E-2</v>
      </c>
      <c r="DK116" s="43">
        <f>Inputs!DH$135</f>
        <v>3.5000000000000003E-2</v>
      </c>
      <c r="DL116" s="43">
        <f>Inputs!DI$135</f>
        <v>3.5000000000000003E-2</v>
      </c>
      <c r="DM116" s="43">
        <f>Inputs!DJ$135</f>
        <v>3.5000000000000003E-2</v>
      </c>
      <c r="DN116" s="43">
        <f>Inputs!DK$135</f>
        <v>3.5000000000000003E-2</v>
      </c>
      <c r="DO116" s="43">
        <f>Inputs!DL$135</f>
        <v>3.5000000000000003E-2</v>
      </c>
      <c r="DP116" s="43">
        <f>Inputs!DM$135</f>
        <v>3.5000000000000003E-2</v>
      </c>
      <c r="DQ116" s="43">
        <f>Inputs!DN$135</f>
        <v>3.5000000000000003E-2</v>
      </c>
      <c r="DR116" s="43">
        <f>Inputs!DO$135</f>
        <v>3.5000000000000003E-2</v>
      </c>
      <c r="DS116" s="43">
        <f>Inputs!DP$135</f>
        <v>3.5000000000000003E-2</v>
      </c>
      <c r="DT116" s="43">
        <f>Inputs!DQ$135</f>
        <v>3.5000000000000003E-2</v>
      </c>
      <c r="DU116" s="43">
        <f>Inputs!DR$135</f>
        <v>3.5000000000000003E-2</v>
      </c>
      <c r="DV116" s="43">
        <f>Inputs!DS$135</f>
        <v>3.5000000000000003E-2</v>
      </c>
      <c r="DW116" s="43">
        <f>Inputs!DT$135</f>
        <v>3.5000000000000003E-2</v>
      </c>
      <c r="DX116" s="43">
        <f>Inputs!DU$135</f>
        <v>3.5000000000000003E-2</v>
      </c>
      <c r="DY116" s="43">
        <f>Inputs!DV$135</f>
        <v>3.5000000000000003E-2</v>
      </c>
      <c r="DZ116" s="43">
        <f>Inputs!DW$135</f>
        <v>3.5000000000000003E-2</v>
      </c>
      <c r="EA116" s="43">
        <f>Inputs!DX$135</f>
        <v>3.5000000000000003E-2</v>
      </c>
      <c r="EB116" s="43">
        <f>Inputs!DY$135</f>
        <v>3.5000000000000003E-2</v>
      </c>
      <c r="EC116" s="43">
        <f>Inputs!DZ$135</f>
        <v>3.5000000000000003E-2</v>
      </c>
      <c r="ED116" s="43">
        <f>Inputs!EA$135</f>
        <v>3.5000000000000003E-2</v>
      </c>
      <c r="EE116" s="43">
        <f>Inputs!EB$135</f>
        <v>3.5000000000000003E-2</v>
      </c>
      <c r="EF116" s="43">
        <f>Inputs!EC$135</f>
        <v>3.5000000000000003E-2</v>
      </c>
      <c r="EG116" s="43">
        <f>Inputs!ED$135</f>
        <v>3.5000000000000003E-2</v>
      </c>
      <c r="EH116" s="43">
        <f>Inputs!EE$135</f>
        <v>3.5000000000000003E-2</v>
      </c>
      <c r="EI116" s="43">
        <f>Inputs!EF$135</f>
        <v>3.5000000000000003E-2</v>
      </c>
      <c r="EJ116" s="43">
        <f>Inputs!EG$135</f>
        <v>3.5000000000000003E-2</v>
      </c>
      <c r="EK116" s="43">
        <f>Inputs!EH$135</f>
        <v>3.5000000000000003E-2</v>
      </c>
      <c r="EL116" s="43">
        <f>Inputs!EI$135</f>
        <v>3.5000000000000003E-2</v>
      </c>
      <c r="EM116" s="43">
        <f>Inputs!EJ$135</f>
        <v>3.5000000000000003E-2</v>
      </c>
      <c r="EN116" s="43">
        <f>Inputs!EK$135</f>
        <v>3.5000000000000003E-2</v>
      </c>
      <c r="EO116" s="43">
        <f>Inputs!EL$135</f>
        <v>3.5000000000000003E-2</v>
      </c>
      <c r="EP116" s="43">
        <f>Inputs!EM$135</f>
        <v>3.5000000000000003E-2</v>
      </c>
      <c r="EQ116" s="43">
        <f>Inputs!EN$135</f>
        <v>3.5000000000000003E-2</v>
      </c>
      <c r="ER116" s="43">
        <f>Inputs!EO$135</f>
        <v>3.5000000000000003E-2</v>
      </c>
      <c r="ES116" s="43">
        <f>Inputs!EP$135</f>
        <v>3.5000000000000003E-2</v>
      </c>
      <c r="ET116" s="43">
        <f>Inputs!EQ$135</f>
        <v>3.5000000000000003E-2</v>
      </c>
      <c r="EU116" s="43">
        <f>Inputs!ER$135</f>
        <v>3.5000000000000003E-2</v>
      </c>
      <c r="EV116" s="43">
        <f>Inputs!ES$135</f>
        <v>3.5000000000000003E-2</v>
      </c>
      <c r="EW116" s="43">
        <f>Inputs!ET$135</f>
        <v>3.5000000000000003E-2</v>
      </c>
      <c r="EX116" s="43">
        <f>Inputs!EU$135</f>
        <v>3.5000000000000003E-2</v>
      </c>
      <c r="EY116" s="43">
        <f>Inputs!EV$135</f>
        <v>3.5000000000000003E-2</v>
      </c>
      <c r="EZ116" s="43">
        <f>Inputs!EW$135</f>
        <v>3.5000000000000003E-2</v>
      </c>
      <c r="FA116" s="43">
        <f>Inputs!EX$135</f>
        <v>3.5000000000000003E-2</v>
      </c>
      <c r="FB116" s="43">
        <f>Inputs!EY$135</f>
        <v>3.5000000000000003E-2</v>
      </c>
      <c r="FC116" s="43">
        <f>Inputs!EZ$135</f>
        <v>3.5000000000000003E-2</v>
      </c>
      <c r="FD116" s="43">
        <f>Inputs!FA$135</f>
        <v>3.5000000000000003E-2</v>
      </c>
      <c r="FE116" s="43">
        <f>Inputs!FB$135</f>
        <v>3.5000000000000003E-2</v>
      </c>
      <c r="FF116" s="43">
        <f>Inputs!FC$135</f>
        <v>3.5000000000000003E-2</v>
      </c>
      <c r="FG116" s="43">
        <f>Inputs!FD$135</f>
        <v>3.5000000000000003E-2</v>
      </c>
      <c r="FH116" s="43">
        <f>Inputs!FE$135</f>
        <v>3.5000000000000003E-2</v>
      </c>
      <c r="FI116" s="43">
        <f>Inputs!FF$135</f>
        <v>3.5000000000000003E-2</v>
      </c>
      <c r="FJ116" s="43">
        <f>Inputs!FG$135</f>
        <v>3.5000000000000003E-2</v>
      </c>
      <c r="FK116" s="43">
        <f>Inputs!FH$135</f>
        <v>3.5000000000000003E-2</v>
      </c>
      <c r="FL116" s="43">
        <f>Inputs!FI$135</f>
        <v>3.5000000000000003E-2</v>
      </c>
      <c r="FM116" s="43">
        <f>Inputs!FJ$135</f>
        <v>3.5000000000000003E-2</v>
      </c>
      <c r="FN116" s="43">
        <f>Inputs!FK$135</f>
        <v>3.5000000000000003E-2</v>
      </c>
      <c r="FO116" s="43">
        <f>Inputs!FL$135</f>
        <v>3.5000000000000003E-2</v>
      </c>
      <c r="FP116" s="43">
        <f>Inputs!FM$135</f>
        <v>3.5000000000000003E-2</v>
      </c>
      <c r="FQ116" s="43">
        <f>Inputs!FN$135</f>
        <v>3.5000000000000003E-2</v>
      </c>
      <c r="FR116" s="43">
        <f>Inputs!FO$135</f>
        <v>3.5000000000000003E-2</v>
      </c>
      <c r="FS116" s="43">
        <f>Inputs!FP$135</f>
        <v>3.5000000000000003E-2</v>
      </c>
      <c r="FT116" s="43">
        <f>Inputs!FQ$135</f>
        <v>3.5000000000000003E-2</v>
      </c>
      <c r="FU116" s="43">
        <f>Inputs!FR$135</f>
        <v>3.5000000000000003E-2</v>
      </c>
      <c r="FV116" s="43">
        <f>Inputs!FS$135</f>
        <v>3.5000000000000003E-2</v>
      </c>
      <c r="FW116" s="43">
        <f>Inputs!FT$135</f>
        <v>3.5000000000000003E-2</v>
      </c>
      <c r="FX116" s="43">
        <f>Inputs!FU$135</f>
        <v>3.5000000000000003E-2</v>
      </c>
      <c r="FY116" s="43">
        <f>Inputs!FV$135</f>
        <v>3.5000000000000003E-2</v>
      </c>
      <c r="FZ116" s="43">
        <f>Inputs!FW$135</f>
        <v>3.5000000000000003E-2</v>
      </c>
      <c r="GA116" s="43">
        <f>Inputs!FX$135</f>
        <v>3.5000000000000003E-2</v>
      </c>
      <c r="GB116" s="43">
        <f>Inputs!FY$135</f>
        <v>3.5000000000000003E-2</v>
      </c>
      <c r="GC116" s="43">
        <f>Inputs!FZ$135</f>
        <v>3.5000000000000003E-2</v>
      </c>
      <c r="GD116" s="43">
        <f>Inputs!GA$135</f>
        <v>3.5000000000000003E-2</v>
      </c>
      <c r="GE116" s="43">
        <f>Inputs!GB$135</f>
        <v>3.5000000000000003E-2</v>
      </c>
      <c r="GF116" s="43">
        <f>Inputs!GC$135</f>
        <v>3.5000000000000003E-2</v>
      </c>
      <c r="GG116" s="43">
        <f>Inputs!GD$135</f>
        <v>3.5000000000000003E-2</v>
      </c>
      <c r="GH116" s="43">
        <f>Inputs!GE$135</f>
        <v>3.5000000000000003E-2</v>
      </c>
      <c r="GI116" s="43">
        <f>Inputs!GF$135</f>
        <v>3.5000000000000003E-2</v>
      </c>
      <c r="GJ116" s="43">
        <f>Inputs!GG$135</f>
        <v>3.5000000000000003E-2</v>
      </c>
      <c r="GK116" s="43">
        <f>Inputs!GH$135</f>
        <v>3.5000000000000003E-2</v>
      </c>
      <c r="GL116" s="43">
        <f>Inputs!GI$135</f>
        <v>3.5000000000000003E-2</v>
      </c>
      <c r="GM116" s="43">
        <f>Inputs!GJ$135</f>
        <v>3.5000000000000003E-2</v>
      </c>
      <c r="GN116" s="43">
        <f>Inputs!GK$135</f>
        <v>3.5000000000000003E-2</v>
      </c>
      <c r="GO116" s="43">
        <f>Inputs!GL$135</f>
        <v>3.5000000000000003E-2</v>
      </c>
      <c r="GP116" s="43">
        <f>Inputs!GM$135</f>
        <v>3.5000000000000003E-2</v>
      </c>
      <c r="GQ116" s="43">
        <f>Inputs!GN$135</f>
        <v>3.5000000000000003E-2</v>
      </c>
      <c r="GR116" s="43">
        <f>Inputs!GO$135</f>
        <v>3.5000000000000003E-2</v>
      </c>
      <c r="GS116" s="43">
        <f>Inputs!GP$135</f>
        <v>3.5000000000000003E-2</v>
      </c>
      <c r="GT116" s="43">
        <f>Inputs!GQ$135</f>
        <v>3.5000000000000003E-2</v>
      </c>
      <c r="GU116" s="43">
        <f>Inputs!GR$135</f>
        <v>3.5000000000000003E-2</v>
      </c>
      <c r="GV116" s="43">
        <f>Inputs!GS$135</f>
        <v>3.5000000000000003E-2</v>
      </c>
      <c r="GW116" s="43">
        <f>Inputs!GT$135</f>
        <v>3.5000000000000003E-2</v>
      </c>
      <c r="GX116" s="43">
        <f>Inputs!GU$135</f>
        <v>3.5000000000000003E-2</v>
      </c>
      <c r="GY116" s="43">
        <f>Inputs!GV$135</f>
        <v>3.5000000000000003E-2</v>
      </c>
      <c r="GZ116" s="43">
        <f>Inputs!GW$135</f>
        <v>3.5000000000000003E-2</v>
      </c>
      <c r="HA116" s="43">
        <f>Inputs!GX$135</f>
        <v>3.5000000000000003E-2</v>
      </c>
      <c r="HB116" s="43">
        <f>Inputs!GY$135</f>
        <v>3.5000000000000003E-2</v>
      </c>
      <c r="HC116" s="43">
        <f>Inputs!GZ$135</f>
        <v>3.5000000000000003E-2</v>
      </c>
      <c r="HD116" s="43">
        <f>Inputs!HA$135</f>
        <v>3.5000000000000003E-2</v>
      </c>
      <c r="HE116" s="43">
        <f>Inputs!HB$135</f>
        <v>3.5000000000000003E-2</v>
      </c>
      <c r="HF116" s="43">
        <f>Inputs!HC$135</f>
        <v>3.5000000000000003E-2</v>
      </c>
      <c r="HG116" s="43">
        <f>Inputs!HD$135</f>
        <v>3.5000000000000003E-2</v>
      </c>
      <c r="HH116" s="43">
        <f>Inputs!HE$135</f>
        <v>3.5000000000000003E-2</v>
      </c>
      <c r="HI116" s="43">
        <f>Inputs!HF$135</f>
        <v>3.5000000000000003E-2</v>
      </c>
      <c r="HJ116" s="43">
        <f>Inputs!HG$135</f>
        <v>3.5000000000000003E-2</v>
      </c>
      <c r="HK116" s="43">
        <f>Inputs!HH$135</f>
        <v>3.5000000000000003E-2</v>
      </c>
      <c r="HL116" s="43">
        <f>Inputs!HI$135</f>
        <v>3.5000000000000003E-2</v>
      </c>
      <c r="HM116" s="43">
        <f>Inputs!HJ$135</f>
        <v>3.5000000000000003E-2</v>
      </c>
      <c r="HN116" s="43">
        <f>Inputs!HK$135</f>
        <v>3.5000000000000003E-2</v>
      </c>
      <c r="HO116" s="43">
        <f>Inputs!HL$135</f>
        <v>3.5000000000000003E-2</v>
      </c>
      <c r="HP116" s="43">
        <f>Inputs!HM$135</f>
        <v>3.5000000000000003E-2</v>
      </c>
      <c r="HQ116" s="43">
        <f>Inputs!HN$135</f>
        <v>3.5000000000000003E-2</v>
      </c>
      <c r="HR116" s="43">
        <f>Inputs!HO$135</f>
        <v>3.5000000000000003E-2</v>
      </c>
      <c r="HS116" s="43">
        <f>Inputs!HP$135</f>
        <v>3.5000000000000003E-2</v>
      </c>
      <c r="HT116" s="43">
        <f>Inputs!HQ$135</f>
        <v>3.5000000000000003E-2</v>
      </c>
      <c r="HU116" s="43">
        <f>Inputs!HR$135</f>
        <v>3.5000000000000003E-2</v>
      </c>
      <c r="HV116" s="43">
        <f>Inputs!HS$135</f>
        <v>3.5000000000000003E-2</v>
      </c>
      <c r="HW116" s="43">
        <f>Inputs!HT$135</f>
        <v>3.5000000000000003E-2</v>
      </c>
      <c r="HX116" s="43">
        <f>Inputs!HU$135</f>
        <v>3.5000000000000003E-2</v>
      </c>
      <c r="HY116" s="43">
        <f>Inputs!HV$135</f>
        <v>3.5000000000000003E-2</v>
      </c>
      <c r="HZ116" s="43">
        <f>Inputs!HW$135</f>
        <v>3.5000000000000003E-2</v>
      </c>
      <c r="IA116" s="43">
        <f>Inputs!HX$135</f>
        <v>3.5000000000000003E-2</v>
      </c>
      <c r="IB116" s="43">
        <f>Inputs!HY$135</f>
        <v>3.5000000000000003E-2</v>
      </c>
      <c r="IC116" s="43">
        <f>Inputs!HZ$135</f>
        <v>3.5000000000000003E-2</v>
      </c>
      <c r="ID116" s="43">
        <f>Inputs!IA$135</f>
        <v>3.5000000000000003E-2</v>
      </c>
      <c r="IE116" s="43">
        <f>Inputs!IB$135</f>
        <v>3.5000000000000003E-2</v>
      </c>
      <c r="IF116" s="43">
        <f>Inputs!IC$135</f>
        <v>3.5000000000000003E-2</v>
      </c>
      <c r="IG116" s="43">
        <f>Inputs!ID$135</f>
        <v>3.5000000000000003E-2</v>
      </c>
      <c r="IH116" s="43">
        <f>Inputs!IE$135</f>
        <v>3.5000000000000003E-2</v>
      </c>
      <c r="II116" s="43">
        <f>Inputs!IF$135</f>
        <v>3.5000000000000003E-2</v>
      </c>
      <c r="IJ116" s="43">
        <f>Inputs!IG$135</f>
        <v>3.5000000000000003E-2</v>
      </c>
      <c r="IK116" s="43">
        <f>Inputs!IH$135</f>
        <v>3.5000000000000003E-2</v>
      </c>
      <c r="IL116" s="43">
        <f>Inputs!II$135</f>
        <v>3.5000000000000003E-2</v>
      </c>
      <c r="IM116" s="43">
        <f>Inputs!IJ$135</f>
        <v>3.5000000000000003E-2</v>
      </c>
      <c r="IN116" s="43">
        <f>Inputs!IK$135</f>
        <v>3.5000000000000003E-2</v>
      </c>
      <c r="IO116" s="43">
        <f>Inputs!IL$135</f>
        <v>3.5000000000000003E-2</v>
      </c>
      <c r="IP116" s="43">
        <f>Inputs!IM$135</f>
        <v>3.5000000000000003E-2</v>
      </c>
      <c r="IQ116" s="43">
        <f>Inputs!IN$135</f>
        <v>3.5000000000000003E-2</v>
      </c>
      <c r="IR116" s="43">
        <f>Inputs!IO$135</f>
        <v>3.5000000000000003E-2</v>
      </c>
      <c r="IS116" s="43">
        <f>Inputs!IP$135</f>
        <v>3.5000000000000003E-2</v>
      </c>
      <c r="IT116" s="43">
        <f>Inputs!IQ$135</f>
        <v>3.5000000000000003E-2</v>
      </c>
      <c r="IU116" s="43">
        <f>Inputs!IR$135</f>
        <v>3.5000000000000003E-2</v>
      </c>
      <c r="IV116" s="43">
        <f>Inputs!IS$135</f>
        <v>3.5000000000000003E-2</v>
      </c>
      <c r="IW116" s="43">
        <f>Inputs!IT$135</f>
        <v>3.5000000000000003E-2</v>
      </c>
      <c r="IX116" s="43">
        <f>Inputs!IU$135</f>
        <v>3.5000000000000003E-2</v>
      </c>
      <c r="IY116" s="43">
        <f>Inputs!IV$135</f>
        <v>3.5000000000000003E-2</v>
      </c>
      <c r="IZ116" s="43">
        <f>Inputs!IW$135</f>
        <v>3.5000000000000003E-2</v>
      </c>
      <c r="JA116" s="43">
        <f>Inputs!IX$135</f>
        <v>3.5000000000000003E-2</v>
      </c>
      <c r="JB116" s="43">
        <f>Inputs!IY$135</f>
        <v>3.5000000000000003E-2</v>
      </c>
      <c r="JC116" s="43">
        <f>Inputs!IZ$135</f>
        <v>3.5000000000000003E-2</v>
      </c>
      <c r="JD116" s="43">
        <f>Inputs!JA$135</f>
        <v>3.5000000000000003E-2</v>
      </c>
      <c r="JE116" s="43">
        <f>Inputs!JB$135</f>
        <v>3.5000000000000003E-2</v>
      </c>
      <c r="JF116" s="43">
        <f>Inputs!JC$135</f>
        <v>3.5000000000000003E-2</v>
      </c>
      <c r="JG116" s="43">
        <f>Inputs!JD$135</f>
        <v>3.5000000000000003E-2</v>
      </c>
      <c r="JH116" s="43">
        <f>Inputs!JE$135</f>
        <v>3.5000000000000003E-2</v>
      </c>
      <c r="JI116" s="43">
        <f>Inputs!JF$135</f>
        <v>3.5000000000000003E-2</v>
      </c>
      <c r="JJ116" s="43">
        <f>Inputs!JG$135</f>
        <v>3.5000000000000003E-2</v>
      </c>
      <c r="JK116" s="43">
        <f>Inputs!JH$135</f>
        <v>3.5000000000000003E-2</v>
      </c>
      <c r="JL116" s="43">
        <f>Inputs!JI$135</f>
        <v>3.5000000000000003E-2</v>
      </c>
      <c r="JM116" s="43">
        <f>Inputs!JJ$135</f>
        <v>3.5000000000000003E-2</v>
      </c>
      <c r="JN116" s="43">
        <f>Inputs!JK$135</f>
        <v>3.5000000000000003E-2</v>
      </c>
      <c r="JO116" s="43">
        <f>Inputs!JL$135</f>
        <v>3.5000000000000003E-2</v>
      </c>
      <c r="JP116" s="43">
        <f>Inputs!JM$135</f>
        <v>3.5000000000000003E-2</v>
      </c>
      <c r="JQ116" s="43">
        <f>Inputs!JN$135</f>
        <v>3.5000000000000003E-2</v>
      </c>
      <c r="JR116" s="43">
        <f>Inputs!JO$135</f>
        <v>3.5000000000000003E-2</v>
      </c>
      <c r="JS116" s="43">
        <f>Inputs!JP$135</f>
        <v>3.5000000000000003E-2</v>
      </c>
      <c r="JT116" s="43">
        <f>Inputs!JQ$135</f>
        <v>3.5000000000000003E-2</v>
      </c>
      <c r="JU116" s="43">
        <f>Inputs!JR$135</f>
        <v>3.5000000000000003E-2</v>
      </c>
      <c r="JV116" s="43">
        <f>Inputs!JS$135</f>
        <v>3.5000000000000003E-2</v>
      </c>
      <c r="JW116" s="43">
        <f>Inputs!JT$135</f>
        <v>3.5000000000000003E-2</v>
      </c>
      <c r="JX116" s="43">
        <f>Inputs!JU$135</f>
        <v>3.5000000000000003E-2</v>
      </c>
      <c r="JY116" s="43">
        <f>Inputs!JV$135</f>
        <v>3.5000000000000003E-2</v>
      </c>
      <c r="JZ116" s="43">
        <f>Inputs!JW$135</f>
        <v>3.5000000000000003E-2</v>
      </c>
      <c r="KA116" s="43">
        <f>Inputs!JX$135</f>
        <v>3.5000000000000003E-2</v>
      </c>
      <c r="KB116" s="43">
        <f>Inputs!JY$135</f>
        <v>3.5000000000000003E-2</v>
      </c>
      <c r="KC116" s="43">
        <f>Inputs!JZ$135</f>
        <v>3.5000000000000003E-2</v>
      </c>
      <c r="KD116" s="43">
        <f>Inputs!KA$135</f>
        <v>3.5000000000000003E-2</v>
      </c>
      <c r="KE116" s="43">
        <f>Inputs!KB$135</f>
        <v>3.5000000000000003E-2</v>
      </c>
      <c r="KF116" s="43">
        <f>Inputs!KC$135</f>
        <v>3.5000000000000003E-2</v>
      </c>
      <c r="KG116" s="43">
        <f>Inputs!KD$135</f>
        <v>3.5000000000000003E-2</v>
      </c>
      <c r="KH116" s="43">
        <f>Inputs!KE$135</f>
        <v>3.5000000000000003E-2</v>
      </c>
      <c r="KI116" s="43">
        <f>Inputs!KF$135</f>
        <v>3.5000000000000003E-2</v>
      </c>
      <c r="KJ116" s="1"/>
    </row>
    <row r="117" spans="7:296" x14ac:dyDescent="0.35">
      <c r="G117" s="43">
        <f>Control!H69</f>
        <v>3.7499999999999999E-2</v>
      </c>
      <c r="H117" s="8" t="s">
        <v>16</v>
      </c>
      <c r="M117" s="15" t="s">
        <v>54</v>
      </c>
      <c r="N117" s="43">
        <f>$G117*N103</f>
        <v>0</v>
      </c>
      <c r="O117" s="43">
        <f t="shared" ref="O117:BZ117" si="268">$G117*O103</f>
        <v>0</v>
      </c>
      <c r="P117" s="43">
        <f t="shared" si="268"/>
        <v>0</v>
      </c>
      <c r="Q117" s="43">
        <f t="shared" si="268"/>
        <v>0</v>
      </c>
      <c r="R117" s="43">
        <f t="shared" si="268"/>
        <v>0</v>
      </c>
      <c r="S117" s="43">
        <f t="shared" si="268"/>
        <v>0</v>
      </c>
      <c r="T117" s="43">
        <f t="shared" si="268"/>
        <v>3.7499999999999999E-2</v>
      </c>
      <c r="U117" s="43">
        <f t="shared" si="268"/>
        <v>3.7499999999999999E-2</v>
      </c>
      <c r="V117" s="43">
        <f t="shared" si="268"/>
        <v>3.7499999999999999E-2</v>
      </c>
      <c r="W117" s="43">
        <f t="shared" si="268"/>
        <v>3.7499999999999999E-2</v>
      </c>
      <c r="X117" s="43">
        <f t="shared" si="268"/>
        <v>3.7499999999999999E-2</v>
      </c>
      <c r="Y117" s="43">
        <f t="shared" si="268"/>
        <v>3.7499999999999999E-2</v>
      </c>
      <c r="Z117" s="43">
        <f t="shared" si="268"/>
        <v>3.7499999999999999E-2</v>
      </c>
      <c r="AA117" s="43">
        <f t="shared" si="268"/>
        <v>3.7499999999999999E-2</v>
      </c>
      <c r="AB117" s="43">
        <f t="shared" si="268"/>
        <v>3.7499999999999999E-2</v>
      </c>
      <c r="AC117" s="43">
        <f t="shared" si="268"/>
        <v>3.7499999999999999E-2</v>
      </c>
      <c r="AD117" s="43">
        <f t="shared" si="268"/>
        <v>3.7499999999999999E-2</v>
      </c>
      <c r="AE117" s="43">
        <f t="shared" si="268"/>
        <v>3.7499999999999999E-2</v>
      </c>
      <c r="AF117" s="43">
        <f t="shared" si="268"/>
        <v>3.7499999999999999E-2</v>
      </c>
      <c r="AG117" s="43">
        <f t="shared" si="268"/>
        <v>3.7499999999999999E-2</v>
      </c>
      <c r="AH117" s="43">
        <f t="shared" si="268"/>
        <v>3.7499999999999999E-2</v>
      </c>
      <c r="AI117" s="43">
        <f t="shared" si="268"/>
        <v>3.7499999999999999E-2</v>
      </c>
      <c r="AJ117" s="43">
        <f t="shared" si="268"/>
        <v>3.7499999999999999E-2</v>
      </c>
      <c r="AK117" s="43">
        <f t="shared" si="268"/>
        <v>3.7499999999999999E-2</v>
      </c>
      <c r="AL117" s="43">
        <f t="shared" si="268"/>
        <v>3.7499999999999999E-2</v>
      </c>
      <c r="AM117" s="43">
        <f t="shared" si="268"/>
        <v>3.7499999999999999E-2</v>
      </c>
      <c r="AN117" s="43">
        <f t="shared" si="268"/>
        <v>3.7499999999999999E-2</v>
      </c>
      <c r="AO117" s="43">
        <f t="shared" si="268"/>
        <v>3.7499999999999999E-2</v>
      </c>
      <c r="AP117" s="43">
        <f t="shared" si="268"/>
        <v>3.7499999999999999E-2</v>
      </c>
      <c r="AQ117" s="43">
        <f t="shared" si="268"/>
        <v>3.7499999999999999E-2</v>
      </c>
      <c r="AR117" s="43">
        <f t="shared" si="268"/>
        <v>3.7499999999999999E-2</v>
      </c>
      <c r="AS117" s="43">
        <f t="shared" si="268"/>
        <v>3.7499999999999999E-2</v>
      </c>
      <c r="AT117" s="43">
        <f t="shared" si="268"/>
        <v>3.7499999999999999E-2</v>
      </c>
      <c r="AU117" s="43">
        <f t="shared" si="268"/>
        <v>3.7499999999999999E-2</v>
      </c>
      <c r="AV117" s="43">
        <f t="shared" si="268"/>
        <v>3.7499999999999999E-2</v>
      </c>
      <c r="AW117" s="43">
        <f t="shared" si="268"/>
        <v>3.7499999999999999E-2</v>
      </c>
      <c r="AX117" s="43">
        <f t="shared" si="268"/>
        <v>3.7499999999999999E-2</v>
      </c>
      <c r="AY117" s="43">
        <f t="shared" si="268"/>
        <v>3.7499999999999999E-2</v>
      </c>
      <c r="AZ117" s="43">
        <f t="shared" si="268"/>
        <v>3.7499999999999999E-2</v>
      </c>
      <c r="BA117" s="43">
        <f t="shared" si="268"/>
        <v>3.7499999999999999E-2</v>
      </c>
      <c r="BB117" s="43">
        <f t="shared" si="268"/>
        <v>3.7499999999999999E-2</v>
      </c>
      <c r="BC117" s="43">
        <f t="shared" si="268"/>
        <v>3.7499999999999999E-2</v>
      </c>
      <c r="BD117" s="43">
        <f t="shared" si="268"/>
        <v>3.7499999999999999E-2</v>
      </c>
      <c r="BE117" s="43">
        <f t="shared" si="268"/>
        <v>3.7499999999999999E-2</v>
      </c>
      <c r="BF117" s="43">
        <f t="shared" si="268"/>
        <v>3.7499999999999999E-2</v>
      </c>
      <c r="BG117" s="43">
        <f t="shared" si="268"/>
        <v>3.7499999999999999E-2</v>
      </c>
      <c r="BH117" s="43">
        <f t="shared" si="268"/>
        <v>3.7499999999999999E-2</v>
      </c>
      <c r="BI117" s="43">
        <f t="shared" si="268"/>
        <v>3.7499999999999999E-2</v>
      </c>
      <c r="BJ117" s="43">
        <f t="shared" si="268"/>
        <v>3.7499999999999999E-2</v>
      </c>
      <c r="BK117" s="43">
        <f t="shared" si="268"/>
        <v>3.7499999999999999E-2</v>
      </c>
      <c r="BL117" s="43">
        <f t="shared" si="268"/>
        <v>3.7499999999999999E-2</v>
      </c>
      <c r="BM117" s="43">
        <f t="shared" si="268"/>
        <v>3.7499999999999999E-2</v>
      </c>
      <c r="BN117" s="43">
        <f t="shared" si="268"/>
        <v>3.7499999999999999E-2</v>
      </c>
      <c r="BO117" s="43">
        <f t="shared" si="268"/>
        <v>3.7499999999999999E-2</v>
      </c>
      <c r="BP117" s="43">
        <f t="shared" si="268"/>
        <v>3.7499999999999999E-2</v>
      </c>
      <c r="BQ117" s="43">
        <f t="shared" si="268"/>
        <v>3.7499999999999999E-2</v>
      </c>
      <c r="BR117" s="43">
        <f t="shared" si="268"/>
        <v>3.7499999999999999E-2</v>
      </c>
      <c r="BS117" s="43">
        <f t="shared" si="268"/>
        <v>3.7499999999999999E-2</v>
      </c>
      <c r="BT117" s="43">
        <f t="shared" si="268"/>
        <v>3.7499999999999999E-2</v>
      </c>
      <c r="BU117" s="43">
        <f t="shared" si="268"/>
        <v>3.7499999999999999E-2</v>
      </c>
      <c r="BV117" s="43">
        <f t="shared" si="268"/>
        <v>3.7499999999999999E-2</v>
      </c>
      <c r="BW117" s="43">
        <f t="shared" si="268"/>
        <v>3.7499999999999999E-2</v>
      </c>
      <c r="BX117" s="43">
        <f t="shared" si="268"/>
        <v>3.7499999999999999E-2</v>
      </c>
      <c r="BY117" s="43">
        <f t="shared" si="268"/>
        <v>3.7499999999999999E-2</v>
      </c>
      <c r="BZ117" s="43">
        <f t="shared" si="268"/>
        <v>3.7499999999999999E-2</v>
      </c>
      <c r="CA117" s="43">
        <f t="shared" ref="CA117:EL117" si="269">$G117*CA103</f>
        <v>3.7499999999999999E-2</v>
      </c>
      <c r="CB117" s="43">
        <f t="shared" si="269"/>
        <v>0</v>
      </c>
      <c r="CC117" s="43">
        <f t="shared" si="269"/>
        <v>0</v>
      </c>
      <c r="CD117" s="43">
        <f t="shared" si="269"/>
        <v>0</v>
      </c>
      <c r="CE117" s="43">
        <f t="shared" si="269"/>
        <v>0</v>
      </c>
      <c r="CF117" s="43">
        <f t="shared" si="269"/>
        <v>0</v>
      </c>
      <c r="CG117" s="43">
        <f t="shared" si="269"/>
        <v>0</v>
      </c>
      <c r="CH117" s="43">
        <f t="shared" si="269"/>
        <v>0</v>
      </c>
      <c r="CI117" s="43">
        <f t="shared" si="269"/>
        <v>0</v>
      </c>
      <c r="CJ117" s="43">
        <f t="shared" si="269"/>
        <v>0</v>
      </c>
      <c r="CK117" s="43">
        <f t="shared" si="269"/>
        <v>0</v>
      </c>
      <c r="CL117" s="43">
        <f t="shared" si="269"/>
        <v>0</v>
      </c>
      <c r="CM117" s="43">
        <f t="shared" si="269"/>
        <v>0</v>
      </c>
      <c r="CN117" s="43">
        <f t="shared" si="269"/>
        <v>0</v>
      </c>
      <c r="CO117" s="43">
        <f t="shared" si="269"/>
        <v>0</v>
      </c>
      <c r="CP117" s="43">
        <f t="shared" si="269"/>
        <v>0</v>
      </c>
      <c r="CQ117" s="43">
        <f t="shared" si="269"/>
        <v>0</v>
      </c>
      <c r="CR117" s="43">
        <f t="shared" si="269"/>
        <v>0</v>
      </c>
      <c r="CS117" s="43">
        <f t="shared" si="269"/>
        <v>0</v>
      </c>
      <c r="CT117" s="43">
        <f t="shared" si="269"/>
        <v>0</v>
      </c>
      <c r="CU117" s="43">
        <f t="shared" si="269"/>
        <v>0</v>
      </c>
      <c r="CV117" s="43">
        <f t="shared" si="269"/>
        <v>0</v>
      </c>
      <c r="CW117" s="43">
        <f t="shared" si="269"/>
        <v>0</v>
      </c>
      <c r="CX117" s="43">
        <f t="shared" si="269"/>
        <v>0</v>
      </c>
      <c r="CY117" s="43">
        <f t="shared" si="269"/>
        <v>0</v>
      </c>
      <c r="CZ117" s="43">
        <f t="shared" si="269"/>
        <v>0</v>
      </c>
      <c r="DA117" s="43">
        <f t="shared" si="269"/>
        <v>0</v>
      </c>
      <c r="DB117" s="43">
        <f t="shared" si="269"/>
        <v>0</v>
      </c>
      <c r="DC117" s="43">
        <f t="shared" si="269"/>
        <v>0</v>
      </c>
      <c r="DD117" s="43">
        <f t="shared" si="269"/>
        <v>0</v>
      </c>
      <c r="DE117" s="43">
        <f t="shared" si="269"/>
        <v>0</v>
      </c>
      <c r="DF117" s="43">
        <f t="shared" si="269"/>
        <v>0</v>
      </c>
      <c r="DG117" s="43">
        <f t="shared" si="269"/>
        <v>0</v>
      </c>
      <c r="DH117" s="43">
        <f t="shared" si="269"/>
        <v>0</v>
      </c>
      <c r="DI117" s="43">
        <f t="shared" si="269"/>
        <v>0</v>
      </c>
      <c r="DJ117" s="43">
        <f t="shared" si="269"/>
        <v>0</v>
      </c>
      <c r="DK117" s="43">
        <f t="shared" si="269"/>
        <v>0</v>
      </c>
      <c r="DL117" s="43">
        <f t="shared" si="269"/>
        <v>0</v>
      </c>
      <c r="DM117" s="43">
        <f t="shared" si="269"/>
        <v>0</v>
      </c>
      <c r="DN117" s="43">
        <f t="shared" si="269"/>
        <v>0</v>
      </c>
      <c r="DO117" s="43">
        <f t="shared" si="269"/>
        <v>0</v>
      </c>
      <c r="DP117" s="43">
        <f t="shared" si="269"/>
        <v>0</v>
      </c>
      <c r="DQ117" s="43">
        <f t="shared" si="269"/>
        <v>0</v>
      </c>
      <c r="DR117" s="43">
        <f t="shared" si="269"/>
        <v>0</v>
      </c>
      <c r="DS117" s="43">
        <f t="shared" si="269"/>
        <v>0</v>
      </c>
      <c r="DT117" s="43">
        <f t="shared" si="269"/>
        <v>0</v>
      </c>
      <c r="DU117" s="43">
        <f t="shared" si="269"/>
        <v>0</v>
      </c>
      <c r="DV117" s="43">
        <f t="shared" si="269"/>
        <v>0</v>
      </c>
      <c r="DW117" s="43">
        <f t="shared" si="269"/>
        <v>0</v>
      </c>
      <c r="DX117" s="43">
        <f t="shared" si="269"/>
        <v>0</v>
      </c>
      <c r="DY117" s="43">
        <f t="shared" si="269"/>
        <v>0</v>
      </c>
      <c r="DZ117" s="43">
        <f t="shared" si="269"/>
        <v>0</v>
      </c>
      <c r="EA117" s="43">
        <f t="shared" si="269"/>
        <v>0</v>
      </c>
      <c r="EB117" s="43">
        <f t="shared" si="269"/>
        <v>0</v>
      </c>
      <c r="EC117" s="43">
        <f t="shared" si="269"/>
        <v>0</v>
      </c>
      <c r="ED117" s="43">
        <f t="shared" si="269"/>
        <v>0</v>
      </c>
      <c r="EE117" s="43">
        <f t="shared" si="269"/>
        <v>0</v>
      </c>
      <c r="EF117" s="43">
        <f t="shared" si="269"/>
        <v>0</v>
      </c>
      <c r="EG117" s="43">
        <f t="shared" si="269"/>
        <v>0</v>
      </c>
      <c r="EH117" s="43">
        <f t="shared" si="269"/>
        <v>0</v>
      </c>
      <c r="EI117" s="43">
        <f t="shared" si="269"/>
        <v>0</v>
      </c>
      <c r="EJ117" s="43">
        <f t="shared" si="269"/>
        <v>0</v>
      </c>
      <c r="EK117" s="43">
        <f t="shared" si="269"/>
        <v>0</v>
      </c>
      <c r="EL117" s="43">
        <f t="shared" si="269"/>
        <v>0</v>
      </c>
      <c r="EM117" s="43">
        <f t="shared" ref="EM117:GX117" si="270">$G117*EM103</f>
        <v>0</v>
      </c>
      <c r="EN117" s="43">
        <f t="shared" si="270"/>
        <v>0</v>
      </c>
      <c r="EO117" s="43">
        <f t="shared" si="270"/>
        <v>0</v>
      </c>
      <c r="EP117" s="43">
        <f t="shared" si="270"/>
        <v>0</v>
      </c>
      <c r="EQ117" s="43">
        <f t="shared" si="270"/>
        <v>0</v>
      </c>
      <c r="ER117" s="43">
        <f t="shared" si="270"/>
        <v>0</v>
      </c>
      <c r="ES117" s="43">
        <f t="shared" si="270"/>
        <v>0</v>
      </c>
      <c r="ET117" s="43">
        <f t="shared" si="270"/>
        <v>0</v>
      </c>
      <c r="EU117" s="43">
        <f t="shared" si="270"/>
        <v>0</v>
      </c>
      <c r="EV117" s="43">
        <f t="shared" si="270"/>
        <v>0</v>
      </c>
      <c r="EW117" s="43">
        <f t="shared" si="270"/>
        <v>0</v>
      </c>
      <c r="EX117" s="43">
        <f t="shared" si="270"/>
        <v>0</v>
      </c>
      <c r="EY117" s="43">
        <f t="shared" si="270"/>
        <v>0</v>
      </c>
      <c r="EZ117" s="43">
        <f t="shared" si="270"/>
        <v>0</v>
      </c>
      <c r="FA117" s="43">
        <f t="shared" si="270"/>
        <v>0</v>
      </c>
      <c r="FB117" s="43">
        <f t="shared" si="270"/>
        <v>0</v>
      </c>
      <c r="FC117" s="43">
        <f t="shared" si="270"/>
        <v>0</v>
      </c>
      <c r="FD117" s="43">
        <f t="shared" si="270"/>
        <v>0</v>
      </c>
      <c r="FE117" s="43">
        <f t="shared" si="270"/>
        <v>0</v>
      </c>
      <c r="FF117" s="43">
        <f t="shared" si="270"/>
        <v>0</v>
      </c>
      <c r="FG117" s="43">
        <f t="shared" si="270"/>
        <v>0</v>
      </c>
      <c r="FH117" s="43">
        <f t="shared" si="270"/>
        <v>0</v>
      </c>
      <c r="FI117" s="43">
        <f t="shared" si="270"/>
        <v>0</v>
      </c>
      <c r="FJ117" s="43">
        <f t="shared" si="270"/>
        <v>0</v>
      </c>
      <c r="FK117" s="43">
        <f t="shared" si="270"/>
        <v>0</v>
      </c>
      <c r="FL117" s="43">
        <f t="shared" si="270"/>
        <v>0</v>
      </c>
      <c r="FM117" s="43">
        <f t="shared" si="270"/>
        <v>0</v>
      </c>
      <c r="FN117" s="43">
        <f t="shared" si="270"/>
        <v>0</v>
      </c>
      <c r="FO117" s="43">
        <f t="shared" si="270"/>
        <v>0</v>
      </c>
      <c r="FP117" s="43">
        <f t="shared" si="270"/>
        <v>0</v>
      </c>
      <c r="FQ117" s="43">
        <f t="shared" si="270"/>
        <v>0</v>
      </c>
      <c r="FR117" s="43">
        <f t="shared" si="270"/>
        <v>0</v>
      </c>
      <c r="FS117" s="43">
        <f t="shared" si="270"/>
        <v>0</v>
      </c>
      <c r="FT117" s="43">
        <f t="shared" si="270"/>
        <v>0</v>
      </c>
      <c r="FU117" s="43">
        <f t="shared" si="270"/>
        <v>0</v>
      </c>
      <c r="FV117" s="43">
        <f t="shared" si="270"/>
        <v>0</v>
      </c>
      <c r="FW117" s="43">
        <f t="shared" si="270"/>
        <v>0</v>
      </c>
      <c r="FX117" s="43">
        <f t="shared" si="270"/>
        <v>0</v>
      </c>
      <c r="FY117" s="43">
        <f t="shared" si="270"/>
        <v>0</v>
      </c>
      <c r="FZ117" s="43">
        <f t="shared" si="270"/>
        <v>0</v>
      </c>
      <c r="GA117" s="43">
        <f t="shared" si="270"/>
        <v>0</v>
      </c>
      <c r="GB117" s="43">
        <f t="shared" si="270"/>
        <v>0</v>
      </c>
      <c r="GC117" s="43">
        <f t="shared" si="270"/>
        <v>0</v>
      </c>
      <c r="GD117" s="43">
        <f t="shared" si="270"/>
        <v>0</v>
      </c>
      <c r="GE117" s="43">
        <f t="shared" si="270"/>
        <v>0</v>
      </c>
      <c r="GF117" s="43">
        <f t="shared" si="270"/>
        <v>0</v>
      </c>
      <c r="GG117" s="43">
        <f t="shared" si="270"/>
        <v>0</v>
      </c>
      <c r="GH117" s="43">
        <f t="shared" si="270"/>
        <v>0</v>
      </c>
      <c r="GI117" s="43">
        <f t="shared" si="270"/>
        <v>0</v>
      </c>
      <c r="GJ117" s="43">
        <f t="shared" si="270"/>
        <v>0</v>
      </c>
      <c r="GK117" s="43">
        <f t="shared" si="270"/>
        <v>0</v>
      </c>
      <c r="GL117" s="43">
        <f t="shared" si="270"/>
        <v>0</v>
      </c>
      <c r="GM117" s="43">
        <f t="shared" si="270"/>
        <v>0</v>
      </c>
      <c r="GN117" s="43">
        <f t="shared" si="270"/>
        <v>0</v>
      </c>
      <c r="GO117" s="43">
        <f t="shared" si="270"/>
        <v>0</v>
      </c>
      <c r="GP117" s="43">
        <f t="shared" si="270"/>
        <v>0</v>
      </c>
      <c r="GQ117" s="43">
        <f t="shared" si="270"/>
        <v>0</v>
      </c>
      <c r="GR117" s="43">
        <f t="shared" si="270"/>
        <v>0</v>
      </c>
      <c r="GS117" s="43">
        <f t="shared" si="270"/>
        <v>0</v>
      </c>
      <c r="GT117" s="43">
        <f t="shared" si="270"/>
        <v>0</v>
      </c>
      <c r="GU117" s="43">
        <f t="shared" si="270"/>
        <v>0</v>
      </c>
      <c r="GV117" s="43">
        <f t="shared" si="270"/>
        <v>0</v>
      </c>
      <c r="GW117" s="43">
        <f t="shared" si="270"/>
        <v>0</v>
      </c>
      <c r="GX117" s="43">
        <f t="shared" si="270"/>
        <v>0</v>
      </c>
      <c r="GY117" s="43">
        <f t="shared" ref="GY117:JJ117" si="271">$G117*GY103</f>
        <v>0</v>
      </c>
      <c r="GZ117" s="43">
        <f t="shared" si="271"/>
        <v>0</v>
      </c>
      <c r="HA117" s="43">
        <f t="shared" si="271"/>
        <v>0</v>
      </c>
      <c r="HB117" s="43">
        <f t="shared" si="271"/>
        <v>0</v>
      </c>
      <c r="HC117" s="43">
        <f t="shared" si="271"/>
        <v>0</v>
      </c>
      <c r="HD117" s="43">
        <f t="shared" si="271"/>
        <v>0</v>
      </c>
      <c r="HE117" s="43">
        <f t="shared" si="271"/>
        <v>0</v>
      </c>
      <c r="HF117" s="43">
        <f t="shared" si="271"/>
        <v>0</v>
      </c>
      <c r="HG117" s="43">
        <f t="shared" si="271"/>
        <v>0</v>
      </c>
      <c r="HH117" s="43">
        <f t="shared" si="271"/>
        <v>0</v>
      </c>
      <c r="HI117" s="43">
        <f t="shared" si="271"/>
        <v>0</v>
      </c>
      <c r="HJ117" s="43">
        <f t="shared" si="271"/>
        <v>0</v>
      </c>
      <c r="HK117" s="43">
        <f t="shared" si="271"/>
        <v>0</v>
      </c>
      <c r="HL117" s="43">
        <f t="shared" si="271"/>
        <v>0</v>
      </c>
      <c r="HM117" s="43">
        <f t="shared" si="271"/>
        <v>0</v>
      </c>
      <c r="HN117" s="43">
        <f t="shared" si="271"/>
        <v>0</v>
      </c>
      <c r="HO117" s="43">
        <f t="shared" si="271"/>
        <v>0</v>
      </c>
      <c r="HP117" s="43">
        <f t="shared" si="271"/>
        <v>0</v>
      </c>
      <c r="HQ117" s="43">
        <f t="shared" si="271"/>
        <v>0</v>
      </c>
      <c r="HR117" s="43">
        <f t="shared" si="271"/>
        <v>0</v>
      </c>
      <c r="HS117" s="43">
        <f t="shared" si="271"/>
        <v>0</v>
      </c>
      <c r="HT117" s="43">
        <f t="shared" si="271"/>
        <v>0</v>
      </c>
      <c r="HU117" s="43">
        <f t="shared" si="271"/>
        <v>0</v>
      </c>
      <c r="HV117" s="43">
        <f t="shared" si="271"/>
        <v>0</v>
      </c>
      <c r="HW117" s="43">
        <f t="shared" si="271"/>
        <v>0</v>
      </c>
      <c r="HX117" s="43">
        <f t="shared" si="271"/>
        <v>0</v>
      </c>
      <c r="HY117" s="43">
        <f t="shared" si="271"/>
        <v>0</v>
      </c>
      <c r="HZ117" s="43">
        <f t="shared" si="271"/>
        <v>0</v>
      </c>
      <c r="IA117" s="43">
        <f t="shared" si="271"/>
        <v>0</v>
      </c>
      <c r="IB117" s="43">
        <f t="shared" si="271"/>
        <v>0</v>
      </c>
      <c r="IC117" s="43">
        <f t="shared" si="271"/>
        <v>0</v>
      </c>
      <c r="ID117" s="43">
        <f t="shared" si="271"/>
        <v>0</v>
      </c>
      <c r="IE117" s="43">
        <f t="shared" si="271"/>
        <v>0</v>
      </c>
      <c r="IF117" s="43">
        <f t="shared" si="271"/>
        <v>0</v>
      </c>
      <c r="IG117" s="43">
        <f t="shared" si="271"/>
        <v>0</v>
      </c>
      <c r="IH117" s="43">
        <f t="shared" si="271"/>
        <v>0</v>
      </c>
      <c r="II117" s="43">
        <f t="shared" si="271"/>
        <v>0</v>
      </c>
      <c r="IJ117" s="43">
        <f t="shared" si="271"/>
        <v>0</v>
      </c>
      <c r="IK117" s="43">
        <f t="shared" si="271"/>
        <v>0</v>
      </c>
      <c r="IL117" s="43">
        <f t="shared" si="271"/>
        <v>0</v>
      </c>
      <c r="IM117" s="43">
        <f t="shared" si="271"/>
        <v>0</v>
      </c>
      <c r="IN117" s="43">
        <f t="shared" si="271"/>
        <v>0</v>
      </c>
      <c r="IO117" s="43">
        <f t="shared" si="271"/>
        <v>0</v>
      </c>
      <c r="IP117" s="43">
        <f t="shared" si="271"/>
        <v>0</v>
      </c>
      <c r="IQ117" s="43">
        <f t="shared" si="271"/>
        <v>0</v>
      </c>
      <c r="IR117" s="43">
        <f t="shared" si="271"/>
        <v>0</v>
      </c>
      <c r="IS117" s="43">
        <f t="shared" si="271"/>
        <v>0</v>
      </c>
      <c r="IT117" s="43">
        <f t="shared" si="271"/>
        <v>0</v>
      </c>
      <c r="IU117" s="43">
        <f t="shared" si="271"/>
        <v>0</v>
      </c>
      <c r="IV117" s="43">
        <f t="shared" si="271"/>
        <v>0</v>
      </c>
      <c r="IW117" s="43">
        <f t="shared" si="271"/>
        <v>0</v>
      </c>
      <c r="IX117" s="43">
        <f t="shared" si="271"/>
        <v>0</v>
      </c>
      <c r="IY117" s="43">
        <f t="shared" si="271"/>
        <v>0</v>
      </c>
      <c r="IZ117" s="43">
        <f t="shared" si="271"/>
        <v>0</v>
      </c>
      <c r="JA117" s="43">
        <f t="shared" si="271"/>
        <v>0</v>
      </c>
      <c r="JB117" s="43">
        <f t="shared" si="271"/>
        <v>0</v>
      </c>
      <c r="JC117" s="43">
        <f t="shared" si="271"/>
        <v>0</v>
      </c>
      <c r="JD117" s="43">
        <f t="shared" si="271"/>
        <v>0</v>
      </c>
      <c r="JE117" s="43">
        <f t="shared" si="271"/>
        <v>0</v>
      </c>
      <c r="JF117" s="43">
        <f t="shared" si="271"/>
        <v>0</v>
      </c>
      <c r="JG117" s="43">
        <f t="shared" si="271"/>
        <v>0</v>
      </c>
      <c r="JH117" s="43">
        <f t="shared" si="271"/>
        <v>0</v>
      </c>
      <c r="JI117" s="43">
        <f t="shared" si="271"/>
        <v>0</v>
      </c>
      <c r="JJ117" s="43">
        <f t="shared" si="271"/>
        <v>0</v>
      </c>
      <c r="JK117" s="43">
        <f t="shared" ref="JK117:KI117" si="272">$G117*JK103</f>
        <v>0</v>
      </c>
      <c r="JL117" s="43">
        <f t="shared" si="272"/>
        <v>0</v>
      </c>
      <c r="JM117" s="43">
        <f t="shared" si="272"/>
        <v>0</v>
      </c>
      <c r="JN117" s="43">
        <f t="shared" si="272"/>
        <v>0</v>
      </c>
      <c r="JO117" s="43">
        <f t="shared" si="272"/>
        <v>0</v>
      </c>
      <c r="JP117" s="43">
        <f t="shared" si="272"/>
        <v>0</v>
      </c>
      <c r="JQ117" s="43">
        <f t="shared" si="272"/>
        <v>0</v>
      </c>
      <c r="JR117" s="43">
        <f t="shared" si="272"/>
        <v>0</v>
      </c>
      <c r="JS117" s="43">
        <f t="shared" si="272"/>
        <v>0</v>
      </c>
      <c r="JT117" s="43">
        <f t="shared" si="272"/>
        <v>0</v>
      </c>
      <c r="JU117" s="43">
        <f t="shared" si="272"/>
        <v>0</v>
      </c>
      <c r="JV117" s="43">
        <f t="shared" si="272"/>
        <v>0</v>
      </c>
      <c r="JW117" s="43">
        <f t="shared" si="272"/>
        <v>0</v>
      </c>
      <c r="JX117" s="43">
        <f t="shared" si="272"/>
        <v>0</v>
      </c>
      <c r="JY117" s="43">
        <f t="shared" si="272"/>
        <v>0</v>
      </c>
      <c r="JZ117" s="43">
        <f t="shared" si="272"/>
        <v>0</v>
      </c>
      <c r="KA117" s="43">
        <f t="shared" si="272"/>
        <v>0</v>
      </c>
      <c r="KB117" s="43">
        <f t="shared" si="272"/>
        <v>0</v>
      </c>
      <c r="KC117" s="43">
        <f t="shared" si="272"/>
        <v>0</v>
      </c>
      <c r="KD117" s="43">
        <f t="shared" si="272"/>
        <v>0</v>
      </c>
      <c r="KE117" s="43">
        <f t="shared" si="272"/>
        <v>0</v>
      </c>
      <c r="KF117" s="43">
        <f t="shared" si="272"/>
        <v>0</v>
      </c>
      <c r="KG117" s="43">
        <f t="shared" si="272"/>
        <v>0</v>
      </c>
      <c r="KH117" s="43">
        <f t="shared" si="272"/>
        <v>0</v>
      </c>
      <c r="KI117" s="43">
        <f t="shared" si="272"/>
        <v>0</v>
      </c>
      <c r="KJ117" s="1"/>
    </row>
    <row r="118" spans="7:296" x14ac:dyDescent="0.35">
      <c r="H118" s="8" t="s">
        <v>16</v>
      </c>
      <c r="M118" s="47" t="s">
        <v>104</v>
      </c>
      <c r="N118" s="50">
        <f>SUM(N116:N117)*N103</f>
        <v>0</v>
      </c>
      <c r="O118" s="50">
        <f t="shared" ref="O118:BZ118" si="273">SUM(O116:O117)*O103</f>
        <v>0</v>
      </c>
      <c r="P118" s="50">
        <f t="shared" si="273"/>
        <v>0</v>
      </c>
      <c r="Q118" s="50">
        <f t="shared" si="273"/>
        <v>0</v>
      </c>
      <c r="R118" s="50">
        <f t="shared" si="273"/>
        <v>0</v>
      </c>
      <c r="S118" s="50">
        <f t="shared" si="273"/>
        <v>0</v>
      </c>
      <c r="T118" s="50">
        <f t="shared" si="273"/>
        <v>7.2500000000000009E-2</v>
      </c>
      <c r="U118" s="50">
        <f t="shared" si="273"/>
        <v>7.2500000000000009E-2</v>
      </c>
      <c r="V118" s="50">
        <f t="shared" si="273"/>
        <v>7.2500000000000009E-2</v>
      </c>
      <c r="W118" s="50">
        <f t="shared" si="273"/>
        <v>7.2500000000000009E-2</v>
      </c>
      <c r="X118" s="50">
        <f t="shared" si="273"/>
        <v>7.2500000000000009E-2</v>
      </c>
      <c r="Y118" s="50">
        <f t="shared" si="273"/>
        <v>7.2500000000000009E-2</v>
      </c>
      <c r="Z118" s="50">
        <f t="shared" si="273"/>
        <v>7.2500000000000009E-2</v>
      </c>
      <c r="AA118" s="50">
        <f t="shared" si="273"/>
        <v>7.2500000000000009E-2</v>
      </c>
      <c r="AB118" s="50">
        <f t="shared" si="273"/>
        <v>7.2500000000000009E-2</v>
      </c>
      <c r="AC118" s="50">
        <f t="shared" si="273"/>
        <v>7.2500000000000009E-2</v>
      </c>
      <c r="AD118" s="50">
        <f t="shared" si="273"/>
        <v>7.2500000000000009E-2</v>
      </c>
      <c r="AE118" s="50">
        <f t="shared" si="273"/>
        <v>7.2500000000000009E-2</v>
      </c>
      <c r="AF118" s="50">
        <f t="shared" si="273"/>
        <v>7.2500000000000009E-2</v>
      </c>
      <c r="AG118" s="50">
        <f t="shared" si="273"/>
        <v>7.2500000000000009E-2</v>
      </c>
      <c r="AH118" s="50">
        <f t="shared" si="273"/>
        <v>7.2500000000000009E-2</v>
      </c>
      <c r="AI118" s="50">
        <f t="shared" si="273"/>
        <v>7.2500000000000009E-2</v>
      </c>
      <c r="AJ118" s="50">
        <f t="shared" si="273"/>
        <v>7.2500000000000009E-2</v>
      </c>
      <c r="AK118" s="50">
        <f t="shared" si="273"/>
        <v>7.2500000000000009E-2</v>
      </c>
      <c r="AL118" s="50">
        <f t="shared" si="273"/>
        <v>7.2500000000000009E-2</v>
      </c>
      <c r="AM118" s="50">
        <f t="shared" si="273"/>
        <v>7.2500000000000009E-2</v>
      </c>
      <c r="AN118" s="50">
        <f t="shared" si="273"/>
        <v>7.2500000000000009E-2</v>
      </c>
      <c r="AO118" s="50">
        <f t="shared" si="273"/>
        <v>7.2500000000000009E-2</v>
      </c>
      <c r="AP118" s="50">
        <f t="shared" si="273"/>
        <v>7.2500000000000009E-2</v>
      </c>
      <c r="AQ118" s="50">
        <f t="shared" si="273"/>
        <v>7.2500000000000009E-2</v>
      </c>
      <c r="AR118" s="50">
        <f t="shared" si="273"/>
        <v>7.2500000000000009E-2</v>
      </c>
      <c r="AS118" s="50">
        <f t="shared" si="273"/>
        <v>7.2500000000000009E-2</v>
      </c>
      <c r="AT118" s="50">
        <f t="shared" si="273"/>
        <v>7.2500000000000009E-2</v>
      </c>
      <c r="AU118" s="50">
        <f t="shared" si="273"/>
        <v>7.2500000000000009E-2</v>
      </c>
      <c r="AV118" s="50">
        <f t="shared" si="273"/>
        <v>7.2500000000000009E-2</v>
      </c>
      <c r="AW118" s="50">
        <f t="shared" si="273"/>
        <v>7.2500000000000009E-2</v>
      </c>
      <c r="AX118" s="50">
        <f t="shared" si="273"/>
        <v>7.2500000000000009E-2</v>
      </c>
      <c r="AY118" s="50">
        <f t="shared" si="273"/>
        <v>7.2500000000000009E-2</v>
      </c>
      <c r="AZ118" s="50">
        <f t="shared" si="273"/>
        <v>7.2500000000000009E-2</v>
      </c>
      <c r="BA118" s="50">
        <f t="shared" si="273"/>
        <v>7.2500000000000009E-2</v>
      </c>
      <c r="BB118" s="50">
        <f t="shared" si="273"/>
        <v>7.2500000000000009E-2</v>
      </c>
      <c r="BC118" s="50">
        <f t="shared" si="273"/>
        <v>7.2500000000000009E-2</v>
      </c>
      <c r="BD118" s="50">
        <f t="shared" si="273"/>
        <v>7.2500000000000009E-2</v>
      </c>
      <c r="BE118" s="50">
        <f t="shared" si="273"/>
        <v>7.2500000000000009E-2</v>
      </c>
      <c r="BF118" s="50">
        <f t="shared" si="273"/>
        <v>7.2500000000000009E-2</v>
      </c>
      <c r="BG118" s="50">
        <f t="shared" si="273"/>
        <v>7.2500000000000009E-2</v>
      </c>
      <c r="BH118" s="50">
        <f t="shared" si="273"/>
        <v>7.2500000000000009E-2</v>
      </c>
      <c r="BI118" s="50">
        <f t="shared" si="273"/>
        <v>7.2500000000000009E-2</v>
      </c>
      <c r="BJ118" s="50">
        <f t="shared" si="273"/>
        <v>7.2500000000000009E-2</v>
      </c>
      <c r="BK118" s="50">
        <f t="shared" si="273"/>
        <v>7.2500000000000009E-2</v>
      </c>
      <c r="BL118" s="50">
        <f t="shared" si="273"/>
        <v>7.2500000000000009E-2</v>
      </c>
      <c r="BM118" s="50">
        <f t="shared" si="273"/>
        <v>7.2500000000000009E-2</v>
      </c>
      <c r="BN118" s="50">
        <f t="shared" si="273"/>
        <v>7.2500000000000009E-2</v>
      </c>
      <c r="BO118" s="50">
        <f t="shared" si="273"/>
        <v>7.2500000000000009E-2</v>
      </c>
      <c r="BP118" s="50">
        <f t="shared" si="273"/>
        <v>7.2500000000000009E-2</v>
      </c>
      <c r="BQ118" s="50">
        <f t="shared" si="273"/>
        <v>7.2500000000000009E-2</v>
      </c>
      <c r="BR118" s="50">
        <f t="shared" si="273"/>
        <v>7.2500000000000009E-2</v>
      </c>
      <c r="BS118" s="50">
        <f t="shared" si="273"/>
        <v>7.2500000000000009E-2</v>
      </c>
      <c r="BT118" s="50">
        <f t="shared" si="273"/>
        <v>7.2500000000000009E-2</v>
      </c>
      <c r="BU118" s="50">
        <f t="shared" si="273"/>
        <v>7.2500000000000009E-2</v>
      </c>
      <c r="BV118" s="50">
        <f t="shared" si="273"/>
        <v>7.2500000000000009E-2</v>
      </c>
      <c r="BW118" s="50">
        <f t="shared" si="273"/>
        <v>7.2500000000000009E-2</v>
      </c>
      <c r="BX118" s="50">
        <f t="shared" si="273"/>
        <v>7.2500000000000009E-2</v>
      </c>
      <c r="BY118" s="50">
        <f t="shared" si="273"/>
        <v>7.2500000000000009E-2</v>
      </c>
      <c r="BZ118" s="50">
        <f t="shared" si="273"/>
        <v>7.2500000000000009E-2</v>
      </c>
      <c r="CA118" s="50">
        <f t="shared" ref="CA118:EL118" si="274">SUM(CA116:CA117)*CA103</f>
        <v>7.2500000000000009E-2</v>
      </c>
      <c r="CB118" s="50">
        <f t="shared" si="274"/>
        <v>0</v>
      </c>
      <c r="CC118" s="50">
        <f t="shared" si="274"/>
        <v>0</v>
      </c>
      <c r="CD118" s="50">
        <f t="shared" si="274"/>
        <v>0</v>
      </c>
      <c r="CE118" s="50">
        <f t="shared" si="274"/>
        <v>0</v>
      </c>
      <c r="CF118" s="50">
        <f t="shared" si="274"/>
        <v>0</v>
      </c>
      <c r="CG118" s="50">
        <f t="shared" si="274"/>
        <v>0</v>
      </c>
      <c r="CH118" s="50">
        <f t="shared" si="274"/>
        <v>0</v>
      </c>
      <c r="CI118" s="50">
        <f t="shared" si="274"/>
        <v>0</v>
      </c>
      <c r="CJ118" s="50">
        <f t="shared" si="274"/>
        <v>0</v>
      </c>
      <c r="CK118" s="50">
        <f t="shared" si="274"/>
        <v>0</v>
      </c>
      <c r="CL118" s="50">
        <f t="shared" si="274"/>
        <v>0</v>
      </c>
      <c r="CM118" s="50">
        <f t="shared" si="274"/>
        <v>0</v>
      </c>
      <c r="CN118" s="50">
        <f t="shared" si="274"/>
        <v>0</v>
      </c>
      <c r="CO118" s="50">
        <f t="shared" si="274"/>
        <v>0</v>
      </c>
      <c r="CP118" s="50">
        <f t="shared" si="274"/>
        <v>0</v>
      </c>
      <c r="CQ118" s="50">
        <f t="shared" si="274"/>
        <v>0</v>
      </c>
      <c r="CR118" s="50">
        <f t="shared" si="274"/>
        <v>0</v>
      </c>
      <c r="CS118" s="50">
        <f t="shared" si="274"/>
        <v>0</v>
      </c>
      <c r="CT118" s="50">
        <f t="shared" si="274"/>
        <v>0</v>
      </c>
      <c r="CU118" s="50">
        <f t="shared" si="274"/>
        <v>0</v>
      </c>
      <c r="CV118" s="50">
        <f t="shared" si="274"/>
        <v>0</v>
      </c>
      <c r="CW118" s="50">
        <f t="shared" si="274"/>
        <v>0</v>
      </c>
      <c r="CX118" s="50">
        <f t="shared" si="274"/>
        <v>0</v>
      </c>
      <c r="CY118" s="50">
        <f t="shared" si="274"/>
        <v>0</v>
      </c>
      <c r="CZ118" s="50">
        <f t="shared" si="274"/>
        <v>0</v>
      </c>
      <c r="DA118" s="50">
        <f t="shared" si="274"/>
        <v>0</v>
      </c>
      <c r="DB118" s="50">
        <f t="shared" si="274"/>
        <v>0</v>
      </c>
      <c r="DC118" s="50">
        <f t="shared" si="274"/>
        <v>0</v>
      </c>
      <c r="DD118" s="50">
        <f t="shared" si="274"/>
        <v>0</v>
      </c>
      <c r="DE118" s="50">
        <f t="shared" si="274"/>
        <v>0</v>
      </c>
      <c r="DF118" s="50">
        <f t="shared" si="274"/>
        <v>0</v>
      </c>
      <c r="DG118" s="50">
        <f t="shared" si="274"/>
        <v>0</v>
      </c>
      <c r="DH118" s="50">
        <f t="shared" si="274"/>
        <v>0</v>
      </c>
      <c r="DI118" s="50">
        <f t="shared" si="274"/>
        <v>0</v>
      </c>
      <c r="DJ118" s="50">
        <f t="shared" si="274"/>
        <v>0</v>
      </c>
      <c r="DK118" s="50">
        <f t="shared" si="274"/>
        <v>0</v>
      </c>
      <c r="DL118" s="50">
        <f t="shared" si="274"/>
        <v>0</v>
      </c>
      <c r="DM118" s="50">
        <f t="shared" si="274"/>
        <v>0</v>
      </c>
      <c r="DN118" s="50">
        <f t="shared" si="274"/>
        <v>0</v>
      </c>
      <c r="DO118" s="50">
        <f t="shared" si="274"/>
        <v>0</v>
      </c>
      <c r="DP118" s="50">
        <f t="shared" si="274"/>
        <v>0</v>
      </c>
      <c r="DQ118" s="50">
        <f t="shared" si="274"/>
        <v>0</v>
      </c>
      <c r="DR118" s="50">
        <f t="shared" si="274"/>
        <v>0</v>
      </c>
      <c r="DS118" s="50">
        <f t="shared" si="274"/>
        <v>0</v>
      </c>
      <c r="DT118" s="50">
        <f t="shared" si="274"/>
        <v>0</v>
      </c>
      <c r="DU118" s="50">
        <f t="shared" si="274"/>
        <v>0</v>
      </c>
      <c r="DV118" s="50">
        <f t="shared" si="274"/>
        <v>0</v>
      </c>
      <c r="DW118" s="50">
        <f t="shared" si="274"/>
        <v>0</v>
      </c>
      <c r="DX118" s="50">
        <f t="shared" si="274"/>
        <v>0</v>
      </c>
      <c r="DY118" s="50">
        <f t="shared" si="274"/>
        <v>0</v>
      </c>
      <c r="DZ118" s="50">
        <f t="shared" si="274"/>
        <v>0</v>
      </c>
      <c r="EA118" s="50">
        <f t="shared" si="274"/>
        <v>0</v>
      </c>
      <c r="EB118" s="50">
        <f t="shared" si="274"/>
        <v>0</v>
      </c>
      <c r="EC118" s="50">
        <f t="shared" si="274"/>
        <v>0</v>
      </c>
      <c r="ED118" s="50">
        <f t="shared" si="274"/>
        <v>0</v>
      </c>
      <c r="EE118" s="50">
        <f t="shared" si="274"/>
        <v>0</v>
      </c>
      <c r="EF118" s="50">
        <f t="shared" si="274"/>
        <v>0</v>
      </c>
      <c r="EG118" s="50">
        <f t="shared" si="274"/>
        <v>0</v>
      </c>
      <c r="EH118" s="50">
        <f t="shared" si="274"/>
        <v>0</v>
      </c>
      <c r="EI118" s="50">
        <f t="shared" si="274"/>
        <v>0</v>
      </c>
      <c r="EJ118" s="50">
        <f t="shared" si="274"/>
        <v>0</v>
      </c>
      <c r="EK118" s="50">
        <f t="shared" si="274"/>
        <v>0</v>
      </c>
      <c r="EL118" s="50">
        <f t="shared" si="274"/>
        <v>0</v>
      </c>
      <c r="EM118" s="50">
        <f t="shared" ref="EM118:GX118" si="275">SUM(EM116:EM117)*EM103</f>
        <v>0</v>
      </c>
      <c r="EN118" s="50">
        <f t="shared" si="275"/>
        <v>0</v>
      </c>
      <c r="EO118" s="50">
        <f t="shared" si="275"/>
        <v>0</v>
      </c>
      <c r="EP118" s="50">
        <f t="shared" si="275"/>
        <v>0</v>
      </c>
      <c r="EQ118" s="50">
        <f t="shared" si="275"/>
        <v>0</v>
      </c>
      <c r="ER118" s="50">
        <f t="shared" si="275"/>
        <v>0</v>
      </c>
      <c r="ES118" s="50">
        <f t="shared" si="275"/>
        <v>0</v>
      </c>
      <c r="ET118" s="50">
        <f t="shared" si="275"/>
        <v>0</v>
      </c>
      <c r="EU118" s="50">
        <f t="shared" si="275"/>
        <v>0</v>
      </c>
      <c r="EV118" s="50">
        <f t="shared" si="275"/>
        <v>0</v>
      </c>
      <c r="EW118" s="50">
        <f t="shared" si="275"/>
        <v>0</v>
      </c>
      <c r="EX118" s="50">
        <f t="shared" si="275"/>
        <v>0</v>
      </c>
      <c r="EY118" s="50">
        <f t="shared" si="275"/>
        <v>0</v>
      </c>
      <c r="EZ118" s="50">
        <f t="shared" si="275"/>
        <v>0</v>
      </c>
      <c r="FA118" s="50">
        <f t="shared" si="275"/>
        <v>0</v>
      </c>
      <c r="FB118" s="50">
        <f t="shared" si="275"/>
        <v>0</v>
      </c>
      <c r="FC118" s="50">
        <f t="shared" si="275"/>
        <v>0</v>
      </c>
      <c r="FD118" s="50">
        <f t="shared" si="275"/>
        <v>0</v>
      </c>
      <c r="FE118" s="50">
        <f t="shared" si="275"/>
        <v>0</v>
      </c>
      <c r="FF118" s="50">
        <f t="shared" si="275"/>
        <v>0</v>
      </c>
      <c r="FG118" s="50">
        <f t="shared" si="275"/>
        <v>0</v>
      </c>
      <c r="FH118" s="50">
        <f t="shared" si="275"/>
        <v>0</v>
      </c>
      <c r="FI118" s="50">
        <f t="shared" si="275"/>
        <v>0</v>
      </c>
      <c r="FJ118" s="50">
        <f t="shared" si="275"/>
        <v>0</v>
      </c>
      <c r="FK118" s="50">
        <f t="shared" si="275"/>
        <v>0</v>
      </c>
      <c r="FL118" s="50">
        <f t="shared" si="275"/>
        <v>0</v>
      </c>
      <c r="FM118" s="50">
        <f t="shared" si="275"/>
        <v>0</v>
      </c>
      <c r="FN118" s="50">
        <f t="shared" si="275"/>
        <v>0</v>
      </c>
      <c r="FO118" s="50">
        <f t="shared" si="275"/>
        <v>0</v>
      </c>
      <c r="FP118" s="50">
        <f t="shared" si="275"/>
        <v>0</v>
      </c>
      <c r="FQ118" s="50">
        <f t="shared" si="275"/>
        <v>0</v>
      </c>
      <c r="FR118" s="50">
        <f t="shared" si="275"/>
        <v>0</v>
      </c>
      <c r="FS118" s="50">
        <f t="shared" si="275"/>
        <v>0</v>
      </c>
      <c r="FT118" s="50">
        <f t="shared" si="275"/>
        <v>0</v>
      </c>
      <c r="FU118" s="50">
        <f t="shared" si="275"/>
        <v>0</v>
      </c>
      <c r="FV118" s="50">
        <f t="shared" si="275"/>
        <v>0</v>
      </c>
      <c r="FW118" s="50">
        <f t="shared" si="275"/>
        <v>0</v>
      </c>
      <c r="FX118" s="50">
        <f t="shared" si="275"/>
        <v>0</v>
      </c>
      <c r="FY118" s="50">
        <f t="shared" si="275"/>
        <v>0</v>
      </c>
      <c r="FZ118" s="50">
        <f t="shared" si="275"/>
        <v>0</v>
      </c>
      <c r="GA118" s="50">
        <f t="shared" si="275"/>
        <v>0</v>
      </c>
      <c r="GB118" s="50">
        <f t="shared" si="275"/>
        <v>0</v>
      </c>
      <c r="GC118" s="50">
        <f t="shared" si="275"/>
        <v>0</v>
      </c>
      <c r="GD118" s="50">
        <f t="shared" si="275"/>
        <v>0</v>
      </c>
      <c r="GE118" s="50">
        <f t="shared" si="275"/>
        <v>0</v>
      </c>
      <c r="GF118" s="50">
        <f t="shared" si="275"/>
        <v>0</v>
      </c>
      <c r="GG118" s="50">
        <f t="shared" si="275"/>
        <v>0</v>
      </c>
      <c r="GH118" s="50">
        <f t="shared" si="275"/>
        <v>0</v>
      </c>
      <c r="GI118" s="50">
        <f t="shared" si="275"/>
        <v>0</v>
      </c>
      <c r="GJ118" s="50">
        <f t="shared" si="275"/>
        <v>0</v>
      </c>
      <c r="GK118" s="50">
        <f t="shared" si="275"/>
        <v>0</v>
      </c>
      <c r="GL118" s="50">
        <f t="shared" si="275"/>
        <v>0</v>
      </c>
      <c r="GM118" s="50">
        <f t="shared" si="275"/>
        <v>0</v>
      </c>
      <c r="GN118" s="50">
        <f t="shared" si="275"/>
        <v>0</v>
      </c>
      <c r="GO118" s="50">
        <f t="shared" si="275"/>
        <v>0</v>
      </c>
      <c r="GP118" s="50">
        <f t="shared" si="275"/>
        <v>0</v>
      </c>
      <c r="GQ118" s="50">
        <f t="shared" si="275"/>
        <v>0</v>
      </c>
      <c r="GR118" s="50">
        <f t="shared" si="275"/>
        <v>0</v>
      </c>
      <c r="GS118" s="50">
        <f t="shared" si="275"/>
        <v>0</v>
      </c>
      <c r="GT118" s="50">
        <f t="shared" si="275"/>
        <v>0</v>
      </c>
      <c r="GU118" s="50">
        <f t="shared" si="275"/>
        <v>0</v>
      </c>
      <c r="GV118" s="50">
        <f t="shared" si="275"/>
        <v>0</v>
      </c>
      <c r="GW118" s="50">
        <f t="shared" si="275"/>
        <v>0</v>
      </c>
      <c r="GX118" s="50">
        <f t="shared" si="275"/>
        <v>0</v>
      </c>
      <c r="GY118" s="50">
        <f t="shared" ref="GY118:JJ118" si="276">SUM(GY116:GY117)*GY103</f>
        <v>0</v>
      </c>
      <c r="GZ118" s="50">
        <f t="shared" si="276"/>
        <v>0</v>
      </c>
      <c r="HA118" s="50">
        <f t="shared" si="276"/>
        <v>0</v>
      </c>
      <c r="HB118" s="50">
        <f t="shared" si="276"/>
        <v>0</v>
      </c>
      <c r="HC118" s="50">
        <f t="shared" si="276"/>
        <v>0</v>
      </c>
      <c r="HD118" s="50">
        <f t="shared" si="276"/>
        <v>0</v>
      </c>
      <c r="HE118" s="50">
        <f t="shared" si="276"/>
        <v>0</v>
      </c>
      <c r="HF118" s="50">
        <f t="shared" si="276"/>
        <v>0</v>
      </c>
      <c r="HG118" s="50">
        <f t="shared" si="276"/>
        <v>0</v>
      </c>
      <c r="HH118" s="50">
        <f t="shared" si="276"/>
        <v>0</v>
      </c>
      <c r="HI118" s="50">
        <f t="shared" si="276"/>
        <v>0</v>
      </c>
      <c r="HJ118" s="50">
        <f t="shared" si="276"/>
        <v>0</v>
      </c>
      <c r="HK118" s="50">
        <f t="shared" si="276"/>
        <v>0</v>
      </c>
      <c r="HL118" s="50">
        <f t="shared" si="276"/>
        <v>0</v>
      </c>
      <c r="HM118" s="50">
        <f t="shared" si="276"/>
        <v>0</v>
      </c>
      <c r="HN118" s="50">
        <f t="shared" si="276"/>
        <v>0</v>
      </c>
      <c r="HO118" s="50">
        <f t="shared" si="276"/>
        <v>0</v>
      </c>
      <c r="HP118" s="50">
        <f t="shared" si="276"/>
        <v>0</v>
      </c>
      <c r="HQ118" s="50">
        <f t="shared" si="276"/>
        <v>0</v>
      </c>
      <c r="HR118" s="50">
        <f t="shared" si="276"/>
        <v>0</v>
      </c>
      <c r="HS118" s="50">
        <f t="shared" si="276"/>
        <v>0</v>
      </c>
      <c r="HT118" s="50">
        <f t="shared" si="276"/>
        <v>0</v>
      </c>
      <c r="HU118" s="50">
        <f t="shared" si="276"/>
        <v>0</v>
      </c>
      <c r="HV118" s="50">
        <f t="shared" si="276"/>
        <v>0</v>
      </c>
      <c r="HW118" s="50">
        <f t="shared" si="276"/>
        <v>0</v>
      </c>
      <c r="HX118" s="50">
        <f t="shared" si="276"/>
        <v>0</v>
      </c>
      <c r="HY118" s="50">
        <f t="shared" si="276"/>
        <v>0</v>
      </c>
      <c r="HZ118" s="50">
        <f t="shared" si="276"/>
        <v>0</v>
      </c>
      <c r="IA118" s="50">
        <f t="shared" si="276"/>
        <v>0</v>
      </c>
      <c r="IB118" s="50">
        <f t="shared" si="276"/>
        <v>0</v>
      </c>
      <c r="IC118" s="50">
        <f t="shared" si="276"/>
        <v>0</v>
      </c>
      <c r="ID118" s="50">
        <f t="shared" si="276"/>
        <v>0</v>
      </c>
      <c r="IE118" s="50">
        <f t="shared" si="276"/>
        <v>0</v>
      </c>
      <c r="IF118" s="50">
        <f t="shared" si="276"/>
        <v>0</v>
      </c>
      <c r="IG118" s="50">
        <f t="shared" si="276"/>
        <v>0</v>
      </c>
      <c r="IH118" s="50">
        <f t="shared" si="276"/>
        <v>0</v>
      </c>
      <c r="II118" s="50">
        <f t="shared" si="276"/>
        <v>0</v>
      </c>
      <c r="IJ118" s="50">
        <f t="shared" si="276"/>
        <v>0</v>
      </c>
      <c r="IK118" s="50">
        <f t="shared" si="276"/>
        <v>0</v>
      </c>
      <c r="IL118" s="50">
        <f t="shared" si="276"/>
        <v>0</v>
      </c>
      <c r="IM118" s="50">
        <f t="shared" si="276"/>
        <v>0</v>
      </c>
      <c r="IN118" s="50">
        <f t="shared" si="276"/>
        <v>0</v>
      </c>
      <c r="IO118" s="50">
        <f t="shared" si="276"/>
        <v>0</v>
      </c>
      <c r="IP118" s="50">
        <f t="shared" si="276"/>
        <v>0</v>
      </c>
      <c r="IQ118" s="50">
        <f t="shared" si="276"/>
        <v>0</v>
      </c>
      <c r="IR118" s="50">
        <f t="shared" si="276"/>
        <v>0</v>
      </c>
      <c r="IS118" s="50">
        <f t="shared" si="276"/>
        <v>0</v>
      </c>
      <c r="IT118" s="50">
        <f t="shared" si="276"/>
        <v>0</v>
      </c>
      <c r="IU118" s="50">
        <f t="shared" si="276"/>
        <v>0</v>
      </c>
      <c r="IV118" s="50">
        <f t="shared" si="276"/>
        <v>0</v>
      </c>
      <c r="IW118" s="50">
        <f t="shared" si="276"/>
        <v>0</v>
      </c>
      <c r="IX118" s="50">
        <f t="shared" si="276"/>
        <v>0</v>
      </c>
      <c r="IY118" s="50">
        <f t="shared" si="276"/>
        <v>0</v>
      </c>
      <c r="IZ118" s="50">
        <f t="shared" si="276"/>
        <v>0</v>
      </c>
      <c r="JA118" s="50">
        <f t="shared" si="276"/>
        <v>0</v>
      </c>
      <c r="JB118" s="50">
        <f t="shared" si="276"/>
        <v>0</v>
      </c>
      <c r="JC118" s="50">
        <f t="shared" si="276"/>
        <v>0</v>
      </c>
      <c r="JD118" s="50">
        <f t="shared" si="276"/>
        <v>0</v>
      </c>
      <c r="JE118" s="50">
        <f t="shared" si="276"/>
        <v>0</v>
      </c>
      <c r="JF118" s="50">
        <f t="shared" si="276"/>
        <v>0</v>
      </c>
      <c r="JG118" s="50">
        <f t="shared" si="276"/>
        <v>0</v>
      </c>
      <c r="JH118" s="50">
        <f t="shared" si="276"/>
        <v>0</v>
      </c>
      <c r="JI118" s="50">
        <f t="shared" si="276"/>
        <v>0</v>
      </c>
      <c r="JJ118" s="50">
        <f t="shared" si="276"/>
        <v>0</v>
      </c>
      <c r="JK118" s="50">
        <f t="shared" ref="JK118:KI118" si="277">SUM(JK116:JK117)*JK103</f>
        <v>0</v>
      </c>
      <c r="JL118" s="50">
        <f t="shared" si="277"/>
        <v>0</v>
      </c>
      <c r="JM118" s="50">
        <f t="shared" si="277"/>
        <v>0</v>
      </c>
      <c r="JN118" s="50">
        <f t="shared" si="277"/>
        <v>0</v>
      </c>
      <c r="JO118" s="50">
        <f t="shared" si="277"/>
        <v>0</v>
      </c>
      <c r="JP118" s="50">
        <f t="shared" si="277"/>
        <v>0</v>
      </c>
      <c r="JQ118" s="50">
        <f t="shared" si="277"/>
        <v>0</v>
      </c>
      <c r="JR118" s="50">
        <f t="shared" si="277"/>
        <v>0</v>
      </c>
      <c r="JS118" s="50">
        <f t="shared" si="277"/>
        <v>0</v>
      </c>
      <c r="JT118" s="50">
        <f t="shared" si="277"/>
        <v>0</v>
      </c>
      <c r="JU118" s="50">
        <f t="shared" si="277"/>
        <v>0</v>
      </c>
      <c r="JV118" s="50">
        <f t="shared" si="277"/>
        <v>0</v>
      </c>
      <c r="JW118" s="50">
        <f t="shared" si="277"/>
        <v>0</v>
      </c>
      <c r="JX118" s="50">
        <f t="shared" si="277"/>
        <v>0</v>
      </c>
      <c r="JY118" s="50">
        <f t="shared" si="277"/>
        <v>0</v>
      </c>
      <c r="JZ118" s="50">
        <f t="shared" si="277"/>
        <v>0</v>
      </c>
      <c r="KA118" s="50">
        <f t="shared" si="277"/>
        <v>0</v>
      </c>
      <c r="KB118" s="50">
        <f t="shared" si="277"/>
        <v>0</v>
      </c>
      <c r="KC118" s="50">
        <f t="shared" si="277"/>
        <v>0</v>
      </c>
      <c r="KD118" s="50">
        <f t="shared" si="277"/>
        <v>0</v>
      </c>
      <c r="KE118" s="50">
        <f t="shared" si="277"/>
        <v>0</v>
      </c>
      <c r="KF118" s="50">
        <f t="shared" si="277"/>
        <v>0</v>
      </c>
      <c r="KG118" s="50">
        <f t="shared" si="277"/>
        <v>0</v>
      </c>
      <c r="KH118" s="50">
        <f t="shared" si="277"/>
        <v>0</v>
      </c>
      <c r="KI118" s="50">
        <f t="shared" si="277"/>
        <v>0</v>
      </c>
      <c r="KJ118" s="1"/>
    </row>
    <row r="119" spans="7:296" x14ac:dyDescent="0.35">
      <c r="KJ119" s="1"/>
    </row>
    <row r="120" spans="7:296" x14ac:dyDescent="0.35">
      <c r="L120" s="22" t="s">
        <v>105</v>
      </c>
      <c r="KJ120" s="1"/>
    </row>
    <row r="121" spans="7:296" x14ac:dyDescent="0.35">
      <c r="H121" s="13" t="s">
        <v>49</v>
      </c>
      <c r="M121" s="6" t="s">
        <v>106</v>
      </c>
      <c r="N121" s="48">
        <f>-N103*((N$12-N$11+1)/360)*N118*N109</f>
        <v>0</v>
      </c>
      <c r="O121" s="48">
        <f t="shared" ref="O121:BZ121" si="278">-O103*((O$12-O$11+1)/360)*O118*O109</f>
        <v>0</v>
      </c>
      <c r="P121" s="48">
        <f t="shared" si="278"/>
        <v>0</v>
      </c>
      <c r="Q121" s="48">
        <f t="shared" si="278"/>
        <v>0</v>
      </c>
      <c r="R121" s="48">
        <f t="shared" si="278"/>
        <v>0</v>
      </c>
      <c r="S121" s="48">
        <f t="shared" si="278"/>
        <v>0</v>
      </c>
      <c r="T121" s="48">
        <f t="shared" si="278"/>
        <v>0</v>
      </c>
      <c r="U121" s="48">
        <f t="shared" si="278"/>
        <v>-1.4097222222222223</v>
      </c>
      <c r="V121" s="48">
        <f t="shared" si="278"/>
        <v>-1.5607638888888891</v>
      </c>
      <c r="W121" s="48">
        <f t="shared" si="278"/>
        <v>-1.3593750000000002</v>
      </c>
      <c r="X121" s="48">
        <f t="shared" si="278"/>
        <v>-1.4046875000000001</v>
      </c>
      <c r="Y121" s="48">
        <f t="shared" si="278"/>
        <v>-1.3593750000000002</v>
      </c>
      <c r="Z121" s="48">
        <f t="shared" si="278"/>
        <v>-1.4046875000000001</v>
      </c>
      <c r="AA121" s="48">
        <f t="shared" si="278"/>
        <v>-1.4046875000000001</v>
      </c>
      <c r="AB121" s="48">
        <f t="shared" si="278"/>
        <v>-1.3593750000000002</v>
      </c>
      <c r="AC121" s="48">
        <f t="shared" si="278"/>
        <v>-1.2486111111111113</v>
      </c>
      <c r="AD121" s="48">
        <f t="shared" si="278"/>
        <v>-1.2083333333333335</v>
      </c>
      <c r="AE121" s="48">
        <f t="shared" si="278"/>
        <v>-1.2486111111111113</v>
      </c>
      <c r="AF121" s="48">
        <f t="shared" si="278"/>
        <v>-1.2486111111111113</v>
      </c>
      <c r="AG121" s="48">
        <f t="shared" si="278"/>
        <v>-1.1680555555555558</v>
      </c>
      <c r="AH121" s="48">
        <f t="shared" si="278"/>
        <v>-1.2486111111111113</v>
      </c>
      <c r="AI121" s="48">
        <f t="shared" si="278"/>
        <v>-1.0572916666666667</v>
      </c>
      <c r="AJ121" s="48">
        <f t="shared" si="278"/>
        <v>-1.0925347222222224</v>
      </c>
      <c r="AK121" s="48">
        <f t="shared" si="278"/>
        <v>-1.0572916666666667</v>
      </c>
      <c r="AL121" s="48">
        <f t="shared" si="278"/>
        <v>-1.0925347222222224</v>
      </c>
      <c r="AM121" s="48">
        <f t="shared" si="278"/>
        <v>-1.0925347222222224</v>
      </c>
      <c r="AN121" s="48">
        <f t="shared" si="278"/>
        <v>-1.0572916666666667</v>
      </c>
      <c r="AO121" s="48">
        <f t="shared" si="278"/>
        <v>-0.9364583333333335</v>
      </c>
      <c r="AP121" s="48">
        <f t="shared" si="278"/>
        <v>-0.90625000000000011</v>
      </c>
      <c r="AQ121" s="48">
        <f t="shared" si="278"/>
        <v>-0.9364583333333335</v>
      </c>
      <c r="AR121" s="48">
        <f t="shared" si="278"/>
        <v>-0.9364583333333335</v>
      </c>
      <c r="AS121" s="48">
        <f t="shared" si="278"/>
        <v>-0.84583333333333344</v>
      </c>
      <c r="AT121" s="48">
        <f t="shared" si="278"/>
        <v>-0.9364583333333335</v>
      </c>
      <c r="AU121" s="48">
        <f t="shared" si="278"/>
        <v>-0.75520833333333348</v>
      </c>
      <c r="AV121" s="48">
        <f t="shared" si="278"/>
        <v>-0.78038194444444453</v>
      </c>
      <c r="AW121" s="48">
        <f t="shared" si="278"/>
        <v>-0.75520833333333348</v>
      </c>
      <c r="AX121" s="48">
        <f t="shared" si="278"/>
        <v>-0.78038194444444453</v>
      </c>
      <c r="AY121" s="48">
        <f t="shared" si="278"/>
        <v>-0.78038194444444453</v>
      </c>
      <c r="AZ121" s="48">
        <f t="shared" si="278"/>
        <v>-0.75520833333333348</v>
      </c>
      <c r="BA121" s="48">
        <f t="shared" si="278"/>
        <v>-0.62430555555555567</v>
      </c>
      <c r="BB121" s="48">
        <f t="shared" si="278"/>
        <v>-0.60416666666666674</v>
      </c>
      <c r="BC121" s="48">
        <f t="shared" si="278"/>
        <v>-0.62430555555555567</v>
      </c>
      <c r="BD121" s="48">
        <f t="shared" si="278"/>
        <v>-0.62430555555555567</v>
      </c>
      <c r="BE121" s="48">
        <f t="shared" si="278"/>
        <v>-0.56388888888888899</v>
      </c>
      <c r="BF121" s="48">
        <f t="shared" si="278"/>
        <v>-0.62430555555555567</v>
      </c>
      <c r="BG121" s="48">
        <f t="shared" si="278"/>
        <v>-0.45312500000000006</v>
      </c>
      <c r="BH121" s="48">
        <f t="shared" si="278"/>
        <v>-0.46822916666666675</v>
      </c>
      <c r="BI121" s="48">
        <f t="shared" si="278"/>
        <v>-0.45312500000000006</v>
      </c>
      <c r="BJ121" s="48">
        <f t="shared" si="278"/>
        <v>-0.46822916666666675</v>
      </c>
      <c r="BK121" s="48">
        <f t="shared" si="278"/>
        <v>-0.46822916666666675</v>
      </c>
      <c r="BL121" s="48">
        <f t="shared" si="278"/>
        <v>-0.45312500000000006</v>
      </c>
      <c r="BM121" s="48">
        <f t="shared" si="278"/>
        <v>-0.31215277777777783</v>
      </c>
      <c r="BN121" s="48">
        <f t="shared" si="278"/>
        <v>-0.30208333333333337</v>
      </c>
      <c r="BO121" s="48">
        <f t="shared" si="278"/>
        <v>-0.31215277777777783</v>
      </c>
      <c r="BP121" s="48">
        <f t="shared" si="278"/>
        <v>-0.31215277777777783</v>
      </c>
      <c r="BQ121" s="48">
        <f t="shared" si="278"/>
        <v>-0.2819444444444445</v>
      </c>
      <c r="BR121" s="48">
        <f t="shared" si="278"/>
        <v>-0.31215277777777783</v>
      </c>
      <c r="BS121" s="48">
        <f t="shared" si="278"/>
        <v>-0.15104166666666669</v>
      </c>
      <c r="BT121" s="48">
        <f t="shared" si="278"/>
        <v>-0.15607638888888892</v>
      </c>
      <c r="BU121" s="48">
        <f t="shared" si="278"/>
        <v>-0.15104166666666669</v>
      </c>
      <c r="BV121" s="48">
        <f t="shared" si="278"/>
        <v>-0.15607638888888892</v>
      </c>
      <c r="BW121" s="48">
        <f t="shared" si="278"/>
        <v>-0.15607638888888892</v>
      </c>
      <c r="BX121" s="48">
        <f t="shared" si="278"/>
        <v>-0.15104166666666669</v>
      </c>
      <c r="BY121" s="48">
        <f t="shared" si="278"/>
        <v>0</v>
      </c>
      <c r="BZ121" s="48">
        <f t="shared" si="278"/>
        <v>0</v>
      </c>
      <c r="CA121" s="48">
        <f t="shared" ref="CA121:EL121" si="279">-CA103*((CA$12-CA$11+1)/360)*CA118*CA109</f>
        <v>0</v>
      </c>
      <c r="CB121" s="48">
        <f t="shared" si="279"/>
        <v>0</v>
      </c>
      <c r="CC121" s="48">
        <f t="shared" si="279"/>
        <v>0</v>
      </c>
      <c r="CD121" s="48">
        <f t="shared" si="279"/>
        <v>0</v>
      </c>
      <c r="CE121" s="48">
        <f t="shared" si="279"/>
        <v>0</v>
      </c>
      <c r="CF121" s="48">
        <f t="shared" si="279"/>
        <v>0</v>
      </c>
      <c r="CG121" s="48">
        <f t="shared" si="279"/>
        <v>0</v>
      </c>
      <c r="CH121" s="48">
        <f t="shared" si="279"/>
        <v>0</v>
      </c>
      <c r="CI121" s="48">
        <f t="shared" si="279"/>
        <v>0</v>
      </c>
      <c r="CJ121" s="48">
        <f t="shared" si="279"/>
        <v>0</v>
      </c>
      <c r="CK121" s="48">
        <f t="shared" si="279"/>
        <v>0</v>
      </c>
      <c r="CL121" s="48">
        <f t="shared" si="279"/>
        <v>0</v>
      </c>
      <c r="CM121" s="48">
        <f t="shared" si="279"/>
        <v>0</v>
      </c>
      <c r="CN121" s="48">
        <f t="shared" si="279"/>
        <v>0</v>
      </c>
      <c r="CO121" s="48">
        <f t="shared" si="279"/>
        <v>0</v>
      </c>
      <c r="CP121" s="48">
        <f t="shared" si="279"/>
        <v>0</v>
      </c>
      <c r="CQ121" s="48">
        <f t="shared" si="279"/>
        <v>0</v>
      </c>
      <c r="CR121" s="48">
        <f t="shared" si="279"/>
        <v>0</v>
      </c>
      <c r="CS121" s="48">
        <f t="shared" si="279"/>
        <v>0</v>
      </c>
      <c r="CT121" s="48">
        <f t="shared" si="279"/>
        <v>0</v>
      </c>
      <c r="CU121" s="48">
        <f t="shared" si="279"/>
        <v>0</v>
      </c>
      <c r="CV121" s="48">
        <f t="shared" si="279"/>
        <v>0</v>
      </c>
      <c r="CW121" s="48">
        <f t="shared" si="279"/>
        <v>0</v>
      </c>
      <c r="CX121" s="48">
        <f t="shared" si="279"/>
        <v>0</v>
      </c>
      <c r="CY121" s="48">
        <f t="shared" si="279"/>
        <v>0</v>
      </c>
      <c r="CZ121" s="48">
        <f t="shared" si="279"/>
        <v>0</v>
      </c>
      <c r="DA121" s="48">
        <f t="shared" si="279"/>
        <v>0</v>
      </c>
      <c r="DB121" s="48">
        <f t="shared" si="279"/>
        <v>0</v>
      </c>
      <c r="DC121" s="48">
        <f t="shared" si="279"/>
        <v>0</v>
      </c>
      <c r="DD121" s="48">
        <f t="shared" si="279"/>
        <v>0</v>
      </c>
      <c r="DE121" s="48">
        <f t="shared" si="279"/>
        <v>0</v>
      </c>
      <c r="DF121" s="48">
        <f t="shared" si="279"/>
        <v>0</v>
      </c>
      <c r="DG121" s="48">
        <f t="shared" si="279"/>
        <v>0</v>
      </c>
      <c r="DH121" s="48">
        <f t="shared" si="279"/>
        <v>0</v>
      </c>
      <c r="DI121" s="48">
        <f t="shared" si="279"/>
        <v>0</v>
      </c>
      <c r="DJ121" s="48">
        <f t="shared" si="279"/>
        <v>0</v>
      </c>
      <c r="DK121" s="48">
        <f t="shared" si="279"/>
        <v>0</v>
      </c>
      <c r="DL121" s="48">
        <f t="shared" si="279"/>
        <v>0</v>
      </c>
      <c r="DM121" s="48">
        <f t="shared" si="279"/>
        <v>0</v>
      </c>
      <c r="DN121" s="48">
        <f t="shared" si="279"/>
        <v>0</v>
      </c>
      <c r="DO121" s="48">
        <f t="shared" si="279"/>
        <v>0</v>
      </c>
      <c r="DP121" s="48">
        <f t="shared" si="279"/>
        <v>0</v>
      </c>
      <c r="DQ121" s="48">
        <f t="shared" si="279"/>
        <v>0</v>
      </c>
      <c r="DR121" s="48">
        <f t="shared" si="279"/>
        <v>0</v>
      </c>
      <c r="DS121" s="48">
        <f t="shared" si="279"/>
        <v>0</v>
      </c>
      <c r="DT121" s="48">
        <f t="shared" si="279"/>
        <v>0</v>
      </c>
      <c r="DU121" s="48">
        <f t="shared" si="279"/>
        <v>0</v>
      </c>
      <c r="DV121" s="48">
        <f t="shared" si="279"/>
        <v>0</v>
      </c>
      <c r="DW121" s="48">
        <f t="shared" si="279"/>
        <v>0</v>
      </c>
      <c r="DX121" s="48">
        <f t="shared" si="279"/>
        <v>0</v>
      </c>
      <c r="DY121" s="48">
        <f t="shared" si="279"/>
        <v>0</v>
      </c>
      <c r="DZ121" s="48">
        <f t="shared" si="279"/>
        <v>0</v>
      </c>
      <c r="EA121" s="48">
        <f t="shared" si="279"/>
        <v>0</v>
      </c>
      <c r="EB121" s="48">
        <f t="shared" si="279"/>
        <v>0</v>
      </c>
      <c r="EC121" s="48">
        <f t="shared" si="279"/>
        <v>0</v>
      </c>
      <c r="ED121" s="48">
        <f t="shared" si="279"/>
        <v>0</v>
      </c>
      <c r="EE121" s="48">
        <f t="shared" si="279"/>
        <v>0</v>
      </c>
      <c r="EF121" s="48">
        <f t="shared" si="279"/>
        <v>0</v>
      </c>
      <c r="EG121" s="48">
        <f t="shared" si="279"/>
        <v>0</v>
      </c>
      <c r="EH121" s="48">
        <f t="shared" si="279"/>
        <v>0</v>
      </c>
      <c r="EI121" s="48">
        <f t="shared" si="279"/>
        <v>0</v>
      </c>
      <c r="EJ121" s="48">
        <f t="shared" si="279"/>
        <v>0</v>
      </c>
      <c r="EK121" s="48">
        <f t="shared" si="279"/>
        <v>0</v>
      </c>
      <c r="EL121" s="48">
        <f t="shared" si="279"/>
        <v>0</v>
      </c>
      <c r="EM121" s="48">
        <f t="shared" ref="EM121:GX121" si="280">-EM103*((EM$12-EM$11+1)/360)*EM118*EM109</f>
        <v>0</v>
      </c>
      <c r="EN121" s="48">
        <f t="shared" si="280"/>
        <v>0</v>
      </c>
      <c r="EO121" s="48">
        <f t="shared" si="280"/>
        <v>0</v>
      </c>
      <c r="EP121" s="48">
        <f t="shared" si="280"/>
        <v>0</v>
      </c>
      <c r="EQ121" s="48">
        <f t="shared" si="280"/>
        <v>0</v>
      </c>
      <c r="ER121" s="48">
        <f t="shared" si="280"/>
        <v>0</v>
      </c>
      <c r="ES121" s="48">
        <f t="shared" si="280"/>
        <v>0</v>
      </c>
      <c r="ET121" s="48">
        <f t="shared" si="280"/>
        <v>0</v>
      </c>
      <c r="EU121" s="48">
        <f t="shared" si="280"/>
        <v>0</v>
      </c>
      <c r="EV121" s="48">
        <f t="shared" si="280"/>
        <v>0</v>
      </c>
      <c r="EW121" s="48">
        <f t="shared" si="280"/>
        <v>0</v>
      </c>
      <c r="EX121" s="48">
        <f t="shared" si="280"/>
        <v>0</v>
      </c>
      <c r="EY121" s="48">
        <f t="shared" si="280"/>
        <v>0</v>
      </c>
      <c r="EZ121" s="48">
        <f t="shared" si="280"/>
        <v>0</v>
      </c>
      <c r="FA121" s="48">
        <f t="shared" si="280"/>
        <v>0</v>
      </c>
      <c r="FB121" s="48">
        <f t="shared" si="280"/>
        <v>0</v>
      </c>
      <c r="FC121" s="48">
        <f t="shared" si="280"/>
        <v>0</v>
      </c>
      <c r="FD121" s="48">
        <f t="shared" si="280"/>
        <v>0</v>
      </c>
      <c r="FE121" s="48">
        <f t="shared" si="280"/>
        <v>0</v>
      </c>
      <c r="FF121" s="48">
        <f t="shared" si="280"/>
        <v>0</v>
      </c>
      <c r="FG121" s="48">
        <f t="shared" si="280"/>
        <v>0</v>
      </c>
      <c r="FH121" s="48">
        <f t="shared" si="280"/>
        <v>0</v>
      </c>
      <c r="FI121" s="48">
        <f t="shared" si="280"/>
        <v>0</v>
      </c>
      <c r="FJ121" s="48">
        <f t="shared" si="280"/>
        <v>0</v>
      </c>
      <c r="FK121" s="48">
        <f t="shared" si="280"/>
        <v>0</v>
      </c>
      <c r="FL121" s="48">
        <f t="shared" si="280"/>
        <v>0</v>
      </c>
      <c r="FM121" s="48">
        <f t="shared" si="280"/>
        <v>0</v>
      </c>
      <c r="FN121" s="48">
        <f t="shared" si="280"/>
        <v>0</v>
      </c>
      <c r="FO121" s="48">
        <f t="shared" si="280"/>
        <v>0</v>
      </c>
      <c r="FP121" s="48">
        <f t="shared" si="280"/>
        <v>0</v>
      </c>
      <c r="FQ121" s="48">
        <f t="shared" si="280"/>
        <v>0</v>
      </c>
      <c r="FR121" s="48">
        <f t="shared" si="280"/>
        <v>0</v>
      </c>
      <c r="FS121" s="48">
        <f t="shared" si="280"/>
        <v>0</v>
      </c>
      <c r="FT121" s="48">
        <f t="shared" si="280"/>
        <v>0</v>
      </c>
      <c r="FU121" s="48">
        <f t="shared" si="280"/>
        <v>0</v>
      </c>
      <c r="FV121" s="48">
        <f t="shared" si="280"/>
        <v>0</v>
      </c>
      <c r="FW121" s="48">
        <f t="shared" si="280"/>
        <v>0</v>
      </c>
      <c r="FX121" s="48">
        <f t="shared" si="280"/>
        <v>0</v>
      </c>
      <c r="FY121" s="48">
        <f t="shared" si="280"/>
        <v>0</v>
      </c>
      <c r="FZ121" s="48">
        <f t="shared" si="280"/>
        <v>0</v>
      </c>
      <c r="GA121" s="48">
        <f t="shared" si="280"/>
        <v>0</v>
      </c>
      <c r="GB121" s="48">
        <f t="shared" si="280"/>
        <v>0</v>
      </c>
      <c r="GC121" s="48">
        <f t="shared" si="280"/>
        <v>0</v>
      </c>
      <c r="GD121" s="48">
        <f t="shared" si="280"/>
        <v>0</v>
      </c>
      <c r="GE121" s="48">
        <f t="shared" si="280"/>
        <v>0</v>
      </c>
      <c r="GF121" s="48">
        <f t="shared" si="280"/>
        <v>0</v>
      </c>
      <c r="GG121" s="48">
        <f t="shared" si="280"/>
        <v>0</v>
      </c>
      <c r="GH121" s="48">
        <f t="shared" si="280"/>
        <v>0</v>
      </c>
      <c r="GI121" s="48">
        <f t="shared" si="280"/>
        <v>0</v>
      </c>
      <c r="GJ121" s="48">
        <f t="shared" si="280"/>
        <v>0</v>
      </c>
      <c r="GK121" s="48">
        <f t="shared" si="280"/>
        <v>0</v>
      </c>
      <c r="GL121" s="48">
        <f t="shared" si="280"/>
        <v>0</v>
      </c>
      <c r="GM121" s="48">
        <f t="shared" si="280"/>
        <v>0</v>
      </c>
      <c r="GN121" s="48">
        <f t="shared" si="280"/>
        <v>0</v>
      </c>
      <c r="GO121" s="48">
        <f t="shared" si="280"/>
        <v>0</v>
      </c>
      <c r="GP121" s="48">
        <f t="shared" si="280"/>
        <v>0</v>
      </c>
      <c r="GQ121" s="48">
        <f t="shared" si="280"/>
        <v>0</v>
      </c>
      <c r="GR121" s="48">
        <f t="shared" si="280"/>
        <v>0</v>
      </c>
      <c r="GS121" s="48">
        <f t="shared" si="280"/>
        <v>0</v>
      </c>
      <c r="GT121" s="48">
        <f t="shared" si="280"/>
        <v>0</v>
      </c>
      <c r="GU121" s="48">
        <f t="shared" si="280"/>
        <v>0</v>
      </c>
      <c r="GV121" s="48">
        <f t="shared" si="280"/>
        <v>0</v>
      </c>
      <c r="GW121" s="48">
        <f t="shared" si="280"/>
        <v>0</v>
      </c>
      <c r="GX121" s="48">
        <f t="shared" si="280"/>
        <v>0</v>
      </c>
      <c r="GY121" s="48">
        <f t="shared" ref="GY121:JJ121" si="281">-GY103*((GY$12-GY$11+1)/360)*GY118*GY109</f>
        <v>0</v>
      </c>
      <c r="GZ121" s="48">
        <f t="shared" si="281"/>
        <v>0</v>
      </c>
      <c r="HA121" s="48">
        <f t="shared" si="281"/>
        <v>0</v>
      </c>
      <c r="HB121" s="48">
        <f t="shared" si="281"/>
        <v>0</v>
      </c>
      <c r="HC121" s="48">
        <f t="shared" si="281"/>
        <v>0</v>
      </c>
      <c r="HD121" s="48">
        <f t="shared" si="281"/>
        <v>0</v>
      </c>
      <c r="HE121" s="48">
        <f t="shared" si="281"/>
        <v>0</v>
      </c>
      <c r="HF121" s="48">
        <f t="shared" si="281"/>
        <v>0</v>
      </c>
      <c r="HG121" s="48">
        <f t="shared" si="281"/>
        <v>0</v>
      </c>
      <c r="HH121" s="48">
        <f t="shared" si="281"/>
        <v>0</v>
      </c>
      <c r="HI121" s="48">
        <f t="shared" si="281"/>
        <v>0</v>
      </c>
      <c r="HJ121" s="48">
        <f t="shared" si="281"/>
        <v>0</v>
      </c>
      <c r="HK121" s="48">
        <f t="shared" si="281"/>
        <v>0</v>
      </c>
      <c r="HL121" s="48">
        <f t="shared" si="281"/>
        <v>0</v>
      </c>
      <c r="HM121" s="48">
        <f t="shared" si="281"/>
        <v>0</v>
      </c>
      <c r="HN121" s="48">
        <f t="shared" si="281"/>
        <v>0</v>
      </c>
      <c r="HO121" s="48">
        <f t="shared" si="281"/>
        <v>0</v>
      </c>
      <c r="HP121" s="48">
        <f t="shared" si="281"/>
        <v>0</v>
      </c>
      <c r="HQ121" s="48">
        <f t="shared" si="281"/>
        <v>0</v>
      </c>
      <c r="HR121" s="48">
        <f t="shared" si="281"/>
        <v>0</v>
      </c>
      <c r="HS121" s="48">
        <f t="shared" si="281"/>
        <v>0</v>
      </c>
      <c r="HT121" s="48">
        <f t="shared" si="281"/>
        <v>0</v>
      </c>
      <c r="HU121" s="48">
        <f t="shared" si="281"/>
        <v>0</v>
      </c>
      <c r="HV121" s="48">
        <f t="shared" si="281"/>
        <v>0</v>
      </c>
      <c r="HW121" s="48">
        <f t="shared" si="281"/>
        <v>0</v>
      </c>
      <c r="HX121" s="48">
        <f t="shared" si="281"/>
        <v>0</v>
      </c>
      <c r="HY121" s="48">
        <f t="shared" si="281"/>
        <v>0</v>
      </c>
      <c r="HZ121" s="48">
        <f t="shared" si="281"/>
        <v>0</v>
      </c>
      <c r="IA121" s="48">
        <f t="shared" si="281"/>
        <v>0</v>
      </c>
      <c r="IB121" s="48">
        <f t="shared" si="281"/>
        <v>0</v>
      </c>
      <c r="IC121" s="48">
        <f t="shared" si="281"/>
        <v>0</v>
      </c>
      <c r="ID121" s="48">
        <f t="shared" si="281"/>
        <v>0</v>
      </c>
      <c r="IE121" s="48">
        <f t="shared" si="281"/>
        <v>0</v>
      </c>
      <c r="IF121" s="48">
        <f t="shared" si="281"/>
        <v>0</v>
      </c>
      <c r="IG121" s="48">
        <f t="shared" si="281"/>
        <v>0</v>
      </c>
      <c r="IH121" s="48">
        <f t="shared" si="281"/>
        <v>0</v>
      </c>
      <c r="II121" s="48">
        <f t="shared" si="281"/>
        <v>0</v>
      </c>
      <c r="IJ121" s="48">
        <f t="shared" si="281"/>
        <v>0</v>
      </c>
      <c r="IK121" s="48">
        <f t="shared" si="281"/>
        <v>0</v>
      </c>
      <c r="IL121" s="48">
        <f t="shared" si="281"/>
        <v>0</v>
      </c>
      <c r="IM121" s="48">
        <f t="shared" si="281"/>
        <v>0</v>
      </c>
      <c r="IN121" s="48">
        <f t="shared" si="281"/>
        <v>0</v>
      </c>
      <c r="IO121" s="48">
        <f t="shared" si="281"/>
        <v>0</v>
      </c>
      <c r="IP121" s="48">
        <f t="shared" si="281"/>
        <v>0</v>
      </c>
      <c r="IQ121" s="48">
        <f t="shared" si="281"/>
        <v>0</v>
      </c>
      <c r="IR121" s="48">
        <f t="shared" si="281"/>
        <v>0</v>
      </c>
      <c r="IS121" s="48">
        <f t="shared" si="281"/>
        <v>0</v>
      </c>
      <c r="IT121" s="48">
        <f t="shared" si="281"/>
        <v>0</v>
      </c>
      <c r="IU121" s="48">
        <f t="shared" si="281"/>
        <v>0</v>
      </c>
      <c r="IV121" s="48">
        <f t="shared" si="281"/>
        <v>0</v>
      </c>
      <c r="IW121" s="48">
        <f t="shared" si="281"/>
        <v>0</v>
      </c>
      <c r="IX121" s="48">
        <f t="shared" si="281"/>
        <v>0</v>
      </c>
      <c r="IY121" s="48">
        <f t="shared" si="281"/>
        <v>0</v>
      </c>
      <c r="IZ121" s="48">
        <f t="shared" si="281"/>
        <v>0</v>
      </c>
      <c r="JA121" s="48">
        <f t="shared" si="281"/>
        <v>0</v>
      </c>
      <c r="JB121" s="48">
        <f t="shared" si="281"/>
        <v>0</v>
      </c>
      <c r="JC121" s="48">
        <f t="shared" si="281"/>
        <v>0</v>
      </c>
      <c r="JD121" s="48">
        <f t="shared" si="281"/>
        <v>0</v>
      </c>
      <c r="JE121" s="48">
        <f t="shared" si="281"/>
        <v>0</v>
      </c>
      <c r="JF121" s="48">
        <f t="shared" si="281"/>
        <v>0</v>
      </c>
      <c r="JG121" s="48">
        <f t="shared" si="281"/>
        <v>0</v>
      </c>
      <c r="JH121" s="48">
        <f t="shared" si="281"/>
        <v>0</v>
      </c>
      <c r="JI121" s="48">
        <f t="shared" si="281"/>
        <v>0</v>
      </c>
      <c r="JJ121" s="48">
        <f t="shared" si="281"/>
        <v>0</v>
      </c>
      <c r="JK121" s="48">
        <f t="shared" ref="JK121:KI121" si="282">-JK103*((JK$12-JK$11+1)/360)*JK118*JK109</f>
        <v>0</v>
      </c>
      <c r="JL121" s="48">
        <f t="shared" si="282"/>
        <v>0</v>
      </c>
      <c r="JM121" s="48">
        <f t="shared" si="282"/>
        <v>0</v>
      </c>
      <c r="JN121" s="48">
        <f t="shared" si="282"/>
        <v>0</v>
      </c>
      <c r="JO121" s="48">
        <f t="shared" si="282"/>
        <v>0</v>
      </c>
      <c r="JP121" s="48">
        <f t="shared" si="282"/>
        <v>0</v>
      </c>
      <c r="JQ121" s="48">
        <f t="shared" si="282"/>
        <v>0</v>
      </c>
      <c r="JR121" s="48">
        <f t="shared" si="282"/>
        <v>0</v>
      </c>
      <c r="JS121" s="48">
        <f t="shared" si="282"/>
        <v>0</v>
      </c>
      <c r="JT121" s="48">
        <f t="shared" si="282"/>
        <v>0</v>
      </c>
      <c r="JU121" s="48">
        <f t="shared" si="282"/>
        <v>0</v>
      </c>
      <c r="JV121" s="48">
        <f t="shared" si="282"/>
        <v>0</v>
      </c>
      <c r="JW121" s="48">
        <f t="shared" si="282"/>
        <v>0</v>
      </c>
      <c r="JX121" s="48">
        <f t="shared" si="282"/>
        <v>0</v>
      </c>
      <c r="JY121" s="48">
        <f t="shared" si="282"/>
        <v>0</v>
      </c>
      <c r="JZ121" s="48">
        <f t="shared" si="282"/>
        <v>0</v>
      </c>
      <c r="KA121" s="48">
        <f t="shared" si="282"/>
        <v>0</v>
      </c>
      <c r="KB121" s="48">
        <f t="shared" si="282"/>
        <v>0</v>
      </c>
      <c r="KC121" s="48">
        <f t="shared" si="282"/>
        <v>0</v>
      </c>
      <c r="KD121" s="48">
        <f t="shared" si="282"/>
        <v>0</v>
      </c>
      <c r="KE121" s="48">
        <f t="shared" si="282"/>
        <v>0</v>
      </c>
      <c r="KF121" s="48">
        <f t="shared" si="282"/>
        <v>0</v>
      </c>
      <c r="KG121" s="48">
        <f t="shared" si="282"/>
        <v>0</v>
      </c>
      <c r="KH121" s="48">
        <f t="shared" si="282"/>
        <v>0</v>
      </c>
      <c r="KI121" s="48">
        <f t="shared" si="282"/>
        <v>0</v>
      </c>
      <c r="KJ121" s="1"/>
    </row>
    <row r="122" spans="7:296" x14ac:dyDescent="0.35">
      <c r="H122" s="13" t="s">
        <v>49</v>
      </c>
      <c r="M122" s="47" t="s">
        <v>107</v>
      </c>
      <c r="N122" s="52"/>
      <c r="O122" s="52">
        <f>IF(O104=1,SUM($N121:O121)-SUM($N122:N122),O103*O106*(SUM($N121:O121)-SUM($N122:N122)))</f>
        <v>0</v>
      </c>
      <c r="P122" s="52">
        <f>IF(P104=1,SUM($N121:P121)-SUM($N122:O122),P103*P106*(SUM($N121:P121)-SUM($N122:O122)))</f>
        <v>0</v>
      </c>
      <c r="Q122" s="52">
        <f>IF(Q104=1,SUM($N121:Q121)-SUM($N122:P122),Q103*Q106*(SUM($N121:Q121)-SUM($N122:P122)))</f>
        <v>0</v>
      </c>
      <c r="R122" s="52">
        <f>IF(R104=1,SUM($N121:R121)-SUM($N122:Q122),R103*R106*(SUM($N121:R121)-SUM($N122:Q122)))</f>
        <v>0</v>
      </c>
      <c r="S122" s="52">
        <f>IF(S104=1,SUM($N121:S121)-SUM($N122:R122),S103*S106*(SUM($N121:S121)-SUM($N122:R122)))</f>
        <v>0</v>
      </c>
      <c r="T122" s="52">
        <f>IF(T104=1,SUM($N121:T121)-SUM($N122:S122),T103*T106*(SUM($N121:T121)-SUM($N122:S122)))</f>
        <v>0</v>
      </c>
      <c r="U122" s="52">
        <f>IF(U104=1,SUM($N121:U121)-SUM($N122:T122),U103*U106*(SUM($N121:U121)-SUM($N122:T122)))</f>
        <v>0</v>
      </c>
      <c r="V122" s="52">
        <f>IF(V104=1,SUM($N121:V121)-SUM($N122:U122),V103*V106*(SUM($N121:V121)-SUM($N122:U122)))</f>
        <v>0</v>
      </c>
      <c r="W122" s="52">
        <f>IF(W104=1,SUM($N121:W121)-SUM($N122:V122),W103*W106*(SUM($N121:W121)-SUM($N122:V122)))</f>
        <v>0</v>
      </c>
      <c r="X122" s="52">
        <f>IF(X104=1,SUM($N121:X121)-SUM($N122:W122),X103*X106*(SUM($N121:X121)-SUM($N122:W122)))</f>
        <v>0</v>
      </c>
      <c r="Y122" s="52">
        <f>IF(Y104=1,SUM($N121:Y121)-SUM($N122:X122),Y103*Y106*(SUM($N121:Y121)-SUM($N122:X122)))</f>
        <v>-7.0939236111111121</v>
      </c>
      <c r="Z122" s="52">
        <f>IF(Z104=1,SUM($N121:Z121)-SUM($N122:Y122),Z103*Z106*(SUM($N121:Z121)-SUM($N122:Y122)))</f>
        <v>0</v>
      </c>
      <c r="AA122" s="52">
        <f>IF(AA104=1,SUM($N121:AA121)-SUM($N122:Z122),AA103*AA106*(SUM($N121:AA121)-SUM($N122:Z122)))</f>
        <v>0</v>
      </c>
      <c r="AB122" s="52">
        <f>IF(AB104=1,SUM($N121:AB121)-SUM($N122:AA122),AB103*AB106*(SUM($N121:AB121)-SUM($N122:AA122)))</f>
        <v>0</v>
      </c>
      <c r="AC122" s="52">
        <f>IF(AC104=1,SUM($N121:AC121)-SUM($N122:AB122),AC103*AC106*(SUM($N121:AC121)-SUM($N122:AB122)))</f>
        <v>0</v>
      </c>
      <c r="AD122" s="52">
        <f>IF(AD104=1,SUM($N121:AD121)-SUM($N122:AC122),AD103*AD106*(SUM($N121:AD121)-SUM($N122:AC122)))</f>
        <v>0</v>
      </c>
      <c r="AE122" s="52">
        <f>IF(AE104=1,SUM($N121:AE121)-SUM($N122:AD122),AE103*AE106*(SUM($N121:AE121)-SUM($N122:AD122)))</f>
        <v>-7.8743055555555568</v>
      </c>
      <c r="AF122" s="52">
        <f>IF(AF104=1,SUM($N121:AF121)-SUM($N122:AE122),AF103*AF106*(SUM($N121:AF121)-SUM($N122:AE122)))</f>
        <v>0</v>
      </c>
      <c r="AG122" s="52">
        <f>IF(AG104=1,SUM($N121:AG121)-SUM($N122:AF122),AG103*AG106*(SUM($N121:AG121)-SUM($N122:AF122)))</f>
        <v>0</v>
      </c>
      <c r="AH122" s="52">
        <f>IF(AH104=1,SUM($N121:AH121)-SUM($N122:AG122),AH103*AH106*(SUM($N121:AH121)-SUM($N122:AG122)))</f>
        <v>0</v>
      </c>
      <c r="AI122" s="52">
        <f>IF(AI104=1,SUM($N121:AI121)-SUM($N122:AH122),AI103*AI106*(SUM($N121:AI121)-SUM($N122:AH122)))</f>
        <v>0</v>
      </c>
      <c r="AJ122" s="52">
        <f>IF(AJ104=1,SUM($N121:AJ121)-SUM($N122:AI122),AJ103*AJ106*(SUM($N121:AJ121)-SUM($N122:AI122)))</f>
        <v>0</v>
      </c>
      <c r="AK122" s="52">
        <f>IF(AK104=1,SUM($N121:AK121)-SUM($N122:AJ122),AK103*AK106*(SUM($N121:AK121)-SUM($N122:AJ122)))</f>
        <v>-6.8723958333333339</v>
      </c>
      <c r="AL122" s="52">
        <f>IF(AL104=1,SUM($N121:AL121)-SUM($N122:AK122),AL103*AL106*(SUM($N121:AL121)-SUM($N122:AK122)))</f>
        <v>0</v>
      </c>
      <c r="AM122" s="52">
        <f>IF(AM104=1,SUM($N121:AM121)-SUM($N122:AL122),AM103*AM106*(SUM($N121:AM121)-SUM($N122:AL122)))</f>
        <v>0</v>
      </c>
      <c r="AN122" s="52">
        <f>IF(AN104=1,SUM($N121:AN121)-SUM($N122:AM122),AN103*AN106*(SUM($N121:AN121)-SUM($N122:AM122)))</f>
        <v>0</v>
      </c>
      <c r="AO122" s="52">
        <f>IF(AO104=1,SUM($N121:AO121)-SUM($N122:AN122),AO103*AO106*(SUM($N121:AO121)-SUM($N122:AN122)))</f>
        <v>0</v>
      </c>
      <c r="AP122" s="52">
        <f>IF(AP104=1,SUM($N121:AP121)-SUM($N122:AO122),AP103*AP106*(SUM($N121:AP121)-SUM($N122:AO122)))</f>
        <v>0</v>
      </c>
      <c r="AQ122" s="52">
        <f>IF(AQ104=1,SUM($N121:AQ121)-SUM($N122:AP122),AQ103*AQ106*(SUM($N121:AQ121)-SUM($N122:AP122)))</f>
        <v>-6.0215277777777807</v>
      </c>
      <c r="AR122" s="52">
        <f>IF(AR104=1,SUM($N121:AR121)-SUM($N122:AQ122),AR103*AR106*(SUM($N121:AR121)-SUM($N122:AQ122)))</f>
        <v>0</v>
      </c>
      <c r="AS122" s="52">
        <f>IF(AS104=1,SUM($N121:AS121)-SUM($N122:AR122),AS103*AS106*(SUM($N121:AS121)-SUM($N122:AR122)))</f>
        <v>0</v>
      </c>
      <c r="AT122" s="52">
        <f>IF(AT104=1,SUM($N121:AT121)-SUM($N122:AS122),AT103*AT106*(SUM($N121:AT121)-SUM($N122:AS122)))</f>
        <v>0</v>
      </c>
      <c r="AU122" s="52">
        <f>IF(AU104=1,SUM($N121:AU121)-SUM($N122:AT122),AU103*AU106*(SUM($N121:AU121)-SUM($N122:AT122)))</f>
        <v>0</v>
      </c>
      <c r="AV122" s="52">
        <f>IF(AV104=1,SUM($N121:AV121)-SUM($N122:AU122),AV103*AV106*(SUM($N121:AV121)-SUM($N122:AU122)))</f>
        <v>0</v>
      </c>
      <c r="AW122" s="52">
        <f>IF(AW104=1,SUM($N121:AW121)-SUM($N122:AV122),AW103*AW106*(SUM($N121:AW121)-SUM($N122:AV122)))</f>
        <v>-5.0095486111111178</v>
      </c>
      <c r="AX122" s="52">
        <f>IF(AX104=1,SUM($N121:AX121)-SUM($N122:AW122),AX103*AX106*(SUM($N121:AX121)-SUM($N122:AW122)))</f>
        <v>0</v>
      </c>
      <c r="AY122" s="52">
        <f>IF(AY104=1,SUM($N121:AY121)-SUM($N122:AX122),AY103*AY106*(SUM($N121:AY121)-SUM($N122:AX122)))</f>
        <v>0</v>
      </c>
      <c r="AZ122" s="52">
        <f>IF(AZ104=1,SUM($N121:AZ121)-SUM($N122:AY122),AZ103*AZ106*(SUM($N121:AZ121)-SUM($N122:AY122)))</f>
        <v>0</v>
      </c>
      <c r="BA122" s="52">
        <f>IF(BA104=1,SUM($N121:BA121)-SUM($N122:AZ122),BA103*BA106*(SUM($N121:BA121)-SUM($N122:AZ122)))</f>
        <v>0</v>
      </c>
      <c r="BB122" s="52">
        <f>IF(BB104=1,SUM($N121:BB121)-SUM($N122:BA122),BB103*BB106*(SUM($N121:BB121)-SUM($N122:BA122)))</f>
        <v>0</v>
      </c>
      <c r="BC122" s="52">
        <f>IF(BC104=1,SUM($N121:BC121)-SUM($N122:BB122),BC103*BC106*(SUM($N121:BC121)-SUM($N122:BB122)))</f>
        <v>-4.1687500000000028</v>
      </c>
      <c r="BD122" s="52">
        <f>IF(BD104=1,SUM($N121:BD121)-SUM($N122:BC122),BD103*BD106*(SUM($N121:BD121)-SUM($N122:BC122)))</f>
        <v>0</v>
      </c>
      <c r="BE122" s="52">
        <f>IF(BE104=1,SUM($N121:BE121)-SUM($N122:BD122),BE103*BE106*(SUM($N121:BE121)-SUM($N122:BD122)))</f>
        <v>0</v>
      </c>
      <c r="BF122" s="52">
        <f>IF(BF104=1,SUM($N121:BF121)-SUM($N122:BE122),BF103*BF106*(SUM($N121:BF121)-SUM($N122:BE122)))</f>
        <v>0</v>
      </c>
      <c r="BG122" s="52">
        <f>IF(BG104=1,SUM($N121:BG121)-SUM($N122:BF122),BG103*BG106*(SUM($N121:BG121)-SUM($N122:BF122)))</f>
        <v>0</v>
      </c>
      <c r="BH122" s="52">
        <f>IF(BH104=1,SUM($N121:BH121)-SUM($N122:BG122),BH103*BH106*(SUM($N121:BH121)-SUM($N122:BG122)))</f>
        <v>0</v>
      </c>
      <c r="BI122" s="52">
        <f>IF(BI104=1,SUM($N121:BI121)-SUM($N122:BH122),BI103*BI106*(SUM($N121:BI121)-SUM($N122:BH122)))</f>
        <v>-3.1869791666666742</v>
      </c>
      <c r="BJ122" s="52">
        <f>IF(BJ104=1,SUM($N121:BJ121)-SUM($N122:BI122),BJ103*BJ106*(SUM($N121:BJ121)-SUM($N122:BI122)))</f>
        <v>0</v>
      </c>
      <c r="BK122" s="52">
        <f>IF(BK104=1,SUM($N121:BK121)-SUM($N122:BJ122),BK103*BK106*(SUM($N121:BK121)-SUM($N122:BJ122)))</f>
        <v>0</v>
      </c>
      <c r="BL122" s="52">
        <f>IF(BL104=1,SUM($N121:BL121)-SUM($N122:BK122),BL103*BL106*(SUM($N121:BL121)-SUM($N122:BK122)))</f>
        <v>0</v>
      </c>
      <c r="BM122" s="52">
        <f>IF(BM104=1,SUM($N121:BM121)-SUM($N122:BL122),BM103*BM106*(SUM($N121:BM121)-SUM($N122:BL122)))</f>
        <v>0</v>
      </c>
      <c r="BN122" s="52">
        <f>IF(BN104=1,SUM($N121:BN121)-SUM($N122:BM122),BN103*BN106*(SUM($N121:BN121)-SUM($N122:BM122)))</f>
        <v>0</v>
      </c>
      <c r="BO122" s="52">
        <f>IF(BO104=1,SUM($N121:BO121)-SUM($N122:BN122),BO103*BO106*(SUM($N121:BO121)-SUM($N122:BN122)))</f>
        <v>-2.3159722222222214</v>
      </c>
      <c r="BP122" s="52">
        <f>IF(BP104=1,SUM($N121:BP121)-SUM($N122:BO122),BP103*BP106*(SUM($N121:BP121)-SUM($N122:BO122)))</f>
        <v>0</v>
      </c>
      <c r="BQ122" s="52">
        <f>IF(BQ104=1,SUM($N121:BQ121)-SUM($N122:BP122),BQ103*BQ106*(SUM($N121:BQ121)-SUM($N122:BP122)))</f>
        <v>0</v>
      </c>
      <c r="BR122" s="52">
        <f>IF(BR104=1,SUM($N121:BR121)-SUM($N122:BQ122),BR103*BR106*(SUM($N121:BR121)-SUM($N122:BQ122)))</f>
        <v>0</v>
      </c>
      <c r="BS122" s="52">
        <f>IF(BS104=1,SUM($N121:BS121)-SUM($N122:BR122),BS103*BS106*(SUM($N121:BS121)-SUM($N122:BR122)))</f>
        <v>0</v>
      </c>
      <c r="BT122" s="52">
        <f>IF(BT104=1,SUM($N121:BT121)-SUM($N122:BS122),BT103*BT106*(SUM($N121:BT121)-SUM($N122:BS122)))</f>
        <v>0</v>
      </c>
      <c r="BU122" s="52">
        <f>IF(BU104=1,SUM($N121:BU121)-SUM($N122:BT122),BU103*BU106*(SUM($N121:BU121)-SUM($N122:BT122)))</f>
        <v>-1.3644097222222129</v>
      </c>
      <c r="BV122" s="52">
        <f>IF(BV104=1,SUM($N121:BV121)-SUM($N122:BU122),BV103*BV106*(SUM($N121:BV121)-SUM($N122:BU122)))</f>
        <v>0</v>
      </c>
      <c r="BW122" s="52">
        <f>IF(BW104=1,SUM($N121:BW121)-SUM($N122:BV122),BW103*BW106*(SUM($N121:BW121)-SUM($N122:BV122)))</f>
        <v>0</v>
      </c>
      <c r="BX122" s="52">
        <f>IF(BX104=1,SUM($N121:BX121)-SUM($N122:BW122),BX103*BX106*(SUM($N121:BX121)-SUM($N122:BW122)))</f>
        <v>0</v>
      </c>
      <c r="BY122" s="52">
        <f>IF(BY104=1,SUM($N121:BY121)-SUM($N122:BX122),BY103*BY106*(SUM($N121:BY121)-SUM($N122:BX122)))</f>
        <v>0</v>
      </c>
      <c r="BZ122" s="52">
        <f>IF(BZ104=1,SUM($N121:BZ121)-SUM($N122:BY122),BZ103*BZ106*(SUM($N121:BZ121)-SUM($N122:BY122)))</f>
        <v>0</v>
      </c>
      <c r="CA122" s="52">
        <f>IF(CA104=1,SUM($N121:CA121)-SUM($N122:BZ122),CA103*CA106*(SUM($N121:CA121)-SUM($N122:BZ122)))</f>
        <v>-0.46319444444444713</v>
      </c>
      <c r="CB122" s="52">
        <f>IF(CB104=1,SUM($N121:CB121)-SUM($N122:CA122),CB103*CB106*(SUM($N121:CB121)-SUM($N122:CA122)))</f>
        <v>0</v>
      </c>
      <c r="CC122" s="52">
        <f>IF(CC104=1,SUM($N121:CC121)-SUM($N122:CB122),CC103*CC106*(SUM($N121:CC121)-SUM($N122:CB122)))</f>
        <v>0</v>
      </c>
      <c r="CD122" s="52">
        <f>IF(CD104=1,SUM($N121:CD121)-SUM($N122:CC122),CD103*CD106*(SUM($N121:CD121)-SUM($N122:CC122)))</f>
        <v>0</v>
      </c>
      <c r="CE122" s="52">
        <f>IF(CE104=1,SUM($N121:CE121)-SUM($N122:CD122),CE103*CE106*(SUM($N121:CE121)-SUM($N122:CD122)))</f>
        <v>0</v>
      </c>
      <c r="CF122" s="52">
        <f>IF(CF104=1,SUM($N121:CF121)-SUM($N122:CE122),CF103*CF106*(SUM($N121:CF121)-SUM($N122:CE122)))</f>
        <v>0</v>
      </c>
      <c r="CG122" s="52">
        <f>IF(CG104=1,SUM($N121:CG121)-SUM($N122:CF122),CG103*CG106*(SUM($N121:CG121)-SUM($N122:CF122)))</f>
        <v>0</v>
      </c>
      <c r="CH122" s="52">
        <f>IF(CH104=1,SUM($N121:CH121)-SUM($N122:CG122),CH103*CH106*(SUM($N121:CH121)-SUM($N122:CG122)))</f>
        <v>0</v>
      </c>
      <c r="CI122" s="52">
        <f>IF(CI104=1,SUM($N121:CI121)-SUM($N122:CH122),CI103*CI106*(SUM($N121:CI121)-SUM($N122:CH122)))</f>
        <v>0</v>
      </c>
      <c r="CJ122" s="52">
        <f>IF(CJ104=1,SUM($N121:CJ121)-SUM($N122:CI122),CJ103*CJ106*(SUM($N121:CJ121)-SUM($N122:CI122)))</f>
        <v>0</v>
      </c>
      <c r="CK122" s="52">
        <f>IF(CK104=1,SUM($N121:CK121)-SUM($N122:CJ122),CK103*CK106*(SUM($N121:CK121)-SUM($N122:CJ122)))</f>
        <v>0</v>
      </c>
      <c r="CL122" s="52">
        <f>IF(CL104=1,SUM($N121:CL121)-SUM($N122:CK122),CL103*CL106*(SUM($N121:CL121)-SUM($N122:CK122)))</f>
        <v>0</v>
      </c>
      <c r="CM122" s="52">
        <f>IF(CM104=1,SUM($N121:CM121)-SUM($N122:CL122),CM103*CM106*(SUM($N121:CM121)-SUM($N122:CL122)))</f>
        <v>0</v>
      </c>
      <c r="CN122" s="52">
        <f>IF(CN104=1,SUM($N121:CN121)-SUM($N122:CM122),CN103*CN106*(SUM($N121:CN121)-SUM($N122:CM122)))</f>
        <v>0</v>
      </c>
      <c r="CO122" s="52">
        <f>IF(CO104=1,SUM($N121:CO121)-SUM($N122:CN122),CO103*CO106*(SUM($N121:CO121)-SUM($N122:CN122)))</f>
        <v>0</v>
      </c>
      <c r="CP122" s="52">
        <f>IF(CP104=1,SUM($N121:CP121)-SUM($N122:CO122),CP103*CP106*(SUM($N121:CP121)-SUM($N122:CO122)))</f>
        <v>0</v>
      </c>
      <c r="CQ122" s="52">
        <f>IF(CQ104=1,SUM($N121:CQ121)-SUM($N122:CP122),CQ103*CQ106*(SUM($N121:CQ121)-SUM($N122:CP122)))</f>
        <v>0</v>
      </c>
      <c r="CR122" s="52">
        <f>IF(CR104=1,SUM($N121:CR121)-SUM($N122:CQ122),CR103*CR106*(SUM($N121:CR121)-SUM($N122:CQ122)))</f>
        <v>0</v>
      </c>
      <c r="CS122" s="52">
        <f>IF(CS104=1,SUM($N121:CS121)-SUM($N122:CR122),CS103*CS106*(SUM($N121:CS121)-SUM($N122:CR122)))</f>
        <v>0</v>
      </c>
      <c r="CT122" s="52">
        <f>IF(CT104=1,SUM($N121:CT121)-SUM($N122:CS122),CT103*CT106*(SUM($N121:CT121)-SUM($N122:CS122)))</f>
        <v>0</v>
      </c>
      <c r="CU122" s="52">
        <f>IF(CU104=1,SUM($N121:CU121)-SUM($N122:CT122),CU103*CU106*(SUM($N121:CU121)-SUM($N122:CT122)))</f>
        <v>0</v>
      </c>
      <c r="CV122" s="52">
        <f>IF(CV104=1,SUM($N121:CV121)-SUM($N122:CU122),CV103*CV106*(SUM($N121:CV121)-SUM($N122:CU122)))</f>
        <v>0</v>
      </c>
      <c r="CW122" s="52">
        <f>IF(CW104=1,SUM($N121:CW121)-SUM($N122:CV122),CW103*CW106*(SUM($N121:CW121)-SUM($N122:CV122)))</f>
        <v>0</v>
      </c>
      <c r="CX122" s="52">
        <f>IF(CX104=1,SUM($N121:CX121)-SUM($N122:CW122),CX103*CX106*(SUM($N121:CX121)-SUM($N122:CW122)))</f>
        <v>0</v>
      </c>
      <c r="CY122" s="52">
        <f>IF(CY104=1,SUM($N121:CY121)-SUM($N122:CX122),CY103*CY106*(SUM($N121:CY121)-SUM($N122:CX122)))</f>
        <v>0</v>
      </c>
      <c r="CZ122" s="52">
        <f>IF(CZ104=1,SUM($N121:CZ121)-SUM($N122:CY122),CZ103*CZ106*(SUM($N121:CZ121)-SUM($N122:CY122)))</f>
        <v>0</v>
      </c>
      <c r="DA122" s="52">
        <f>IF(DA104=1,SUM($N121:DA121)-SUM($N122:CZ122),DA103*DA106*(SUM($N121:DA121)-SUM($N122:CZ122)))</f>
        <v>0</v>
      </c>
      <c r="DB122" s="52">
        <f>IF(DB104=1,SUM($N121:DB121)-SUM($N122:DA122),DB103*DB106*(SUM($N121:DB121)-SUM($N122:DA122)))</f>
        <v>0</v>
      </c>
      <c r="DC122" s="52">
        <f>IF(DC104=1,SUM($N121:DC121)-SUM($N122:DB122),DC103*DC106*(SUM($N121:DC121)-SUM($N122:DB122)))</f>
        <v>0</v>
      </c>
      <c r="DD122" s="52">
        <f>IF(DD104=1,SUM($N121:DD121)-SUM($N122:DC122),DD103*DD106*(SUM($N121:DD121)-SUM($N122:DC122)))</f>
        <v>0</v>
      </c>
      <c r="DE122" s="52">
        <f>IF(DE104=1,SUM($N121:DE121)-SUM($N122:DD122),DE103*DE106*(SUM($N121:DE121)-SUM($N122:DD122)))</f>
        <v>0</v>
      </c>
      <c r="DF122" s="52">
        <f>IF(DF104=1,SUM($N121:DF121)-SUM($N122:DE122),DF103*DF106*(SUM($N121:DF121)-SUM($N122:DE122)))</f>
        <v>0</v>
      </c>
      <c r="DG122" s="52">
        <f>IF(DG104=1,SUM($N121:DG121)-SUM($N122:DF122),DG103*DG106*(SUM($N121:DG121)-SUM($N122:DF122)))</f>
        <v>0</v>
      </c>
      <c r="DH122" s="52">
        <f>IF(DH104=1,SUM($N121:DH121)-SUM($N122:DG122),DH103*DH106*(SUM($N121:DH121)-SUM($N122:DG122)))</f>
        <v>0</v>
      </c>
      <c r="DI122" s="52">
        <f>IF(DI104=1,SUM($N121:DI121)-SUM($N122:DH122),DI103*DI106*(SUM($N121:DI121)-SUM($N122:DH122)))</f>
        <v>0</v>
      </c>
      <c r="DJ122" s="52">
        <f>IF(DJ104=1,SUM($N121:DJ121)-SUM($N122:DI122),DJ103*DJ106*(SUM($N121:DJ121)-SUM($N122:DI122)))</f>
        <v>0</v>
      </c>
      <c r="DK122" s="52">
        <f>IF(DK104=1,SUM($N121:DK121)-SUM($N122:DJ122),DK103*DK106*(SUM($N121:DK121)-SUM($N122:DJ122)))</f>
        <v>0</v>
      </c>
      <c r="DL122" s="52">
        <f>IF(DL104=1,SUM($N121:DL121)-SUM($N122:DK122),DL103*DL106*(SUM($N121:DL121)-SUM($N122:DK122)))</f>
        <v>0</v>
      </c>
      <c r="DM122" s="52">
        <f>IF(DM104=1,SUM($N121:DM121)-SUM($N122:DL122),DM103*DM106*(SUM($N121:DM121)-SUM($N122:DL122)))</f>
        <v>0</v>
      </c>
      <c r="DN122" s="52">
        <f>IF(DN104=1,SUM($N121:DN121)-SUM($N122:DM122),DN103*DN106*(SUM($N121:DN121)-SUM($N122:DM122)))</f>
        <v>0</v>
      </c>
      <c r="DO122" s="52">
        <f>IF(DO104=1,SUM($N121:DO121)-SUM($N122:DN122),DO103*DO106*(SUM($N121:DO121)-SUM($N122:DN122)))</f>
        <v>0</v>
      </c>
      <c r="DP122" s="52">
        <f>IF(DP104=1,SUM($N121:DP121)-SUM($N122:DO122),DP103*DP106*(SUM($N121:DP121)-SUM($N122:DO122)))</f>
        <v>0</v>
      </c>
      <c r="DQ122" s="52">
        <f>IF(DQ104=1,SUM($N121:DQ121)-SUM($N122:DP122),DQ103*DQ106*(SUM($N121:DQ121)-SUM($N122:DP122)))</f>
        <v>0</v>
      </c>
      <c r="DR122" s="52">
        <f>IF(DR104=1,SUM($N121:DR121)-SUM($N122:DQ122),DR103*DR106*(SUM($N121:DR121)-SUM($N122:DQ122)))</f>
        <v>0</v>
      </c>
      <c r="DS122" s="52">
        <f>IF(DS104=1,SUM($N121:DS121)-SUM($N122:DR122),DS103*DS106*(SUM($N121:DS121)-SUM($N122:DR122)))</f>
        <v>0</v>
      </c>
      <c r="DT122" s="52">
        <f>IF(DT104=1,SUM($N121:DT121)-SUM($N122:DS122),DT103*DT106*(SUM($N121:DT121)-SUM($N122:DS122)))</f>
        <v>0</v>
      </c>
      <c r="DU122" s="52">
        <f>IF(DU104=1,SUM($N121:DU121)-SUM($N122:DT122),DU103*DU106*(SUM($N121:DU121)-SUM($N122:DT122)))</f>
        <v>0</v>
      </c>
      <c r="DV122" s="52">
        <f>IF(DV104=1,SUM($N121:DV121)-SUM($N122:DU122),DV103*DV106*(SUM($N121:DV121)-SUM($N122:DU122)))</f>
        <v>0</v>
      </c>
      <c r="DW122" s="52">
        <f>IF(DW104=1,SUM($N121:DW121)-SUM($N122:DV122),DW103*DW106*(SUM($N121:DW121)-SUM($N122:DV122)))</f>
        <v>0</v>
      </c>
      <c r="DX122" s="52">
        <f>IF(DX104=1,SUM($N121:DX121)-SUM($N122:DW122),DX103*DX106*(SUM($N121:DX121)-SUM($N122:DW122)))</f>
        <v>0</v>
      </c>
      <c r="DY122" s="52">
        <f>IF(DY104=1,SUM($N121:DY121)-SUM($N122:DX122),DY103*DY106*(SUM($N121:DY121)-SUM($N122:DX122)))</f>
        <v>0</v>
      </c>
      <c r="DZ122" s="52">
        <f>IF(DZ104=1,SUM($N121:DZ121)-SUM($N122:DY122),DZ103*DZ106*(SUM($N121:DZ121)-SUM($N122:DY122)))</f>
        <v>0</v>
      </c>
      <c r="EA122" s="52">
        <f>IF(EA104=1,SUM($N121:EA121)-SUM($N122:DZ122),EA103*EA106*(SUM($N121:EA121)-SUM($N122:DZ122)))</f>
        <v>0</v>
      </c>
      <c r="EB122" s="52">
        <f>IF(EB104=1,SUM($N121:EB121)-SUM($N122:EA122),EB103*EB106*(SUM($N121:EB121)-SUM($N122:EA122)))</f>
        <v>0</v>
      </c>
      <c r="EC122" s="52">
        <f>IF(EC104=1,SUM($N121:EC121)-SUM($N122:EB122),EC103*EC106*(SUM($N121:EC121)-SUM($N122:EB122)))</f>
        <v>0</v>
      </c>
      <c r="ED122" s="52">
        <f>IF(ED104=1,SUM($N121:ED121)-SUM($N122:EC122),ED103*ED106*(SUM($N121:ED121)-SUM($N122:EC122)))</f>
        <v>0</v>
      </c>
      <c r="EE122" s="52">
        <f>IF(EE104=1,SUM($N121:EE121)-SUM($N122:ED122),EE103*EE106*(SUM($N121:EE121)-SUM($N122:ED122)))</f>
        <v>0</v>
      </c>
      <c r="EF122" s="52">
        <f>IF(EF104=1,SUM($N121:EF121)-SUM($N122:EE122),EF103*EF106*(SUM($N121:EF121)-SUM($N122:EE122)))</f>
        <v>0</v>
      </c>
      <c r="EG122" s="52">
        <f>IF(EG104=1,SUM($N121:EG121)-SUM($N122:EF122),EG103*EG106*(SUM($N121:EG121)-SUM($N122:EF122)))</f>
        <v>0</v>
      </c>
      <c r="EH122" s="52">
        <f>IF(EH104=1,SUM($N121:EH121)-SUM($N122:EG122),EH103*EH106*(SUM($N121:EH121)-SUM($N122:EG122)))</f>
        <v>0</v>
      </c>
      <c r="EI122" s="52">
        <f>IF(EI104=1,SUM($N121:EI121)-SUM($N122:EH122),EI103*EI106*(SUM($N121:EI121)-SUM($N122:EH122)))</f>
        <v>0</v>
      </c>
      <c r="EJ122" s="52">
        <f>IF(EJ104=1,SUM($N121:EJ121)-SUM($N122:EI122),EJ103*EJ106*(SUM($N121:EJ121)-SUM($N122:EI122)))</f>
        <v>0</v>
      </c>
      <c r="EK122" s="52">
        <f>IF(EK104=1,SUM($N121:EK121)-SUM($N122:EJ122),EK103*EK106*(SUM($N121:EK121)-SUM($N122:EJ122)))</f>
        <v>0</v>
      </c>
      <c r="EL122" s="52">
        <f>IF(EL104=1,SUM($N121:EL121)-SUM($N122:EK122),EL103*EL106*(SUM($N121:EL121)-SUM($N122:EK122)))</f>
        <v>0</v>
      </c>
      <c r="EM122" s="52">
        <f>IF(EM104=1,SUM($N121:EM121)-SUM($N122:EL122),EM103*EM106*(SUM($N121:EM121)-SUM($N122:EL122)))</f>
        <v>0</v>
      </c>
      <c r="EN122" s="52">
        <f>IF(EN104=1,SUM($N121:EN121)-SUM($N122:EM122),EN103*EN106*(SUM($N121:EN121)-SUM($N122:EM122)))</f>
        <v>0</v>
      </c>
      <c r="EO122" s="52">
        <f>IF(EO104=1,SUM($N121:EO121)-SUM($N122:EN122),EO103*EO106*(SUM($N121:EO121)-SUM($N122:EN122)))</f>
        <v>0</v>
      </c>
      <c r="EP122" s="52">
        <f>IF(EP104=1,SUM($N121:EP121)-SUM($N122:EO122),EP103*EP106*(SUM($N121:EP121)-SUM($N122:EO122)))</f>
        <v>0</v>
      </c>
      <c r="EQ122" s="52">
        <f>IF(EQ104=1,SUM($N121:EQ121)-SUM($N122:EP122),EQ103*EQ106*(SUM($N121:EQ121)-SUM($N122:EP122)))</f>
        <v>0</v>
      </c>
      <c r="ER122" s="52">
        <f>IF(ER104=1,SUM($N121:ER121)-SUM($N122:EQ122),ER103*ER106*(SUM($N121:ER121)-SUM($N122:EQ122)))</f>
        <v>0</v>
      </c>
      <c r="ES122" s="52">
        <f>IF(ES104=1,SUM($N121:ES121)-SUM($N122:ER122),ES103*ES106*(SUM($N121:ES121)-SUM($N122:ER122)))</f>
        <v>0</v>
      </c>
      <c r="ET122" s="52">
        <f>IF(ET104=1,SUM($N121:ET121)-SUM($N122:ES122),ET103*ET106*(SUM($N121:ET121)-SUM($N122:ES122)))</f>
        <v>0</v>
      </c>
      <c r="EU122" s="52">
        <f>IF(EU104=1,SUM($N121:EU121)-SUM($N122:ET122),EU103*EU106*(SUM($N121:EU121)-SUM($N122:ET122)))</f>
        <v>0</v>
      </c>
      <c r="EV122" s="52">
        <f>IF(EV104=1,SUM($N121:EV121)-SUM($N122:EU122),EV103*EV106*(SUM($N121:EV121)-SUM($N122:EU122)))</f>
        <v>0</v>
      </c>
      <c r="EW122" s="52">
        <f>IF(EW104=1,SUM($N121:EW121)-SUM($N122:EV122),EW103*EW106*(SUM($N121:EW121)-SUM($N122:EV122)))</f>
        <v>0</v>
      </c>
      <c r="EX122" s="52">
        <f>IF(EX104=1,SUM($N121:EX121)-SUM($N122:EW122),EX103*EX106*(SUM($N121:EX121)-SUM($N122:EW122)))</f>
        <v>0</v>
      </c>
      <c r="EY122" s="52">
        <f>IF(EY104=1,SUM($N121:EY121)-SUM($N122:EX122),EY103*EY106*(SUM($N121:EY121)-SUM($N122:EX122)))</f>
        <v>0</v>
      </c>
      <c r="EZ122" s="52">
        <f>IF(EZ104=1,SUM($N121:EZ121)-SUM($N122:EY122),EZ103*EZ106*(SUM($N121:EZ121)-SUM($N122:EY122)))</f>
        <v>0</v>
      </c>
      <c r="FA122" s="52">
        <f>IF(FA104=1,SUM($N121:FA121)-SUM($N122:EZ122),FA103*FA106*(SUM($N121:FA121)-SUM($N122:EZ122)))</f>
        <v>0</v>
      </c>
      <c r="FB122" s="52">
        <f>IF(FB104=1,SUM($N121:FB121)-SUM($N122:FA122),FB103*FB106*(SUM($N121:FB121)-SUM($N122:FA122)))</f>
        <v>0</v>
      </c>
      <c r="FC122" s="52">
        <f>IF(FC104=1,SUM($N121:FC121)-SUM($N122:FB122),FC103*FC106*(SUM($N121:FC121)-SUM($N122:FB122)))</f>
        <v>0</v>
      </c>
      <c r="FD122" s="52">
        <f>IF(FD104=1,SUM($N121:FD121)-SUM($N122:FC122),FD103*FD106*(SUM($N121:FD121)-SUM($N122:FC122)))</f>
        <v>0</v>
      </c>
      <c r="FE122" s="52">
        <f>IF(FE104=1,SUM($N121:FE121)-SUM($N122:FD122),FE103*FE106*(SUM($N121:FE121)-SUM($N122:FD122)))</f>
        <v>0</v>
      </c>
      <c r="FF122" s="52">
        <f>IF(FF104=1,SUM($N121:FF121)-SUM($N122:FE122),FF103*FF106*(SUM($N121:FF121)-SUM($N122:FE122)))</f>
        <v>0</v>
      </c>
      <c r="FG122" s="52">
        <f>IF(FG104=1,SUM($N121:FG121)-SUM($N122:FF122),FG103*FG106*(SUM($N121:FG121)-SUM($N122:FF122)))</f>
        <v>0</v>
      </c>
      <c r="FH122" s="52">
        <f>IF(FH104=1,SUM($N121:FH121)-SUM($N122:FG122),FH103*FH106*(SUM($N121:FH121)-SUM($N122:FG122)))</f>
        <v>0</v>
      </c>
      <c r="FI122" s="52">
        <f>IF(FI104=1,SUM($N121:FI121)-SUM($N122:FH122),FI103*FI106*(SUM($N121:FI121)-SUM($N122:FH122)))</f>
        <v>0</v>
      </c>
      <c r="FJ122" s="52">
        <f>IF(FJ104=1,SUM($N121:FJ121)-SUM($N122:FI122),FJ103*FJ106*(SUM($N121:FJ121)-SUM($N122:FI122)))</f>
        <v>0</v>
      </c>
      <c r="FK122" s="52">
        <f>IF(FK104=1,SUM($N121:FK121)-SUM($N122:FJ122),FK103*FK106*(SUM($N121:FK121)-SUM($N122:FJ122)))</f>
        <v>0</v>
      </c>
      <c r="FL122" s="52">
        <f>IF(FL104=1,SUM($N121:FL121)-SUM($N122:FK122),FL103*FL106*(SUM($N121:FL121)-SUM($N122:FK122)))</f>
        <v>0</v>
      </c>
      <c r="FM122" s="52">
        <f>IF(FM104=1,SUM($N121:FM121)-SUM($N122:FL122),FM103*FM106*(SUM($N121:FM121)-SUM($N122:FL122)))</f>
        <v>0</v>
      </c>
      <c r="FN122" s="52">
        <f>IF(FN104=1,SUM($N121:FN121)-SUM($N122:FM122),FN103*FN106*(SUM($N121:FN121)-SUM($N122:FM122)))</f>
        <v>0</v>
      </c>
      <c r="FO122" s="52">
        <f>IF(FO104=1,SUM($N121:FO121)-SUM($N122:FN122),FO103*FO106*(SUM($N121:FO121)-SUM($N122:FN122)))</f>
        <v>0</v>
      </c>
      <c r="FP122" s="52">
        <f>IF(FP104=1,SUM($N121:FP121)-SUM($N122:FO122),FP103*FP106*(SUM($N121:FP121)-SUM($N122:FO122)))</f>
        <v>0</v>
      </c>
      <c r="FQ122" s="52">
        <f>IF(FQ104=1,SUM($N121:FQ121)-SUM($N122:FP122),FQ103*FQ106*(SUM($N121:FQ121)-SUM($N122:FP122)))</f>
        <v>0</v>
      </c>
      <c r="FR122" s="52">
        <f>IF(FR104=1,SUM($N121:FR121)-SUM($N122:FQ122),FR103*FR106*(SUM($N121:FR121)-SUM($N122:FQ122)))</f>
        <v>0</v>
      </c>
      <c r="FS122" s="52">
        <f>IF(FS104=1,SUM($N121:FS121)-SUM($N122:FR122),FS103*FS106*(SUM($N121:FS121)-SUM($N122:FR122)))</f>
        <v>0</v>
      </c>
      <c r="FT122" s="52">
        <f>IF(FT104=1,SUM($N121:FT121)-SUM($N122:FS122),FT103*FT106*(SUM($N121:FT121)-SUM($N122:FS122)))</f>
        <v>0</v>
      </c>
      <c r="FU122" s="52">
        <f>IF(FU104=1,SUM($N121:FU121)-SUM($N122:FT122),FU103*FU106*(SUM($N121:FU121)-SUM($N122:FT122)))</f>
        <v>0</v>
      </c>
      <c r="FV122" s="52">
        <f>IF(FV104=1,SUM($N121:FV121)-SUM($N122:FU122),FV103*FV106*(SUM($N121:FV121)-SUM($N122:FU122)))</f>
        <v>0</v>
      </c>
      <c r="FW122" s="52">
        <f>IF(FW104=1,SUM($N121:FW121)-SUM($N122:FV122),FW103*FW106*(SUM($N121:FW121)-SUM($N122:FV122)))</f>
        <v>0</v>
      </c>
      <c r="FX122" s="52">
        <f>IF(FX104=1,SUM($N121:FX121)-SUM($N122:FW122),FX103*FX106*(SUM($N121:FX121)-SUM($N122:FW122)))</f>
        <v>0</v>
      </c>
      <c r="FY122" s="52">
        <f>IF(FY104=1,SUM($N121:FY121)-SUM($N122:FX122),FY103*FY106*(SUM($N121:FY121)-SUM($N122:FX122)))</f>
        <v>0</v>
      </c>
      <c r="FZ122" s="52">
        <f>IF(FZ104=1,SUM($N121:FZ121)-SUM($N122:FY122),FZ103*FZ106*(SUM($N121:FZ121)-SUM($N122:FY122)))</f>
        <v>0</v>
      </c>
      <c r="GA122" s="52">
        <f>IF(GA104=1,SUM($N121:GA121)-SUM($N122:FZ122),GA103*GA106*(SUM($N121:GA121)-SUM($N122:FZ122)))</f>
        <v>0</v>
      </c>
      <c r="GB122" s="52">
        <f>IF(GB104=1,SUM($N121:GB121)-SUM($N122:GA122),GB103*GB106*(SUM($N121:GB121)-SUM($N122:GA122)))</f>
        <v>0</v>
      </c>
      <c r="GC122" s="52">
        <f>IF(GC104=1,SUM($N121:GC121)-SUM($N122:GB122),GC103*GC106*(SUM($N121:GC121)-SUM($N122:GB122)))</f>
        <v>0</v>
      </c>
      <c r="GD122" s="52">
        <f>IF(GD104=1,SUM($N121:GD121)-SUM($N122:GC122),GD103*GD106*(SUM($N121:GD121)-SUM($N122:GC122)))</f>
        <v>0</v>
      </c>
      <c r="GE122" s="52">
        <f>IF(GE104=1,SUM($N121:GE121)-SUM($N122:GD122),GE103*GE106*(SUM($N121:GE121)-SUM($N122:GD122)))</f>
        <v>0</v>
      </c>
      <c r="GF122" s="52">
        <f>IF(GF104=1,SUM($N121:GF121)-SUM($N122:GE122),GF103*GF106*(SUM($N121:GF121)-SUM($N122:GE122)))</f>
        <v>0</v>
      </c>
      <c r="GG122" s="52">
        <f>IF(GG104=1,SUM($N121:GG121)-SUM($N122:GF122),GG103*GG106*(SUM($N121:GG121)-SUM($N122:GF122)))</f>
        <v>0</v>
      </c>
      <c r="GH122" s="52">
        <f>IF(GH104=1,SUM($N121:GH121)-SUM($N122:GG122),GH103*GH106*(SUM($N121:GH121)-SUM($N122:GG122)))</f>
        <v>0</v>
      </c>
      <c r="GI122" s="52">
        <f>IF(GI104=1,SUM($N121:GI121)-SUM($N122:GH122),GI103*GI106*(SUM($N121:GI121)-SUM($N122:GH122)))</f>
        <v>0</v>
      </c>
      <c r="GJ122" s="52">
        <f>IF(GJ104=1,SUM($N121:GJ121)-SUM($N122:GI122),GJ103*GJ106*(SUM($N121:GJ121)-SUM($N122:GI122)))</f>
        <v>0</v>
      </c>
      <c r="GK122" s="52">
        <f>IF(GK104=1,SUM($N121:GK121)-SUM($N122:GJ122),GK103*GK106*(SUM($N121:GK121)-SUM($N122:GJ122)))</f>
        <v>0</v>
      </c>
      <c r="GL122" s="52">
        <f>IF(GL104=1,SUM($N121:GL121)-SUM($N122:GK122),GL103*GL106*(SUM($N121:GL121)-SUM($N122:GK122)))</f>
        <v>0</v>
      </c>
      <c r="GM122" s="52">
        <f>IF(GM104=1,SUM($N121:GM121)-SUM($N122:GL122),GM103*GM106*(SUM($N121:GM121)-SUM($N122:GL122)))</f>
        <v>0</v>
      </c>
      <c r="GN122" s="52">
        <f>IF(GN104=1,SUM($N121:GN121)-SUM($N122:GM122),GN103*GN106*(SUM($N121:GN121)-SUM($N122:GM122)))</f>
        <v>0</v>
      </c>
      <c r="GO122" s="52">
        <f>IF(GO104=1,SUM($N121:GO121)-SUM($N122:GN122),GO103*GO106*(SUM($N121:GO121)-SUM($N122:GN122)))</f>
        <v>0</v>
      </c>
      <c r="GP122" s="52">
        <f>IF(GP104=1,SUM($N121:GP121)-SUM($N122:GO122),GP103*GP106*(SUM($N121:GP121)-SUM($N122:GO122)))</f>
        <v>0</v>
      </c>
      <c r="GQ122" s="52">
        <f>IF(GQ104=1,SUM($N121:GQ121)-SUM($N122:GP122),GQ103*GQ106*(SUM($N121:GQ121)-SUM($N122:GP122)))</f>
        <v>0</v>
      </c>
      <c r="GR122" s="52">
        <f>IF(GR104=1,SUM($N121:GR121)-SUM($N122:GQ122),GR103*GR106*(SUM($N121:GR121)-SUM($N122:GQ122)))</f>
        <v>0</v>
      </c>
      <c r="GS122" s="52">
        <f>IF(GS104=1,SUM($N121:GS121)-SUM($N122:GR122),GS103*GS106*(SUM($N121:GS121)-SUM($N122:GR122)))</f>
        <v>0</v>
      </c>
      <c r="GT122" s="52">
        <f>IF(GT104=1,SUM($N121:GT121)-SUM($N122:GS122),GT103*GT106*(SUM($N121:GT121)-SUM($N122:GS122)))</f>
        <v>0</v>
      </c>
      <c r="GU122" s="52">
        <f>IF(GU104=1,SUM($N121:GU121)-SUM($N122:GT122),GU103*GU106*(SUM($N121:GU121)-SUM($N122:GT122)))</f>
        <v>0</v>
      </c>
      <c r="GV122" s="52">
        <f>IF(GV104=1,SUM($N121:GV121)-SUM($N122:GU122),GV103*GV106*(SUM($N121:GV121)-SUM($N122:GU122)))</f>
        <v>0</v>
      </c>
      <c r="GW122" s="52">
        <f>IF(GW104=1,SUM($N121:GW121)-SUM($N122:GV122),GW103*GW106*(SUM($N121:GW121)-SUM($N122:GV122)))</f>
        <v>0</v>
      </c>
      <c r="GX122" s="52">
        <f>IF(GX104=1,SUM($N121:GX121)-SUM($N122:GW122),GX103*GX106*(SUM($N121:GX121)-SUM($N122:GW122)))</f>
        <v>0</v>
      </c>
      <c r="GY122" s="52">
        <f>IF(GY104=1,SUM($N121:GY121)-SUM($N122:GX122),GY103*GY106*(SUM($N121:GY121)-SUM($N122:GX122)))</f>
        <v>0</v>
      </c>
      <c r="GZ122" s="52">
        <f>IF(GZ104=1,SUM($N121:GZ121)-SUM($N122:GY122),GZ103*GZ106*(SUM($N121:GZ121)-SUM($N122:GY122)))</f>
        <v>0</v>
      </c>
      <c r="HA122" s="52">
        <f>IF(HA104=1,SUM($N121:HA121)-SUM($N122:GZ122),HA103*HA106*(SUM($N121:HA121)-SUM($N122:GZ122)))</f>
        <v>0</v>
      </c>
      <c r="HB122" s="52">
        <f>IF(HB104=1,SUM($N121:HB121)-SUM($N122:HA122),HB103*HB106*(SUM($N121:HB121)-SUM($N122:HA122)))</f>
        <v>0</v>
      </c>
      <c r="HC122" s="52">
        <f>IF(HC104=1,SUM($N121:HC121)-SUM($N122:HB122),HC103*HC106*(SUM($N121:HC121)-SUM($N122:HB122)))</f>
        <v>0</v>
      </c>
      <c r="HD122" s="52">
        <f>IF(HD104=1,SUM($N121:HD121)-SUM($N122:HC122),HD103*HD106*(SUM($N121:HD121)-SUM($N122:HC122)))</f>
        <v>0</v>
      </c>
      <c r="HE122" s="52">
        <f>IF(HE104=1,SUM($N121:HE121)-SUM($N122:HD122),HE103*HE106*(SUM($N121:HE121)-SUM($N122:HD122)))</f>
        <v>0</v>
      </c>
      <c r="HF122" s="52">
        <f>IF(HF104=1,SUM($N121:HF121)-SUM($N122:HE122),HF103*HF106*(SUM($N121:HF121)-SUM($N122:HE122)))</f>
        <v>0</v>
      </c>
      <c r="HG122" s="52">
        <f>IF(HG104=1,SUM($N121:HG121)-SUM($N122:HF122),HG103*HG106*(SUM($N121:HG121)-SUM($N122:HF122)))</f>
        <v>0</v>
      </c>
      <c r="HH122" s="52">
        <f>IF(HH104=1,SUM($N121:HH121)-SUM($N122:HG122),HH103*HH106*(SUM($N121:HH121)-SUM($N122:HG122)))</f>
        <v>0</v>
      </c>
      <c r="HI122" s="52">
        <f>IF(HI104=1,SUM($N121:HI121)-SUM($N122:HH122),HI103*HI106*(SUM($N121:HI121)-SUM($N122:HH122)))</f>
        <v>0</v>
      </c>
      <c r="HJ122" s="52">
        <f>IF(HJ104=1,SUM($N121:HJ121)-SUM($N122:HI122),HJ103*HJ106*(SUM($N121:HJ121)-SUM($N122:HI122)))</f>
        <v>0</v>
      </c>
      <c r="HK122" s="52">
        <f>IF(HK104=1,SUM($N121:HK121)-SUM($N122:HJ122),HK103*HK106*(SUM($N121:HK121)-SUM($N122:HJ122)))</f>
        <v>0</v>
      </c>
      <c r="HL122" s="52">
        <f>IF(HL104=1,SUM($N121:HL121)-SUM($N122:HK122),HL103*HL106*(SUM($N121:HL121)-SUM($N122:HK122)))</f>
        <v>0</v>
      </c>
      <c r="HM122" s="52">
        <f>IF(HM104=1,SUM($N121:HM121)-SUM($N122:HL122),HM103*HM106*(SUM($N121:HM121)-SUM($N122:HL122)))</f>
        <v>0</v>
      </c>
      <c r="HN122" s="52">
        <f>IF(HN104=1,SUM($N121:HN121)-SUM($N122:HM122),HN103*HN106*(SUM($N121:HN121)-SUM($N122:HM122)))</f>
        <v>0</v>
      </c>
      <c r="HO122" s="52">
        <f>IF(HO104=1,SUM($N121:HO121)-SUM($N122:HN122),HO103*HO106*(SUM($N121:HO121)-SUM($N122:HN122)))</f>
        <v>0</v>
      </c>
      <c r="HP122" s="52">
        <f>IF(HP104=1,SUM($N121:HP121)-SUM($N122:HO122),HP103*HP106*(SUM($N121:HP121)-SUM($N122:HO122)))</f>
        <v>0</v>
      </c>
      <c r="HQ122" s="52">
        <f>IF(HQ104=1,SUM($N121:HQ121)-SUM($N122:HP122),HQ103*HQ106*(SUM($N121:HQ121)-SUM($N122:HP122)))</f>
        <v>0</v>
      </c>
      <c r="HR122" s="52">
        <f>IF(HR104=1,SUM($N121:HR121)-SUM($N122:HQ122),HR103*HR106*(SUM($N121:HR121)-SUM($N122:HQ122)))</f>
        <v>0</v>
      </c>
      <c r="HS122" s="52">
        <f>IF(HS104=1,SUM($N121:HS121)-SUM($N122:HR122),HS103*HS106*(SUM($N121:HS121)-SUM($N122:HR122)))</f>
        <v>0</v>
      </c>
      <c r="HT122" s="52">
        <f>IF(HT104=1,SUM($N121:HT121)-SUM($N122:HS122),HT103*HT106*(SUM($N121:HT121)-SUM($N122:HS122)))</f>
        <v>0</v>
      </c>
      <c r="HU122" s="52">
        <f>IF(HU104=1,SUM($N121:HU121)-SUM($N122:HT122),HU103*HU106*(SUM($N121:HU121)-SUM($N122:HT122)))</f>
        <v>0</v>
      </c>
      <c r="HV122" s="52">
        <f>IF(HV104=1,SUM($N121:HV121)-SUM($N122:HU122),HV103*HV106*(SUM($N121:HV121)-SUM($N122:HU122)))</f>
        <v>0</v>
      </c>
      <c r="HW122" s="52">
        <f>IF(HW104=1,SUM($N121:HW121)-SUM($N122:HV122),HW103*HW106*(SUM($N121:HW121)-SUM($N122:HV122)))</f>
        <v>0</v>
      </c>
      <c r="HX122" s="52">
        <f>IF(HX104=1,SUM($N121:HX121)-SUM($N122:HW122),HX103*HX106*(SUM($N121:HX121)-SUM($N122:HW122)))</f>
        <v>0</v>
      </c>
      <c r="HY122" s="52">
        <f>IF(HY104=1,SUM($N121:HY121)-SUM($N122:HX122),HY103*HY106*(SUM($N121:HY121)-SUM($N122:HX122)))</f>
        <v>0</v>
      </c>
      <c r="HZ122" s="52">
        <f>IF(HZ104=1,SUM($N121:HZ121)-SUM($N122:HY122),HZ103*HZ106*(SUM($N121:HZ121)-SUM($N122:HY122)))</f>
        <v>0</v>
      </c>
      <c r="IA122" s="52">
        <f>IF(IA104=1,SUM($N121:IA121)-SUM($N122:HZ122),IA103*IA106*(SUM($N121:IA121)-SUM($N122:HZ122)))</f>
        <v>0</v>
      </c>
      <c r="IB122" s="52">
        <f>IF(IB104=1,SUM($N121:IB121)-SUM($N122:IA122),IB103*IB106*(SUM($N121:IB121)-SUM($N122:IA122)))</f>
        <v>0</v>
      </c>
      <c r="IC122" s="52">
        <f>IF(IC104=1,SUM($N121:IC121)-SUM($N122:IB122),IC103*IC106*(SUM($N121:IC121)-SUM($N122:IB122)))</f>
        <v>0</v>
      </c>
      <c r="ID122" s="52">
        <f>IF(ID104=1,SUM($N121:ID121)-SUM($N122:IC122),ID103*ID106*(SUM($N121:ID121)-SUM($N122:IC122)))</f>
        <v>0</v>
      </c>
      <c r="IE122" s="52">
        <f>IF(IE104=1,SUM($N121:IE121)-SUM($N122:ID122),IE103*IE106*(SUM($N121:IE121)-SUM($N122:ID122)))</f>
        <v>0</v>
      </c>
      <c r="IF122" s="52">
        <f>IF(IF104=1,SUM($N121:IF121)-SUM($N122:IE122),IF103*IF106*(SUM($N121:IF121)-SUM($N122:IE122)))</f>
        <v>0</v>
      </c>
      <c r="IG122" s="52">
        <f>IF(IG104=1,SUM($N121:IG121)-SUM($N122:IF122),IG103*IG106*(SUM($N121:IG121)-SUM($N122:IF122)))</f>
        <v>0</v>
      </c>
      <c r="IH122" s="52">
        <f>IF(IH104=1,SUM($N121:IH121)-SUM($N122:IG122),IH103*IH106*(SUM($N121:IH121)-SUM($N122:IG122)))</f>
        <v>0</v>
      </c>
      <c r="II122" s="52">
        <f>IF(II104=1,SUM($N121:II121)-SUM($N122:IH122),II103*II106*(SUM($N121:II121)-SUM($N122:IH122)))</f>
        <v>0</v>
      </c>
      <c r="IJ122" s="52">
        <f>IF(IJ104=1,SUM($N121:IJ121)-SUM($N122:II122),IJ103*IJ106*(SUM($N121:IJ121)-SUM($N122:II122)))</f>
        <v>0</v>
      </c>
      <c r="IK122" s="52">
        <f>IF(IK104=1,SUM($N121:IK121)-SUM($N122:IJ122),IK103*IK106*(SUM($N121:IK121)-SUM($N122:IJ122)))</f>
        <v>0</v>
      </c>
      <c r="IL122" s="52">
        <f>IF(IL104=1,SUM($N121:IL121)-SUM($N122:IK122),IL103*IL106*(SUM($N121:IL121)-SUM($N122:IK122)))</f>
        <v>0</v>
      </c>
      <c r="IM122" s="52">
        <f>IF(IM104=1,SUM($N121:IM121)-SUM($N122:IL122),IM103*IM106*(SUM($N121:IM121)-SUM($N122:IL122)))</f>
        <v>0</v>
      </c>
      <c r="IN122" s="52">
        <f>IF(IN104=1,SUM($N121:IN121)-SUM($N122:IM122),IN103*IN106*(SUM($N121:IN121)-SUM($N122:IM122)))</f>
        <v>0</v>
      </c>
      <c r="IO122" s="52">
        <f>IF(IO104=1,SUM($N121:IO121)-SUM($N122:IN122),IO103*IO106*(SUM($N121:IO121)-SUM($N122:IN122)))</f>
        <v>0</v>
      </c>
      <c r="IP122" s="52">
        <f>IF(IP104=1,SUM($N121:IP121)-SUM($N122:IO122),IP103*IP106*(SUM($N121:IP121)-SUM($N122:IO122)))</f>
        <v>0</v>
      </c>
      <c r="IQ122" s="52">
        <f>IF(IQ104=1,SUM($N121:IQ121)-SUM($N122:IP122),IQ103*IQ106*(SUM($N121:IQ121)-SUM($N122:IP122)))</f>
        <v>0</v>
      </c>
      <c r="IR122" s="52">
        <f>IF(IR104=1,SUM($N121:IR121)-SUM($N122:IQ122),IR103*IR106*(SUM($N121:IR121)-SUM($N122:IQ122)))</f>
        <v>0</v>
      </c>
      <c r="IS122" s="52">
        <f>IF(IS104=1,SUM($N121:IS121)-SUM($N122:IR122),IS103*IS106*(SUM($N121:IS121)-SUM($N122:IR122)))</f>
        <v>0</v>
      </c>
      <c r="IT122" s="52">
        <f>IF(IT104=1,SUM($N121:IT121)-SUM($N122:IS122),IT103*IT106*(SUM($N121:IT121)-SUM($N122:IS122)))</f>
        <v>0</v>
      </c>
      <c r="IU122" s="52">
        <f>IF(IU104=1,SUM($N121:IU121)-SUM($N122:IT122),IU103*IU106*(SUM($N121:IU121)-SUM($N122:IT122)))</f>
        <v>0</v>
      </c>
      <c r="IV122" s="52">
        <f>IF(IV104=1,SUM($N121:IV121)-SUM($N122:IU122),IV103*IV106*(SUM($N121:IV121)-SUM($N122:IU122)))</f>
        <v>0</v>
      </c>
      <c r="IW122" s="52">
        <f>IF(IW104=1,SUM($N121:IW121)-SUM($N122:IV122),IW103*IW106*(SUM($N121:IW121)-SUM($N122:IV122)))</f>
        <v>0</v>
      </c>
      <c r="IX122" s="52">
        <f>IF(IX104=1,SUM($N121:IX121)-SUM($N122:IW122),IX103*IX106*(SUM($N121:IX121)-SUM($N122:IW122)))</f>
        <v>0</v>
      </c>
      <c r="IY122" s="52">
        <f>IF(IY104=1,SUM($N121:IY121)-SUM($N122:IX122),IY103*IY106*(SUM($N121:IY121)-SUM($N122:IX122)))</f>
        <v>0</v>
      </c>
      <c r="IZ122" s="52">
        <f>IF(IZ104=1,SUM($N121:IZ121)-SUM($N122:IY122),IZ103*IZ106*(SUM($N121:IZ121)-SUM($N122:IY122)))</f>
        <v>0</v>
      </c>
      <c r="JA122" s="52">
        <f>IF(JA104=1,SUM($N121:JA121)-SUM($N122:IZ122),JA103*JA106*(SUM($N121:JA121)-SUM($N122:IZ122)))</f>
        <v>0</v>
      </c>
      <c r="JB122" s="52">
        <f>IF(JB104=1,SUM($N121:JB121)-SUM($N122:JA122),JB103*JB106*(SUM($N121:JB121)-SUM($N122:JA122)))</f>
        <v>0</v>
      </c>
      <c r="JC122" s="52">
        <f>IF(JC104=1,SUM($N121:JC121)-SUM($N122:JB122),JC103*JC106*(SUM($N121:JC121)-SUM($N122:JB122)))</f>
        <v>0</v>
      </c>
      <c r="JD122" s="52">
        <f>IF(JD104=1,SUM($N121:JD121)-SUM($N122:JC122),JD103*JD106*(SUM($N121:JD121)-SUM($N122:JC122)))</f>
        <v>0</v>
      </c>
      <c r="JE122" s="52">
        <f>IF(JE104=1,SUM($N121:JE121)-SUM($N122:JD122),JE103*JE106*(SUM($N121:JE121)-SUM($N122:JD122)))</f>
        <v>0</v>
      </c>
      <c r="JF122" s="52">
        <f>IF(JF104=1,SUM($N121:JF121)-SUM($N122:JE122),JF103*JF106*(SUM($N121:JF121)-SUM($N122:JE122)))</f>
        <v>0</v>
      </c>
      <c r="JG122" s="52">
        <f>IF(JG104=1,SUM($N121:JG121)-SUM($N122:JF122),JG103*JG106*(SUM($N121:JG121)-SUM($N122:JF122)))</f>
        <v>0</v>
      </c>
      <c r="JH122" s="52">
        <f>IF(JH104=1,SUM($N121:JH121)-SUM($N122:JG122),JH103*JH106*(SUM($N121:JH121)-SUM($N122:JG122)))</f>
        <v>0</v>
      </c>
      <c r="JI122" s="52">
        <f>IF(JI104=1,SUM($N121:JI121)-SUM($N122:JH122),JI103*JI106*(SUM($N121:JI121)-SUM($N122:JH122)))</f>
        <v>0</v>
      </c>
      <c r="JJ122" s="52">
        <f>IF(JJ104=1,SUM($N121:JJ121)-SUM($N122:JI122),JJ103*JJ106*(SUM($N121:JJ121)-SUM($N122:JI122)))</f>
        <v>0</v>
      </c>
      <c r="JK122" s="52">
        <f>IF(JK104=1,SUM($N121:JK121)-SUM($N122:JJ122),JK103*JK106*(SUM($N121:JK121)-SUM($N122:JJ122)))</f>
        <v>0</v>
      </c>
      <c r="JL122" s="52">
        <f>IF(JL104=1,SUM($N121:JL121)-SUM($N122:JK122),JL103*JL106*(SUM($N121:JL121)-SUM($N122:JK122)))</f>
        <v>0</v>
      </c>
      <c r="JM122" s="52">
        <f>IF(JM104=1,SUM($N121:JM121)-SUM($N122:JL122),JM103*JM106*(SUM($N121:JM121)-SUM($N122:JL122)))</f>
        <v>0</v>
      </c>
      <c r="JN122" s="52">
        <f>IF(JN104=1,SUM($N121:JN121)-SUM($N122:JM122),JN103*JN106*(SUM($N121:JN121)-SUM($N122:JM122)))</f>
        <v>0</v>
      </c>
      <c r="JO122" s="52">
        <f>IF(JO104=1,SUM($N121:JO121)-SUM($N122:JN122),JO103*JO106*(SUM($N121:JO121)-SUM($N122:JN122)))</f>
        <v>0</v>
      </c>
      <c r="JP122" s="52">
        <f>IF(JP104=1,SUM($N121:JP121)-SUM($N122:JO122),JP103*JP106*(SUM($N121:JP121)-SUM($N122:JO122)))</f>
        <v>0</v>
      </c>
      <c r="JQ122" s="52">
        <f>IF(JQ104=1,SUM($N121:JQ121)-SUM($N122:JP122),JQ103*JQ106*(SUM($N121:JQ121)-SUM($N122:JP122)))</f>
        <v>0</v>
      </c>
      <c r="JR122" s="52">
        <f>IF(JR104=1,SUM($N121:JR121)-SUM($N122:JQ122),JR103*JR106*(SUM($N121:JR121)-SUM($N122:JQ122)))</f>
        <v>0</v>
      </c>
      <c r="JS122" s="52">
        <f>IF(JS104=1,SUM($N121:JS121)-SUM($N122:JR122),JS103*JS106*(SUM($N121:JS121)-SUM($N122:JR122)))</f>
        <v>0</v>
      </c>
      <c r="JT122" s="52">
        <f>IF(JT104=1,SUM($N121:JT121)-SUM($N122:JS122),JT103*JT106*(SUM($N121:JT121)-SUM($N122:JS122)))</f>
        <v>0</v>
      </c>
      <c r="JU122" s="52">
        <f>IF(JU104=1,SUM($N121:JU121)-SUM($N122:JT122),JU103*JU106*(SUM($N121:JU121)-SUM($N122:JT122)))</f>
        <v>0</v>
      </c>
      <c r="JV122" s="52">
        <f>IF(JV104=1,SUM($N121:JV121)-SUM($N122:JU122),JV103*JV106*(SUM($N121:JV121)-SUM($N122:JU122)))</f>
        <v>0</v>
      </c>
      <c r="JW122" s="52">
        <f>IF(JW104=1,SUM($N121:JW121)-SUM($N122:JV122),JW103*JW106*(SUM($N121:JW121)-SUM($N122:JV122)))</f>
        <v>0</v>
      </c>
      <c r="JX122" s="52">
        <f>IF(JX104=1,SUM($N121:JX121)-SUM($N122:JW122),JX103*JX106*(SUM($N121:JX121)-SUM($N122:JW122)))</f>
        <v>0</v>
      </c>
      <c r="JY122" s="52">
        <f>IF(JY104=1,SUM($N121:JY121)-SUM($N122:JX122),JY103*JY106*(SUM($N121:JY121)-SUM($N122:JX122)))</f>
        <v>0</v>
      </c>
      <c r="JZ122" s="52">
        <f>IF(JZ104=1,SUM($N121:JZ121)-SUM($N122:JY122),JZ103*JZ106*(SUM($N121:JZ121)-SUM($N122:JY122)))</f>
        <v>0</v>
      </c>
      <c r="KA122" s="52">
        <f>IF(KA104=1,SUM($N121:KA121)-SUM($N122:JZ122),KA103*KA106*(SUM($N121:KA121)-SUM($N122:JZ122)))</f>
        <v>0</v>
      </c>
      <c r="KB122" s="52">
        <f>IF(KB104=1,SUM($N121:KB121)-SUM($N122:KA122),KB103*KB106*(SUM($N121:KB121)-SUM($N122:KA122)))</f>
        <v>0</v>
      </c>
      <c r="KC122" s="52">
        <f>IF(KC104=1,SUM($N121:KC121)-SUM($N122:KB122),KC103*KC106*(SUM($N121:KC121)-SUM($N122:KB122)))</f>
        <v>0</v>
      </c>
      <c r="KD122" s="52">
        <f>IF(KD104=1,SUM($N121:KD121)-SUM($N122:KC122),KD103*KD106*(SUM($N121:KD121)-SUM($N122:KC122)))</f>
        <v>0</v>
      </c>
      <c r="KE122" s="52">
        <f>IF(KE104=1,SUM($N121:KE121)-SUM($N122:KD122),KE103*KE106*(SUM($N121:KE121)-SUM($N122:KD122)))</f>
        <v>0</v>
      </c>
      <c r="KF122" s="52">
        <f>IF(KF104=1,SUM($N121:KF121)-SUM($N122:KE122),KF103*KF106*(SUM($N121:KF121)-SUM($N122:KE122)))</f>
        <v>0</v>
      </c>
      <c r="KG122" s="52">
        <f>IF(KG104=1,SUM($N121:KG121)-SUM($N122:KF122),KG103*KG106*(SUM($N121:KG121)-SUM($N122:KF122)))</f>
        <v>0</v>
      </c>
      <c r="KH122" s="52">
        <f>IF(KH104=1,SUM($N121:KH121)-SUM($N122:KG122),KH103*KH106*(SUM($N121:KH121)-SUM($N122:KG122)))</f>
        <v>0</v>
      </c>
      <c r="KI122" s="52">
        <f>IF(KI104=1,SUM($N121:KI121)-SUM($N122:KH122),KI103*KI106*(SUM($N121:KI121)-SUM($N122:KH122)))</f>
        <v>0</v>
      </c>
      <c r="KJ122" s="1"/>
    </row>
    <row r="123" spans="7:296" x14ac:dyDescent="0.35">
      <c r="S123" s="51"/>
      <c r="T123" s="26"/>
      <c r="KJ123" s="1"/>
    </row>
    <row r="124" spans="7:296" x14ac:dyDescent="0.35">
      <c r="L124" s="22" t="s">
        <v>108</v>
      </c>
      <c r="S124" s="51"/>
      <c r="T124" s="26"/>
      <c r="KJ124" s="1"/>
    </row>
    <row r="125" spans="7:296" x14ac:dyDescent="0.35">
      <c r="G125" s="24">
        <f>Control!H73</f>
        <v>1.25</v>
      </c>
      <c r="H125" s="13" t="s">
        <v>49</v>
      </c>
      <c r="M125" s="6" t="s">
        <v>99</v>
      </c>
      <c r="N125" s="48">
        <f>0</f>
        <v>0</v>
      </c>
      <c r="O125" s="48">
        <f>IF(O102=1,$G125,N127)</f>
        <v>0</v>
      </c>
      <c r="P125" s="48">
        <f t="shared" ref="P125:CA125" si="283">IF(P102=1,$G125,O127)</f>
        <v>0</v>
      </c>
      <c r="Q125" s="48">
        <f t="shared" si="283"/>
        <v>0</v>
      </c>
      <c r="R125" s="48">
        <f t="shared" si="283"/>
        <v>0</v>
      </c>
      <c r="S125" s="48">
        <f t="shared" si="283"/>
        <v>0</v>
      </c>
      <c r="T125" s="48">
        <f t="shared" si="283"/>
        <v>1.25</v>
      </c>
      <c r="U125" s="48">
        <f t="shared" si="283"/>
        <v>1.2291666666666667</v>
      </c>
      <c r="V125" s="48">
        <f t="shared" si="283"/>
        <v>1.2083333333333335</v>
      </c>
      <c r="W125" s="48">
        <f t="shared" si="283"/>
        <v>1.1875000000000002</v>
      </c>
      <c r="X125" s="48">
        <f t="shared" si="283"/>
        <v>1.166666666666667</v>
      </c>
      <c r="Y125" s="48">
        <f t="shared" si="283"/>
        <v>1.1458333333333337</v>
      </c>
      <c r="Z125" s="48">
        <f t="shared" si="283"/>
        <v>1.1250000000000004</v>
      </c>
      <c r="AA125" s="48">
        <f t="shared" si="283"/>
        <v>1.1041666666666672</v>
      </c>
      <c r="AB125" s="48">
        <f t="shared" si="283"/>
        <v>1.0833333333333339</v>
      </c>
      <c r="AC125" s="48">
        <f t="shared" si="283"/>
        <v>1.0625000000000007</v>
      </c>
      <c r="AD125" s="48">
        <f t="shared" si="283"/>
        <v>1.0416666666666674</v>
      </c>
      <c r="AE125" s="48">
        <f t="shared" si="283"/>
        <v>1.0208333333333341</v>
      </c>
      <c r="AF125" s="48">
        <f t="shared" si="283"/>
        <v>1.0000000000000009</v>
      </c>
      <c r="AG125" s="48">
        <f t="shared" si="283"/>
        <v>0.97916666666666752</v>
      </c>
      <c r="AH125" s="48">
        <f t="shared" si="283"/>
        <v>0.95833333333333415</v>
      </c>
      <c r="AI125" s="48">
        <f t="shared" si="283"/>
        <v>0.93750000000000078</v>
      </c>
      <c r="AJ125" s="48">
        <f t="shared" si="283"/>
        <v>0.91666666666666741</v>
      </c>
      <c r="AK125" s="48">
        <f t="shared" si="283"/>
        <v>0.89583333333333404</v>
      </c>
      <c r="AL125" s="48">
        <f t="shared" si="283"/>
        <v>0.87500000000000067</v>
      </c>
      <c r="AM125" s="48">
        <f t="shared" si="283"/>
        <v>0.8541666666666673</v>
      </c>
      <c r="AN125" s="48">
        <f t="shared" si="283"/>
        <v>0.83333333333333393</v>
      </c>
      <c r="AO125" s="48">
        <f t="shared" si="283"/>
        <v>0.81250000000000056</v>
      </c>
      <c r="AP125" s="48">
        <f t="shared" si="283"/>
        <v>0.79166666666666718</v>
      </c>
      <c r="AQ125" s="48">
        <f t="shared" si="283"/>
        <v>0.77083333333333381</v>
      </c>
      <c r="AR125" s="48">
        <f t="shared" si="283"/>
        <v>0.75000000000000044</v>
      </c>
      <c r="AS125" s="48">
        <f t="shared" si="283"/>
        <v>0.72916666666666707</v>
      </c>
      <c r="AT125" s="48">
        <f t="shared" si="283"/>
        <v>0.7083333333333337</v>
      </c>
      <c r="AU125" s="48">
        <f t="shared" si="283"/>
        <v>0.68750000000000033</v>
      </c>
      <c r="AV125" s="48">
        <f t="shared" si="283"/>
        <v>0.66666666666666696</v>
      </c>
      <c r="AW125" s="48">
        <f t="shared" si="283"/>
        <v>0.64583333333333359</v>
      </c>
      <c r="AX125" s="48">
        <f t="shared" si="283"/>
        <v>0.62500000000000022</v>
      </c>
      <c r="AY125" s="48">
        <f t="shared" si="283"/>
        <v>0.60416666666666685</v>
      </c>
      <c r="AZ125" s="48">
        <f t="shared" si="283"/>
        <v>0.58333333333333348</v>
      </c>
      <c r="BA125" s="48">
        <f t="shared" si="283"/>
        <v>0.56250000000000011</v>
      </c>
      <c r="BB125" s="48">
        <f t="shared" si="283"/>
        <v>0.54166666666666674</v>
      </c>
      <c r="BC125" s="48">
        <f t="shared" si="283"/>
        <v>0.52083333333333337</v>
      </c>
      <c r="BD125" s="48">
        <f t="shared" si="283"/>
        <v>0.5</v>
      </c>
      <c r="BE125" s="48">
        <f t="shared" si="283"/>
        <v>0.47916666666666669</v>
      </c>
      <c r="BF125" s="48">
        <f t="shared" si="283"/>
        <v>0.45833333333333337</v>
      </c>
      <c r="BG125" s="48">
        <f t="shared" si="283"/>
        <v>0.43750000000000006</v>
      </c>
      <c r="BH125" s="48">
        <f t="shared" si="283"/>
        <v>0.41666666666666674</v>
      </c>
      <c r="BI125" s="48">
        <f t="shared" si="283"/>
        <v>0.39583333333333343</v>
      </c>
      <c r="BJ125" s="48">
        <f t="shared" si="283"/>
        <v>0.37500000000000011</v>
      </c>
      <c r="BK125" s="48">
        <f t="shared" si="283"/>
        <v>0.3541666666666668</v>
      </c>
      <c r="BL125" s="48">
        <f t="shared" si="283"/>
        <v>0.33333333333333348</v>
      </c>
      <c r="BM125" s="48">
        <f t="shared" si="283"/>
        <v>0.31250000000000017</v>
      </c>
      <c r="BN125" s="48">
        <f t="shared" si="283"/>
        <v>0.29166666666666685</v>
      </c>
      <c r="BO125" s="48">
        <f t="shared" si="283"/>
        <v>0.27083333333333354</v>
      </c>
      <c r="BP125" s="48">
        <f t="shared" si="283"/>
        <v>0.25000000000000022</v>
      </c>
      <c r="BQ125" s="48">
        <f t="shared" si="283"/>
        <v>0.22916666666666688</v>
      </c>
      <c r="BR125" s="48">
        <f t="shared" si="283"/>
        <v>0.20833333333333354</v>
      </c>
      <c r="BS125" s="48">
        <f t="shared" si="283"/>
        <v>0.18750000000000019</v>
      </c>
      <c r="BT125" s="48">
        <f t="shared" si="283"/>
        <v>0.16666666666666685</v>
      </c>
      <c r="BU125" s="48">
        <f t="shared" si="283"/>
        <v>0.14583333333333351</v>
      </c>
      <c r="BV125" s="48">
        <f t="shared" si="283"/>
        <v>0.12500000000000017</v>
      </c>
      <c r="BW125" s="48">
        <f t="shared" si="283"/>
        <v>0.10416666666666684</v>
      </c>
      <c r="BX125" s="48">
        <f t="shared" si="283"/>
        <v>8.3333333333333509E-2</v>
      </c>
      <c r="BY125" s="48">
        <f t="shared" si="283"/>
        <v>6.250000000000018E-2</v>
      </c>
      <c r="BZ125" s="48">
        <f t="shared" si="283"/>
        <v>4.1666666666666852E-2</v>
      </c>
      <c r="CA125" s="48">
        <f t="shared" si="283"/>
        <v>2.083333333333352E-2</v>
      </c>
      <c r="CB125" s="48">
        <f t="shared" ref="CB125:EM125" si="284">IF(CB102=1,$G125,CA127)</f>
        <v>0</v>
      </c>
      <c r="CC125" s="48">
        <f t="shared" si="284"/>
        <v>0</v>
      </c>
      <c r="CD125" s="48">
        <f t="shared" si="284"/>
        <v>0</v>
      </c>
      <c r="CE125" s="48">
        <f t="shared" si="284"/>
        <v>0</v>
      </c>
      <c r="CF125" s="48">
        <f t="shared" si="284"/>
        <v>0</v>
      </c>
      <c r="CG125" s="48">
        <f t="shared" si="284"/>
        <v>0</v>
      </c>
      <c r="CH125" s="48">
        <f t="shared" si="284"/>
        <v>0</v>
      </c>
      <c r="CI125" s="48">
        <f t="shared" si="284"/>
        <v>0</v>
      </c>
      <c r="CJ125" s="48">
        <f t="shared" si="284"/>
        <v>0</v>
      </c>
      <c r="CK125" s="48">
        <f t="shared" si="284"/>
        <v>0</v>
      </c>
      <c r="CL125" s="48">
        <f t="shared" si="284"/>
        <v>0</v>
      </c>
      <c r="CM125" s="48">
        <f t="shared" si="284"/>
        <v>0</v>
      </c>
      <c r="CN125" s="48">
        <f t="shared" si="284"/>
        <v>0</v>
      </c>
      <c r="CO125" s="48">
        <f t="shared" si="284"/>
        <v>0</v>
      </c>
      <c r="CP125" s="48">
        <f t="shared" si="284"/>
        <v>0</v>
      </c>
      <c r="CQ125" s="48">
        <f t="shared" si="284"/>
        <v>0</v>
      </c>
      <c r="CR125" s="48">
        <f t="shared" si="284"/>
        <v>0</v>
      </c>
      <c r="CS125" s="48">
        <f t="shared" si="284"/>
        <v>0</v>
      </c>
      <c r="CT125" s="48">
        <f t="shared" si="284"/>
        <v>0</v>
      </c>
      <c r="CU125" s="48">
        <f t="shared" si="284"/>
        <v>0</v>
      </c>
      <c r="CV125" s="48">
        <f t="shared" si="284"/>
        <v>0</v>
      </c>
      <c r="CW125" s="48">
        <f t="shared" si="284"/>
        <v>0</v>
      </c>
      <c r="CX125" s="48">
        <f t="shared" si="284"/>
        <v>0</v>
      </c>
      <c r="CY125" s="48">
        <f t="shared" si="284"/>
        <v>0</v>
      </c>
      <c r="CZ125" s="48">
        <f t="shared" si="284"/>
        <v>0</v>
      </c>
      <c r="DA125" s="48">
        <f t="shared" si="284"/>
        <v>0</v>
      </c>
      <c r="DB125" s="48">
        <f t="shared" si="284"/>
        <v>0</v>
      </c>
      <c r="DC125" s="48">
        <f t="shared" si="284"/>
        <v>0</v>
      </c>
      <c r="DD125" s="48">
        <f t="shared" si="284"/>
        <v>0</v>
      </c>
      <c r="DE125" s="48">
        <f t="shared" si="284"/>
        <v>0</v>
      </c>
      <c r="DF125" s="48">
        <f t="shared" si="284"/>
        <v>0</v>
      </c>
      <c r="DG125" s="48">
        <f t="shared" si="284"/>
        <v>0</v>
      </c>
      <c r="DH125" s="48">
        <f t="shared" si="284"/>
        <v>0</v>
      </c>
      <c r="DI125" s="48">
        <f t="shared" si="284"/>
        <v>0</v>
      </c>
      <c r="DJ125" s="48">
        <f t="shared" si="284"/>
        <v>0</v>
      </c>
      <c r="DK125" s="48">
        <f t="shared" si="284"/>
        <v>0</v>
      </c>
      <c r="DL125" s="48">
        <f t="shared" si="284"/>
        <v>0</v>
      </c>
      <c r="DM125" s="48">
        <f t="shared" si="284"/>
        <v>0</v>
      </c>
      <c r="DN125" s="48">
        <f t="shared" si="284"/>
        <v>0</v>
      </c>
      <c r="DO125" s="48">
        <f t="shared" si="284"/>
        <v>0</v>
      </c>
      <c r="DP125" s="48">
        <f t="shared" si="284"/>
        <v>0</v>
      </c>
      <c r="DQ125" s="48">
        <f t="shared" si="284"/>
        <v>0</v>
      </c>
      <c r="DR125" s="48">
        <f t="shared" si="284"/>
        <v>0</v>
      </c>
      <c r="DS125" s="48">
        <f t="shared" si="284"/>
        <v>0</v>
      </c>
      <c r="DT125" s="48">
        <f t="shared" si="284"/>
        <v>0</v>
      </c>
      <c r="DU125" s="48">
        <f t="shared" si="284"/>
        <v>0</v>
      </c>
      <c r="DV125" s="48">
        <f t="shared" si="284"/>
        <v>0</v>
      </c>
      <c r="DW125" s="48">
        <f t="shared" si="284"/>
        <v>0</v>
      </c>
      <c r="DX125" s="48">
        <f t="shared" si="284"/>
        <v>0</v>
      </c>
      <c r="DY125" s="48">
        <f t="shared" si="284"/>
        <v>0</v>
      </c>
      <c r="DZ125" s="48">
        <f t="shared" si="284"/>
        <v>0</v>
      </c>
      <c r="EA125" s="48">
        <f t="shared" si="284"/>
        <v>0</v>
      </c>
      <c r="EB125" s="48">
        <f t="shared" si="284"/>
        <v>0</v>
      </c>
      <c r="EC125" s="48">
        <f t="shared" si="284"/>
        <v>0</v>
      </c>
      <c r="ED125" s="48">
        <f t="shared" si="284"/>
        <v>0</v>
      </c>
      <c r="EE125" s="48">
        <f t="shared" si="284"/>
        <v>0</v>
      </c>
      <c r="EF125" s="48">
        <f t="shared" si="284"/>
        <v>0</v>
      </c>
      <c r="EG125" s="48">
        <f t="shared" si="284"/>
        <v>0</v>
      </c>
      <c r="EH125" s="48">
        <f t="shared" si="284"/>
        <v>0</v>
      </c>
      <c r="EI125" s="48">
        <f t="shared" si="284"/>
        <v>0</v>
      </c>
      <c r="EJ125" s="48">
        <f t="shared" si="284"/>
        <v>0</v>
      </c>
      <c r="EK125" s="48">
        <f t="shared" si="284"/>
        <v>0</v>
      </c>
      <c r="EL125" s="48">
        <f t="shared" si="284"/>
        <v>0</v>
      </c>
      <c r="EM125" s="48">
        <f t="shared" si="284"/>
        <v>0</v>
      </c>
      <c r="EN125" s="48">
        <f t="shared" ref="EN125:GY125" si="285">IF(EN102=1,$G125,EM127)</f>
        <v>0</v>
      </c>
      <c r="EO125" s="48">
        <f t="shared" si="285"/>
        <v>0</v>
      </c>
      <c r="EP125" s="48">
        <f t="shared" si="285"/>
        <v>0</v>
      </c>
      <c r="EQ125" s="48">
        <f t="shared" si="285"/>
        <v>0</v>
      </c>
      <c r="ER125" s="48">
        <f t="shared" si="285"/>
        <v>0</v>
      </c>
      <c r="ES125" s="48">
        <f t="shared" si="285"/>
        <v>0</v>
      </c>
      <c r="ET125" s="48">
        <f t="shared" si="285"/>
        <v>0</v>
      </c>
      <c r="EU125" s="48">
        <f t="shared" si="285"/>
        <v>0</v>
      </c>
      <c r="EV125" s="48">
        <f t="shared" si="285"/>
        <v>0</v>
      </c>
      <c r="EW125" s="48">
        <f t="shared" si="285"/>
        <v>0</v>
      </c>
      <c r="EX125" s="48">
        <f t="shared" si="285"/>
        <v>0</v>
      </c>
      <c r="EY125" s="48">
        <f t="shared" si="285"/>
        <v>0</v>
      </c>
      <c r="EZ125" s="48">
        <f t="shared" si="285"/>
        <v>0</v>
      </c>
      <c r="FA125" s="48">
        <f t="shared" si="285"/>
        <v>0</v>
      </c>
      <c r="FB125" s="48">
        <f t="shared" si="285"/>
        <v>0</v>
      </c>
      <c r="FC125" s="48">
        <f t="shared" si="285"/>
        <v>0</v>
      </c>
      <c r="FD125" s="48">
        <f t="shared" si="285"/>
        <v>0</v>
      </c>
      <c r="FE125" s="48">
        <f t="shared" si="285"/>
        <v>0</v>
      </c>
      <c r="FF125" s="48">
        <f t="shared" si="285"/>
        <v>0</v>
      </c>
      <c r="FG125" s="48">
        <f t="shared" si="285"/>
        <v>0</v>
      </c>
      <c r="FH125" s="48">
        <f t="shared" si="285"/>
        <v>0</v>
      </c>
      <c r="FI125" s="48">
        <f t="shared" si="285"/>
        <v>0</v>
      </c>
      <c r="FJ125" s="48">
        <f t="shared" si="285"/>
        <v>0</v>
      </c>
      <c r="FK125" s="48">
        <f t="shared" si="285"/>
        <v>0</v>
      </c>
      <c r="FL125" s="48">
        <f t="shared" si="285"/>
        <v>0</v>
      </c>
      <c r="FM125" s="48">
        <f t="shared" si="285"/>
        <v>0</v>
      </c>
      <c r="FN125" s="48">
        <f t="shared" si="285"/>
        <v>0</v>
      </c>
      <c r="FO125" s="48">
        <f t="shared" si="285"/>
        <v>0</v>
      </c>
      <c r="FP125" s="48">
        <f t="shared" si="285"/>
        <v>0</v>
      </c>
      <c r="FQ125" s="48">
        <f t="shared" si="285"/>
        <v>0</v>
      </c>
      <c r="FR125" s="48">
        <f t="shared" si="285"/>
        <v>0</v>
      </c>
      <c r="FS125" s="48">
        <f t="shared" si="285"/>
        <v>0</v>
      </c>
      <c r="FT125" s="48">
        <f t="shared" si="285"/>
        <v>0</v>
      </c>
      <c r="FU125" s="48">
        <f t="shared" si="285"/>
        <v>0</v>
      </c>
      <c r="FV125" s="48">
        <f t="shared" si="285"/>
        <v>0</v>
      </c>
      <c r="FW125" s="48">
        <f t="shared" si="285"/>
        <v>0</v>
      </c>
      <c r="FX125" s="48">
        <f t="shared" si="285"/>
        <v>0</v>
      </c>
      <c r="FY125" s="48">
        <f t="shared" si="285"/>
        <v>0</v>
      </c>
      <c r="FZ125" s="48">
        <f t="shared" si="285"/>
        <v>0</v>
      </c>
      <c r="GA125" s="48">
        <f t="shared" si="285"/>
        <v>0</v>
      </c>
      <c r="GB125" s="48">
        <f t="shared" si="285"/>
        <v>0</v>
      </c>
      <c r="GC125" s="48">
        <f t="shared" si="285"/>
        <v>0</v>
      </c>
      <c r="GD125" s="48">
        <f t="shared" si="285"/>
        <v>0</v>
      </c>
      <c r="GE125" s="48">
        <f t="shared" si="285"/>
        <v>0</v>
      </c>
      <c r="GF125" s="48">
        <f t="shared" si="285"/>
        <v>0</v>
      </c>
      <c r="GG125" s="48">
        <f t="shared" si="285"/>
        <v>0</v>
      </c>
      <c r="GH125" s="48">
        <f t="shared" si="285"/>
        <v>0</v>
      </c>
      <c r="GI125" s="48">
        <f t="shared" si="285"/>
        <v>0</v>
      </c>
      <c r="GJ125" s="48">
        <f t="shared" si="285"/>
        <v>0</v>
      </c>
      <c r="GK125" s="48">
        <f t="shared" si="285"/>
        <v>0</v>
      </c>
      <c r="GL125" s="48">
        <f t="shared" si="285"/>
        <v>0</v>
      </c>
      <c r="GM125" s="48">
        <f t="shared" si="285"/>
        <v>0</v>
      </c>
      <c r="GN125" s="48">
        <f t="shared" si="285"/>
        <v>0</v>
      </c>
      <c r="GO125" s="48">
        <f t="shared" si="285"/>
        <v>0</v>
      </c>
      <c r="GP125" s="48">
        <f t="shared" si="285"/>
        <v>0</v>
      </c>
      <c r="GQ125" s="48">
        <f t="shared" si="285"/>
        <v>0</v>
      </c>
      <c r="GR125" s="48">
        <f t="shared" si="285"/>
        <v>0</v>
      </c>
      <c r="GS125" s="48">
        <f t="shared" si="285"/>
        <v>0</v>
      </c>
      <c r="GT125" s="48">
        <f t="shared" si="285"/>
        <v>0</v>
      </c>
      <c r="GU125" s="48">
        <f t="shared" si="285"/>
        <v>0</v>
      </c>
      <c r="GV125" s="48">
        <f t="shared" si="285"/>
        <v>0</v>
      </c>
      <c r="GW125" s="48">
        <f t="shared" si="285"/>
        <v>0</v>
      </c>
      <c r="GX125" s="48">
        <f t="shared" si="285"/>
        <v>0</v>
      </c>
      <c r="GY125" s="48">
        <f t="shared" si="285"/>
        <v>0</v>
      </c>
      <c r="GZ125" s="48">
        <f t="shared" ref="GZ125:JK125" si="286">IF(GZ102=1,$G125,GY127)</f>
        <v>0</v>
      </c>
      <c r="HA125" s="48">
        <f t="shared" si="286"/>
        <v>0</v>
      </c>
      <c r="HB125" s="48">
        <f t="shared" si="286"/>
        <v>0</v>
      </c>
      <c r="HC125" s="48">
        <f t="shared" si="286"/>
        <v>0</v>
      </c>
      <c r="HD125" s="48">
        <f t="shared" si="286"/>
        <v>0</v>
      </c>
      <c r="HE125" s="48">
        <f t="shared" si="286"/>
        <v>0</v>
      </c>
      <c r="HF125" s="48">
        <f t="shared" si="286"/>
        <v>0</v>
      </c>
      <c r="HG125" s="48">
        <f t="shared" si="286"/>
        <v>0</v>
      </c>
      <c r="HH125" s="48">
        <f t="shared" si="286"/>
        <v>0</v>
      </c>
      <c r="HI125" s="48">
        <f t="shared" si="286"/>
        <v>0</v>
      </c>
      <c r="HJ125" s="48">
        <f t="shared" si="286"/>
        <v>0</v>
      </c>
      <c r="HK125" s="48">
        <f t="shared" si="286"/>
        <v>0</v>
      </c>
      <c r="HL125" s="48">
        <f t="shared" si="286"/>
        <v>0</v>
      </c>
      <c r="HM125" s="48">
        <f t="shared" si="286"/>
        <v>0</v>
      </c>
      <c r="HN125" s="48">
        <f t="shared" si="286"/>
        <v>0</v>
      </c>
      <c r="HO125" s="48">
        <f t="shared" si="286"/>
        <v>0</v>
      </c>
      <c r="HP125" s="48">
        <f t="shared" si="286"/>
        <v>0</v>
      </c>
      <c r="HQ125" s="48">
        <f t="shared" si="286"/>
        <v>0</v>
      </c>
      <c r="HR125" s="48">
        <f t="shared" si="286"/>
        <v>0</v>
      </c>
      <c r="HS125" s="48">
        <f t="shared" si="286"/>
        <v>0</v>
      </c>
      <c r="HT125" s="48">
        <f t="shared" si="286"/>
        <v>0</v>
      </c>
      <c r="HU125" s="48">
        <f t="shared" si="286"/>
        <v>0</v>
      </c>
      <c r="HV125" s="48">
        <f t="shared" si="286"/>
        <v>0</v>
      </c>
      <c r="HW125" s="48">
        <f t="shared" si="286"/>
        <v>0</v>
      </c>
      <c r="HX125" s="48">
        <f t="shared" si="286"/>
        <v>0</v>
      </c>
      <c r="HY125" s="48">
        <f t="shared" si="286"/>
        <v>0</v>
      </c>
      <c r="HZ125" s="48">
        <f t="shared" si="286"/>
        <v>0</v>
      </c>
      <c r="IA125" s="48">
        <f t="shared" si="286"/>
        <v>0</v>
      </c>
      <c r="IB125" s="48">
        <f t="shared" si="286"/>
        <v>0</v>
      </c>
      <c r="IC125" s="48">
        <f t="shared" si="286"/>
        <v>0</v>
      </c>
      <c r="ID125" s="48">
        <f t="shared" si="286"/>
        <v>0</v>
      </c>
      <c r="IE125" s="48">
        <f t="shared" si="286"/>
        <v>0</v>
      </c>
      <c r="IF125" s="48">
        <f t="shared" si="286"/>
        <v>0</v>
      </c>
      <c r="IG125" s="48">
        <f t="shared" si="286"/>
        <v>0</v>
      </c>
      <c r="IH125" s="48">
        <f t="shared" si="286"/>
        <v>0</v>
      </c>
      <c r="II125" s="48">
        <f t="shared" si="286"/>
        <v>0</v>
      </c>
      <c r="IJ125" s="48">
        <f t="shared" si="286"/>
        <v>0</v>
      </c>
      <c r="IK125" s="48">
        <f t="shared" si="286"/>
        <v>0</v>
      </c>
      <c r="IL125" s="48">
        <f t="shared" si="286"/>
        <v>0</v>
      </c>
      <c r="IM125" s="48">
        <f t="shared" si="286"/>
        <v>0</v>
      </c>
      <c r="IN125" s="48">
        <f t="shared" si="286"/>
        <v>0</v>
      </c>
      <c r="IO125" s="48">
        <f t="shared" si="286"/>
        <v>0</v>
      </c>
      <c r="IP125" s="48">
        <f t="shared" si="286"/>
        <v>0</v>
      </c>
      <c r="IQ125" s="48">
        <f t="shared" si="286"/>
        <v>0</v>
      </c>
      <c r="IR125" s="48">
        <f t="shared" si="286"/>
        <v>0</v>
      </c>
      <c r="IS125" s="48">
        <f t="shared" si="286"/>
        <v>0</v>
      </c>
      <c r="IT125" s="48">
        <f t="shared" si="286"/>
        <v>0</v>
      </c>
      <c r="IU125" s="48">
        <f t="shared" si="286"/>
        <v>0</v>
      </c>
      <c r="IV125" s="48">
        <f t="shared" si="286"/>
        <v>0</v>
      </c>
      <c r="IW125" s="48">
        <f t="shared" si="286"/>
        <v>0</v>
      </c>
      <c r="IX125" s="48">
        <f t="shared" si="286"/>
        <v>0</v>
      </c>
      <c r="IY125" s="48">
        <f t="shared" si="286"/>
        <v>0</v>
      </c>
      <c r="IZ125" s="48">
        <f t="shared" si="286"/>
        <v>0</v>
      </c>
      <c r="JA125" s="48">
        <f t="shared" si="286"/>
        <v>0</v>
      </c>
      <c r="JB125" s="48">
        <f t="shared" si="286"/>
        <v>0</v>
      </c>
      <c r="JC125" s="48">
        <f t="shared" si="286"/>
        <v>0</v>
      </c>
      <c r="JD125" s="48">
        <f t="shared" si="286"/>
        <v>0</v>
      </c>
      <c r="JE125" s="48">
        <f t="shared" si="286"/>
        <v>0</v>
      </c>
      <c r="JF125" s="48">
        <f t="shared" si="286"/>
        <v>0</v>
      </c>
      <c r="JG125" s="48">
        <f t="shared" si="286"/>
        <v>0</v>
      </c>
      <c r="JH125" s="48">
        <f t="shared" si="286"/>
        <v>0</v>
      </c>
      <c r="JI125" s="48">
        <f t="shared" si="286"/>
        <v>0</v>
      </c>
      <c r="JJ125" s="48">
        <f t="shared" si="286"/>
        <v>0</v>
      </c>
      <c r="JK125" s="48">
        <f t="shared" si="286"/>
        <v>0</v>
      </c>
      <c r="JL125" s="48">
        <f t="shared" ref="JL125:KI125" si="287">IF(JL102=1,$G125,JK127)</f>
        <v>0</v>
      </c>
      <c r="JM125" s="48">
        <f t="shared" si="287"/>
        <v>0</v>
      </c>
      <c r="JN125" s="48">
        <f t="shared" si="287"/>
        <v>0</v>
      </c>
      <c r="JO125" s="48">
        <f t="shared" si="287"/>
        <v>0</v>
      </c>
      <c r="JP125" s="48">
        <f t="shared" si="287"/>
        <v>0</v>
      </c>
      <c r="JQ125" s="48">
        <f t="shared" si="287"/>
        <v>0</v>
      </c>
      <c r="JR125" s="48">
        <f t="shared" si="287"/>
        <v>0</v>
      </c>
      <c r="JS125" s="48">
        <f t="shared" si="287"/>
        <v>0</v>
      </c>
      <c r="JT125" s="48">
        <f t="shared" si="287"/>
        <v>0</v>
      </c>
      <c r="JU125" s="48">
        <f t="shared" si="287"/>
        <v>0</v>
      </c>
      <c r="JV125" s="48">
        <f t="shared" si="287"/>
        <v>0</v>
      </c>
      <c r="JW125" s="48">
        <f t="shared" si="287"/>
        <v>0</v>
      </c>
      <c r="JX125" s="48">
        <f t="shared" si="287"/>
        <v>0</v>
      </c>
      <c r="JY125" s="48">
        <f t="shared" si="287"/>
        <v>0</v>
      </c>
      <c r="JZ125" s="48">
        <f t="shared" si="287"/>
        <v>0</v>
      </c>
      <c r="KA125" s="48">
        <f t="shared" si="287"/>
        <v>0</v>
      </c>
      <c r="KB125" s="48">
        <f t="shared" si="287"/>
        <v>0</v>
      </c>
      <c r="KC125" s="48">
        <f t="shared" si="287"/>
        <v>0</v>
      </c>
      <c r="KD125" s="48">
        <f t="shared" si="287"/>
        <v>0</v>
      </c>
      <c r="KE125" s="48">
        <f t="shared" si="287"/>
        <v>0</v>
      </c>
      <c r="KF125" s="48">
        <f t="shared" si="287"/>
        <v>0</v>
      </c>
      <c r="KG125" s="48">
        <f t="shared" si="287"/>
        <v>0</v>
      </c>
      <c r="KH125" s="48">
        <f t="shared" si="287"/>
        <v>0</v>
      </c>
      <c r="KI125" s="48">
        <f t="shared" si="287"/>
        <v>0</v>
      </c>
      <c r="KJ125" s="1"/>
    </row>
    <row r="126" spans="7:296" x14ac:dyDescent="0.35">
      <c r="G126" s="24">
        <f>Control!H74</f>
        <v>2.0833333333333332E-2</v>
      </c>
      <c r="H126" s="13" t="s">
        <v>49</v>
      </c>
      <c r="M126" s="6" t="s">
        <v>100</v>
      </c>
      <c r="N126" s="48">
        <f t="shared" ref="N126:AX126" si="288">-IF(AND(O104=0,N104=1),N125,$G126*N103)</f>
        <v>0</v>
      </c>
      <c r="O126" s="48">
        <f t="shared" si="288"/>
        <v>0</v>
      </c>
      <c r="P126" s="48">
        <f t="shared" si="288"/>
        <v>0</v>
      </c>
      <c r="Q126" s="48">
        <f t="shared" si="288"/>
        <v>0</v>
      </c>
      <c r="R126" s="48">
        <f t="shared" si="288"/>
        <v>0</v>
      </c>
      <c r="S126" s="48">
        <f t="shared" si="288"/>
        <v>0</v>
      </c>
      <c r="T126" s="48">
        <f t="shared" si="288"/>
        <v>-2.0833333333333332E-2</v>
      </c>
      <c r="U126" s="48">
        <f t="shared" si="288"/>
        <v>-2.0833333333333332E-2</v>
      </c>
      <c r="V126" s="48">
        <f t="shared" si="288"/>
        <v>-2.0833333333333332E-2</v>
      </c>
      <c r="W126" s="48">
        <f t="shared" si="288"/>
        <v>-2.0833333333333332E-2</v>
      </c>
      <c r="X126" s="48">
        <f t="shared" si="288"/>
        <v>-2.0833333333333332E-2</v>
      </c>
      <c r="Y126" s="48">
        <f t="shared" si="288"/>
        <v>-2.0833333333333332E-2</v>
      </c>
      <c r="Z126" s="48">
        <f t="shared" si="288"/>
        <v>-2.0833333333333332E-2</v>
      </c>
      <c r="AA126" s="48">
        <f t="shared" si="288"/>
        <v>-2.0833333333333332E-2</v>
      </c>
      <c r="AB126" s="48">
        <f t="shared" si="288"/>
        <v>-2.0833333333333332E-2</v>
      </c>
      <c r="AC126" s="48">
        <f t="shared" si="288"/>
        <v>-2.0833333333333332E-2</v>
      </c>
      <c r="AD126" s="48">
        <f t="shared" si="288"/>
        <v>-2.0833333333333332E-2</v>
      </c>
      <c r="AE126" s="48">
        <f t="shared" si="288"/>
        <v>-2.0833333333333332E-2</v>
      </c>
      <c r="AF126" s="48">
        <f t="shared" si="288"/>
        <v>-2.0833333333333332E-2</v>
      </c>
      <c r="AG126" s="48">
        <f t="shared" si="288"/>
        <v>-2.0833333333333332E-2</v>
      </c>
      <c r="AH126" s="48">
        <f t="shared" si="288"/>
        <v>-2.0833333333333332E-2</v>
      </c>
      <c r="AI126" s="48">
        <f t="shared" si="288"/>
        <v>-2.0833333333333332E-2</v>
      </c>
      <c r="AJ126" s="48">
        <f t="shared" si="288"/>
        <v>-2.0833333333333332E-2</v>
      </c>
      <c r="AK126" s="48">
        <f t="shared" si="288"/>
        <v>-2.0833333333333332E-2</v>
      </c>
      <c r="AL126" s="48">
        <f t="shared" si="288"/>
        <v>-2.0833333333333332E-2</v>
      </c>
      <c r="AM126" s="48">
        <f t="shared" si="288"/>
        <v>-2.0833333333333332E-2</v>
      </c>
      <c r="AN126" s="48">
        <f t="shared" si="288"/>
        <v>-2.0833333333333332E-2</v>
      </c>
      <c r="AO126" s="48">
        <f t="shared" si="288"/>
        <v>-2.0833333333333332E-2</v>
      </c>
      <c r="AP126" s="48">
        <f t="shared" si="288"/>
        <v>-2.0833333333333332E-2</v>
      </c>
      <c r="AQ126" s="48">
        <f t="shared" si="288"/>
        <v>-2.0833333333333332E-2</v>
      </c>
      <c r="AR126" s="48">
        <f t="shared" si="288"/>
        <v>-2.0833333333333332E-2</v>
      </c>
      <c r="AS126" s="48">
        <f t="shared" si="288"/>
        <v>-2.0833333333333332E-2</v>
      </c>
      <c r="AT126" s="48">
        <f t="shared" si="288"/>
        <v>-2.0833333333333332E-2</v>
      </c>
      <c r="AU126" s="48">
        <f t="shared" si="288"/>
        <v>-2.0833333333333332E-2</v>
      </c>
      <c r="AV126" s="48">
        <f t="shared" si="288"/>
        <v>-2.0833333333333332E-2</v>
      </c>
      <c r="AW126" s="48">
        <f t="shared" si="288"/>
        <v>-2.0833333333333332E-2</v>
      </c>
      <c r="AX126" s="48">
        <f t="shared" si="288"/>
        <v>-2.0833333333333332E-2</v>
      </c>
      <c r="AY126" s="48">
        <f>-IF(AND(AZ104=0,AY104=1),AY125,$G126*AY103)</f>
        <v>-2.0833333333333332E-2</v>
      </c>
      <c r="AZ126" s="48">
        <f t="shared" ref="AZ126:DK126" si="289">-IF(AND(BA104=0,AZ104=1),AZ125,$G126*AZ103)</f>
        <v>-2.0833333333333332E-2</v>
      </c>
      <c r="BA126" s="48">
        <f t="shared" si="289"/>
        <v>-2.0833333333333332E-2</v>
      </c>
      <c r="BB126" s="48">
        <f t="shared" si="289"/>
        <v>-2.0833333333333332E-2</v>
      </c>
      <c r="BC126" s="48">
        <f t="shared" si="289"/>
        <v>-2.0833333333333332E-2</v>
      </c>
      <c r="BD126" s="48">
        <f t="shared" si="289"/>
        <v>-2.0833333333333332E-2</v>
      </c>
      <c r="BE126" s="48">
        <f t="shared" si="289"/>
        <v>-2.0833333333333332E-2</v>
      </c>
      <c r="BF126" s="48">
        <f t="shared" si="289"/>
        <v>-2.0833333333333332E-2</v>
      </c>
      <c r="BG126" s="48">
        <f t="shared" si="289"/>
        <v>-2.0833333333333332E-2</v>
      </c>
      <c r="BH126" s="48">
        <f t="shared" si="289"/>
        <v>-2.0833333333333332E-2</v>
      </c>
      <c r="BI126" s="48">
        <f t="shared" si="289"/>
        <v>-2.0833333333333332E-2</v>
      </c>
      <c r="BJ126" s="48">
        <f t="shared" si="289"/>
        <v>-2.0833333333333332E-2</v>
      </c>
      <c r="BK126" s="48">
        <f t="shared" si="289"/>
        <v>-2.0833333333333332E-2</v>
      </c>
      <c r="BL126" s="48">
        <f t="shared" si="289"/>
        <v>-2.0833333333333332E-2</v>
      </c>
      <c r="BM126" s="48">
        <f t="shared" si="289"/>
        <v>-2.0833333333333332E-2</v>
      </c>
      <c r="BN126" s="48">
        <f t="shared" si="289"/>
        <v>-2.0833333333333332E-2</v>
      </c>
      <c r="BO126" s="48">
        <f t="shared" si="289"/>
        <v>-2.0833333333333332E-2</v>
      </c>
      <c r="BP126" s="48">
        <f t="shared" si="289"/>
        <v>-2.0833333333333332E-2</v>
      </c>
      <c r="BQ126" s="48">
        <f t="shared" si="289"/>
        <v>-2.0833333333333332E-2</v>
      </c>
      <c r="BR126" s="48">
        <f t="shared" si="289"/>
        <v>-2.0833333333333332E-2</v>
      </c>
      <c r="BS126" s="48">
        <f t="shared" si="289"/>
        <v>-2.0833333333333332E-2</v>
      </c>
      <c r="BT126" s="48">
        <f t="shared" si="289"/>
        <v>-2.0833333333333332E-2</v>
      </c>
      <c r="BU126" s="48">
        <f t="shared" si="289"/>
        <v>-2.0833333333333332E-2</v>
      </c>
      <c r="BV126" s="48">
        <f t="shared" si="289"/>
        <v>-2.0833333333333332E-2</v>
      </c>
      <c r="BW126" s="48">
        <f t="shared" si="289"/>
        <v>-2.0833333333333332E-2</v>
      </c>
      <c r="BX126" s="48">
        <f t="shared" si="289"/>
        <v>-2.0833333333333332E-2</v>
      </c>
      <c r="BY126" s="48">
        <f t="shared" si="289"/>
        <v>-2.0833333333333332E-2</v>
      </c>
      <c r="BZ126" s="48">
        <f t="shared" si="289"/>
        <v>-2.0833333333333332E-2</v>
      </c>
      <c r="CA126" s="48">
        <f t="shared" si="289"/>
        <v>-2.083333333333352E-2</v>
      </c>
      <c r="CB126" s="48">
        <f t="shared" si="289"/>
        <v>0</v>
      </c>
      <c r="CC126" s="48">
        <f t="shared" si="289"/>
        <v>0</v>
      </c>
      <c r="CD126" s="48">
        <f t="shared" si="289"/>
        <v>0</v>
      </c>
      <c r="CE126" s="48">
        <f t="shared" si="289"/>
        <v>0</v>
      </c>
      <c r="CF126" s="48">
        <f t="shared" si="289"/>
        <v>0</v>
      </c>
      <c r="CG126" s="48">
        <f t="shared" si="289"/>
        <v>0</v>
      </c>
      <c r="CH126" s="48">
        <f t="shared" si="289"/>
        <v>0</v>
      </c>
      <c r="CI126" s="48">
        <f t="shared" si="289"/>
        <v>0</v>
      </c>
      <c r="CJ126" s="48">
        <f t="shared" si="289"/>
        <v>0</v>
      </c>
      <c r="CK126" s="48">
        <f t="shared" si="289"/>
        <v>0</v>
      </c>
      <c r="CL126" s="48">
        <f t="shared" si="289"/>
        <v>0</v>
      </c>
      <c r="CM126" s="48">
        <f t="shared" si="289"/>
        <v>0</v>
      </c>
      <c r="CN126" s="48">
        <f t="shared" si="289"/>
        <v>0</v>
      </c>
      <c r="CO126" s="48">
        <f t="shared" si="289"/>
        <v>0</v>
      </c>
      <c r="CP126" s="48">
        <f t="shared" si="289"/>
        <v>0</v>
      </c>
      <c r="CQ126" s="48">
        <f t="shared" si="289"/>
        <v>0</v>
      </c>
      <c r="CR126" s="48">
        <f t="shared" si="289"/>
        <v>0</v>
      </c>
      <c r="CS126" s="48">
        <f t="shared" si="289"/>
        <v>0</v>
      </c>
      <c r="CT126" s="48">
        <f t="shared" si="289"/>
        <v>0</v>
      </c>
      <c r="CU126" s="48">
        <f t="shared" si="289"/>
        <v>0</v>
      </c>
      <c r="CV126" s="48">
        <f t="shared" si="289"/>
        <v>0</v>
      </c>
      <c r="CW126" s="48">
        <f t="shared" si="289"/>
        <v>0</v>
      </c>
      <c r="CX126" s="48">
        <f t="shared" si="289"/>
        <v>0</v>
      </c>
      <c r="CY126" s="48">
        <f t="shared" si="289"/>
        <v>0</v>
      </c>
      <c r="CZ126" s="48">
        <f t="shared" si="289"/>
        <v>0</v>
      </c>
      <c r="DA126" s="48">
        <f t="shared" si="289"/>
        <v>0</v>
      </c>
      <c r="DB126" s="48">
        <f t="shared" si="289"/>
        <v>0</v>
      </c>
      <c r="DC126" s="48">
        <f t="shared" si="289"/>
        <v>0</v>
      </c>
      <c r="DD126" s="48">
        <f t="shared" si="289"/>
        <v>0</v>
      </c>
      <c r="DE126" s="48">
        <f t="shared" si="289"/>
        <v>0</v>
      </c>
      <c r="DF126" s="48">
        <f t="shared" si="289"/>
        <v>0</v>
      </c>
      <c r="DG126" s="48">
        <f t="shared" si="289"/>
        <v>0</v>
      </c>
      <c r="DH126" s="48">
        <f t="shared" si="289"/>
        <v>0</v>
      </c>
      <c r="DI126" s="48">
        <f t="shared" si="289"/>
        <v>0</v>
      </c>
      <c r="DJ126" s="48">
        <f t="shared" si="289"/>
        <v>0</v>
      </c>
      <c r="DK126" s="48">
        <f t="shared" si="289"/>
        <v>0</v>
      </c>
      <c r="DL126" s="48">
        <f t="shared" ref="DL126:FW126" si="290">-IF(AND(DM104=0,DL104=1),DL125,$G126*DL103)</f>
        <v>0</v>
      </c>
      <c r="DM126" s="48">
        <f t="shared" si="290"/>
        <v>0</v>
      </c>
      <c r="DN126" s="48">
        <f t="shared" si="290"/>
        <v>0</v>
      </c>
      <c r="DO126" s="48">
        <f t="shared" si="290"/>
        <v>0</v>
      </c>
      <c r="DP126" s="48">
        <f t="shared" si="290"/>
        <v>0</v>
      </c>
      <c r="DQ126" s="48">
        <f t="shared" si="290"/>
        <v>0</v>
      </c>
      <c r="DR126" s="48">
        <f t="shared" si="290"/>
        <v>0</v>
      </c>
      <c r="DS126" s="48">
        <f t="shared" si="290"/>
        <v>0</v>
      </c>
      <c r="DT126" s="48">
        <f t="shared" si="290"/>
        <v>0</v>
      </c>
      <c r="DU126" s="48">
        <f t="shared" si="290"/>
        <v>0</v>
      </c>
      <c r="DV126" s="48">
        <f t="shared" si="290"/>
        <v>0</v>
      </c>
      <c r="DW126" s="48">
        <f t="shared" si="290"/>
        <v>0</v>
      </c>
      <c r="DX126" s="48">
        <f t="shared" si="290"/>
        <v>0</v>
      </c>
      <c r="DY126" s="48">
        <f t="shared" si="290"/>
        <v>0</v>
      </c>
      <c r="DZ126" s="48">
        <f t="shared" si="290"/>
        <v>0</v>
      </c>
      <c r="EA126" s="48">
        <f t="shared" si="290"/>
        <v>0</v>
      </c>
      <c r="EB126" s="48">
        <f t="shared" si="290"/>
        <v>0</v>
      </c>
      <c r="EC126" s="48">
        <f t="shared" si="290"/>
        <v>0</v>
      </c>
      <c r="ED126" s="48">
        <f t="shared" si="290"/>
        <v>0</v>
      </c>
      <c r="EE126" s="48">
        <f t="shared" si="290"/>
        <v>0</v>
      </c>
      <c r="EF126" s="48">
        <f t="shared" si="290"/>
        <v>0</v>
      </c>
      <c r="EG126" s="48">
        <f t="shared" si="290"/>
        <v>0</v>
      </c>
      <c r="EH126" s="48">
        <f t="shared" si="290"/>
        <v>0</v>
      </c>
      <c r="EI126" s="48">
        <f t="shared" si="290"/>
        <v>0</v>
      </c>
      <c r="EJ126" s="48">
        <f t="shared" si="290"/>
        <v>0</v>
      </c>
      <c r="EK126" s="48">
        <f t="shared" si="290"/>
        <v>0</v>
      </c>
      <c r="EL126" s="48">
        <f t="shared" si="290"/>
        <v>0</v>
      </c>
      <c r="EM126" s="48">
        <f t="shared" si="290"/>
        <v>0</v>
      </c>
      <c r="EN126" s="48">
        <f t="shared" si="290"/>
        <v>0</v>
      </c>
      <c r="EO126" s="48">
        <f t="shared" si="290"/>
        <v>0</v>
      </c>
      <c r="EP126" s="48">
        <f t="shared" si="290"/>
        <v>0</v>
      </c>
      <c r="EQ126" s="48">
        <f t="shared" si="290"/>
        <v>0</v>
      </c>
      <c r="ER126" s="48">
        <f t="shared" si="290"/>
        <v>0</v>
      </c>
      <c r="ES126" s="48">
        <f t="shared" si="290"/>
        <v>0</v>
      </c>
      <c r="ET126" s="48">
        <f t="shared" si="290"/>
        <v>0</v>
      </c>
      <c r="EU126" s="48">
        <f t="shared" si="290"/>
        <v>0</v>
      </c>
      <c r="EV126" s="48">
        <f t="shared" si="290"/>
        <v>0</v>
      </c>
      <c r="EW126" s="48">
        <f t="shared" si="290"/>
        <v>0</v>
      </c>
      <c r="EX126" s="48">
        <f t="shared" si="290"/>
        <v>0</v>
      </c>
      <c r="EY126" s="48">
        <f t="shared" si="290"/>
        <v>0</v>
      </c>
      <c r="EZ126" s="48">
        <f t="shared" si="290"/>
        <v>0</v>
      </c>
      <c r="FA126" s="48">
        <f t="shared" si="290"/>
        <v>0</v>
      </c>
      <c r="FB126" s="48">
        <f t="shared" si="290"/>
        <v>0</v>
      </c>
      <c r="FC126" s="48">
        <f t="shared" si="290"/>
        <v>0</v>
      </c>
      <c r="FD126" s="48">
        <f t="shared" si="290"/>
        <v>0</v>
      </c>
      <c r="FE126" s="48">
        <f t="shared" si="290"/>
        <v>0</v>
      </c>
      <c r="FF126" s="48">
        <f t="shared" si="290"/>
        <v>0</v>
      </c>
      <c r="FG126" s="48">
        <f t="shared" si="290"/>
        <v>0</v>
      </c>
      <c r="FH126" s="48">
        <f t="shared" si="290"/>
        <v>0</v>
      </c>
      <c r="FI126" s="48">
        <f t="shared" si="290"/>
        <v>0</v>
      </c>
      <c r="FJ126" s="48">
        <f t="shared" si="290"/>
        <v>0</v>
      </c>
      <c r="FK126" s="48">
        <f t="shared" si="290"/>
        <v>0</v>
      </c>
      <c r="FL126" s="48">
        <f t="shared" si="290"/>
        <v>0</v>
      </c>
      <c r="FM126" s="48">
        <f t="shared" si="290"/>
        <v>0</v>
      </c>
      <c r="FN126" s="48">
        <f t="shared" si="290"/>
        <v>0</v>
      </c>
      <c r="FO126" s="48">
        <f t="shared" si="290"/>
        <v>0</v>
      </c>
      <c r="FP126" s="48">
        <f t="shared" si="290"/>
        <v>0</v>
      </c>
      <c r="FQ126" s="48">
        <f t="shared" si="290"/>
        <v>0</v>
      </c>
      <c r="FR126" s="48">
        <f t="shared" si="290"/>
        <v>0</v>
      </c>
      <c r="FS126" s="48">
        <f t="shared" si="290"/>
        <v>0</v>
      </c>
      <c r="FT126" s="48">
        <f t="shared" si="290"/>
        <v>0</v>
      </c>
      <c r="FU126" s="48">
        <f t="shared" si="290"/>
        <v>0</v>
      </c>
      <c r="FV126" s="48">
        <f t="shared" si="290"/>
        <v>0</v>
      </c>
      <c r="FW126" s="48">
        <f t="shared" si="290"/>
        <v>0</v>
      </c>
      <c r="FX126" s="48">
        <f t="shared" ref="FX126:II126" si="291">-IF(AND(FY104=0,FX104=1),FX125,$G126*FX103)</f>
        <v>0</v>
      </c>
      <c r="FY126" s="48">
        <f t="shared" si="291"/>
        <v>0</v>
      </c>
      <c r="FZ126" s="48">
        <f t="shared" si="291"/>
        <v>0</v>
      </c>
      <c r="GA126" s="48">
        <f t="shared" si="291"/>
        <v>0</v>
      </c>
      <c r="GB126" s="48">
        <f t="shared" si="291"/>
        <v>0</v>
      </c>
      <c r="GC126" s="48">
        <f t="shared" si="291"/>
        <v>0</v>
      </c>
      <c r="GD126" s="48">
        <f t="shared" si="291"/>
        <v>0</v>
      </c>
      <c r="GE126" s="48">
        <f t="shared" si="291"/>
        <v>0</v>
      </c>
      <c r="GF126" s="48">
        <f t="shared" si="291"/>
        <v>0</v>
      </c>
      <c r="GG126" s="48">
        <f t="shared" si="291"/>
        <v>0</v>
      </c>
      <c r="GH126" s="48">
        <f t="shared" si="291"/>
        <v>0</v>
      </c>
      <c r="GI126" s="48">
        <f t="shared" si="291"/>
        <v>0</v>
      </c>
      <c r="GJ126" s="48">
        <f t="shared" si="291"/>
        <v>0</v>
      </c>
      <c r="GK126" s="48">
        <f t="shared" si="291"/>
        <v>0</v>
      </c>
      <c r="GL126" s="48">
        <f t="shared" si="291"/>
        <v>0</v>
      </c>
      <c r="GM126" s="48">
        <f t="shared" si="291"/>
        <v>0</v>
      </c>
      <c r="GN126" s="48">
        <f t="shared" si="291"/>
        <v>0</v>
      </c>
      <c r="GO126" s="48">
        <f t="shared" si="291"/>
        <v>0</v>
      </c>
      <c r="GP126" s="48">
        <f t="shared" si="291"/>
        <v>0</v>
      </c>
      <c r="GQ126" s="48">
        <f t="shared" si="291"/>
        <v>0</v>
      </c>
      <c r="GR126" s="48">
        <f t="shared" si="291"/>
        <v>0</v>
      </c>
      <c r="GS126" s="48">
        <f t="shared" si="291"/>
        <v>0</v>
      </c>
      <c r="GT126" s="48">
        <f t="shared" si="291"/>
        <v>0</v>
      </c>
      <c r="GU126" s="48">
        <f t="shared" si="291"/>
        <v>0</v>
      </c>
      <c r="GV126" s="48">
        <f t="shared" si="291"/>
        <v>0</v>
      </c>
      <c r="GW126" s="48">
        <f t="shared" si="291"/>
        <v>0</v>
      </c>
      <c r="GX126" s="48">
        <f t="shared" si="291"/>
        <v>0</v>
      </c>
      <c r="GY126" s="48">
        <f t="shared" si="291"/>
        <v>0</v>
      </c>
      <c r="GZ126" s="48">
        <f t="shared" si="291"/>
        <v>0</v>
      </c>
      <c r="HA126" s="48">
        <f t="shared" si="291"/>
        <v>0</v>
      </c>
      <c r="HB126" s="48">
        <f t="shared" si="291"/>
        <v>0</v>
      </c>
      <c r="HC126" s="48">
        <f t="shared" si="291"/>
        <v>0</v>
      </c>
      <c r="HD126" s="48">
        <f t="shared" si="291"/>
        <v>0</v>
      </c>
      <c r="HE126" s="48">
        <f t="shared" si="291"/>
        <v>0</v>
      </c>
      <c r="HF126" s="48">
        <f t="shared" si="291"/>
        <v>0</v>
      </c>
      <c r="HG126" s="48">
        <f t="shared" si="291"/>
        <v>0</v>
      </c>
      <c r="HH126" s="48">
        <f t="shared" si="291"/>
        <v>0</v>
      </c>
      <c r="HI126" s="48">
        <f t="shared" si="291"/>
        <v>0</v>
      </c>
      <c r="HJ126" s="48">
        <f t="shared" si="291"/>
        <v>0</v>
      </c>
      <c r="HK126" s="48">
        <f t="shared" si="291"/>
        <v>0</v>
      </c>
      <c r="HL126" s="48">
        <f t="shared" si="291"/>
        <v>0</v>
      </c>
      <c r="HM126" s="48">
        <f t="shared" si="291"/>
        <v>0</v>
      </c>
      <c r="HN126" s="48">
        <f t="shared" si="291"/>
        <v>0</v>
      </c>
      <c r="HO126" s="48">
        <f t="shared" si="291"/>
        <v>0</v>
      </c>
      <c r="HP126" s="48">
        <f t="shared" si="291"/>
        <v>0</v>
      </c>
      <c r="HQ126" s="48">
        <f t="shared" si="291"/>
        <v>0</v>
      </c>
      <c r="HR126" s="48">
        <f t="shared" si="291"/>
        <v>0</v>
      </c>
      <c r="HS126" s="48">
        <f t="shared" si="291"/>
        <v>0</v>
      </c>
      <c r="HT126" s="48">
        <f t="shared" si="291"/>
        <v>0</v>
      </c>
      <c r="HU126" s="48">
        <f t="shared" si="291"/>
        <v>0</v>
      </c>
      <c r="HV126" s="48">
        <f t="shared" si="291"/>
        <v>0</v>
      </c>
      <c r="HW126" s="48">
        <f t="shared" si="291"/>
        <v>0</v>
      </c>
      <c r="HX126" s="48">
        <f t="shared" si="291"/>
        <v>0</v>
      </c>
      <c r="HY126" s="48">
        <f t="shared" si="291"/>
        <v>0</v>
      </c>
      <c r="HZ126" s="48">
        <f t="shared" si="291"/>
        <v>0</v>
      </c>
      <c r="IA126" s="48">
        <f t="shared" si="291"/>
        <v>0</v>
      </c>
      <c r="IB126" s="48">
        <f t="shared" si="291"/>
        <v>0</v>
      </c>
      <c r="IC126" s="48">
        <f t="shared" si="291"/>
        <v>0</v>
      </c>
      <c r="ID126" s="48">
        <f t="shared" si="291"/>
        <v>0</v>
      </c>
      <c r="IE126" s="48">
        <f t="shared" si="291"/>
        <v>0</v>
      </c>
      <c r="IF126" s="48">
        <f t="shared" si="291"/>
        <v>0</v>
      </c>
      <c r="IG126" s="48">
        <f t="shared" si="291"/>
        <v>0</v>
      </c>
      <c r="IH126" s="48">
        <f t="shared" si="291"/>
        <v>0</v>
      </c>
      <c r="II126" s="48">
        <f t="shared" si="291"/>
        <v>0</v>
      </c>
      <c r="IJ126" s="48">
        <f t="shared" ref="IJ126:KI126" si="292">-IF(AND(IK104=0,IJ104=1),IJ125,$G126*IJ103)</f>
        <v>0</v>
      </c>
      <c r="IK126" s="48">
        <f t="shared" si="292"/>
        <v>0</v>
      </c>
      <c r="IL126" s="48">
        <f t="shared" si="292"/>
        <v>0</v>
      </c>
      <c r="IM126" s="48">
        <f t="shared" si="292"/>
        <v>0</v>
      </c>
      <c r="IN126" s="48">
        <f t="shared" si="292"/>
        <v>0</v>
      </c>
      <c r="IO126" s="48">
        <f t="shared" si="292"/>
        <v>0</v>
      </c>
      <c r="IP126" s="48">
        <f t="shared" si="292"/>
        <v>0</v>
      </c>
      <c r="IQ126" s="48">
        <f t="shared" si="292"/>
        <v>0</v>
      </c>
      <c r="IR126" s="48">
        <f t="shared" si="292"/>
        <v>0</v>
      </c>
      <c r="IS126" s="48">
        <f t="shared" si="292"/>
        <v>0</v>
      </c>
      <c r="IT126" s="48">
        <f t="shared" si="292"/>
        <v>0</v>
      </c>
      <c r="IU126" s="48">
        <f t="shared" si="292"/>
        <v>0</v>
      </c>
      <c r="IV126" s="48">
        <f t="shared" si="292"/>
        <v>0</v>
      </c>
      <c r="IW126" s="48">
        <f t="shared" si="292"/>
        <v>0</v>
      </c>
      <c r="IX126" s="48">
        <f t="shared" si="292"/>
        <v>0</v>
      </c>
      <c r="IY126" s="48">
        <f t="shared" si="292"/>
        <v>0</v>
      </c>
      <c r="IZ126" s="48">
        <f t="shared" si="292"/>
        <v>0</v>
      </c>
      <c r="JA126" s="48">
        <f t="shared" si="292"/>
        <v>0</v>
      </c>
      <c r="JB126" s="48">
        <f t="shared" si="292"/>
        <v>0</v>
      </c>
      <c r="JC126" s="48">
        <f t="shared" si="292"/>
        <v>0</v>
      </c>
      <c r="JD126" s="48">
        <f t="shared" si="292"/>
        <v>0</v>
      </c>
      <c r="JE126" s="48">
        <f t="shared" si="292"/>
        <v>0</v>
      </c>
      <c r="JF126" s="48">
        <f t="shared" si="292"/>
        <v>0</v>
      </c>
      <c r="JG126" s="48">
        <f t="shared" si="292"/>
        <v>0</v>
      </c>
      <c r="JH126" s="48">
        <f t="shared" si="292"/>
        <v>0</v>
      </c>
      <c r="JI126" s="48">
        <f t="shared" si="292"/>
        <v>0</v>
      </c>
      <c r="JJ126" s="48">
        <f t="shared" si="292"/>
        <v>0</v>
      </c>
      <c r="JK126" s="48">
        <f t="shared" si="292"/>
        <v>0</v>
      </c>
      <c r="JL126" s="48">
        <f t="shared" si="292"/>
        <v>0</v>
      </c>
      <c r="JM126" s="48">
        <f t="shared" si="292"/>
        <v>0</v>
      </c>
      <c r="JN126" s="48">
        <f t="shared" si="292"/>
        <v>0</v>
      </c>
      <c r="JO126" s="48">
        <f t="shared" si="292"/>
        <v>0</v>
      </c>
      <c r="JP126" s="48">
        <f t="shared" si="292"/>
        <v>0</v>
      </c>
      <c r="JQ126" s="48">
        <f t="shared" si="292"/>
        <v>0</v>
      </c>
      <c r="JR126" s="48">
        <f t="shared" si="292"/>
        <v>0</v>
      </c>
      <c r="JS126" s="48">
        <f t="shared" si="292"/>
        <v>0</v>
      </c>
      <c r="JT126" s="48">
        <f t="shared" si="292"/>
        <v>0</v>
      </c>
      <c r="JU126" s="48">
        <f t="shared" si="292"/>
        <v>0</v>
      </c>
      <c r="JV126" s="48">
        <f t="shared" si="292"/>
        <v>0</v>
      </c>
      <c r="JW126" s="48">
        <f t="shared" si="292"/>
        <v>0</v>
      </c>
      <c r="JX126" s="48">
        <f t="shared" si="292"/>
        <v>0</v>
      </c>
      <c r="JY126" s="48">
        <f t="shared" si="292"/>
        <v>0</v>
      </c>
      <c r="JZ126" s="48">
        <f t="shared" si="292"/>
        <v>0</v>
      </c>
      <c r="KA126" s="48">
        <f t="shared" si="292"/>
        <v>0</v>
      </c>
      <c r="KB126" s="48">
        <f t="shared" si="292"/>
        <v>0</v>
      </c>
      <c r="KC126" s="48">
        <f t="shared" si="292"/>
        <v>0</v>
      </c>
      <c r="KD126" s="48">
        <f t="shared" si="292"/>
        <v>0</v>
      </c>
      <c r="KE126" s="48">
        <f t="shared" si="292"/>
        <v>0</v>
      </c>
      <c r="KF126" s="48">
        <f t="shared" si="292"/>
        <v>0</v>
      </c>
      <c r="KG126" s="48">
        <f t="shared" si="292"/>
        <v>0</v>
      </c>
      <c r="KH126" s="48">
        <f t="shared" si="292"/>
        <v>0</v>
      </c>
      <c r="KI126" s="48">
        <f t="shared" si="292"/>
        <v>0</v>
      </c>
      <c r="KJ126" s="1"/>
    </row>
    <row r="127" spans="7:296" x14ac:dyDescent="0.35">
      <c r="H127" s="13" t="s">
        <v>49</v>
      </c>
      <c r="M127" s="47" t="s">
        <v>102</v>
      </c>
      <c r="N127" s="52">
        <f>SUM(N125:N126)</f>
        <v>0</v>
      </c>
      <c r="O127" s="52">
        <f t="shared" ref="O127:BZ127" si="293">SUM(O125:O126)</f>
        <v>0</v>
      </c>
      <c r="P127" s="52">
        <f t="shared" si="293"/>
        <v>0</v>
      </c>
      <c r="Q127" s="52">
        <f t="shared" si="293"/>
        <v>0</v>
      </c>
      <c r="R127" s="52">
        <f t="shared" si="293"/>
        <v>0</v>
      </c>
      <c r="S127" s="52">
        <f t="shared" si="293"/>
        <v>0</v>
      </c>
      <c r="T127" s="52">
        <f t="shared" si="293"/>
        <v>1.2291666666666667</v>
      </c>
      <c r="U127" s="52">
        <f t="shared" si="293"/>
        <v>1.2083333333333335</v>
      </c>
      <c r="V127" s="52">
        <f t="shared" si="293"/>
        <v>1.1875000000000002</v>
      </c>
      <c r="W127" s="52">
        <f t="shared" si="293"/>
        <v>1.166666666666667</v>
      </c>
      <c r="X127" s="52">
        <f t="shared" si="293"/>
        <v>1.1458333333333337</v>
      </c>
      <c r="Y127" s="52">
        <f t="shared" si="293"/>
        <v>1.1250000000000004</v>
      </c>
      <c r="Z127" s="52">
        <f t="shared" si="293"/>
        <v>1.1041666666666672</v>
      </c>
      <c r="AA127" s="52">
        <f t="shared" si="293"/>
        <v>1.0833333333333339</v>
      </c>
      <c r="AB127" s="52">
        <f t="shared" si="293"/>
        <v>1.0625000000000007</v>
      </c>
      <c r="AC127" s="52">
        <f t="shared" si="293"/>
        <v>1.0416666666666674</v>
      </c>
      <c r="AD127" s="52">
        <f t="shared" si="293"/>
        <v>1.0208333333333341</v>
      </c>
      <c r="AE127" s="52">
        <f t="shared" si="293"/>
        <v>1.0000000000000009</v>
      </c>
      <c r="AF127" s="52">
        <f t="shared" si="293"/>
        <v>0.97916666666666752</v>
      </c>
      <c r="AG127" s="52">
        <f t="shared" si="293"/>
        <v>0.95833333333333415</v>
      </c>
      <c r="AH127" s="52">
        <f t="shared" si="293"/>
        <v>0.93750000000000078</v>
      </c>
      <c r="AI127" s="52">
        <f t="shared" si="293"/>
        <v>0.91666666666666741</v>
      </c>
      <c r="AJ127" s="52">
        <f t="shared" si="293"/>
        <v>0.89583333333333404</v>
      </c>
      <c r="AK127" s="52">
        <f t="shared" si="293"/>
        <v>0.87500000000000067</v>
      </c>
      <c r="AL127" s="52">
        <f t="shared" si="293"/>
        <v>0.8541666666666673</v>
      </c>
      <c r="AM127" s="52">
        <f t="shared" si="293"/>
        <v>0.83333333333333393</v>
      </c>
      <c r="AN127" s="52">
        <f t="shared" si="293"/>
        <v>0.81250000000000056</v>
      </c>
      <c r="AO127" s="52">
        <f t="shared" si="293"/>
        <v>0.79166666666666718</v>
      </c>
      <c r="AP127" s="52">
        <f t="shared" si="293"/>
        <v>0.77083333333333381</v>
      </c>
      <c r="AQ127" s="52">
        <f t="shared" si="293"/>
        <v>0.75000000000000044</v>
      </c>
      <c r="AR127" s="52">
        <f t="shared" si="293"/>
        <v>0.72916666666666707</v>
      </c>
      <c r="AS127" s="52">
        <f t="shared" si="293"/>
        <v>0.7083333333333337</v>
      </c>
      <c r="AT127" s="52">
        <f t="shared" si="293"/>
        <v>0.68750000000000033</v>
      </c>
      <c r="AU127" s="52">
        <f t="shared" si="293"/>
        <v>0.66666666666666696</v>
      </c>
      <c r="AV127" s="52">
        <f t="shared" si="293"/>
        <v>0.64583333333333359</v>
      </c>
      <c r="AW127" s="52">
        <f t="shared" si="293"/>
        <v>0.62500000000000022</v>
      </c>
      <c r="AX127" s="52">
        <f t="shared" si="293"/>
        <v>0.60416666666666685</v>
      </c>
      <c r="AY127" s="52">
        <f t="shared" si="293"/>
        <v>0.58333333333333348</v>
      </c>
      <c r="AZ127" s="52">
        <f t="shared" si="293"/>
        <v>0.56250000000000011</v>
      </c>
      <c r="BA127" s="52">
        <f t="shared" si="293"/>
        <v>0.54166666666666674</v>
      </c>
      <c r="BB127" s="52">
        <f t="shared" si="293"/>
        <v>0.52083333333333337</v>
      </c>
      <c r="BC127" s="52">
        <f t="shared" si="293"/>
        <v>0.5</v>
      </c>
      <c r="BD127" s="52">
        <f t="shared" si="293"/>
        <v>0.47916666666666669</v>
      </c>
      <c r="BE127" s="52">
        <f t="shared" si="293"/>
        <v>0.45833333333333337</v>
      </c>
      <c r="BF127" s="52">
        <f t="shared" si="293"/>
        <v>0.43750000000000006</v>
      </c>
      <c r="BG127" s="52">
        <f t="shared" si="293"/>
        <v>0.41666666666666674</v>
      </c>
      <c r="BH127" s="52">
        <f t="shared" si="293"/>
        <v>0.39583333333333343</v>
      </c>
      <c r="BI127" s="52">
        <f t="shared" si="293"/>
        <v>0.37500000000000011</v>
      </c>
      <c r="BJ127" s="52">
        <f t="shared" si="293"/>
        <v>0.3541666666666668</v>
      </c>
      <c r="BK127" s="52">
        <f t="shared" si="293"/>
        <v>0.33333333333333348</v>
      </c>
      <c r="BL127" s="52">
        <f t="shared" si="293"/>
        <v>0.31250000000000017</v>
      </c>
      <c r="BM127" s="52">
        <f t="shared" si="293"/>
        <v>0.29166666666666685</v>
      </c>
      <c r="BN127" s="52">
        <f t="shared" si="293"/>
        <v>0.27083333333333354</v>
      </c>
      <c r="BO127" s="52">
        <f t="shared" si="293"/>
        <v>0.25000000000000022</v>
      </c>
      <c r="BP127" s="52">
        <f t="shared" si="293"/>
        <v>0.22916666666666688</v>
      </c>
      <c r="BQ127" s="52">
        <f t="shared" si="293"/>
        <v>0.20833333333333354</v>
      </c>
      <c r="BR127" s="52">
        <f t="shared" si="293"/>
        <v>0.18750000000000019</v>
      </c>
      <c r="BS127" s="52">
        <f t="shared" si="293"/>
        <v>0.16666666666666685</v>
      </c>
      <c r="BT127" s="52">
        <f t="shared" si="293"/>
        <v>0.14583333333333351</v>
      </c>
      <c r="BU127" s="52">
        <f t="shared" si="293"/>
        <v>0.12500000000000017</v>
      </c>
      <c r="BV127" s="52">
        <f t="shared" si="293"/>
        <v>0.10416666666666684</v>
      </c>
      <c r="BW127" s="52">
        <f t="shared" si="293"/>
        <v>8.3333333333333509E-2</v>
      </c>
      <c r="BX127" s="52">
        <f t="shared" si="293"/>
        <v>6.250000000000018E-2</v>
      </c>
      <c r="BY127" s="52">
        <f t="shared" si="293"/>
        <v>4.1666666666666852E-2</v>
      </c>
      <c r="BZ127" s="52">
        <f t="shared" si="293"/>
        <v>2.083333333333352E-2</v>
      </c>
      <c r="CA127" s="52">
        <f t="shared" ref="CA127:EL127" si="294">SUM(CA125:CA126)</f>
        <v>0</v>
      </c>
      <c r="CB127" s="52">
        <f t="shared" si="294"/>
        <v>0</v>
      </c>
      <c r="CC127" s="52">
        <f t="shared" si="294"/>
        <v>0</v>
      </c>
      <c r="CD127" s="52">
        <f t="shared" si="294"/>
        <v>0</v>
      </c>
      <c r="CE127" s="52">
        <f t="shared" si="294"/>
        <v>0</v>
      </c>
      <c r="CF127" s="52">
        <f t="shared" si="294"/>
        <v>0</v>
      </c>
      <c r="CG127" s="52">
        <f t="shared" si="294"/>
        <v>0</v>
      </c>
      <c r="CH127" s="52">
        <f t="shared" si="294"/>
        <v>0</v>
      </c>
      <c r="CI127" s="52">
        <f t="shared" si="294"/>
        <v>0</v>
      </c>
      <c r="CJ127" s="52">
        <f t="shared" si="294"/>
        <v>0</v>
      </c>
      <c r="CK127" s="52">
        <f t="shared" si="294"/>
        <v>0</v>
      </c>
      <c r="CL127" s="52">
        <f t="shared" si="294"/>
        <v>0</v>
      </c>
      <c r="CM127" s="52">
        <f t="shared" si="294"/>
        <v>0</v>
      </c>
      <c r="CN127" s="52">
        <f t="shared" si="294"/>
        <v>0</v>
      </c>
      <c r="CO127" s="52">
        <f t="shared" si="294"/>
        <v>0</v>
      </c>
      <c r="CP127" s="52">
        <f t="shared" si="294"/>
        <v>0</v>
      </c>
      <c r="CQ127" s="52">
        <f t="shared" si="294"/>
        <v>0</v>
      </c>
      <c r="CR127" s="52">
        <f t="shared" si="294"/>
        <v>0</v>
      </c>
      <c r="CS127" s="52">
        <f t="shared" si="294"/>
        <v>0</v>
      </c>
      <c r="CT127" s="52">
        <f t="shared" si="294"/>
        <v>0</v>
      </c>
      <c r="CU127" s="52">
        <f t="shared" si="294"/>
        <v>0</v>
      </c>
      <c r="CV127" s="52">
        <f t="shared" si="294"/>
        <v>0</v>
      </c>
      <c r="CW127" s="52">
        <f t="shared" si="294"/>
        <v>0</v>
      </c>
      <c r="CX127" s="52">
        <f t="shared" si="294"/>
        <v>0</v>
      </c>
      <c r="CY127" s="52">
        <f t="shared" si="294"/>
        <v>0</v>
      </c>
      <c r="CZ127" s="52">
        <f t="shared" si="294"/>
        <v>0</v>
      </c>
      <c r="DA127" s="52">
        <f t="shared" si="294"/>
        <v>0</v>
      </c>
      <c r="DB127" s="52">
        <f t="shared" si="294"/>
        <v>0</v>
      </c>
      <c r="DC127" s="52">
        <f t="shared" si="294"/>
        <v>0</v>
      </c>
      <c r="DD127" s="52">
        <f t="shared" si="294"/>
        <v>0</v>
      </c>
      <c r="DE127" s="52">
        <f t="shared" si="294"/>
        <v>0</v>
      </c>
      <c r="DF127" s="52">
        <f t="shared" si="294"/>
        <v>0</v>
      </c>
      <c r="DG127" s="52">
        <f t="shared" si="294"/>
        <v>0</v>
      </c>
      <c r="DH127" s="52">
        <f t="shared" si="294"/>
        <v>0</v>
      </c>
      <c r="DI127" s="52">
        <f t="shared" si="294"/>
        <v>0</v>
      </c>
      <c r="DJ127" s="52">
        <f t="shared" si="294"/>
        <v>0</v>
      </c>
      <c r="DK127" s="52">
        <f t="shared" si="294"/>
        <v>0</v>
      </c>
      <c r="DL127" s="52">
        <f t="shared" si="294"/>
        <v>0</v>
      </c>
      <c r="DM127" s="52">
        <f t="shared" si="294"/>
        <v>0</v>
      </c>
      <c r="DN127" s="52">
        <f t="shared" si="294"/>
        <v>0</v>
      </c>
      <c r="DO127" s="52">
        <f t="shared" si="294"/>
        <v>0</v>
      </c>
      <c r="DP127" s="52">
        <f t="shared" si="294"/>
        <v>0</v>
      </c>
      <c r="DQ127" s="52">
        <f t="shared" si="294"/>
        <v>0</v>
      </c>
      <c r="DR127" s="52">
        <f t="shared" si="294"/>
        <v>0</v>
      </c>
      <c r="DS127" s="52">
        <f t="shared" si="294"/>
        <v>0</v>
      </c>
      <c r="DT127" s="52">
        <f t="shared" si="294"/>
        <v>0</v>
      </c>
      <c r="DU127" s="52">
        <f t="shared" si="294"/>
        <v>0</v>
      </c>
      <c r="DV127" s="52">
        <f t="shared" si="294"/>
        <v>0</v>
      </c>
      <c r="DW127" s="52">
        <f t="shared" si="294"/>
        <v>0</v>
      </c>
      <c r="DX127" s="52">
        <f t="shared" si="294"/>
        <v>0</v>
      </c>
      <c r="DY127" s="52">
        <f t="shared" si="294"/>
        <v>0</v>
      </c>
      <c r="DZ127" s="52">
        <f t="shared" si="294"/>
        <v>0</v>
      </c>
      <c r="EA127" s="52">
        <f t="shared" si="294"/>
        <v>0</v>
      </c>
      <c r="EB127" s="52">
        <f t="shared" si="294"/>
        <v>0</v>
      </c>
      <c r="EC127" s="52">
        <f t="shared" si="294"/>
        <v>0</v>
      </c>
      <c r="ED127" s="52">
        <f t="shared" si="294"/>
        <v>0</v>
      </c>
      <c r="EE127" s="52">
        <f t="shared" si="294"/>
        <v>0</v>
      </c>
      <c r="EF127" s="52">
        <f t="shared" si="294"/>
        <v>0</v>
      </c>
      <c r="EG127" s="52">
        <f t="shared" si="294"/>
        <v>0</v>
      </c>
      <c r="EH127" s="52">
        <f t="shared" si="294"/>
        <v>0</v>
      </c>
      <c r="EI127" s="52">
        <f t="shared" si="294"/>
        <v>0</v>
      </c>
      <c r="EJ127" s="52">
        <f t="shared" si="294"/>
        <v>0</v>
      </c>
      <c r="EK127" s="52">
        <f t="shared" si="294"/>
        <v>0</v>
      </c>
      <c r="EL127" s="52">
        <f t="shared" si="294"/>
        <v>0</v>
      </c>
      <c r="EM127" s="52">
        <f t="shared" ref="EM127:GX127" si="295">SUM(EM125:EM126)</f>
        <v>0</v>
      </c>
      <c r="EN127" s="52">
        <f t="shared" si="295"/>
        <v>0</v>
      </c>
      <c r="EO127" s="52">
        <f t="shared" si="295"/>
        <v>0</v>
      </c>
      <c r="EP127" s="52">
        <f t="shared" si="295"/>
        <v>0</v>
      </c>
      <c r="EQ127" s="52">
        <f t="shared" si="295"/>
        <v>0</v>
      </c>
      <c r="ER127" s="52">
        <f t="shared" si="295"/>
        <v>0</v>
      </c>
      <c r="ES127" s="52">
        <f t="shared" si="295"/>
        <v>0</v>
      </c>
      <c r="ET127" s="52">
        <f t="shared" si="295"/>
        <v>0</v>
      </c>
      <c r="EU127" s="52">
        <f t="shared" si="295"/>
        <v>0</v>
      </c>
      <c r="EV127" s="52">
        <f t="shared" si="295"/>
        <v>0</v>
      </c>
      <c r="EW127" s="52">
        <f t="shared" si="295"/>
        <v>0</v>
      </c>
      <c r="EX127" s="52">
        <f t="shared" si="295"/>
        <v>0</v>
      </c>
      <c r="EY127" s="52">
        <f t="shared" si="295"/>
        <v>0</v>
      </c>
      <c r="EZ127" s="52">
        <f t="shared" si="295"/>
        <v>0</v>
      </c>
      <c r="FA127" s="52">
        <f t="shared" si="295"/>
        <v>0</v>
      </c>
      <c r="FB127" s="52">
        <f t="shared" si="295"/>
        <v>0</v>
      </c>
      <c r="FC127" s="52">
        <f t="shared" si="295"/>
        <v>0</v>
      </c>
      <c r="FD127" s="52">
        <f t="shared" si="295"/>
        <v>0</v>
      </c>
      <c r="FE127" s="52">
        <f t="shared" si="295"/>
        <v>0</v>
      </c>
      <c r="FF127" s="52">
        <f t="shared" si="295"/>
        <v>0</v>
      </c>
      <c r="FG127" s="52">
        <f t="shared" si="295"/>
        <v>0</v>
      </c>
      <c r="FH127" s="52">
        <f t="shared" si="295"/>
        <v>0</v>
      </c>
      <c r="FI127" s="52">
        <f t="shared" si="295"/>
        <v>0</v>
      </c>
      <c r="FJ127" s="52">
        <f t="shared" si="295"/>
        <v>0</v>
      </c>
      <c r="FK127" s="52">
        <f t="shared" si="295"/>
        <v>0</v>
      </c>
      <c r="FL127" s="52">
        <f t="shared" si="295"/>
        <v>0</v>
      </c>
      <c r="FM127" s="52">
        <f t="shared" si="295"/>
        <v>0</v>
      </c>
      <c r="FN127" s="52">
        <f t="shared" si="295"/>
        <v>0</v>
      </c>
      <c r="FO127" s="52">
        <f t="shared" si="295"/>
        <v>0</v>
      </c>
      <c r="FP127" s="52">
        <f t="shared" si="295"/>
        <v>0</v>
      </c>
      <c r="FQ127" s="52">
        <f t="shared" si="295"/>
        <v>0</v>
      </c>
      <c r="FR127" s="52">
        <f t="shared" si="295"/>
        <v>0</v>
      </c>
      <c r="FS127" s="52">
        <f t="shared" si="295"/>
        <v>0</v>
      </c>
      <c r="FT127" s="52">
        <f t="shared" si="295"/>
        <v>0</v>
      </c>
      <c r="FU127" s="52">
        <f t="shared" si="295"/>
        <v>0</v>
      </c>
      <c r="FV127" s="52">
        <f t="shared" si="295"/>
        <v>0</v>
      </c>
      <c r="FW127" s="52">
        <f t="shared" si="295"/>
        <v>0</v>
      </c>
      <c r="FX127" s="52">
        <f t="shared" si="295"/>
        <v>0</v>
      </c>
      <c r="FY127" s="52">
        <f t="shared" si="295"/>
        <v>0</v>
      </c>
      <c r="FZ127" s="52">
        <f t="shared" si="295"/>
        <v>0</v>
      </c>
      <c r="GA127" s="52">
        <f t="shared" si="295"/>
        <v>0</v>
      </c>
      <c r="GB127" s="52">
        <f t="shared" si="295"/>
        <v>0</v>
      </c>
      <c r="GC127" s="52">
        <f t="shared" si="295"/>
        <v>0</v>
      </c>
      <c r="GD127" s="52">
        <f t="shared" si="295"/>
        <v>0</v>
      </c>
      <c r="GE127" s="52">
        <f t="shared" si="295"/>
        <v>0</v>
      </c>
      <c r="GF127" s="52">
        <f t="shared" si="295"/>
        <v>0</v>
      </c>
      <c r="GG127" s="52">
        <f t="shared" si="295"/>
        <v>0</v>
      </c>
      <c r="GH127" s="52">
        <f t="shared" si="295"/>
        <v>0</v>
      </c>
      <c r="GI127" s="52">
        <f t="shared" si="295"/>
        <v>0</v>
      </c>
      <c r="GJ127" s="52">
        <f t="shared" si="295"/>
        <v>0</v>
      </c>
      <c r="GK127" s="52">
        <f t="shared" si="295"/>
        <v>0</v>
      </c>
      <c r="GL127" s="52">
        <f t="shared" si="295"/>
        <v>0</v>
      </c>
      <c r="GM127" s="52">
        <f t="shared" si="295"/>
        <v>0</v>
      </c>
      <c r="GN127" s="52">
        <f t="shared" si="295"/>
        <v>0</v>
      </c>
      <c r="GO127" s="52">
        <f t="shared" si="295"/>
        <v>0</v>
      </c>
      <c r="GP127" s="52">
        <f t="shared" si="295"/>
        <v>0</v>
      </c>
      <c r="GQ127" s="52">
        <f t="shared" si="295"/>
        <v>0</v>
      </c>
      <c r="GR127" s="52">
        <f t="shared" si="295"/>
        <v>0</v>
      </c>
      <c r="GS127" s="52">
        <f t="shared" si="295"/>
        <v>0</v>
      </c>
      <c r="GT127" s="52">
        <f t="shared" si="295"/>
        <v>0</v>
      </c>
      <c r="GU127" s="52">
        <f t="shared" si="295"/>
        <v>0</v>
      </c>
      <c r="GV127" s="52">
        <f t="shared" si="295"/>
        <v>0</v>
      </c>
      <c r="GW127" s="52">
        <f t="shared" si="295"/>
        <v>0</v>
      </c>
      <c r="GX127" s="52">
        <f t="shared" si="295"/>
        <v>0</v>
      </c>
      <c r="GY127" s="52">
        <f t="shared" ref="GY127:JJ127" si="296">SUM(GY125:GY126)</f>
        <v>0</v>
      </c>
      <c r="GZ127" s="52">
        <f t="shared" si="296"/>
        <v>0</v>
      </c>
      <c r="HA127" s="52">
        <f t="shared" si="296"/>
        <v>0</v>
      </c>
      <c r="HB127" s="52">
        <f t="shared" si="296"/>
        <v>0</v>
      </c>
      <c r="HC127" s="52">
        <f t="shared" si="296"/>
        <v>0</v>
      </c>
      <c r="HD127" s="52">
        <f t="shared" si="296"/>
        <v>0</v>
      </c>
      <c r="HE127" s="52">
        <f t="shared" si="296"/>
        <v>0</v>
      </c>
      <c r="HF127" s="52">
        <f t="shared" si="296"/>
        <v>0</v>
      </c>
      <c r="HG127" s="52">
        <f t="shared" si="296"/>
        <v>0</v>
      </c>
      <c r="HH127" s="52">
        <f t="shared" si="296"/>
        <v>0</v>
      </c>
      <c r="HI127" s="52">
        <f t="shared" si="296"/>
        <v>0</v>
      </c>
      <c r="HJ127" s="52">
        <f t="shared" si="296"/>
        <v>0</v>
      </c>
      <c r="HK127" s="52">
        <f t="shared" si="296"/>
        <v>0</v>
      </c>
      <c r="HL127" s="52">
        <f t="shared" si="296"/>
        <v>0</v>
      </c>
      <c r="HM127" s="52">
        <f t="shared" si="296"/>
        <v>0</v>
      </c>
      <c r="HN127" s="52">
        <f t="shared" si="296"/>
        <v>0</v>
      </c>
      <c r="HO127" s="52">
        <f t="shared" si="296"/>
        <v>0</v>
      </c>
      <c r="HP127" s="52">
        <f t="shared" si="296"/>
        <v>0</v>
      </c>
      <c r="HQ127" s="52">
        <f t="shared" si="296"/>
        <v>0</v>
      </c>
      <c r="HR127" s="52">
        <f t="shared" si="296"/>
        <v>0</v>
      </c>
      <c r="HS127" s="52">
        <f t="shared" si="296"/>
        <v>0</v>
      </c>
      <c r="HT127" s="52">
        <f t="shared" si="296"/>
        <v>0</v>
      </c>
      <c r="HU127" s="52">
        <f t="shared" si="296"/>
        <v>0</v>
      </c>
      <c r="HV127" s="52">
        <f t="shared" si="296"/>
        <v>0</v>
      </c>
      <c r="HW127" s="52">
        <f t="shared" si="296"/>
        <v>0</v>
      </c>
      <c r="HX127" s="52">
        <f t="shared" si="296"/>
        <v>0</v>
      </c>
      <c r="HY127" s="52">
        <f t="shared" si="296"/>
        <v>0</v>
      </c>
      <c r="HZ127" s="52">
        <f t="shared" si="296"/>
        <v>0</v>
      </c>
      <c r="IA127" s="52">
        <f t="shared" si="296"/>
        <v>0</v>
      </c>
      <c r="IB127" s="52">
        <f t="shared" si="296"/>
        <v>0</v>
      </c>
      <c r="IC127" s="52">
        <f t="shared" si="296"/>
        <v>0</v>
      </c>
      <c r="ID127" s="52">
        <f t="shared" si="296"/>
        <v>0</v>
      </c>
      <c r="IE127" s="52">
        <f t="shared" si="296"/>
        <v>0</v>
      </c>
      <c r="IF127" s="52">
        <f t="shared" si="296"/>
        <v>0</v>
      </c>
      <c r="IG127" s="52">
        <f t="shared" si="296"/>
        <v>0</v>
      </c>
      <c r="IH127" s="52">
        <f t="shared" si="296"/>
        <v>0</v>
      </c>
      <c r="II127" s="52">
        <f t="shared" si="296"/>
        <v>0</v>
      </c>
      <c r="IJ127" s="52">
        <f t="shared" si="296"/>
        <v>0</v>
      </c>
      <c r="IK127" s="52">
        <f t="shared" si="296"/>
        <v>0</v>
      </c>
      <c r="IL127" s="52">
        <f t="shared" si="296"/>
        <v>0</v>
      </c>
      <c r="IM127" s="52">
        <f t="shared" si="296"/>
        <v>0</v>
      </c>
      <c r="IN127" s="52">
        <f t="shared" si="296"/>
        <v>0</v>
      </c>
      <c r="IO127" s="52">
        <f t="shared" si="296"/>
        <v>0</v>
      </c>
      <c r="IP127" s="52">
        <f t="shared" si="296"/>
        <v>0</v>
      </c>
      <c r="IQ127" s="52">
        <f t="shared" si="296"/>
        <v>0</v>
      </c>
      <c r="IR127" s="52">
        <f t="shared" si="296"/>
        <v>0</v>
      </c>
      <c r="IS127" s="52">
        <f t="shared" si="296"/>
        <v>0</v>
      </c>
      <c r="IT127" s="52">
        <f t="shared" si="296"/>
        <v>0</v>
      </c>
      <c r="IU127" s="52">
        <f t="shared" si="296"/>
        <v>0</v>
      </c>
      <c r="IV127" s="52">
        <f t="shared" si="296"/>
        <v>0</v>
      </c>
      <c r="IW127" s="52">
        <f t="shared" si="296"/>
        <v>0</v>
      </c>
      <c r="IX127" s="52">
        <f t="shared" si="296"/>
        <v>0</v>
      </c>
      <c r="IY127" s="52">
        <f t="shared" si="296"/>
        <v>0</v>
      </c>
      <c r="IZ127" s="52">
        <f t="shared" si="296"/>
        <v>0</v>
      </c>
      <c r="JA127" s="52">
        <f t="shared" si="296"/>
        <v>0</v>
      </c>
      <c r="JB127" s="52">
        <f t="shared" si="296"/>
        <v>0</v>
      </c>
      <c r="JC127" s="52">
        <f t="shared" si="296"/>
        <v>0</v>
      </c>
      <c r="JD127" s="52">
        <f t="shared" si="296"/>
        <v>0</v>
      </c>
      <c r="JE127" s="52">
        <f t="shared" si="296"/>
        <v>0</v>
      </c>
      <c r="JF127" s="52">
        <f t="shared" si="296"/>
        <v>0</v>
      </c>
      <c r="JG127" s="52">
        <f t="shared" si="296"/>
        <v>0</v>
      </c>
      <c r="JH127" s="52">
        <f t="shared" si="296"/>
        <v>0</v>
      </c>
      <c r="JI127" s="52">
        <f t="shared" si="296"/>
        <v>0</v>
      </c>
      <c r="JJ127" s="52">
        <f t="shared" si="296"/>
        <v>0</v>
      </c>
      <c r="JK127" s="52">
        <f t="shared" ref="JK127:KI127" si="297">SUM(JK125:JK126)</f>
        <v>0</v>
      </c>
      <c r="JL127" s="52">
        <f t="shared" si="297"/>
        <v>0</v>
      </c>
      <c r="JM127" s="52">
        <f t="shared" si="297"/>
        <v>0</v>
      </c>
      <c r="JN127" s="52">
        <f t="shared" si="297"/>
        <v>0</v>
      </c>
      <c r="JO127" s="52">
        <f t="shared" si="297"/>
        <v>0</v>
      </c>
      <c r="JP127" s="52">
        <f t="shared" si="297"/>
        <v>0</v>
      </c>
      <c r="JQ127" s="52">
        <f t="shared" si="297"/>
        <v>0</v>
      </c>
      <c r="JR127" s="52">
        <f t="shared" si="297"/>
        <v>0</v>
      </c>
      <c r="JS127" s="52">
        <f t="shared" si="297"/>
        <v>0</v>
      </c>
      <c r="JT127" s="52">
        <f t="shared" si="297"/>
        <v>0</v>
      </c>
      <c r="JU127" s="52">
        <f t="shared" si="297"/>
        <v>0</v>
      </c>
      <c r="JV127" s="52">
        <f t="shared" si="297"/>
        <v>0</v>
      </c>
      <c r="JW127" s="52">
        <f t="shared" si="297"/>
        <v>0</v>
      </c>
      <c r="JX127" s="52">
        <f t="shared" si="297"/>
        <v>0</v>
      </c>
      <c r="JY127" s="52">
        <f t="shared" si="297"/>
        <v>0</v>
      </c>
      <c r="JZ127" s="52">
        <f t="shared" si="297"/>
        <v>0</v>
      </c>
      <c r="KA127" s="52">
        <f t="shared" si="297"/>
        <v>0</v>
      </c>
      <c r="KB127" s="52">
        <f t="shared" si="297"/>
        <v>0</v>
      </c>
      <c r="KC127" s="52">
        <f t="shared" si="297"/>
        <v>0</v>
      </c>
      <c r="KD127" s="52">
        <f t="shared" si="297"/>
        <v>0</v>
      </c>
      <c r="KE127" s="52">
        <f t="shared" si="297"/>
        <v>0</v>
      </c>
      <c r="KF127" s="52">
        <f t="shared" si="297"/>
        <v>0</v>
      </c>
      <c r="KG127" s="52">
        <f t="shared" si="297"/>
        <v>0</v>
      </c>
      <c r="KH127" s="52">
        <f t="shared" si="297"/>
        <v>0</v>
      </c>
      <c r="KI127" s="52">
        <f t="shared" si="297"/>
        <v>0</v>
      </c>
      <c r="KJ127" s="1"/>
    </row>
    <row r="128" spans="7:296" x14ac:dyDescent="0.35">
      <c r="KJ128" s="1"/>
    </row>
    <row r="129" spans="10:296" x14ac:dyDescent="0.35">
      <c r="J129" s="10" t="s">
        <v>42</v>
      </c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 s="10"/>
      <c r="GM129" s="10"/>
      <c r="GN129" s="10"/>
      <c r="GO129" s="10"/>
      <c r="GP129" s="10"/>
      <c r="GQ129" s="10"/>
      <c r="GR129" s="10"/>
      <c r="GS129" s="10"/>
      <c r="GT129" s="10"/>
      <c r="GU129" s="10"/>
      <c r="GV129" s="10"/>
      <c r="GW129" s="10"/>
      <c r="GX129" s="10"/>
      <c r="GY129" s="10"/>
      <c r="GZ129" s="10"/>
      <c r="HA129" s="10"/>
      <c r="HB129" s="10"/>
      <c r="HC129" s="10"/>
      <c r="HD129" s="10"/>
      <c r="HE129" s="10"/>
      <c r="HF129" s="10"/>
      <c r="HG129" s="10"/>
      <c r="HH129" s="10"/>
      <c r="HI129" s="10"/>
      <c r="HJ129" s="10"/>
      <c r="HK129" s="10"/>
      <c r="HL129" s="10"/>
      <c r="HM129" s="10"/>
      <c r="HN129" s="10"/>
      <c r="HO129" s="10"/>
      <c r="HP129" s="10"/>
      <c r="HQ129" s="10"/>
      <c r="HR129" s="10"/>
      <c r="HS129" s="10"/>
      <c r="HT129" s="10"/>
      <c r="HU129" s="10"/>
      <c r="HV129" s="10"/>
      <c r="HW129" s="10"/>
      <c r="HX129" s="10"/>
      <c r="HY129" s="10"/>
      <c r="HZ129" s="10"/>
      <c r="IA129" s="10"/>
      <c r="IB129" s="10"/>
      <c r="IC129" s="10"/>
      <c r="ID129" s="10"/>
      <c r="IE129" s="10"/>
      <c r="IF129" s="10"/>
      <c r="IG129" s="10"/>
      <c r="IH129" s="10"/>
      <c r="II129" s="10"/>
      <c r="IJ129" s="10"/>
      <c r="IK129" s="10"/>
      <c r="IL129" s="10"/>
      <c r="IM129" s="10"/>
      <c r="IN129" s="10"/>
      <c r="IO129" s="10"/>
      <c r="IP129" s="10"/>
      <c r="IQ129" s="10"/>
      <c r="IR129" s="10"/>
      <c r="IS129" s="10"/>
      <c r="IT129" s="10"/>
      <c r="IU129" s="10"/>
      <c r="IV129" s="10"/>
      <c r="IW129" s="10"/>
      <c r="IX129" s="10"/>
      <c r="IY129" s="10"/>
      <c r="IZ129" s="10"/>
      <c r="JA129" s="10"/>
      <c r="JB129" s="10"/>
      <c r="JC129" s="10"/>
      <c r="JD129" s="10"/>
      <c r="JE129" s="10"/>
      <c r="JF129" s="10"/>
      <c r="JG129" s="10"/>
      <c r="JH129" s="10"/>
      <c r="JI129" s="10"/>
      <c r="JJ129" s="10"/>
      <c r="JK129" s="10"/>
      <c r="JL129" s="10"/>
      <c r="JM129" s="10"/>
      <c r="JN129" s="10"/>
      <c r="JO129" s="10"/>
      <c r="JP129" s="10"/>
      <c r="JQ129" s="10"/>
      <c r="JR129" s="10"/>
      <c r="JS129" s="10"/>
      <c r="JT129" s="10"/>
      <c r="JU129" s="10"/>
      <c r="JV129" s="10"/>
      <c r="JW129" s="10"/>
      <c r="JX129" s="10"/>
      <c r="JY129" s="10"/>
      <c r="JZ129" s="10"/>
      <c r="KA129" s="10"/>
      <c r="KB129" s="10"/>
      <c r="KC129" s="10"/>
      <c r="KD129" s="10"/>
      <c r="KE129" s="10"/>
      <c r="KF129" s="10"/>
      <c r="KG129" s="10"/>
      <c r="KH129" s="10"/>
      <c r="KI129" s="10"/>
      <c r="KJ129" s="1"/>
    </row>
    <row r="130" spans="10:296" x14ac:dyDescent="0.35">
      <c r="KJ130" s="1"/>
    </row>
    <row r="131" spans="10:296" x14ac:dyDescent="0.35">
      <c r="L131" s="22" t="s">
        <v>125</v>
      </c>
      <c r="KJ131" s="1"/>
    </row>
    <row r="132" spans="10:296" x14ac:dyDescent="0.35">
      <c r="M132" s="15" t="s">
        <v>97</v>
      </c>
      <c r="N132" s="46">
        <f>IF(MOD(MONTH(N$12),6)=0,1,0)</f>
        <v>0</v>
      </c>
      <c r="O132" s="46">
        <f t="shared" ref="O132:BZ132" si="298">IF(MOD(MONTH(O$12),6)=0,1,0)</f>
        <v>0</v>
      </c>
      <c r="P132" s="46">
        <f t="shared" si="298"/>
        <v>0</v>
      </c>
      <c r="Q132" s="46">
        <f t="shared" si="298"/>
        <v>0</v>
      </c>
      <c r="R132" s="46">
        <f t="shared" si="298"/>
        <v>0</v>
      </c>
      <c r="S132" s="46">
        <f t="shared" si="298"/>
        <v>1</v>
      </c>
      <c r="T132" s="46">
        <f t="shared" si="298"/>
        <v>0</v>
      </c>
      <c r="U132" s="46">
        <f t="shared" si="298"/>
        <v>0</v>
      </c>
      <c r="V132" s="46">
        <f t="shared" si="298"/>
        <v>0</v>
      </c>
      <c r="W132" s="46">
        <f t="shared" si="298"/>
        <v>0</v>
      </c>
      <c r="X132" s="46">
        <f t="shared" si="298"/>
        <v>0</v>
      </c>
      <c r="Y132" s="46">
        <f t="shared" si="298"/>
        <v>1</v>
      </c>
      <c r="Z132" s="46">
        <f t="shared" si="298"/>
        <v>0</v>
      </c>
      <c r="AA132" s="46">
        <f t="shared" si="298"/>
        <v>0</v>
      </c>
      <c r="AB132" s="46">
        <f t="shared" si="298"/>
        <v>0</v>
      </c>
      <c r="AC132" s="46">
        <f t="shared" si="298"/>
        <v>0</v>
      </c>
      <c r="AD132" s="46">
        <f t="shared" si="298"/>
        <v>0</v>
      </c>
      <c r="AE132" s="46">
        <f t="shared" si="298"/>
        <v>1</v>
      </c>
      <c r="AF132" s="46">
        <f t="shared" si="298"/>
        <v>0</v>
      </c>
      <c r="AG132" s="46">
        <f t="shared" si="298"/>
        <v>0</v>
      </c>
      <c r="AH132" s="46">
        <f t="shared" si="298"/>
        <v>0</v>
      </c>
      <c r="AI132" s="46">
        <f t="shared" si="298"/>
        <v>0</v>
      </c>
      <c r="AJ132" s="46">
        <f t="shared" si="298"/>
        <v>0</v>
      </c>
      <c r="AK132" s="46">
        <f t="shared" si="298"/>
        <v>1</v>
      </c>
      <c r="AL132" s="46">
        <f t="shared" si="298"/>
        <v>0</v>
      </c>
      <c r="AM132" s="46">
        <f t="shared" si="298"/>
        <v>0</v>
      </c>
      <c r="AN132" s="46">
        <f t="shared" si="298"/>
        <v>0</v>
      </c>
      <c r="AO132" s="46">
        <f t="shared" si="298"/>
        <v>0</v>
      </c>
      <c r="AP132" s="46">
        <f t="shared" si="298"/>
        <v>0</v>
      </c>
      <c r="AQ132" s="46">
        <f t="shared" si="298"/>
        <v>1</v>
      </c>
      <c r="AR132" s="46">
        <f t="shared" si="298"/>
        <v>0</v>
      </c>
      <c r="AS132" s="46">
        <f t="shared" si="298"/>
        <v>0</v>
      </c>
      <c r="AT132" s="46">
        <f t="shared" si="298"/>
        <v>0</v>
      </c>
      <c r="AU132" s="46">
        <f t="shared" si="298"/>
        <v>0</v>
      </c>
      <c r="AV132" s="46">
        <f t="shared" si="298"/>
        <v>0</v>
      </c>
      <c r="AW132" s="46">
        <f t="shared" si="298"/>
        <v>1</v>
      </c>
      <c r="AX132" s="46">
        <f t="shared" si="298"/>
        <v>0</v>
      </c>
      <c r="AY132" s="46">
        <f t="shared" si="298"/>
        <v>0</v>
      </c>
      <c r="AZ132" s="46">
        <f t="shared" si="298"/>
        <v>0</v>
      </c>
      <c r="BA132" s="46">
        <f t="shared" si="298"/>
        <v>0</v>
      </c>
      <c r="BB132" s="46">
        <f t="shared" si="298"/>
        <v>0</v>
      </c>
      <c r="BC132" s="46">
        <f t="shared" si="298"/>
        <v>1</v>
      </c>
      <c r="BD132" s="46">
        <f t="shared" si="298"/>
        <v>0</v>
      </c>
      <c r="BE132" s="46">
        <f t="shared" si="298"/>
        <v>0</v>
      </c>
      <c r="BF132" s="46">
        <f t="shared" si="298"/>
        <v>0</v>
      </c>
      <c r="BG132" s="46">
        <f t="shared" si="298"/>
        <v>0</v>
      </c>
      <c r="BH132" s="46">
        <f t="shared" si="298"/>
        <v>0</v>
      </c>
      <c r="BI132" s="46">
        <f t="shared" si="298"/>
        <v>1</v>
      </c>
      <c r="BJ132" s="46">
        <f t="shared" si="298"/>
        <v>0</v>
      </c>
      <c r="BK132" s="46">
        <f t="shared" si="298"/>
        <v>0</v>
      </c>
      <c r="BL132" s="46">
        <f t="shared" si="298"/>
        <v>0</v>
      </c>
      <c r="BM132" s="46">
        <f t="shared" si="298"/>
        <v>0</v>
      </c>
      <c r="BN132" s="46">
        <f t="shared" si="298"/>
        <v>0</v>
      </c>
      <c r="BO132" s="46">
        <f t="shared" si="298"/>
        <v>1</v>
      </c>
      <c r="BP132" s="46">
        <f t="shared" si="298"/>
        <v>0</v>
      </c>
      <c r="BQ132" s="46">
        <f t="shared" si="298"/>
        <v>0</v>
      </c>
      <c r="BR132" s="46">
        <f t="shared" si="298"/>
        <v>0</v>
      </c>
      <c r="BS132" s="46">
        <f t="shared" si="298"/>
        <v>0</v>
      </c>
      <c r="BT132" s="46">
        <f t="shared" si="298"/>
        <v>0</v>
      </c>
      <c r="BU132" s="46">
        <f t="shared" si="298"/>
        <v>1</v>
      </c>
      <c r="BV132" s="46">
        <f t="shared" si="298"/>
        <v>0</v>
      </c>
      <c r="BW132" s="46">
        <f t="shared" si="298"/>
        <v>0</v>
      </c>
      <c r="BX132" s="46">
        <f t="shared" si="298"/>
        <v>0</v>
      </c>
      <c r="BY132" s="46">
        <f t="shared" si="298"/>
        <v>0</v>
      </c>
      <c r="BZ132" s="46">
        <f t="shared" si="298"/>
        <v>0</v>
      </c>
      <c r="CA132" s="46">
        <f t="shared" ref="CA132:EL132" si="299">IF(MOD(MONTH(CA$12),6)=0,1,0)</f>
        <v>1</v>
      </c>
      <c r="CB132" s="46">
        <f t="shared" si="299"/>
        <v>0</v>
      </c>
      <c r="CC132" s="46">
        <f t="shared" si="299"/>
        <v>0</v>
      </c>
      <c r="CD132" s="46">
        <f t="shared" si="299"/>
        <v>0</v>
      </c>
      <c r="CE132" s="46">
        <f t="shared" si="299"/>
        <v>0</v>
      </c>
      <c r="CF132" s="46">
        <f t="shared" si="299"/>
        <v>0</v>
      </c>
      <c r="CG132" s="46">
        <f t="shared" si="299"/>
        <v>1</v>
      </c>
      <c r="CH132" s="46">
        <f t="shared" si="299"/>
        <v>0</v>
      </c>
      <c r="CI132" s="46">
        <f t="shared" si="299"/>
        <v>0</v>
      </c>
      <c r="CJ132" s="46">
        <f t="shared" si="299"/>
        <v>0</v>
      </c>
      <c r="CK132" s="46">
        <f t="shared" si="299"/>
        <v>0</v>
      </c>
      <c r="CL132" s="46">
        <f t="shared" si="299"/>
        <v>0</v>
      </c>
      <c r="CM132" s="46">
        <f t="shared" si="299"/>
        <v>1</v>
      </c>
      <c r="CN132" s="46">
        <f t="shared" si="299"/>
        <v>0</v>
      </c>
      <c r="CO132" s="46">
        <f t="shared" si="299"/>
        <v>0</v>
      </c>
      <c r="CP132" s="46">
        <f t="shared" si="299"/>
        <v>0</v>
      </c>
      <c r="CQ132" s="46">
        <f t="shared" si="299"/>
        <v>0</v>
      </c>
      <c r="CR132" s="46">
        <f t="shared" si="299"/>
        <v>0</v>
      </c>
      <c r="CS132" s="46">
        <f t="shared" si="299"/>
        <v>1</v>
      </c>
      <c r="CT132" s="46">
        <f t="shared" si="299"/>
        <v>0</v>
      </c>
      <c r="CU132" s="46">
        <f t="shared" si="299"/>
        <v>0</v>
      </c>
      <c r="CV132" s="46">
        <f t="shared" si="299"/>
        <v>0</v>
      </c>
      <c r="CW132" s="46">
        <f t="shared" si="299"/>
        <v>0</v>
      </c>
      <c r="CX132" s="46">
        <f t="shared" si="299"/>
        <v>0</v>
      </c>
      <c r="CY132" s="46">
        <f t="shared" si="299"/>
        <v>1</v>
      </c>
      <c r="CZ132" s="46">
        <f t="shared" si="299"/>
        <v>0</v>
      </c>
      <c r="DA132" s="46">
        <f t="shared" si="299"/>
        <v>0</v>
      </c>
      <c r="DB132" s="46">
        <f t="shared" si="299"/>
        <v>0</v>
      </c>
      <c r="DC132" s="46">
        <f t="shared" si="299"/>
        <v>0</v>
      </c>
      <c r="DD132" s="46">
        <f t="shared" si="299"/>
        <v>0</v>
      </c>
      <c r="DE132" s="46">
        <f t="shared" si="299"/>
        <v>1</v>
      </c>
      <c r="DF132" s="46">
        <f t="shared" si="299"/>
        <v>0</v>
      </c>
      <c r="DG132" s="46">
        <f t="shared" si="299"/>
        <v>0</v>
      </c>
      <c r="DH132" s="46">
        <f t="shared" si="299"/>
        <v>0</v>
      </c>
      <c r="DI132" s="46">
        <f t="shared" si="299"/>
        <v>0</v>
      </c>
      <c r="DJ132" s="46">
        <f t="shared" si="299"/>
        <v>0</v>
      </c>
      <c r="DK132" s="46">
        <f t="shared" si="299"/>
        <v>1</v>
      </c>
      <c r="DL132" s="46">
        <f t="shared" si="299"/>
        <v>0</v>
      </c>
      <c r="DM132" s="46">
        <f t="shared" si="299"/>
        <v>0</v>
      </c>
      <c r="DN132" s="46">
        <f t="shared" si="299"/>
        <v>0</v>
      </c>
      <c r="DO132" s="46">
        <f t="shared" si="299"/>
        <v>0</v>
      </c>
      <c r="DP132" s="46">
        <f t="shared" si="299"/>
        <v>0</v>
      </c>
      <c r="DQ132" s="46">
        <f t="shared" si="299"/>
        <v>1</v>
      </c>
      <c r="DR132" s="46">
        <f t="shared" si="299"/>
        <v>0</v>
      </c>
      <c r="DS132" s="46">
        <f t="shared" si="299"/>
        <v>0</v>
      </c>
      <c r="DT132" s="46">
        <f t="shared" si="299"/>
        <v>0</v>
      </c>
      <c r="DU132" s="46">
        <f t="shared" si="299"/>
        <v>0</v>
      </c>
      <c r="DV132" s="46">
        <f t="shared" si="299"/>
        <v>0</v>
      </c>
      <c r="DW132" s="46">
        <f t="shared" si="299"/>
        <v>1</v>
      </c>
      <c r="DX132" s="46">
        <f t="shared" si="299"/>
        <v>0</v>
      </c>
      <c r="DY132" s="46">
        <f t="shared" si="299"/>
        <v>0</v>
      </c>
      <c r="DZ132" s="46">
        <f t="shared" si="299"/>
        <v>0</v>
      </c>
      <c r="EA132" s="46">
        <f t="shared" si="299"/>
        <v>0</v>
      </c>
      <c r="EB132" s="46">
        <f t="shared" si="299"/>
        <v>0</v>
      </c>
      <c r="EC132" s="46">
        <f t="shared" si="299"/>
        <v>1</v>
      </c>
      <c r="ED132" s="46">
        <f t="shared" si="299"/>
        <v>0</v>
      </c>
      <c r="EE132" s="46">
        <f t="shared" si="299"/>
        <v>0</v>
      </c>
      <c r="EF132" s="46">
        <f t="shared" si="299"/>
        <v>0</v>
      </c>
      <c r="EG132" s="46">
        <f t="shared" si="299"/>
        <v>0</v>
      </c>
      <c r="EH132" s="46">
        <f t="shared" si="299"/>
        <v>0</v>
      </c>
      <c r="EI132" s="46">
        <f t="shared" si="299"/>
        <v>1</v>
      </c>
      <c r="EJ132" s="46">
        <f t="shared" si="299"/>
        <v>0</v>
      </c>
      <c r="EK132" s="46">
        <f t="shared" si="299"/>
        <v>0</v>
      </c>
      <c r="EL132" s="46">
        <f t="shared" si="299"/>
        <v>0</v>
      </c>
      <c r="EM132" s="46">
        <f t="shared" ref="EM132:GX132" si="300">IF(MOD(MONTH(EM$12),6)=0,1,0)</f>
        <v>0</v>
      </c>
      <c r="EN132" s="46">
        <f t="shared" si="300"/>
        <v>0</v>
      </c>
      <c r="EO132" s="46">
        <f t="shared" si="300"/>
        <v>1</v>
      </c>
      <c r="EP132" s="46">
        <f t="shared" si="300"/>
        <v>0</v>
      </c>
      <c r="EQ132" s="46">
        <f t="shared" si="300"/>
        <v>0</v>
      </c>
      <c r="ER132" s="46">
        <f t="shared" si="300"/>
        <v>0</v>
      </c>
      <c r="ES132" s="46">
        <f t="shared" si="300"/>
        <v>0</v>
      </c>
      <c r="ET132" s="46">
        <f t="shared" si="300"/>
        <v>0</v>
      </c>
      <c r="EU132" s="46">
        <f t="shared" si="300"/>
        <v>1</v>
      </c>
      <c r="EV132" s="46">
        <f t="shared" si="300"/>
        <v>0</v>
      </c>
      <c r="EW132" s="46">
        <f t="shared" si="300"/>
        <v>0</v>
      </c>
      <c r="EX132" s="46">
        <f t="shared" si="300"/>
        <v>0</v>
      </c>
      <c r="EY132" s="46">
        <f t="shared" si="300"/>
        <v>0</v>
      </c>
      <c r="EZ132" s="46">
        <f t="shared" si="300"/>
        <v>0</v>
      </c>
      <c r="FA132" s="46">
        <f t="shared" si="300"/>
        <v>1</v>
      </c>
      <c r="FB132" s="46">
        <f t="shared" si="300"/>
        <v>0</v>
      </c>
      <c r="FC132" s="46">
        <f t="shared" si="300"/>
        <v>0</v>
      </c>
      <c r="FD132" s="46">
        <f t="shared" si="300"/>
        <v>0</v>
      </c>
      <c r="FE132" s="46">
        <f t="shared" si="300"/>
        <v>0</v>
      </c>
      <c r="FF132" s="46">
        <f t="shared" si="300"/>
        <v>0</v>
      </c>
      <c r="FG132" s="46">
        <f t="shared" si="300"/>
        <v>1</v>
      </c>
      <c r="FH132" s="46">
        <f t="shared" si="300"/>
        <v>0</v>
      </c>
      <c r="FI132" s="46">
        <f t="shared" si="300"/>
        <v>0</v>
      </c>
      <c r="FJ132" s="46">
        <f t="shared" si="300"/>
        <v>0</v>
      </c>
      <c r="FK132" s="46">
        <f t="shared" si="300"/>
        <v>0</v>
      </c>
      <c r="FL132" s="46">
        <f t="shared" si="300"/>
        <v>0</v>
      </c>
      <c r="FM132" s="46">
        <f t="shared" si="300"/>
        <v>1</v>
      </c>
      <c r="FN132" s="46">
        <f t="shared" si="300"/>
        <v>0</v>
      </c>
      <c r="FO132" s="46">
        <f t="shared" si="300"/>
        <v>0</v>
      </c>
      <c r="FP132" s="46">
        <f t="shared" si="300"/>
        <v>0</v>
      </c>
      <c r="FQ132" s="46">
        <f t="shared" si="300"/>
        <v>0</v>
      </c>
      <c r="FR132" s="46">
        <f t="shared" si="300"/>
        <v>0</v>
      </c>
      <c r="FS132" s="46">
        <f t="shared" si="300"/>
        <v>1</v>
      </c>
      <c r="FT132" s="46">
        <f t="shared" si="300"/>
        <v>0</v>
      </c>
      <c r="FU132" s="46">
        <f t="shared" si="300"/>
        <v>0</v>
      </c>
      <c r="FV132" s="46">
        <f t="shared" si="300"/>
        <v>0</v>
      </c>
      <c r="FW132" s="46">
        <f t="shared" si="300"/>
        <v>0</v>
      </c>
      <c r="FX132" s="46">
        <f t="shared" si="300"/>
        <v>0</v>
      </c>
      <c r="FY132" s="46">
        <f t="shared" si="300"/>
        <v>1</v>
      </c>
      <c r="FZ132" s="46">
        <f t="shared" si="300"/>
        <v>0</v>
      </c>
      <c r="GA132" s="46">
        <f t="shared" si="300"/>
        <v>0</v>
      </c>
      <c r="GB132" s="46">
        <f t="shared" si="300"/>
        <v>0</v>
      </c>
      <c r="GC132" s="46">
        <f t="shared" si="300"/>
        <v>0</v>
      </c>
      <c r="GD132" s="46">
        <f t="shared" si="300"/>
        <v>0</v>
      </c>
      <c r="GE132" s="46">
        <f t="shared" si="300"/>
        <v>1</v>
      </c>
      <c r="GF132" s="46">
        <f t="shared" si="300"/>
        <v>0</v>
      </c>
      <c r="GG132" s="46">
        <f t="shared" si="300"/>
        <v>0</v>
      </c>
      <c r="GH132" s="46">
        <f t="shared" si="300"/>
        <v>0</v>
      </c>
      <c r="GI132" s="46">
        <f t="shared" si="300"/>
        <v>0</v>
      </c>
      <c r="GJ132" s="46">
        <f t="shared" si="300"/>
        <v>0</v>
      </c>
      <c r="GK132" s="46">
        <f t="shared" si="300"/>
        <v>1</v>
      </c>
      <c r="GL132" s="46">
        <f t="shared" si="300"/>
        <v>0</v>
      </c>
      <c r="GM132" s="46">
        <f t="shared" si="300"/>
        <v>0</v>
      </c>
      <c r="GN132" s="46">
        <f t="shared" si="300"/>
        <v>0</v>
      </c>
      <c r="GO132" s="46">
        <f t="shared" si="300"/>
        <v>0</v>
      </c>
      <c r="GP132" s="46">
        <f t="shared" si="300"/>
        <v>0</v>
      </c>
      <c r="GQ132" s="46">
        <f t="shared" si="300"/>
        <v>1</v>
      </c>
      <c r="GR132" s="46">
        <f t="shared" si="300"/>
        <v>0</v>
      </c>
      <c r="GS132" s="46">
        <f t="shared" si="300"/>
        <v>0</v>
      </c>
      <c r="GT132" s="46">
        <f t="shared" si="300"/>
        <v>0</v>
      </c>
      <c r="GU132" s="46">
        <f t="shared" si="300"/>
        <v>0</v>
      </c>
      <c r="GV132" s="46">
        <f t="shared" si="300"/>
        <v>0</v>
      </c>
      <c r="GW132" s="46">
        <f t="shared" si="300"/>
        <v>1</v>
      </c>
      <c r="GX132" s="46">
        <f t="shared" si="300"/>
        <v>0</v>
      </c>
      <c r="GY132" s="46">
        <f t="shared" ref="GY132:JJ132" si="301">IF(MOD(MONTH(GY$12),6)=0,1,0)</f>
        <v>0</v>
      </c>
      <c r="GZ132" s="46">
        <f t="shared" si="301"/>
        <v>0</v>
      </c>
      <c r="HA132" s="46">
        <f t="shared" si="301"/>
        <v>0</v>
      </c>
      <c r="HB132" s="46">
        <f t="shared" si="301"/>
        <v>0</v>
      </c>
      <c r="HC132" s="46">
        <f t="shared" si="301"/>
        <v>1</v>
      </c>
      <c r="HD132" s="46">
        <f t="shared" si="301"/>
        <v>0</v>
      </c>
      <c r="HE132" s="46">
        <f t="shared" si="301"/>
        <v>0</v>
      </c>
      <c r="HF132" s="46">
        <f t="shared" si="301"/>
        <v>0</v>
      </c>
      <c r="HG132" s="46">
        <f t="shared" si="301"/>
        <v>0</v>
      </c>
      <c r="HH132" s="46">
        <f t="shared" si="301"/>
        <v>0</v>
      </c>
      <c r="HI132" s="46">
        <f t="shared" si="301"/>
        <v>1</v>
      </c>
      <c r="HJ132" s="46">
        <f t="shared" si="301"/>
        <v>0</v>
      </c>
      <c r="HK132" s="46">
        <f t="shared" si="301"/>
        <v>0</v>
      </c>
      <c r="HL132" s="46">
        <f t="shared" si="301"/>
        <v>0</v>
      </c>
      <c r="HM132" s="46">
        <f t="shared" si="301"/>
        <v>0</v>
      </c>
      <c r="HN132" s="46">
        <f t="shared" si="301"/>
        <v>0</v>
      </c>
      <c r="HO132" s="46">
        <f t="shared" si="301"/>
        <v>1</v>
      </c>
      <c r="HP132" s="46">
        <f t="shared" si="301"/>
        <v>0</v>
      </c>
      <c r="HQ132" s="46">
        <f t="shared" si="301"/>
        <v>0</v>
      </c>
      <c r="HR132" s="46">
        <f t="shared" si="301"/>
        <v>0</v>
      </c>
      <c r="HS132" s="46">
        <f t="shared" si="301"/>
        <v>0</v>
      </c>
      <c r="HT132" s="46">
        <f t="shared" si="301"/>
        <v>0</v>
      </c>
      <c r="HU132" s="46">
        <f t="shared" si="301"/>
        <v>1</v>
      </c>
      <c r="HV132" s="46">
        <f t="shared" si="301"/>
        <v>0</v>
      </c>
      <c r="HW132" s="46">
        <f t="shared" si="301"/>
        <v>0</v>
      </c>
      <c r="HX132" s="46">
        <f t="shared" si="301"/>
        <v>0</v>
      </c>
      <c r="HY132" s="46">
        <f t="shared" si="301"/>
        <v>0</v>
      </c>
      <c r="HZ132" s="46">
        <f t="shared" si="301"/>
        <v>0</v>
      </c>
      <c r="IA132" s="46">
        <f t="shared" si="301"/>
        <v>1</v>
      </c>
      <c r="IB132" s="46">
        <f t="shared" si="301"/>
        <v>0</v>
      </c>
      <c r="IC132" s="46">
        <f t="shared" si="301"/>
        <v>0</v>
      </c>
      <c r="ID132" s="46">
        <f t="shared" si="301"/>
        <v>0</v>
      </c>
      <c r="IE132" s="46">
        <f t="shared" si="301"/>
        <v>0</v>
      </c>
      <c r="IF132" s="46">
        <f t="shared" si="301"/>
        <v>0</v>
      </c>
      <c r="IG132" s="46">
        <f t="shared" si="301"/>
        <v>1</v>
      </c>
      <c r="IH132" s="46">
        <f t="shared" si="301"/>
        <v>0</v>
      </c>
      <c r="II132" s="46">
        <f t="shared" si="301"/>
        <v>0</v>
      </c>
      <c r="IJ132" s="46">
        <f t="shared" si="301"/>
        <v>0</v>
      </c>
      <c r="IK132" s="46">
        <f t="shared" si="301"/>
        <v>0</v>
      </c>
      <c r="IL132" s="46">
        <f t="shared" si="301"/>
        <v>0</v>
      </c>
      <c r="IM132" s="46">
        <f t="shared" si="301"/>
        <v>1</v>
      </c>
      <c r="IN132" s="46">
        <f t="shared" si="301"/>
        <v>0</v>
      </c>
      <c r="IO132" s="46">
        <f t="shared" si="301"/>
        <v>0</v>
      </c>
      <c r="IP132" s="46">
        <f t="shared" si="301"/>
        <v>0</v>
      </c>
      <c r="IQ132" s="46">
        <f t="shared" si="301"/>
        <v>0</v>
      </c>
      <c r="IR132" s="46">
        <f t="shared" si="301"/>
        <v>0</v>
      </c>
      <c r="IS132" s="46">
        <f t="shared" si="301"/>
        <v>1</v>
      </c>
      <c r="IT132" s="46">
        <f t="shared" si="301"/>
        <v>0</v>
      </c>
      <c r="IU132" s="46">
        <f t="shared" si="301"/>
        <v>0</v>
      </c>
      <c r="IV132" s="46">
        <f t="shared" si="301"/>
        <v>0</v>
      </c>
      <c r="IW132" s="46">
        <f t="shared" si="301"/>
        <v>0</v>
      </c>
      <c r="IX132" s="46">
        <f t="shared" si="301"/>
        <v>0</v>
      </c>
      <c r="IY132" s="46">
        <f t="shared" si="301"/>
        <v>1</v>
      </c>
      <c r="IZ132" s="46">
        <f t="shared" si="301"/>
        <v>0</v>
      </c>
      <c r="JA132" s="46">
        <f t="shared" si="301"/>
        <v>0</v>
      </c>
      <c r="JB132" s="46">
        <f t="shared" si="301"/>
        <v>0</v>
      </c>
      <c r="JC132" s="46">
        <f t="shared" si="301"/>
        <v>0</v>
      </c>
      <c r="JD132" s="46">
        <f t="shared" si="301"/>
        <v>0</v>
      </c>
      <c r="JE132" s="46">
        <f t="shared" si="301"/>
        <v>1</v>
      </c>
      <c r="JF132" s="46">
        <f t="shared" si="301"/>
        <v>0</v>
      </c>
      <c r="JG132" s="46">
        <f t="shared" si="301"/>
        <v>0</v>
      </c>
      <c r="JH132" s="46">
        <f t="shared" si="301"/>
        <v>0</v>
      </c>
      <c r="JI132" s="46">
        <f t="shared" si="301"/>
        <v>0</v>
      </c>
      <c r="JJ132" s="46">
        <f t="shared" si="301"/>
        <v>0</v>
      </c>
      <c r="JK132" s="46">
        <f t="shared" ref="JK132:KI132" si="302">IF(MOD(MONTH(JK$12),6)=0,1,0)</f>
        <v>1</v>
      </c>
      <c r="JL132" s="46">
        <f t="shared" si="302"/>
        <v>0</v>
      </c>
      <c r="JM132" s="46">
        <f t="shared" si="302"/>
        <v>0</v>
      </c>
      <c r="JN132" s="46">
        <f t="shared" si="302"/>
        <v>0</v>
      </c>
      <c r="JO132" s="46">
        <f t="shared" si="302"/>
        <v>0</v>
      </c>
      <c r="JP132" s="46">
        <f t="shared" si="302"/>
        <v>0</v>
      </c>
      <c r="JQ132" s="46">
        <f t="shared" si="302"/>
        <v>1</v>
      </c>
      <c r="JR132" s="46">
        <f t="shared" si="302"/>
        <v>0</v>
      </c>
      <c r="JS132" s="46">
        <f t="shared" si="302"/>
        <v>0</v>
      </c>
      <c r="JT132" s="46">
        <f t="shared" si="302"/>
        <v>0</v>
      </c>
      <c r="JU132" s="46">
        <f t="shared" si="302"/>
        <v>0</v>
      </c>
      <c r="JV132" s="46">
        <f t="shared" si="302"/>
        <v>0</v>
      </c>
      <c r="JW132" s="46">
        <f t="shared" si="302"/>
        <v>1</v>
      </c>
      <c r="JX132" s="46">
        <f t="shared" si="302"/>
        <v>0</v>
      </c>
      <c r="JY132" s="46">
        <f t="shared" si="302"/>
        <v>0</v>
      </c>
      <c r="JZ132" s="46">
        <f t="shared" si="302"/>
        <v>0</v>
      </c>
      <c r="KA132" s="46">
        <f t="shared" si="302"/>
        <v>0</v>
      </c>
      <c r="KB132" s="46">
        <f t="shared" si="302"/>
        <v>0</v>
      </c>
      <c r="KC132" s="46">
        <f t="shared" si="302"/>
        <v>1</v>
      </c>
      <c r="KD132" s="46">
        <f t="shared" si="302"/>
        <v>0</v>
      </c>
      <c r="KE132" s="46">
        <f t="shared" si="302"/>
        <v>0</v>
      </c>
      <c r="KF132" s="46">
        <f t="shared" si="302"/>
        <v>0</v>
      </c>
      <c r="KG132" s="46">
        <f t="shared" si="302"/>
        <v>0</v>
      </c>
      <c r="KH132" s="46">
        <f t="shared" si="302"/>
        <v>0</v>
      </c>
      <c r="KI132" s="46">
        <f t="shared" si="302"/>
        <v>1</v>
      </c>
      <c r="KJ132" s="1"/>
    </row>
    <row r="133" spans="10:296" x14ac:dyDescent="0.35">
      <c r="KJ133" s="1"/>
    </row>
    <row r="134" spans="10:296" x14ac:dyDescent="0.35">
      <c r="K134" s="19" t="s">
        <v>201</v>
      </c>
      <c r="L134" s="19"/>
      <c r="M134" s="16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  <c r="BJ134" s="17"/>
      <c r="BK134" s="17"/>
      <c r="BL134" s="17"/>
      <c r="BM134" s="17"/>
      <c r="BN134" s="17"/>
      <c r="BO134" s="17"/>
      <c r="BP134" s="17"/>
      <c r="BQ134" s="17"/>
      <c r="BR134" s="17"/>
      <c r="BS134" s="17"/>
      <c r="BT134" s="17"/>
      <c r="BU134" s="17"/>
      <c r="BV134" s="17"/>
      <c r="BW134" s="17"/>
      <c r="BX134" s="17"/>
      <c r="BY134" s="17"/>
      <c r="BZ134" s="17"/>
      <c r="CA134" s="17"/>
      <c r="CB134" s="17"/>
      <c r="CC134" s="17"/>
      <c r="CD134" s="17"/>
      <c r="CE134" s="17"/>
      <c r="CF134" s="17"/>
      <c r="CG134" s="17"/>
      <c r="CH134" s="17"/>
      <c r="CI134" s="17"/>
      <c r="CJ134" s="17"/>
      <c r="CK134" s="17"/>
      <c r="CL134" s="17"/>
      <c r="CM134" s="17"/>
      <c r="CN134" s="17"/>
      <c r="CO134" s="17"/>
      <c r="CP134" s="17"/>
      <c r="CQ134" s="17"/>
      <c r="CR134" s="17"/>
      <c r="CS134" s="17"/>
      <c r="CT134" s="17"/>
      <c r="CU134" s="17"/>
      <c r="CV134" s="17"/>
      <c r="CW134" s="17"/>
      <c r="CX134" s="17"/>
      <c r="CY134" s="17"/>
      <c r="CZ134" s="17"/>
      <c r="DA134" s="17"/>
      <c r="DB134" s="17"/>
      <c r="DC134" s="17"/>
      <c r="DD134" s="17"/>
      <c r="DE134" s="17"/>
      <c r="DF134" s="17"/>
      <c r="DG134" s="17"/>
      <c r="DH134" s="17"/>
      <c r="DI134" s="17"/>
      <c r="DJ134" s="17"/>
      <c r="DK134" s="17"/>
      <c r="DL134" s="17"/>
      <c r="DM134" s="17"/>
      <c r="DN134" s="17"/>
      <c r="DO134" s="17"/>
      <c r="DP134" s="17"/>
      <c r="DQ134" s="17"/>
      <c r="DR134" s="17"/>
      <c r="DS134" s="17"/>
      <c r="DT134" s="17"/>
      <c r="DU134" s="17"/>
      <c r="DV134" s="17"/>
      <c r="DW134" s="17"/>
      <c r="DX134" s="17"/>
      <c r="DY134" s="17"/>
      <c r="DZ134" s="17"/>
      <c r="EA134" s="17"/>
      <c r="EB134" s="17"/>
      <c r="EC134" s="17"/>
      <c r="ED134" s="17"/>
      <c r="EE134" s="17"/>
      <c r="EF134" s="17"/>
      <c r="EG134" s="17"/>
      <c r="EH134" s="17"/>
      <c r="EI134" s="17"/>
      <c r="EJ134" s="17"/>
      <c r="EK134" s="17"/>
      <c r="EL134" s="17"/>
      <c r="EM134" s="17"/>
      <c r="EN134" s="17"/>
      <c r="EO134" s="17"/>
      <c r="EP134" s="17"/>
      <c r="EQ134" s="17"/>
      <c r="ER134" s="17"/>
      <c r="ES134" s="17"/>
      <c r="ET134" s="17"/>
      <c r="EU134" s="17"/>
      <c r="EV134" s="17"/>
      <c r="EW134" s="17"/>
      <c r="EX134" s="17"/>
      <c r="EY134" s="17"/>
      <c r="EZ134" s="17"/>
      <c r="FA134" s="17"/>
      <c r="FB134" s="17"/>
      <c r="FC134" s="17"/>
      <c r="FD134" s="17"/>
      <c r="FE134" s="17"/>
      <c r="FF134" s="17"/>
      <c r="FG134" s="17"/>
      <c r="FH134" s="17"/>
      <c r="FI134" s="17"/>
      <c r="FJ134" s="17"/>
      <c r="FK134" s="17"/>
      <c r="FL134" s="17"/>
      <c r="FM134" s="17"/>
      <c r="FN134" s="17"/>
      <c r="FO134" s="17"/>
      <c r="FP134" s="17"/>
      <c r="FQ134" s="17"/>
      <c r="FR134" s="17"/>
      <c r="FS134" s="17"/>
      <c r="FT134" s="17"/>
      <c r="FU134" s="17"/>
      <c r="FV134" s="17"/>
      <c r="FW134" s="17"/>
      <c r="FX134" s="17"/>
      <c r="FY134" s="17"/>
      <c r="FZ134" s="17"/>
      <c r="GA134" s="17"/>
      <c r="GB134" s="17"/>
      <c r="GC134" s="17"/>
      <c r="GD134" s="17"/>
      <c r="GE134" s="17"/>
      <c r="GF134" s="17"/>
      <c r="GG134" s="17"/>
      <c r="GH134" s="17"/>
      <c r="GI134" s="17"/>
      <c r="GJ134" s="17"/>
      <c r="GK134" s="17"/>
      <c r="GL134" s="17"/>
      <c r="GM134" s="17"/>
      <c r="GN134" s="17"/>
      <c r="GO134" s="17"/>
      <c r="GP134" s="17"/>
      <c r="GQ134" s="17"/>
      <c r="GR134" s="17"/>
      <c r="GS134" s="17"/>
      <c r="GT134" s="17"/>
      <c r="GU134" s="17"/>
      <c r="GV134" s="17"/>
      <c r="GW134" s="17"/>
      <c r="GX134" s="17"/>
      <c r="GY134" s="17"/>
      <c r="GZ134" s="17"/>
      <c r="HA134" s="17"/>
      <c r="HB134" s="17"/>
      <c r="HC134" s="17"/>
      <c r="HD134" s="17"/>
      <c r="HE134" s="17"/>
      <c r="HF134" s="17"/>
      <c r="HG134" s="17"/>
      <c r="HH134" s="17"/>
      <c r="HI134" s="17"/>
      <c r="HJ134" s="17"/>
      <c r="HK134" s="17"/>
      <c r="HL134" s="17"/>
      <c r="HM134" s="17"/>
      <c r="HN134" s="17"/>
      <c r="HO134" s="17"/>
      <c r="HP134" s="17"/>
      <c r="HQ134" s="17"/>
      <c r="HR134" s="17"/>
      <c r="HS134" s="17"/>
      <c r="HT134" s="17"/>
      <c r="HU134" s="17"/>
      <c r="HV134" s="17"/>
      <c r="HW134" s="17"/>
      <c r="HX134" s="17"/>
      <c r="HY134" s="17"/>
      <c r="HZ134" s="17"/>
      <c r="IA134" s="17"/>
      <c r="IB134" s="17"/>
      <c r="IC134" s="17"/>
      <c r="ID134" s="17"/>
      <c r="IE134" s="17"/>
      <c r="IF134" s="17"/>
      <c r="IG134" s="17"/>
      <c r="IH134" s="17"/>
      <c r="II134" s="17"/>
      <c r="IJ134" s="17"/>
      <c r="IK134" s="17"/>
      <c r="IL134" s="17"/>
      <c r="IM134" s="17"/>
      <c r="IN134" s="17"/>
      <c r="IO134" s="17"/>
      <c r="IP134" s="17"/>
      <c r="IQ134" s="17"/>
      <c r="IR134" s="17"/>
      <c r="IS134" s="17"/>
      <c r="IT134" s="17"/>
      <c r="IU134" s="17"/>
      <c r="IV134" s="17"/>
      <c r="IW134" s="17"/>
      <c r="IX134" s="17"/>
      <c r="IY134" s="17"/>
      <c r="IZ134" s="17"/>
      <c r="JA134" s="17"/>
      <c r="JB134" s="17"/>
      <c r="JC134" s="17"/>
      <c r="JD134" s="17"/>
      <c r="JE134" s="17"/>
      <c r="JF134" s="17"/>
      <c r="JG134" s="17"/>
      <c r="JH134" s="17"/>
      <c r="JI134" s="17"/>
      <c r="JJ134" s="17"/>
      <c r="JK134" s="17"/>
      <c r="JL134" s="17"/>
      <c r="JM134" s="17"/>
      <c r="JN134" s="17"/>
      <c r="JO134" s="17"/>
      <c r="JP134" s="17"/>
      <c r="JQ134" s="17"/>
      <c r="JR134" s="17"/>
      <c r="JS134" s="17"/>
      <c r="JT134" s="17"/>
      <c r="JU134" s="17"/>
      <c r="JV134" s="17"/>
      <c r="JW134" s="17"/>
      <c r="JX134" s="17"/>
      <c r="JY134" s="17"/>
      <c r="JZ134" s="17"/>
      <c r="KA134" s="17"/>
      <c r="KB134" s="17"/>
      <c r="KC134" s="17"/>
      <c r="KD134" s="17"/>
      <c r="KE134" s="17"/>
      <c r="KF134" s="17"/>
      <c r="KG134" s="17"/>
      <c r="KH134" s="17"/>
      <c r="KI134" s="17"/>
      <c r="KJ134" s="1"/>
    </row>
    <row r="135" spans="10:296" x14ac:dyDescent="0.35">
      <c r="KJ135" s="1"/>
    </row>
    <row r="136" spans="10:296" x14ac:dyDescent="0.35">
      <c r="L136" s="22" t="s">
        <v>127</v>
      </c>
      <c r="KJ136" s="1"/>
    </row>
    <row r="137" spans="10:296" x14ac:dyDescent="0.35">
      <c r="M137" s="15" t="s">
        <v>205</v>
      </c>
      <c r="N137" s="48">
        <f>N81</f>
        <v>0</v>
      </c>
      <c r="O137" s="48">
        <f t="shared" ref="O137:BZ137" si="303">O81</f>
        <v>0</v>
      </c>
      <c r="P137" s="48">
        <f t="shared" si="303"/>
        <v>0</v>
      </c>
      <c r="Q137" s="48">
        <f t="shared" si="303"/>
        <v>0</v>
      </c>
      <c r="R137" s="48">
        <f t="shared" si="303"/>
        <v>0</v>
      </c>
      <c r="S137" s="48">
        <f t="shared" si="303"/>
        <v>-35</v>
      </c>
      <c r="T137" s="48">
        <f t="shared" si="303"/>
        <v>0</v>
      </c>
      <c r="U137" s="48">
        <f t="shared" si="303"/>
        <v>0</v>
      </c>
      <c r="V137" s="48">
        <f t="shared" si="303"/>
        <v>0</v>
      </c>
      <c r="W137" s="48">
        <f t="shared" si="303"/>
        <v>0</v>
      </c>
      <c r="X137" s="48">
        <f t="shared" si="303"/>
        <v>0</v>
      </c>
      <c r="Y137" s="48">
        <f t="shared" si="303"/>
        <v>0</v>
      </c>
      <c r="Z137" s="48">
        <f t="shared" si="303"/>
        <v>0</v>
      </c>
      <c r="AA137" s="48">
        <f t="shared" si="303"/>
        <v>0</v>
      </c>
      <c r="AB137" s="48">
        <f t="shared" si="303"/>
        <v>0</v>
      </c>
      <c r="AC137" s="48">
        <f t="shared" si="303"/>
        <v>0</v>
      </c>
      <c r="AD137" s="48">
        <f t="shared" si="303"/>
        <v>0</v>
      </c>
      <c r="AE137" s="48">
        <f t="shared" si="303"/>
        <v>0</v>
      </c>
      <c r="AF137" s="48">
        <f t="shared" si="303"/>
        <v>0</v>
      </c>
      <c r="AG137" s="48">
        <f t="shared" si="303"/>
        <v>0</v>
      </c>
      <c r="AH137" s="48">
        <f t="shared" si="303"/>
        <v>0</v>
      </c>
      <c r="AI137" s="48">
        <f t="shared" si="303"/>
        <v>0</v>
      </c>
      <c r="AJ137" s="48">
        <f t="shared" si="303"/>
        <v>0</v>
      </c>
      <c r="AK137" s="48">
        <f t="shared" si="303"/>
        <v>0</v>
      </c>
      <c r="AL137" s="48">
        <f t="shared" si="303"/>
        <v>0</v>
      </c>
      <c r="AM137" s="48">
        <f t="shared" si="303"/>
        <v>0</v>
      </c>
      <c r="AN137" s="48">
        <f t="shared" si="303"/>
        <v>0</v>
      </c>
      <c r="AO137" s="48">
        <f t="shared" si="303"/>
        <v>0</v>
      </c>
      <c r="AP137" s="48">
        <f t="shared" si="303"/>
        <v>0</v>
      </c>
      <c r="AQ137" s="48">
        <f t="shared" si="303"/>
        <v>0</v>
      </c>
      <c r="AR137" s="48">
        <f t="shared" si="303"/>
        <v>0</v>
      </c>
      <c r="AS137" s="48">
        <f t="shared" si="303"/>
        <v>0</v>
      </c>
      <c r="AT137" s="48">
        <f t="shared" si="303"/>
        <v>0</v>
      </c>
      <c r="AU137" s="48">
        <f t="shared" si="303"/>
        <v>0</v>
      </c>
      <c r="AV137" s="48">
        <f t="shared" si="303"/>
        <v>0</v>
      </c>
      <c r="AW137" s="48">
        <f t="shared" si="303"/>
        <v>0</v>
      </c>
      <c r="AX137" s="48">
        <f t="shared" si="303"/>
        <v>0</v>
      </c>
      <c r="AY137" s="48">
        <f t="shared" si="303"/>
        <v>0</v>
      </c>
      <c r="AZ137" s="48">
        <f t="shared" si="303"/>
        <v>0</v>
      </c>
      <c r="BA137" s="48">
        <f t="shared" si="303"/>
        <v>0</v>
      </c>
      <c r="BB137" s="48">
        <f t="shared" si="303"/>
        <v>0</v>
      </c>
      <c r="BC137" s="48">
        <f t="shared" si="303"/>
        <v>0</v>
      </c>
      <c r="BD137" s="48">
        <f t="shared" si="303"/>
        <v>0</v>
      </c>
      <c r="BE137" s="48">
        <f t="shared" si="303"/>
        <v>0</v>
      </c>
      <c r="BF137" s="48">
        <f t="shared" si="303"/>
        <v>0</v>
      </c>
      <c r="BG137" s="48">
        <f t="shared" si="303"/>
        <v>0</v>
      </c>
      <c r="BH137" s="48">
        <f t="shared" si="303"/>
        <v>0</v>
      </c>
      <c r="BI137" s="48">
        <f t="shared" si="303"/>
        <v>0</v>
      </c>
      <c r="BJ137" s="48">
        <f t="shared" si="303"/>
        <v>0</v>
      </c>
      <c r="BK137" s="48">
        <f t="shared" si="303"/>
        <v>0</v>
      </c>
      <c r="BL137" s="48">
        <f t="shared" si="303"/>
        <v>0</v>
      </c>
      <c r="BM137" s="48">
        <f t="shared" si="303"/>
        <v>0</v>
      </c>
      <c r="BN137" s="48">
        <f t="shared" si="303"/>
        <v>0</v>
      </c>
      <c r="BO137" s="48">
        <f t="shared" si="303"/>
        <v>0</v>
      </c>
      <c r="BP137" s="48">
        <f t="shared" si="303"/>
        <v>0</v>
      </c>
      <c r="BQ137" s="48">
        <f t="shared" si="303"/>
        <v>0</v>
      </c>
      <c r="BR137" s="48">
        <f t="shared" si="303"/>
        <v>0</v>
      </c>
      <c r="BS137" s="48">
        <f t="shared" si="303"/>
        <v>0</v>
      </c>
      <c r="BT137" s="48">
        <f t="shared" si="303"/>
        <v>0</v>
      </c>
      <c r="BU137" s="48">
        <f t="shared" si="303"/>
        <v>0</v>
      </c>
      <c r="BV137" s="48">
        <f t="shared" si="303"/>
        <v>0</v>
      </c>
      <c r="BW137" s="48">
        <f t="shared" si="303"/>
        <v>0</v>
      </c>
      <c r="BX137" s="48">
        <f t="shared" si="303"/>
        <v>0</v>
      </c>
      <c r="BY137" s="48">
        <f t="shared" si="303"/>
        <v>0</v>
      </c>
      <c r="BZ137" s="48">
        <f t="shared" si="303"/>
        <v>0</v>
      </c>
      <c r="CA137" s="48">
        <f t="shared" ref="CA137:EL137" si="304">CA81</f>
        <v>0</v>
      </c>
      <c r="CB137" s="48">
        <f t="shared" si="304"/>
        <v>0</v>
      </c>
      <c r="CC137" s="48">
        <f t="shared" si="304"/>
        <v>0</v>
      </c>
      <c r="CD137" s="48">
        <f t="shared" si="304"/>
        <v>0</v>
      </c>
      <c r="CE137" s="48">
        <f t="shared" si="304"/>
        <v>0</v>
      </c>
      <c r="CF137" s="48">
        <f t="shared" si="304"/>
        <v>0</v>
      </c>
      <c r="CG137" s="48">
        <f t="shared" si="304"/>
        <v>0</v>
      </c>
      <c r="CH137" s="48">
        <f t="shared" si="304"/>
        <v>0</v>
      </c>
      <c r="CI137" s="48">
        <f t="shared" si="304"/>
        <v>0</v>
      </c>
      <c r="CJ137" s="48">
        <f t="shared" si="304"/>
        <v>0</v>
      </c>
      <c r="CK137" s="48">
        <f t="shared" si="304"/>
        <v>0</v>
      </c>
      <c r="CL137" s="48">
        <f t="shared" si="304"/>
        <v>0</v>
      </c>
      <c r="CM137" s="48">
        <f t="shared" si="304"/>
        <v>0</v>
      </c>
      <c r="CN137" s="48">
        <f t="shared" si="304"/>
        <v>0</v>
      </c>
      <c r="CO137" s="48">
        <f t="shared" si="304"/>
        <v>0</v>
      </c>
      <c r="CP137" s="48">
        <f t="shared" si="304"/>
        <v>0</v>
      </c>
      <c r="CQ137" s="48">
        <f t="shared" si="304"/>
        <v>0</v>
      </c>
      <c r="CR137" s="48">
        <f t="shared" si="304"/>
        <v>0</v>
      </c>
      <c r="CS137" s="48">
        <f t="shared" si="304"/>
        <v>0</v>
      </c>
      <c r="CT137" s="48">
        <f t="shared" si="304"/>
        <v>0</v>
      </c>
      <c r="CU137" s="48">
        <f t="shared" si="304"/>
        <v>0</v>
      </c>
      <c r="CV137" s="48">
        <f t="shared" si="304"/>
        <v>0</v>
      </c>
      <c r="CW137" s="48">
        <f t="shared" si="304"/>
        <v>0</v>
      </c>
      <c r="CX137" s="48">
        <f t="shared" si="304"/>
        <v>0</v>
      </c>
      <c r="CY137" s="48">
        <f t="shared" si="304"/>
        <v>0</v>
      </c>
      <c r="CZ137" s="48">
        <f t="shared" si="304"/>
        <v>0</v>
      </c>
      <c r="DA137" s="48">
        <f t="shared" si="304"/>
        <v>0</v>
      </c>
      <c r="DB137" s="48">
        <f t="shared" si="304"/>
        <v>0</v>
      </c>
      <c r="DC137" s="48">
        <f t="shared" si="304"/>
        <v>0</v>
      </c>
      <c r="DD137" s="48">
        <f t="shared" si="304"/>
        <v>0</v>
      </c>
      <c r="DE137" s="48">
        <f t="shared" si="304"/>
        <v>0</v>
      </c>
      <c r="DF137" s="48">
        <f t="shared" si="304"/>
        <v>0</v>
      </c>
      <c r="DG137" s="48">
        <f t="shared" si="304"/>
        <v>0</v>
      </c>
      <c r="DH137" s="48">
        <f t="shared" si="304"/>
        <v>0</v>
      </c>
      <c r="DI137" s="48">
        <f t="shared" si="304"/>
        <v>0</v>
      </c>
      <c r="DJ137" s="48">
        <f t="shared" si="304"/>
        <v>0</v>
      </c>
      <c r="DK137" s="48">
        <f t="shared" si="304"/>
        <v>0</v>
      </c>
      <c r="DL137" s="48">
        <f t="shared" si="304"/>
        <v>0</v>
      </c>
      <c r="DM137" s="48">
        <f t="shared" si="304"/>
        <v>0</v>
      </c>
      <c r="DN137" s="48">
        <f t="shared" si="304"/>
        <v>0</v>
      </c>
      <c r="DO137" s="48">
        <f t="shared" si="304"/>
        <v>0</v>
      </c>
      <c r="DP137" s="48">
        <f t="shared" si="304"/>
        <v>0</v>
      </c>
      <c r="DQ137" s="48">
        <f t="shared" si="304"/>
        <v>0</v>
      </c>
      <c r="DR137" s="48">
        <f t="shared" si="304"/>
        <v>0</v>
      </c>
      <c r="DS137" s="48">
        <f t="shared" si="304"/>
        <v>0</v>
      </c>
      <c r="DT137" s="48">
        <f t="shared" si="304"/>
        <v>0</v>
      </c>
      <c r="DU137" s="48">
        <f t="shared" si="304"/>
        <v>0</v>
      </c>
      <c r="DV137" s="48">
        <f t="shared" si="304"/>
        <v>0</v>
      </c>
      <c r="DW137" s="48">
        <f t="shared" si="304"/>
        <v>0</v>
      </c>
      <c r="DX137" s="48">
        <f t="shared" si="304"/>
        <v>0</v>
      </c>
      <c r="DY137" s="48">
        <f t="shared" si="304"/>
        <v>0</v>
      </c>
      <c r="DZ137" s="48">
        <f t="shared" si="304"/>
        <v>0</v>
      </c>
      <c r="EA137" s="48">
        <f t="shared" si="304"/>
        <v>0</v>
      </c>
      <c r="EB137" s="48">
        <f t="shared" si="304"/>
        <v>0</v>
      </c>
      <c r="EC137" s="48">
        <f t="shared" si="304"/>
        <v>0</v>
      </c>
      <c r="ED137" s="48">
        <f t="shared" si="304"/>
        <v>0</v>
      </c>
      <c r="EE137" s="48">
        <f t="shared" si="304"/>
        <v>0</v>
      </c>
      <c r="EF137" s="48">
        <f t="shared" si="304"/>
        <v>0</v>
      </c>
      <c r="EG137" s="48">
        <f t="shared" si="304"/>
        <v>0</v>
      </c>
      <c r="EH137" s="48">
        <f t="shared" si="304"/>
        <v>0</v>
      </c>
      <c r="EI137" s="48">
        <f t="shared" si="304"/>
        <v>0</v>
      </c>
      <c r="EJ137" s="48">
        <f t="shared" si="304"/>
        <v>0</v>
      </c>
      <c r="EK137" s="48">
        <f t="shared" si="304"/>
        <v>0</v>
      </c>
      <c r="EL137" s="48">
        <f t="shared" si="304"/>
        <v>0</v>
      </c>
      <c r="EM137" s="48">
        <f t="shared" ref="EM137:GX137" si="305">EM81</f>
        <v>0</v>
      </c>
      <c r="EN137" s="48">
        <f t="shared" si="305"/>
        <v>0</v>
      </c>
      <c r="EO137" s="48">
        <f t="shared" si="305"/>
        <v>0</v>
      </c>
      <c r="EP137" s="48">
        <f t="shared" si="305"/>
        <v>0</v>
      </c>
      <c r="EQ137" s="48">
        <f t="shared" si="305"/>
        <v>0</v>
      </c>
      <c r="ER137" s="48">
        <f t="shared" si="305"/>
        <v>0</v>
      </c>
      <c r="ES137" s="48">
        <f t="shared" si="305"/>
        <v>0</v>
      </c>
      <c r="ET137" s="48">
        <f t="shared" si="305"/>
        <v>0</v>
      </c>
      <c r="EU137" s="48">
        <f t="shared" si="305"/>
        <v>0</v>
      </c>
      <c r="EV137" s="48">
        <f t="shared" si="305"/>
        <v>0</v>
      </c>
      <c r="EW137" s="48">
        <f t="shared" si="305"/>
        <v>0</v>
      </c>
      <c r="EX137" s="48">
        <f t="shared" si="305"/>
        <v>0</v>
      </c>
      <c r="EY137" s="48">
        <f t="shared" si="305"/>
        <v>0</v>
      </c>
      <c r="EZ137" s="48">
        <f t="shared" si="305"/>
        <v>0</v>
      </c>
      <c r="FA137" s="48">
        <f t="shared" si="305"/>
        <v>0</v>
      </c>
      <c r="FB137" s="48">
        <f t="shared" si="305"/>
        <v>0</v>
      </c>
      <c r="FC137" s="48">
        <f t="shared" si="305"/>
        <v>0</v>
      </c>
      <c r="FD137" s="48">
        <f t="shared" si="305"/>
        <v>0</v>
      </c>
      <c r="FE137" s="48">
        <f t="shared" si="305"/>
        <v>0</v>
      </c>
      <c r="FF137" s="48">
        <f t="shared" si="305"/>
        <v>0</v>
      </c>
      <c r="FG137" s="48">
        <f t="shared" si="305"/>
        <v>0</v>
      </c>
      <c r="FH137" s="48">
        <f t="shared" si="305"/>
        <v>0</v>
      </c>
      <c r="FI137" s="48">
        <f t="shared" si="305"/>
        <v>0</v>
      </c>
      <c r="FJ137" s="48">
        <f t="shared" si="305"/>
        <v>0</v>
      </c>
      <c r="FK137" s="48">
        <f t="shared" si="305"/>
        <v>0</v>
      </c>
      <c r="FL137" s="48">
        <f t="shared" si="305"/>
        <v>0</v>
      </c>
      <c r="FM137" s="48">
        <f t="shared" si="305"/>
        <v>0</v>
      </c>
      <c r="FN137" s="48">
        <f t="shared" si="305"/>
        <v>0</v>
      </c>
      <c r="FO137" s="48">
        <f t="shared" si="305"/>
        <v>0</v>
      </c>
      <c r="FP137" s="48">
        <f t="shared" si="305"/>
        <v>0</v>
      </c>
      <c r="FQ137" s="48">
        <f t="shared" si="305"/>
        <v>0</v>
      </c>
      <c r="FR137" s="48">
        <f t="shared" si="305"/>
        <v>0</v>
      </c>
      <c r="FS137" s="48">
        <f t="shared" si="305"/>
        <v>0</v>
      </c>
      <c r="FT137" s="48">
        <f t="shared" si="305"/>
        <v>0</v>
      </c>
      <c r="FU137" s="48">
        <f t="shared" si="305"/>
        <v>0</v>
      </c>
      <c r="FV137" s="48">
        <f t="shared" si="305"/>
        <v>0</v>
      </c>
      <c r="FW137" s="48">
        <f t="shared" si="305"/>
        <v>0</v>
      </c>
      <c r="FX137" s="48">
        <f t="shared" si="305"/>
        <v>0</v>
      </c>
      <c r="FY137" s="48">
        <f t="shared" si="305"/>
        <v>0</v>
      </c>
      <c r="FZ137" s="48">
        <f t="shared" si="305"/>
        <v>0</v>
      </c>
      <c r="GA137" s="48">
        <f t="shared" si="305"/>
        <v>0</v>
      </c>
      <c r="GB137" s="48">
        <f t="shared" si="305"/>
        <v>0</v>
      </c>
      <c r="GC137" s="48">
        <f t="shared" si="305"/>
        <v>0</v>
      </c>
      <c r="GD137" s="48">
        <f t="shared" si="305"/>
        <v>0</v>
      </c>
      <c r="GE137" s="48">
        <f t="shared" si="305"/>
        <v>0</v>
      </c>
      <c r="GF137" s="48">
        <f t="shared" si="305"/>
        <v>0</v>
      </c>
      <c r="GG137" s="48">
        <f t="shared" si="305"/>
        <v>0</v>
      </c>
      <c r="GH137" s="48">
        <f t="shared" si="305"/>
        <v>0</v>
      </c>
      <c r="GI137" s="48">
        <f t="shared" si="305"/>
        <v>0</v>
      </c>
      <c r="GJ137" s="48">
        <f t="shared" si="305"/>
        <v>0</v>
      </c>
      <c r="GK137" s="48">
        <f t="shared" si="305"/>
        <v>0</v>
      </c>
      <c r="GL137" s="48">
        <f t="shared" si="305"/>
        <v>0</v>
      </c>
      <c r="GM137" s="48">
        <f t="shared" si="305"/>
        <v>0</v>
      </c>
      <c r="GN137" s="48">
        <f t="shared" si="305"/>
        <v>0</v>
      </c>
      <c r="GO137" s="48">
        <f t="shared" si="305"/>
        <v>0</v>
      </c>
      <c r="GP137" s="48">
        <f t="shared" si="305"/>
        <v>0</v>
      </c>
      <c r="GQ137" s="48">
        <f t="shared" si="305"/>
        <v>0</v>
      </c>
      <c r="GR137" s="48">
        <f t="shared" si="305"/>
        <v>0</v>
      </c>
      <c r="GS137" s="48">
        <f t="shared" si="305"/>
        <v>0</v>
      </c>
      <c r="GT137" s="48">
        <f t="shared" si="305"/>
        <v>0</v>
      </c>
      <c r="GU137" s="48">
        <f t="shared" si="305"/>
        <v>0</v>
      </c>
      <c r="GV137" s="48">
        <f t="shared" si="305"/>
        <v>0</v>
      </c>
      <c r="GW137" s="48">
        <f t="shared" si="305"/>
        <v>0</v>
      </c>
      <c r="GX137" s="48">
        <f t="shared" si="305"/>
        <v>0</v>
      </c>
      <c r="GY137" s="48">
        <f t="shared" ref="GY137:JJ137" si="306">GY81</f>
        <v>0</v>
      </c>
      <c r="GZ137" s="48">
        <f t="shared" si="306"/>
        <v>0</v>
      </c>
      <c r="HA137" s="48">
        <f t="shared" si="306"/>
        <v>0</v>
      </c>
      <c r="HB137" s="48">
        <f t="shared" si="306"/>
        <v>0</v>
      </c>
      <c r="HC137" s="48">
        <f t="shared" si="306"/>
        <v>0</v>
      </c>
      <c r="HD137" s="48">
        <f t="shared" si="306"/>
        <v>0</v>
      </c>
      <c r="HE137" s="48">
        <f t="shared" si="306"/>
        <v>0</v>
      </c>
      <c r="HF137" s="48">
        <f t="shared" si="306"/>
        <v>0</v>
      </c>
      <c r="HG137" s="48">
        <f t="shared" si="306"/>
        <v>0</v>
      </c>
      <c r="HH137" s="48">
        <f t="shared" si="306"/>
        <v>0</v>
      </c>
      <c r="HI137" s="48">
        <f t="shared" si="306"/>
        <v>0</v>
      </c>
      <c r="HJ137" s="48">
        <f t="shared" si="306"/>
        <v>0</v>
      </c>
      <c r="HK137" s="48">
        <f t="shared" si="306"/>
        <v>0</v>
      </c>
      <c r="HL137" s="48">
        <f t="shared" si="306"/>
        <v>0</v>
      </c>
      <c r="HM137" s="48">
        <f t="shared" si="306"/>
        <v>0</v>
      </c>
      <c r="HN137" s="48">
        <f t="shared" si="306"/>
        <v>0</v>
      </c>
      <c r="HO137" s="48">
        <f t="shared" si="306"/>
        <v>0</v>
      </c>
      <c r="HP137" s="48">
        <f t="shared" si="306"/>
        <v>0</v>
      </c>
      <c r="HQ137" s="48">
        <f t="shared" si="306"/>
        <v>0</v>
      </c>
      <c r="HR137" s="48">
        <f t="shared" si="306"/>
        <v>0</v>
      </c>
      <c r="HS137" s="48">
        <f t="shared" si="306"/>
        <v>0</v>
      </c>
      <c r="HT137" s="48">
        <f t="shared" si="306"/>
        <v>0</v>
      </c>
      <c r="HU137" s="48">
        <f t="shared" si="306"/>
        <v>0</v>
      </c>
      <c r="HV137" s="48">
        <f t="shared" si="306"/>
        <v>0</v>
      </c>
      <c r="HW137" s="48">
        <f t="shared" si="306"/>
        <v>0</v>
      </c>
      <c r="HX137" s="48">
        <f t="shared" si="306"/>
        <v>0</v>
      </c>
      <c r="HY137" s="48">
        <f t="shared" si="306"/>
        <v>0</v>
      </c>
      <c r="HZ137" s="48">
        <f t="shared" si="306"/>
        <v>0</v>
      </c>
      <c r="IA137" s="48">
        <f t="shared" si="306"/>
        <v>0</v>
      </c>
      <c r="IB137" s="48">
        <f t="shared" si="306"/>
        <v>0</v>
      </c>
      <c r="IC137" s="48">
        <f t="shared" si="306"/>
        <v>0</v>
      </c>
      <c r="ID137" s="48">
        <f t="shared" si="306"/>
        <v>0</v>
      </c>
      <c r="IE137" s="48">
        <f t="shared" si="306"/>
        <v>0</v>
      </c>
      <c r="IF137" s="48">
        <f t="shared" si="306"/>
        <v>0</v>
      </c>
      <c r="IG137" s="48">
        <f t="shared" si="306"/>
        <v>0</v>
      </c>
      <c r="IH137" s="48">
        <f t="shared" si="306"/>
        <v>0</v>
      </c>
      <c r="II137" s="48">
        <f t="shared" si="306"/>
        <v>0</v>
      </c>
      <c r="IJ137" s="48">
        <f t="shared" si="306"/>
        <v>0</v>
      </c>
      <c r="IK137" s="48">
        <f t="shared" si="306"/>
        <v>0</v>
      </c>
      <c r="IL137" s="48">
        <f t="shared" si="306"/>
        <v>0</v>
      </c>
      <c r="IM137" s="48">
        <f t="shared" si="306"/>
        <v>0</v>
      </c>
      <c r="IN137" s="48">
        <f t="shared" si="306"/>
        <v>0</v>
      </c>
      <c r="IO137" s="48">
        <f t="shared" si="306"/>
        <v>0</v>
      </c>
      <c r="IP137" s="48">
        <f t="shared" si="306"/>
        <v>0</v>
      </c>
      <c r="IQ137" s="48">
        <f t="shared" si="306"/>
        <v>0</v>
      </c>
      <c r="IR137" s="48">
        <f t="shared" si="306"/>
        <v>0</v>
      </c>
      <c r="IS137" s="48">
        <f t="shared" si="306"/>
        <v>0</v>
      </c>
      <c r="IT137" s="48">
        <f t="shared" si="306"/>
        <v>0</v>
      </c>
      <c r="IU137" s="48">
        <f t="shared" si="306"/>
        <v>0</v>
      </c>
      <c r="IV137" s="48">
        <f t="shared" si="306"/>
        <v>0</v>
      </c>
      <c r="IW137" s="48">
        <f t="shared" si="306"/>
        <v>0</v>
      </c>
      <c r="IX137" s="48">
        <f t="shared" si="306"/>
        <v>0</v>
      </c>
      <c r="IY137" s="48">
        <f t="shared" si="306"/>
        <v>0</v>
      </c>
      <c r="IZ137" s="48">
        <f t="shared" si="306"/>
        <v>0</v>
      </c>
      <c r="JA137" s="48">
        <f t="shared" si="306"/>
        <v>0</v>
      </c>
      <c r="JB137" s="48">
        <f t="shared" si="306"/>
        <v>0</v>
      </c>
      <c r="JC137" s="48">
        <f t="shared" si="306"/>
        <v>0</v>
      </c>
      <c r="JD137" s="48">
        <f t="shared" si="306"/>
        <v>0</v>
      </c>
      <c r="JE137" s="48">
        <f t="shared" si="306"/>
        <v>0</v>
      </c>
      <c r="JF137" s="48">
        <f t="shared" si="306"/>
        <v>0</v>
      </c>
      <c r="JG137" s="48">
        <f t="shared" si="306"/>
        <v>0</v>
      </c>
      <c r="JH137" s="48">
        <f t="shared" si="306"/>
        <v>0</v>
      </c>
      <c r="JI137" s="48">
        <f t="shared" si="306"/>
        <v>0</v>
      </c>
      <c r="JJ137" s="48">
        <f t="shared" si="306"/>
        <v>0</v>
      </c>
      <c r="JK137" s="48">
        <f t="shared" ref="JK137:KI137" si="307">JK81</f>
        <v>0</v>
      </c>
      <c r="JL137" s="48">
        <f t="shared" si="307"/>
        <v>0</v>
      </c>
      <c r="JM137" s="48">
        <f t="shared" si="307"/>
        <v>0</v>
      </c>
      <c r="JN137" s="48">
        <f t="shared" si="307"/>
        <v>0</v>
      </c>
      <c r="JO137" s="48">
        <f t="shared" si="307"/>
        <v>0</v>
      </c>
      <c r="JP137" s="48">
        <f t="shared" si="307"/>
        <v>0</v>
      </c>
      <c r="JQ137" s="48">
        <f t="shared" si="307"/>
        <v>0</v>
      </c>
      <c r="JR137" s="48">
        <f t="shared" si="307"/>
        <v>0</v>
      </c>
      <c r="JS137" s="48">
        <f t="shared" si="307"/>
        <v>0</v>
      </c>
      <c r="JT137" s="48">
        <f t="shared" si="307"/>
        <v>0</v>
      </c>
      <c r="JU137" s="48">
        <f t="shared" si="307"/>
        <v>0</v>
      </c>
      <c r="JV137" s="48">
        <f t="shared" si="307"/>
        <v>0</v>
      </c>
      <c r="JW137" s="48">
        <f t="shared" si="307"/>
        <v>0</v>
      </c>
      <c r="JX137" s="48">
        <f t="shared" si="307"/>
        <v>0</v>
      </c>
      <c r="JY137" s="48">
        <f t="shared" si="307"/>
        <v>0</v>
      </c>
      <c r="JZ137" s="48">
        <f t="shared" si="307"/>
        <v>0</v>
      </c>
      <c r="KA137" s="48">
        <f t="shared" si="307"/>
        <v>0</v>
      </c>
      <c r="KB137" s="48">
        <f t="shared" si="307"/>
        <v>0</v>
      </c>
      <c r="KC137" s="48">
        <f t="shared" si="307"/>
        <v>0</v>
      </c>
      <c r="KD137" s="48">
        <f t="shared" si="307"/>
        <v>0</v>
      </c>
      <c r="KE137" s="48">
        <f t="shared" si="307"/>
        <v>0</v>
      </c>
      <c r="KF137" s="48">
        <f t="shared" si="307"/>
        <v>0</v>
      </c>
      <c r="KG137" s="48">
        <f t="shared" si="307"/>
        <v>0</v>
      </c>
      <c r="KH137" s="48">
        <f t="shared" si="307"/>
        <v>0</v>
      </c>
      <c r="KI137" s="48">
        <f t="shared" si="307"/>
        <v>0</v>
      </c>
      <c r="KJ137" s="1"/>
    </row>
    <row r="138" spans="10:296" x14ac:dyDescent="0.35">
      <c r="M138" s="15" t="s">
        <v>206</v>
      </c>
      <c r="N138" s="48">
        <f>N92</f>
        <v>0</v>
      </c>
      <c r="O138" s="48">
        <f t="shared" ref="O138:BZ138" si="308">O92</f>
        <v>0</v>
      </c>
      <c r="P138" s="48">
        <f t="shared" si="308"/>
        <v>0</v>
      </c>
      <c r="Q138" s="48">
        <f t="shared" si="308"/>
        <v>0</v>
      </c>
      <c r="R138" s="48">
        <f t="shared" si="308"/>
        <v>0</v>
      </c>
      <c r="S138" s="48">
        <f t="shared" si="308"/>
        <v>-10.017777777777777</v>
      </c>
      <c r="T138" s="48">
        <f t="shared" si="308"/>
        <v>0</v>
      </c>
      <c r="U138" s="48">
        <f t="shared" si="308"/>
        <v>0</v>
      </c>
      <c r="V138" s="48">
        <f t="shared" si="308"/>
        <v>0</v>
      </c>
      <c r="W138" s="48">
        <f t="shared" si="308"/>
        <v>0</v>
      </c>
      <c r="X138" s="48">
        <f t="shared" si="308"/>
        <v>0</v>
      </c>
      <c r="Y138" s="48">
        <f t="shared" si="308"/>
        <v>0</v>
      </c>
      <c r="Z138" s="48">
        <f t="shared" si="308"/>
        <v>0</v>
      </c>
      <c r="AA138" s="48">
        <f t="shared" si="308"/>
        <v>0</v>
      </c>
      <c r="AB138" s="48">
        <f t="shared" si="308"/>
        <v>0</v>
      </c>
      <c r="AC138" s="48">
        <f t="shared" si="308"/>
        <v>0</v>
      </c>
      <c r="AD138" s="48">
        <f t="shared" si="308"/>
        <v>0</v>
      </c>
      <c r="AE138" s="48">
        <f t="shared" si="308"/>
        <v>0</v>
      </c>
      <c r="AF138" s="48">
        <f t="shared" si="308"/>
        <v>0</v>
      </c>
      <c r="AG138" s="48">
        <f t="shared" si="308"/>
        <v>0</v>
      </c>
      <c r="AH138" s="48">
        <f t="shared" si="308"/>
        <v>0</v>
      </c>
      <c r="AI138" s="48">
        <f t="shared" si="308"/>
        <v>0</v>
      </c>
      <c r="AJ138" s="48">
        <f t="shared" si="308"/>
        <v>0</v>
      </c>
      <c r="AK138" s="48">
        <f t="shared" si="308"/>
        <v>0</v>
      </c>
      <c r="AL138" s="48">
        <f t="shared" si="308"/>
        <v>0</v>
      </c>
      <c r="AM138" s="48">
        <f t="shared" si="308"/>
        <v>0</v>
      </c>
      <c r="AN138" s="48">
        <f t="shared" si="308"/>
        <v>0</v>
      </c>
      <c r="AO138" s="48">
        <f t="shared" si="308"/>
        <v>0</v>
      </c>
      <c r="AP138" s="48">
        <f t="shared" si="308"/>
        <v>0</v>
      </c>
      <c r="AQ138" s="48">
        <f t="shared" si="308"/>
        <v>0</v>
      </c>
      <c r="AR138" s="48">
        <f t="shared" si="308"/>
        <v>0</v>
      </c>
      <c r="AS138" s="48">
        <f t="shared" si="308"/>
        <v>0</v>
      </c>
      <c r="AT138" s="48">
        <f t="shared" si="308"/>
        <v>0</v>
      </c>
      <c r="AU138" s="48">
        <f t="shared" si="308"/>
        <v>0</v>
      </c>
      <c r="AV138" s="48">
        <f t="shared" si="308"/>
        <v>0</v>
      </c>
      <c r="AW138" s="48">
        <f t="shared" si="308"/>
        <v>0</v>
      </c>
      <c r="AX138" s="48">
        <f t="shared" si="308"/>
        <v>0</v>
      </c>
      <c r="AY138" s="48">
        <f t="shared" si="308"/>
        <v>0</v>
      </c>
      <c r="AZ138" s="48">
        <f t="shared" si="308"/>
        <v>0</v>
      </c>
      <c r="BA138" s="48">
        <f t="shared" si="308"/>
        <v>0</v>
      </c>
      <c r="BB138" s="48">
        <f t="shared" si="308"/>
        <v>0</v>
      </c>
      <c r="BC138" s="48">
        <f t="shared" si="308"/>
        <v>0</v>
      </c>
      <c r="BD138" s="48">
        <f t="shared" si="308"/>
        <v>0</v>
      </c>
      <c r="BE138" s="48">
        <f t="shared" si="308"/>
        <v>0</v>
      </c>
      <c r="BF138" s="48">
        <f t="shared" si="308"/>
        <v>0</v>
      </c>
      <c r="BG138" s="48">
        <f t="shared" si="308"/>
        <v>0</v>
      </c>
      <c r="BH138" s="48">
        <f t="shared" si="308"/>
        <v>0</v>
      </c>
      <c r="BI138" s="48">
        <f t="shared" si="308"/>
        <v>0</v>
      </c>
      <c r="BJ138" s="48">
        <f t="shared" si="308"/>
        <v>0</v>
      </c>
      <c r="BK138" s="48">
        <f t="shared" si="308"/>
        <v>0</v>
      </c>
      <c r="BL138" s="48">
        <f t="shared" si="308"/>
        <v>0</v>
      </c>
      <c r="BM138" s="48">
        <f t="shared" si="308"/>
        <v>0</v>
      </c>
      <c r="BN138" s="48">
        <f t="shared" si="308"/>
        <v>0</v>
      </c>
      <c r="BO138" s="48">
        <f t="shared" si="308"/>
        <v>0</v>
      </c>
      <c r="BP138" s="48">
        <f t="shared" si="308"/>
        <v>0</v>
      </c>
      <c r="BQ138" s="48">
        <f t="shared" si="308"/>
        <v>0</v>
      </c>
      <c r="BR138" s="48">
        <f t="shared" si="308"/>
        <v>0</v>
      </c>
      <c r="BS138" s="48">
        <f t="shared" si="308"/>
        <v>0</v>
      </c>
      <c r="BT138" s="48">
        <f t="shared" si="308"/>
        <v>0</v>
      </c>
      <c r="BU138" s="48">
        <f t="shared" si="308"/>
        <v>0</v>
      </c>
      <c r="BV138" s="48">
        <f t="shared" si="308"/>
        <v>0</v>
      </c>
      <c r="BW138" s="48">
        <f t="shared" si="308"/>
        <v>0</v>
      </c>
      <c r="BX138" s="48">
        <f t="shared" si="308"/>
        <v>0</v>
      </c>
      <c r="BY138" s="48">
        <f t="shared" si="308"/>
        <v>0</v>
      </c>
      <c r="BZ138" s="48">
        <f t="shared" si="308"/>
        <v>0</v>
      </c>
      <c r="CA138" s="48">
        <f t="shared" ref="CA138:EL138" si="309">CA92</f>
        <v>0</v>
      </c>
      <c r="CB138" s="48">
        <f t="shared" si="309"/>
        <v>0</v>
      </c>
      <c r="CC138" s="48">
        <f t="shared" si="309"/>
        <v>0</v>
      </c>
      <c r="CD138" s="48">
        <f t="shared" si="309"/>
        <v>0</v>
      </c>
      <c r="CE138" s="48">
        <f t="shared" si="309"/>
        <v>0</v>
      </c>
      <c r="CF138" s="48">
        <f t="shared" si="309"/>
        <v>0</v>
      </c>
      <c r="CG138" s="48">
        <f t="shared" si="309"/>
        <v>0</v>
      </c>
      <c r="CH138" s="48">
        <f t="shared" si="309"/>
        <v>0</v>
      </c>
      <c r="CI138" s="48">
        <f t="shared" si="309"/>
        <v>0</v>
      </c>
      <c r="CJ138" s="48">
        <f t="shared" si="309"/>
        <v>0</v>
      </c>
      <c r="CK138" s="48">
        <f t="shared" si="309"/>
        <v>0</v>
      </c>
      <c r="CL138" s="48">
        <f t="shared" si="309"/>
        <v>0</v>
      </c>
      <c r="CM138" s="48">
        <f t="shared" si="309"/>
        <v>0</v>
      </c>
      <c r="CN138" s="48">
        <f t="shared" si="309"/>
        <v>0</v>
      </c>
      <c r="CO138" s="48">
        <f t="shared" si="309"/>
        <v>0</v>
      </c>
      <c r="CP138" s="48">
        <f t="shared" si="309"/>
        <v>0</v>
      </c>
      <c r="CQ138" s="48">
        <f t="shared" si="309"/>
        <v>0</v>
      </c>
      <c r="CR138" s="48">
        <f t="shared" si="309"/>
        <v>0</v>
      </c>
      <c r="CS138" s="48">
        <f t="shared" si="309"/>
        <v>0</v>
      </c>
      <c r="CT138" s="48">
        <f t="shared" si="309"/>
        <v>0</v>
      </c>
      <c r="CU138" s="48">
        <f t="shared" si="309"/>
        <v>0</v>
      </c>
      <c r="CV138" s="48">
        <f t="shared" si="309"/>
        <v>0</v>
      </c>
      <c r="CW138" s="48">
        <f t="shared" si="309"/>
        <v>0</v>
      </c>
      <c r="CX138" s="48">
        <f t="shared" si="309"/>
        <v>0</v>
      </c>
      <c r="CY138" s="48">
        <f t="shared" si="309"/>
        <v>0</v>
      </c>
      <c r="CZ138" s="48">
        <f t="shared" si="309"/>
        <v>0</v>
      </c>
      <c r="DA138" s="48">
        <f t="shared" si="309"/>
        <v>0</v>
      </c>
      <c r="DB138" s="48">
        <f t="shared" si="309"/>
        <v>0</v>
      </c>
      <c r="DC138" s="48">
        <f t="shared" si="309"/>
        <v>0</v>
      </c>
      <c r="DD138" s="48">
        <f t="shared" si="309"/>
        <v>0</v>
      </c>
      <c r="DE138" s="48">
        <f t="shared" si="309"/>
        <v>0</v>
      </c>
      <c r="DF138" s="48">
        <f t="shared" si="309"/>
        <v>0</v>
      </c>
      <c r="DG138" s="48">
        <f t="shared" si="309"/>
        <v>0</v>
      </c>
      <c r="DH138" s="48">
        <f t="shared" si="309"/>
        <v>0</v>
      </c>
      <c r="DI138" s="48">
        <f t="shared" si="309"/>
        <v>0</v>
      </c>
      <c r="DJ138" s="48">
        <f t="shared" si="309"/>
        <v>0</v>
      </c>
      <c r="DK138" s="48">
        <f t="shared" si="309"/>
        <v>0</v>
      </c>
      <c r="DL138" s="48">
        <f t="shared" si="309"/>
        <v>0</v>
      </c>
      <c r="DM138" s="48">
        <f t="shared" si="309"/>
        <v>0</v>
      </c>
      <c r="DN138" s="48">
        <f t="shared" si="309"/>
        <v>0</v>
      </c>
      <c r="DO138" s="48">
        <f t="shared" si="309"/>
        <v>0</v>
      </c>
      <c r="DP138" s="48">
        <f t="shared" si="309"/>
        <v>0</v>
      </c>
      <c r="DQ138" s="48">
        <f t="shared" si="309"/>
        <v>0</v>
      </c>
      <c r="DR138" s="48">
        <f t="shared" si="309"/>
        <v>0</v>
      </c>
      <c r="DS138" s="48">
        <f t="shared" si="309"/>
        <v>0</v>
      </c>
      <c r="DT138" s="48">
        <f t="shared" si="309"/>
        <v>0</v>
      </c>
      <c r="DU138" s="48">
        <f t="shared" si="309"/>
        <v>0</v>
      </c>
      <c r="DV138" s="48">
        <f t="shared" si="309"/>
        <v>0</v>
      </c>
      <c r="DW138" s="48">
        <f t="shared" si="309"/>
        <v>0</v>
      </c>
      <c r="DX138" s="48">
        <f t="shared" si="309"/>
        <v>0</v>
      </c>
      <c r="DY138" s="48">
        <f t="shared" si="309"/>
        <v>0</v>
      </c>
      <c r="DZ138" s="48">
        <f t="shared" si="309"/>
        <v>0</v>
      </c>
      <c r="EA138" s="48">
        <f t="shared" si="309"/>
        <v>0</v>
      </c>
      <c r="EB138" s="48">
        <f t="shared" si="309"/>
        <v>0</v>
      </c>
      <c r="EC138" s="48">
        <f t="shared" si="309"/>
        <v>0</v>
      </c>
      <c r="ED138" s="48">
        <f t="shared" si="309"/>
        <v>0</v>
      </c>
      <c r="EE138" s="48">
        <f t="shared" si="309"/>
        <v>0</v>
      </c>
      <c r="EF138" s="48">
        <f t="shared" si="309"/>
        <v>0</v>
      </c>
      <c r="EG138" s="48">
        <f t="shared" si="309"/>
        <v>0</v>
      </c>
      <c r="EH138" s="48">
        <f t="shared" si="309"/>
        <v>0</v>
      </c>
      <c r="EI138" s="48">
        <f t="shared" si="309"/>
        <v>0</v>
      </c>
      <c r="EJ138" s="48">
        <f t="shared" si="309"/>
        <v>0</v>
      </c>
      <c r="EK138" s="48">
        <f t="shared" si="309"/>
        <v>0</v>
      </c>
      <c r="EL138" s="48">
        <f t="shared" si="309"/>
        <v>0</v>
      </c>
      <c r="EM138" s="48">
        <f t="shared" ref="EM138:GX138" si="310">EM92</f>
        <v>0</v>
      </c>
      <c r="EN138" s="48">
        <f t="shared" si="310"/>
        <v>0</v>
      </c>
      <c r="EO138" s="48">
        <f t="shared" si="310"/>
        <v>0</v>
      </c>
      <c r="EP138" s="48">
        <f t="shared" si="310"/>
        <v>0</v>
      </c>
      <c r="EQ138" s="48">
        <f t="shared" si="310"/>
        <v>0</v>
      </c>
      <c r="ER138" s="48">
        <f t="shared" si="310"/>
        <v>0</v>
      </c>
      <c r="ES138" s="48">
        <f t="shared" si="310"/>
        <v>0</v>
      </c>
      <c r="ET138" s="48">
        <f t="shared" si="310"/>
        <v>0</v>
      </c>
      <c r="EU138" s="48">
        <f t="shared" si="310"/>
        <v>0</v>
      </c>
      <c r="EV138" s="48">
        <f t="shared" si="310"/>
        <v>0</v>
      </c>
      <c r="EW138" s="48">
        <f t="shared" si="310"/>
        <v>0</v>
      </c>
      <c r="EX138" s="48">
        <f t="shared" si="310"/>
        <v>0</v>
      </c>
      <c r="EY138" s="48">
        <f t="shared" si="310"/>
        <v>0</v>
      </c>
      <c r="EZ138" s="48">
        <f t="shared" si="310"/>
        <v>0</v>
      </c>
      <c r="FA138" s="48">
        <f t="shared" si="310"/>
        <v>0</v>
      </c>
      <c r="FB138" s="48">
        <f t="shared" si="310"/>
        <v>0</v>
      </c>
      <c r="FC138" s="48">
        <f t="shared" si="310"/>
        <v>0</v>
      </c>
      <c r="FD138" s="48">
        <f t="shared" si="310"/>
        <v>0</v>
      </c>
      <c r="FE138" s="48">
        <f t="shared" si="310"/>
        <v>0</v>
      </c>
      <c r="FF138" s="48">
        <f t="shared" si="310"/>
        <v>0</v>
      </c>
      <c r="FG138" s="48">
        <f t="shared" si="310"/>
        <v>0</v>
      </c>
      <c r="FH138" s="48">
        <f t="shared" si="310"/>
        <v>0</v>
      </c>
      <c r="FI138" s="48">
        <f t="shared" si="310"/>
        <v>0</v>
      </c>
      <c r="FJ138" s="48">
        <f t="shared" si="310"/>
        <v>0</v>
      </c>
      <c r="FK138" s="48">
        <f t="shared" si="310"/>
        <v>0</v>
      </c>
      <c r="FL138" s="48">
        <f t="shared" si="310"/>
        <v>0</v>
      </c>
      <c r="FM138" s="48">
        <f t="shared" si="310"/>
        <v>0</v>
      </c>
      <c r="FN138" s="48">
        <f t="shared" si="310"/>
        <v>0</v>
      </c>
      <c r="FO138" s="48">
        <f t="shared" si="310"/>
        <v>0</v>
      </c>
      <c r="FP138" s="48">
        <f t="shared" si="310"/>
        <v>0</v>
      </c>
      <c r="FQ138" s="48">
        <f t="shared" si="310"/>
        <v>0</v>
      </c>
      <c r="FR138" s="48">
        <f t="shared" si="310"/>
        <v>0</v>
      </c>
      <c r="FS138" s="48">
        <f t="shared" si="310"/>
        <v>0</v>
      </c>
      <c r="FT138" s="48">
        <f t="shared" si="310"/>
        <v>0</v>
      </c>
      <c r="FU138" s="48">
        <f t="shared" si="310"/>
        <v>0</v>
      </c>
      <c r="FV138" s="48">
        <f t="shared" si="310"/>
        <v>0</v>
      </c>
      <c r="FW138" s="48">
        <f t="shared" si="310"/>
        <v>0</v>
      </c>
      <c r="FX138" s="48">
        <f t="shared" si="310"/>
        <v>0</v>
      </c>
      <c r="FY138" s="48">
        <f t="shared" si="310"/>
        <v>0</v>
      </c>
      <c r="FZ138" s="48">
        <f t="shared" si="310"/>
        <v>0</v>
      </c>
      <c r="GA138" s="48">
        <f t="shared" si="310"/>
        <v>0</v>
      </c>
      <c r="GB138" s="48">
        <f t="shared" si="310"/>
        <v>0</v>
      </c>
      <c r="GC138" s="48">
        <f t="shared" si="310"/>
        <v>0</v>
      </c>
      <c r="GD138" s="48">
        <f t="shared" si="310"/>
        <v>0</v>
      </c>
      <c r="GE138" s="48">
        <f t="shared" si="310"/>
        <v>0</v>
      </c>
      <c r="GF138" s="48">
        <f t="shared" si="310"/>
        <v>0</v>
      </c>
      <c r="GG138" s="48">
        <f t="shared" si="310"/>
        <v>0</v>
      </c>
      <c r="GH138" s="48">
        <f t="shared" si="310"/>
        <v>0</v>
      </c>
      <c r="GI138" s="48">
        <f t="shared" si="310"/>
        <v>0</v>
      </c>
      <c r="GJ138" s="48">
        <f t="shared" si="310"/>
        <v>0</v>
      </c>
      <c r="GK138" s="48">
        <f t="shared" si="310"/>
        <v>0</v>
      </c>
      <c r="GL138" s="48">
        <f t="shared" si="310"/>
        <v>0</v>
      </c>
      <c r="GM138" s="48">
        <f t="shared" si="310"/>
        <v>0</v>
      </c>
      <c r="GN138" s="48">
        <f t="shared" si="310"/>
        <v>0</v>
      </c>
      <c r="GO138" s="48">
        <f t="shared" si="310"/>
        <v>0</v>
      </c>
      <c r="GP138" s="48">
        <f t="shared" si="310"/>
        <v>0</v>
      </c>
      <c r="GQ138" s="48">
        <f t="shared" si="310"/>
        <v>0</v>
      </c>
      <c r="GR138" s="48">
        <f t="shared" si="310"/>
        <v>0</v>
      </c>
      <c r="GS138" s="48">
        <f t="shared" si="310"/>
        <v>0</v>
      </c>
      <c r="GT138" s="48">
        <f t="shared" si="310"/>
        <v>0</v>
      </c>
      <c r="GU138" s="48">
        <f t="shared" si="310"/>
        <v>0</v>
      </c>
      <c r="GV138" s="48">
        <f t="shared" si="310"/>
        <v>0</v>
      </c>
      <c r="GW138" s="48">
        <f t="shared" si="310"/>
        <v>0</v>
      </c>
      <c r="GX138" s="48">
        <f t="shared" si="310"/>
        <v>0</v>
      </c>
      <c r="GY138" s="48">
        <f t="shared" ref="GY138:JJ138" si="311">GY92</f>
        <v>0</v>
      </c>
      <c r="GZ138" s="48">
        <f t="shared" si="311"/>
        <v>0</v>
      </c>
      <c r="HA138" s="48">
        <f t="shared" si="311"/>
        <v>0</v>
      </c>
      <c r="HB138" s="48">
        <f t="shared" si="311"/>
        <v>0</v>
      </c>
      <c r="HC138" s="48">
        <f t="shared" si="311"/>
        <v>0</v>
      </c>
      <c r="HD138" s="48">
        <f t="shared" si="311"/>
        <v>0</v>
      </c>
      <c r="HE138" s="48">
        <f t="shared" si="311"/>
        <v>0</v>
      </c>
      <c r="HF138" s="48">
        <f t="shared" si="311"/>
        <v>0</v>
      </c>
      <c r="HG138" s="48">
        <f t="shared" si="311"/>
        <v>0</v>
      </c>
      <c r="HH138" s="48">
        <f t="shared" si="311"/>
        <v>0</v>
      </c>
      <c r="HI138" s="48">
        <f t="shared" si="311"/>
        <v>0</v>
      </c>
      <c r="HJ138" s="48">
        <f t="shared" si="311"/>
        <v>0</v>
      </c>
      <c r="HK138" s="48">
        <f t="shared" si="311"/>
        <v>0</v>
      </c>
      <c r="HL138" s="48">
        <f t="shared" si="311"/>
        <v>0</v>
      </c>
      <c r="HM138" s="48">
        <f t="shared" si="311"/>
        <v>0</v>
      </c>
      <c r="HN138" s="48">
        <f t="shared" si="311"/>
        <v>0</v>
      </c>
      <c r="HO138" s="48">
        <f t="shared" si="311"/>
        <v>0</v>
      </c>
      <c r="HP138" s="48">
        <f t="shared" si="311"/>
        <v>0</v>
      </c>
      <c r="HQ138" s="48">
        <f t="shared" si="311"/>
        <v>0</v>
      </c>
      <c r="HR138" s="48">
        <f t="shared" si="311"/>
        <v>0</v>
      </c>
      <c r="HS138" s="48">
        <f t="shared" si="311"/>
        <v>0</v>
      </c>
      <c r="HT138" s="48">
        <f t="shared" si="311"/>
        <v>0</v>
      </c>
      <c r="HU138" s="48">
        <f t="shared" si="311"/>
        <v>0</v>
      </c>
      <c r="HV138" s="48">
        <f t="shared" si="311"/>
        <v>0</v>
      </c>
      <c r="HW138" s="48">
        <f t="shared" si="311"/>
        <v>0</v>
      </c>
      <c r="HX138" s="48">
        <f t="shared" si="311"/>
        <v>0</v>
      </c>
      <c r="HY138" s="48">
        <f t="shared" si="311"/>
        <v>0</v>
      </c>
      <c r="HZ138" s="48">
        <f t="shared" si="311"/>
        <v>0</v>
      </c>
      <c r="IA138" s="48">
        <f t="shared" si="311"/>
        <v>0</v>
      </c>
      <c r="IB138" s="48">
        <f t="shared" si="311"/>
        <v>0</v>
      </c>
      <c r="IC138" s="48">
        <f t="shared" si="311"/>
        <v>0</v>
      </c>
      <c r="ID138" s="48">
        <f t="shared" si="311"/>
        <v>0</v>
      </c>
      <c r="IE138" s="48">
        <f t="shared" si="311"/>
        <v>0</v>
      </c>
      <c r="IF138" s="48">
        <f t="shared" si="311"/>
        <v>0</v>
      </c>
      <c r="IG138" s="48">
        <f t="shared" si="311"/>
        <v>0</v>
      </c>
      <c r="IH138" s="48">
        <f t="shared" si="311"/>
        <v>0</v>
      </c>
      <c r="II138" s="48">
        <f t="shared" si="311"/>
        <v>0</v>
      </c>
      <c r="IJ138" s="48">
        <f t="shared" si="311"/>
        <v>0</v>
      </c>
      <c r="IK138" s="48">
        <f t="shared" si="311"/>
        <v>0</v>
      </c>
      <c r="IL138" s="48">
        <f t="shared" si="311"/>
        <v>0</v>
      </c>
      <c r="IM138" s="48">
        <f t="shared" si="311"/>
        <v>0</v>
      </c>
      <c r="IN138" s="48">
        <f t="shared" si="311"/>
        <v>0</v>
      </c>
      <c r="IO138" s="48">
        <f t="shared" si="311"/>
        <v>0</v>
      </c>
      <c r="IP138" s="48">
        <f t="shared" si="311"/>
        <v>0</v>
      </c>
      <c r="IQ138" s="48">
        <f t="shared" si="311"/>
        <v>0</v>
      </c>
      <c r="IR138" s="48">
        <f t="shared" si="311"/>
        <v>0</v>
      </c>
      <c r="IS138" s="48">
        <f t="shared" si="311"/>
        <v>0</v>
      </c>
      <c r="IT138" s="48">
        <f t="shared" si="311"/>
        <v>0</v>
      </c>
      <c r="IU138" s="48">
        <f t="shared" si="311"/>
        <v>0</v>
      </c>
      <c r="IV138" s="48">
        <f t="shared" si="311"/>
        <v>0</v>
      </c>
      <c r="IW138" s="48">
        <f t="shared" si="311"/>
        <v>0</v>
      </c>
      <c r="IX138" s="48">
        <f t="shared" si="311"/>
        <v>0</v>
      </c>
      <c r="IY138" s="48">
        <f t="shared" si="311"/>
        <v>0</v>
      </c>
      <c r="IZ138" s="48">
        <f t="shared" si="311"/>
        <v>0</v>
      </c>
      <c r="JA138" s="48">
        <f t="shared" si="311"/>
        <v>0</v>
      </c>
      <c r="JB138" s="48">
        <f t="shared" si="311"/>
        <v>0</v>
      </c>
      <c r="JC138" s="48">
        <f t="shared" si="311"/>
        <v>0</v>
      </c>
      <c r="JD138" s="48">
        <f t="shared" si="311"/>
        <v>0</v>
      </c>
      <c r="JE138" s="48">
        <f t="shared" si="311"/>
        <v>0</v>
      </c>
      <c r="JF138" s="48">
        <f t="shared" si="311"/>
        <v>0</v>
      </c>
      <c r="JG138" s="48">
        <f t="shared" si="311"/>
        <v>0</v>
      </c>
      <c r="JH138" s="48">
        <f t="shared" si="311"/>
        <v>0</v>
      </c>
      <c r="JI138" s="48">
        <f t="shared" si="311"/>
        <v>0</v>
      </c>
      <c r="JJ138" s="48">
        <f t="shared" si="311"/>
        <v>0</v>
      </c>
      <c r="JK138" s="48">
        <f t="shared" ref="JK138:KI138" si="312">JK92</f>
        <v>0</v>
      </c>
      <c r="JL138" s="48">
        <f t="shared" si="312"/>
        <v>0</v>
      </c>
      <c r="JM138" s="48">
        <f t="shared" si="312"/>
        <v>0</v>
      </c>
      <c r="JN138" s="48">
        <f t="shared" si="312"/>
        <v>0</v>
      </c>
      <c r="JO138" s="48">
        <f t="shared" si="312"/>
        <v>0</v>
      </c>
      <c r="JP138" s="48">
        <f t="shared" si="312"/>
        <v>0</v>
      </c>
      <c r="JQ138" s="48">
        <f t="shared" si="312"/>
        <v>0</v>
      </c>
      <c r="JR138" s="48">
        <f t="shared" si="312"/>
        <v>0</v>
      </c>
      <c r="JS138" s="48">
        <f t="shared" si="312"/>
        <v>0</v>
      </c>
      <c r="JT138" s="48">
        <f t="shared" si="312"/>
        <v>0</v>
      </c>
      <c r="JU138" s="48">
        <f t="shared" si="312"/>
        <v>0</v>
      </c>
      <c r="JV138" s="48">
        <f t="shared" si="312"/>
        <v>0</v>
      </c>
      <c r="JW138" s="48">
        <f t="shared" si="312"/>
        <v>0</v>
      </c>
      <c r="JX138" s="48">
        <f t="shared" si="312"/>
        <v>0</v>
      </c>
      <c r="JY138" s="48">
        <f t="shared" si="312"/>
        <v>0</v>
      </c>
      <c r="JZ138" s="48">
        <f t="shared" si="312"/>
        <v>0</v>
      </c>
      <c r="KA138" s="48">
        <f t="shared" si="312"/>
        <v>0</v>
      </c>
      <c r="KB138" s="48">
        <f t="shared" si="312"/>
        <v>0</v>
      </c>
      <c r="KC138" s="48">
        <f t="shared" si="312"/>
        <v>0</v>
      </c>
      <c r="KD138" s="48">
        <f t="shared" si="312"/>
        <v>0</v>
      </c>
      <c r="KE138" s="48">
        <f t="shared" si="312"/>
        <v>0</v>
      </c>
      <c r="KF138" s="48">
        <f t="shared" si="312"/>
        <v>0</v>
      </c>
      <c r="KG138" s="48">
        <f t="shared" si="312"/>
        <v>0</v>
      </c>
      <c r="KH138" s="48">
        <f t="shared" si="312"/>
        <v>0</v>
      </c>
      <c r="KI138" s="48">
        <f t="shared" si="312"/>
        <v>0</v>
      </c>
      <c r="KJ138" s="1"/>
    </row>
    <row r="139" spans="10:296" x14ac:dyDescent="0.35">
      <c r="M139" s="15" t="s">
        <v>202</v>
      </c>
      <c r="N139" s="48">
        <f>N112</f>
        <v>0</v>
      </c>
      <c r="O139" s="48">
        <f t="shared" ref="O139:BZ139" si="313">O112</f>
        <v>0</v>
      </c>
      <c r="P139" s="48">
        <f t="shared" si="313"/>
        <v>0</v>
      </c>
      <c r="Q139" s="48">
        <f t="shared" si="313"/>
        <v>0</v>
      </c>
      <c r="R139" s="48">
        <f t="shared" si="313"/>
        <v>0</v>
      </c>
      <c r="S139" s="48">
        <f t="shared" si="313"/>
        <v>0</v>
      </c>
      <c r="T139" s="48">
        <f t="shared" si="313"/>
        <v>0</v>
      </c>
      <c r="U139" s="48">
        <f t="shared" si="313"/>
        <v>0</v>
      </c>
      <c r="V139" s="48">
        <f t="shared" si="313"/>
        <v>0</v>
      </c>
      <c r="W139" s="48">
        <f t="shared" si="313"/>
        <v>0</v>
      </c>
      <c r="X139" s="48">
        <f t="shared" si="313"/>
        <v>0</v>
      </c>
      <c r="Y139" s="48">
        <f t="shared" si="313"/>
        <v>0</v>
      </c>
      <c r="Z139" s="48">
        <f t="shared" si="313"/>
        <v>0</v>
      </c>
      <c r="AA139" s="48">
        <f t="shared" si="313"/>
        <v>0</v>
      </c>
      <c r="AB139" s="48">
        <f t="shared" si="313"/>
        <v>0</v>
      </c>
      <c r="AC139" s="48">
        <f t="shared" si="313"/>
        <v>0</v>
      </c>
      <c r="AD139" s="48">
        <f t="shared" si="313"/>
        <v>0</v>
      </c>
      <c r="AE139" s="48">
        <f t="shared" si="313"/>
        <v>0</v>
      </c>
      <c r="AF139" s="48">
        <f t="shared" si="313"/>
        <v>0</v>
      </c>
      <c r="AG139" s="48">
        <f t="shared" si="313"/>
        <v>0</v>
      </c>
      <c r="AH139" s="48">
        <f t="shared" si="313"/>
        <v>0</v>
      </c>
      <c r="AI139" s="48">
        <f t="shared" si="313"/>
        <v>0</v>
      </c>
      <c r="AJ139" s="48">
        <f t="shared" si="313"/>
        <v>0</v>
      </c>
      <c r="AK139" s="48">
        <f t="shared" si="313"/>
        <v>0</v>
      </c>
      <c r="AL139" s="48">
        <f t="shared" si="313"/>
        <v>0</v>
      </c>
      <c r="AM139" s="48">
        <f t="shared" si="313"/>
        <v>0</v>
      </c>
      <c r="AN139" s="48">
        <f t="shared" si="313"/>
        <v>0</v>
      </c>
      <c r="AO139" s="48">
        <f t="shared" si="313"/>
        <v>0</v>
      </c>
      <c r="AP139" s="48">
        <f t="shared" si="313"/>
        <v>0</v>
      </c>
      <c r="AQ139" s="48">
        <f t="shared" si="313"/>
        <v>0</v>
      </c>
      <c r="AR139" s="48">
        <f t="shared" si="313"/>
        <v>0</v>
      </c>
      <c r="AS139" s="48">
        <f t="shared" si="313"/>
        <v>0</v>
      </c>
      <c r="AT139" s="48">
        <f t="shared" si="313"/>
        <v>0</v>
      </c>
      <c r="AU139" s="48">
        <f t="shared" si="313"/>
        <v>0</v>
      </c>
      <c r="AV139" s="48">
        <f t="shared" si="313"/>
        <v>0</v>
      </c>
      <c r="AW139" s="48">
        <f t="shared" si="313"/>
        <v>0</v>
      </c>
      <c r="AX139" s="48">
        <f t="shared" si="313"/>
        <v>0</v>
      </c>
      <c r="AY139" s="48">
        <f t="shared" si="313"/>
        <v>0</v>
      </c>
      <c r="AZ139" s="48">
        <f t="shared" si="313"/>
        <v>0</v>
      </c>
      <c r="BA139" s="48">
        <f t="shared" si="313"/>
        <v>0</v>
      </c>
      <c r="BB139" s="48">
        <f t="shared" si="313"/>
        <v>0</v>
      </c>
      <c r="BC139" s="48">
        <f t="shared" si="313"/>
        <v>0</v>
      </c>
      <c r="BD139" s="48">
        <f t="shared" si="313"/>
        <v>0</v>
      </c>
      <c r="BE139" s="48">
        <f t="shared" si="313"/>
        <v>0</v>
      </c>
      <c r="BF139" s="48">
        <f t="shared" si="313"/>
        <v>0</v>
      </c>
      <c r="BG139" s="48">
        <f t="shared" si="313"/>
        <v>0</v>
      </c>
      <c r="BH139" s="48">
        <f t="shared" si="313"/>
        <v>0</v>
      </c>
      <c r="BI139" s="48">
        <f t="shared" si="313"/>
        <v>0</v>
      </c>
      <c r="BJ139" s="48">
        <f t="shared" si="313"/>
        <v>0</v>
      </c>
      <c r="BK139" s="48">
        <f t="shared" si="313"/>
        <v>0</v>
      </c>
      <c r="BL139" s="48">
        <f t="shared" si="313"/>
        <v>0</v>
      </c>
      <c r="BM139" s="48">
        <f t="shared" si="313"/>
        <v>0</v>
      </c>
      <c r="BN139" s="48">
        <f t="shared" si="313"/>
        <v>0</v>
      </c>
      <c r="BO139" s="48">
        <f t="shared" si="313"/>
        <v>0</v>
      </c>
      <c r="BP139" s="48">
        <f t="shared" si="313"/>
        <v>0</v>
      </c>
      <c r="BQ139" s="48">
        <f t="shared" si="313"/>
        <v>0</v>
      </c>
      <c r="BR139" s="48">
        <f t="shared" si="313"/>
        <v>0</v>
      </c>
      <c r="BS139" s="48">
        <f t="shared" si="313"/>
        <v>0</v>
      </c>
      <c r="BT139" s="48">
        <f t="shared" si="313"/>
        <v>0</v>
      </c>
      <c r="BU139" s="48">
        <f t="shared" si="313"/>
        <v>0</v>
      </c>
      <c r="BV139" s="48">
        <f t="shared" si="313"/>
        <v>0</v>
      </c>
      <c r="BW139" s="48">
        <f t="shared" si="313"/>
        <v>0</v>
      </c>
      <c r="BX139" s="48">
        <f t="shared" si="313"/>
        <v>0</v>
      </c>
      <c r="BY139" s="48">
        <f t="shared" si="313"/>
        <v>0</v>
      </c>
      <c r="BZ139" s="48">
        <f t="shared" si="313"/>
        <v>0</v>
      </c>
      <c r="CA139" s="48">
        <f t="shared" ref="CA139:EL139" si="314">CA112</f>
        <v>0</v>
      </c>
      <c r="CB139" s="48">
        <f t="shared" si="314"/>
        <v>0</v>
      </c>
      <c r="CC139" s="48">
        <f t="shared" si="314"/>
        <v>0</v>
      </c>
      <c r="CD139" s="48">
        <f t="shared" si="314"/>
        <v>0</v>
      </c>
      <c r="CE139" s="48">
        <f t="shared" si="314"/>
        <v>0</v>
      </c>
      <c r="CF139" s="48">
        <f t="shared" si="314"/>
        <v>0</v>
      </c>
      <c r="CG139" s="48">
        <f t="shared" si="314"/>
        <v>0</v>
      </c>
      <c r="CH139" s="48">
        <f t="shared" si="314"/>
        <v>0</v>
      </c>
      <c r="CI139" s="48">
        <f t="shared" si="314"/>
        <v>0</v>
      </c>
      <c r="CJ139" s="48">
        <f t="shared" si="314"/>
        <v>0</v>
      </c>
      <c r="CK139" s="48">
        <f t="shared" si="314"/>
        <v>0</v>
      </c>
      <c r="CL139" s="48">
        <f t="shared" si="314"/>
        <v>0</v>
      </c>
      <c r="CM139" s="48">
        <f t="shared" si="314"/>
        <v>0</v>
      </c>
      <c r="CN139" s="48">
        <f t="shared" si="314"/>
        <v>0</v>
      </c>
      <c r="CO139" s="48">
        <f t="shared" si="314"/>
        <v>0</v>
      </c>
      <c r="CP139" s="48">
        <f t="shared" si="314"/>
        <v>0</v>
      </c>
      <c r="CQ139" s="48">
        <f t="shared" si="314"/>
        <v>0</v>
      </c>
      <c r="CR139" s="48">
        <f t="shared" si="314"/>
        <v>0</v>
      </c>
      <c r="CS139" s="48">
        <f t="shared" si="314"/>
        <v>0</v>
      </c>
      <c r="CT139" s="48">
        <f t="shared" si="314"/>
        <v>0</v>
      </c>
      <c r="CU139" s="48">
        <f t="shared" si="314"/>
        <v>0</v>
      </c>
      <c r="CV139" s="48">
        <f t="shared" si="314"/>
        <v>0</v>
      </c>
      <c r="CW139" s="48">
        <f t="shared" si="314"/>
        <v>0</v>
      </c>
      <c r="CX139" s="48">
        <f t="shared" si="314"/>
        <v>0</v>
      </c>
      <c r="CY139" s="48">
        <f t="shared" si="314"/>
        <v>0</v>
      </c>
      <c r="CZ139" s="48">
        <f t="shared" si="314"/>
        <v>0</v>
      </c>
      <c r="DA139" s="48">
        <f t="shared" si="314"/>
        <v>0</v>
      </c>
      <c r="DB139" s="48">
        <f t="shared" si="314"/>
        <v>0</v>
      </c>
      <c r="DC139" s="48">
        <f t="shared" si="314"/>
        <v>0</v>
      </c>
      <c r="DD139" s="48">
        <f t="shared" si="314"/>
        <v>0</v>
      </c>
      <c r="DE139" s="48">
        <f t="shared" si="314"/>
        <v>0</v>
      </c>
      <c r="DF139" s="48">
        <f t="shared" si="314"/>
        <v>0</v>
      </c>
      <c r="DG139" s="48">
        <f t="shared" si="314"/>
        <v>0</v>
      </c>
      <c r="DH139" s="48">
        <f t="shared" si="314"/>
        <v>0</v>
      </c>
      <c r="DI139" s="48">
        <f t="shared" si="314"/>
        <v>0</v>
      </c>
      <c r="DJ139" s="48">
        <f t="shared" si="314"/>
        <v>0</v>
      </c>
      <c r="DK139" s="48">
        <f t="shared" si="314"/>
        <v>0</v>
      </c>
      <c r="DL139" s="48">
        <f t="shared" si="314"/>
        <v>0</v>
      </c>
      <c r="DM139" s="48">
        <f t="shared" si="314"/>
        <v>0</v>
      </c>
      <c r="DN139" s="48">
        <f t="shared" si="314"/>
        <v>0</v>
      </c>
      <c r="DO139" s="48">
        <f t="shared" si="314"/>
        <v>0</v>
      </c>
      <c r="DP139" s="48">
        <f t="shared" si="314"/>
        <v>0</v>
      </c>
      <c r="DQ139" s="48">
        <f t="shared" si="314"/>
        <v>0</v>
      </c>
      <c r="DR139" s="48">
        <f t="shared" si="314"/>
        <v>0</v>
      </c>
      <c r="DS139" s="48">
        <f t="shared" si="314"/>
        <v>0</v>
      </c>
      <c r="DT139" s="48">
        <f t="shared" si="314"/>
        <v>0</v>
      </c>
      <c r="DU139" s="48">
        <f t="shared" si="314"/>
        <v>0</v>
      </c>
      <c r="DV139" s="48">
        <f t="shared" si="314"/>
        <v>0</v>
      </c>
      <c r="DW139" s="48">
        <f t="shared" si="314"/>
        <v>0</v>
      </c>
      <c r="DX139" s="48">
        <f t="shared" si="314"/>
        <v>0</v>
      </c>
      <c r="DY139" s="48">
        <f t="shared" si="314"/>
        <v>0</v>
      </c>
      <c r="DZ139" s="48">
        <f t="shared" si="314"/>
        <v>0</v>
      </c>
      <c r="EA139" s="48">
        <f t="shared" si="314"/>
        <v>0</v>
      </c>
      <c r="EB139" s="48">
        <f t="shared" si="314"/>
        <v>0</v>
      </c>
      <c r="EC139" s="48">
        <f t="shared" si="314"/>
        <v>0</v>
      </c>
      <c r="ED139" s="48">
        <f t="shared" si="314"/>
        <v>0</v>
      </c>
      <c r="EE139" s="48">
        <f t="shared" si="314"/>
        <v>0</v>
      </c>
      <c r="EF139" s="48">
        <f t="shared" si="314"/>
        <v>0</v>
      </c>
      <c r="EG139" s="48">
        <f t="shared" si="314"/>
        <v>0</v>
      </c>
      <c r="EH139" s="48">
        <f t="shared" si="314"/>
        <v>0</v>
      </c>
      <c r="EI139" s="48">
        <f t="shared" si="314"/>
        <v>0</v>
      </c>
      <c r="EJ139" s="48">
        <f t="shared" si="314"/>
        <v>0</v>
      </c>
      <c r="EK139" s="48">
        <f t="shared" si="314"/>
        <v>0</v>
      </c>
      <c r="EL139" s="48">
        <f t="shared" si="314"/>
        <v>0</v>
      </c>
      <c r="EM139" s="48">
        <f t="shared" ref="EM139:GX139" si="315">EM112</f>
        <v>0</v>
      </c>
      <c r="EN139" s="48">
        <f t="shared" si="315"/>
        <v>0</v>
      </c>
      <c r="EO139" s="48">
        <f t="shared" si="315"/>
        <v>0</v>
      </c>
      <c r="EP139" s="48">
        <f t="shared" si="315"/>
        <v>0</v>
      </c>
      <c r="EQ139" s="48">
        <f t="shared" si="315"/>
        <v>0</v>
      </c>
      <c r="ER139" s="48">
        <f t="shared" si="315"/>
        <v>0</v>
      </c>
      <c r="ES139" s="48">
        <f t="shared" si="315"/>
        <v>0</v>
      </c>
      <c r="ET139" s="48">
        <f t="shared" si="315"/>
        <v>0</v>
      </c>
      <c r="EU139" s="48">
        <f t="shared" si="315"/>
        <v>0</v>
      </c>
      <c r="EV139" s="48">
        <f t="shared" si="315"/>
        <v>0</v>
      </c>
      <c r="EW139" s="48">
        <f t="shared" si="315"/>
        <v>0</v>
      </c>
      <c r="EX139" s="48">
        <f t="shared" si="315"/>
        <v>0</v>
      </c>
      <c r="EY139" s="48">
        <f t="shared" si="315"/>
        <v>0</v>
      </c>
      <c r="EZ139" s="48">
        <f t="shared" si="315"/>
        <v>0</v>
      </c>
      <c r="FA139" s="48">
        <f t="shared" si="315"/>
        <v>0</v>
      </c>
      <c r="FB139" s="48">
        <f t="shared" si="315"/>
        <v>0</v>
      </c>
      <c r="FC139" s="48">
        <f t="shared" si="315"/>
        <v>0</v>
      </c>
      <c r="FD139" s="48">
        <f t="shared" si="315"/>
        <v>0</v>
      </c>
      <c r="FE139" s="48">
        <f t="shared" si="315"/>
        <v>0</v>
      </c>
      <c r="FF139" s="48">
        <f t="shared" si="315"/>
        <v>0</v>
      </c>
      <c r="FG139" s="48">
        <f t="shared" si="315"/>
        <v>0</v>
      </c>
      <c r="FH139" s="48">
        <f t="shared" si="315"/>
        <v>0</v>
      </c>
      <c r="FI139" s="48">
        <f t="shared" si="315"/>
        <v>0</v>
      </c>
      <c r="FJ139" s="48">
        <f t="shared" si="315"/>
        <v>0</v>
      </c>
      <c r="FK139" s="48">
        <f t="shared" si="315"/>
        <v>0</v>
      </c>
      <c r="FL139" s="48">
        <f t="shared" si="315"/>
        <v>0</v>
      </c>
      <c r="FM139" s="48">
        <f t="shared" si="315"/>
        <v>0</v>
      </c>
      <c r="FN139" s="48">
        <f t="shared" si="315"/>
        <v>0</v>
      </c>
      <c r="FO139" s="48">
        <f t="shared" si="315"/>
        <v>0</v>
      </c>
      <c r="FP139" s="48">
        <f t="shared" si="315"/>
        <v>0</v>
      </c>
      <c r="FQ139" s="48">
        <f t="shared" si="315"/>
        <v>0</v>
      </c>
      <c r="FR139" s="48">
        <f t="shared" si="315"/>
        <v>0</v>
      </c>
      <c r="FS139" s="48">
        <f t="shared" si="315"/>
        <v>0</v>
      </c>
      <c r="FT139" s="48">
        <f t="shared" si="315"/>
        <v>0</v>
      </c>
      <c r="FU139" s="48">
        <f t="shared" si="315"/>
        <v>0</v>
      </c>
      <c r="FV139" s="48">
        <f t="shared" si="315"/>
        <v>0</v>
      </c>
      <c r="FW139" s="48">
        <f t="shared" si="315"/>
        <v>0</v>
      </c>
      <c r="FX139" s="48">
        <f t="shared" si="315"/>
        <v>0</v>
      </c>
      <c r="FY139" s="48">
        <f t="shared" si="315"/>
        <v>0</v>
      </c>
      <c r="FZ139" s="48">
        <f t="shared" si="315"/>
        <v>0</v>
      </c>
      <c r="GA139" s="48">
        <f t="shared" si="315"/>
        <v>0</v>
      </c>
      <c r="GB139" s="48">
        <f t="shared" si="315"/>
        <v>0</v>
      </c>
      <c r="GC139" s="48">
        <f t="shared" si="315"/>
        <v>0</v>
      </c>
      <c r="GD139" s="48">
        <f t="shared" si="315"/>
        <v>0</v>
      </c>
      <c r="GE139" s="48">
        <f t="shared" si="315"/>
        <v>0</v>
      </c>
      <c r="GF139" s="48">
        <f t="shared" si="315"/>
        <v>0</v>
      </c>
      <c r="GG139" s="48">
        <f t="shared" si="315"/>
        <v>0</v>
      </c>
      <c r="GH139" s="48">
        <f t="shared" si="315"/>
        <v>0</v>
      </c>
      <c r="GI139" s="48">
        <f t="shared" si="315"/>
        <v>0</v>
      </c>
      <c r="GJ139" s="48">
        <f t="shared" si="315"/>
        <v>0</v>
      </c>
      <c r="GK139" s="48">
        <f t="shared" si="315"/>
        <v>0</v>
      </c>
      <c r="GL139" s="48">
        <f t="shared" si="315"/>
        <v>0</v>
      </c>
      <c r="GM139" s="48">
        <f t="shared" si="315"/>
        <v>0</v>
      </c>
      <c r="GN139" s="48">
        <f t="shared" si="315"/>
        <v>0</v>
      </c>
      <c r="GO139" s="48">
        <f t="shared" si="315"/>
        <v>0</v>
      </c>
      <c r="GP139" s="48">
        <f t="shared" si="315"/>
        <v>0</v>
      </c>
      <c r="GQ139" s="48">
        <f t="shared" si="315"/>
        <v>0</v>
      </c>
      <c r="GR139" s="48">
        <f t="shared" si="315"/>
        <v>0</v>
      </c>
      <c r="GS139" s="48">
        <f t="shared" si="315"/>
        <v>0</v>
      </c>
      <c r="GT139" s="48">
        <f t="shared" si="315"/>
        <v>0</v>
      </c>
      <c r="GU139" s="48">
        <f t="shared" si="315"/>
        <v>0</v>
      </c>
      <c r="GV139" s="48">
        <f t="shared" si="315"/>
        <v>0</v>
      </c>
      <c r="GW139" s="48">
        <f t="shared" si="315"/>
        <v>0</v>
      </c>
      <c r="GX139" s="48">
        <f t="shared" si="315"/>
        <v>0</v>
      </c>
      <c r="GY139" s="48">
        <f t="shared" ref="GY139:JJ139" si="316">GY112</f>
        <v>0</v>
      </c>
      <c r="GZ139" s="48">
        <f t="shared" si="316"/>
        <v>0</v>
      </c>
      <c r="HA139" s="48">
        <f t="shared" si="316"/>
        <v>0</v>
      </c>
      <c r="HB139" s="48">
        <f t="shared" si="316"/>
        <v>0</v>
      </c>
      <c r="HC139" s="48">
        <f t="shared" si="316"/>
        <v>0</v>
      </c>
      <c r="HD139" s="48">
        <f t="shared" si="316"/>
        <v>0</v>
      </c>
      <c r="HE139" s="48">
        <f t="shared" si="316"/>
        <v>0</v>
      </c>
      <c r="HF139" s="48">
        <f t="shared" si="316"/>
        <v>0</v>
      </c>
      <c r="HG139" s="48">
        <f t="shared" si="316"/>
        <v>0</v>
      </c>
      <c r="HH139" s="48">
        <f t="shared" si="316"/>
        <v>0</v>
      </c>
      <c r="HI139" s="48">
        <f t="shared" si="316"/>
        <v>0</v>
      </c>
      <c r="HJ139" s="48">
        <f t="shared" si="316"/>
        <v>0</v>
      </c>
      <c r="HK139" s="48">
        <f t="shared" si="316"/>
        <v>0</v>
      </c>
      <c r="HL139" s="48">
        <f t="shared" si="316"/>
        <v>0</v>
      </c>
      <c r="HM139" s="48">
        <f t="shared" si="316"/>
        <v>0</v>
      </c>
      <c r="HN139" s="48">
        <f t="shared" si="316"/>
        <v>0</v>
      </c>
      <c r="HO139" s="48">
        <f t="shared" si="316"/>
        <v>0</v>
      </c>
      <c r="HP139" s="48">
        <f t="shared" si="316"/>
        <v>0</v>
      </c>
      <c r="HQ139" s="48">
        <f t="shared" si="316"/>
        <v>0</v>
      </c>
      <c r="HR139" s="48">
        <f t="shared" si="316"/>
        <v>0</v>
      </c>
      <c r="HS139" s="48">
        <f t="shared" si="316"/>
        <v>0</v>
      </c>
      <c r="HT139" s="48">
        <f t="shared" si="316"/>
        <v>0</v>
      </c>
      <c r="HU139" s="48">
        <f t="shared" si="316"/>
        <v>0</v>
      </c>
      <c r="HV139" s="48">
        <f t="shared" si="316"/>
        <v>0</v>
      </c>
      <c r="HW139" s="48">
        <f t="shared" si="316"/>
        <v>0</v>
      </c>
      <c r="HX139" s="48">
        <f t="shared" si="316"/>
        <v>0</v>
      </c>
      <c r="HY139" s="48">
        <f t="shared" si="316"/>
        <v>0</v>
      </c>
      <c r="HZ139" s="48">
        <f t="shared" si="316"/>
        <v>0</v>
      </c>
      <c r="IA139" s="48">
        <f t="shared" si="316"/>
        <v>0</v>
      </c>
      <c r="IB139" s="48">
        <f t="shared" si="316"/>
        <v>0</v>
      </c>
      <c r="IC139" s="48">
        <f t="shared" si="316"/>
        <v>0</v>
      </c>
      <c r="ID139" s="48">
        <f t="shared" si="316"/>
        <v>0</v>
      </c>
      <c r="IE139" s="48">
        <f t="shared" si="316"/>
        <v>0</v>
      </c>
      <c r="IF139" s="48">
        <f t="shared" si="316"/>
        <v>0</v>
      </c>
      <c r="IG139" s="48">
        <f t="shared" si="316"/>
        <v>0</v>
      </c>
      <c r="IH139" s="48">
        <f t="shared" si="316"/>
        <v>0</v>
      </c>
      <c r="II139" s="48">
        <f t="shared" si="316"/>
        <v>0</v>
      </c>
      <c r="IJ139" s="48">
        <f t="shared" si="316"/>
        <v>0</v>
      </c>
      <c r="IK139" s="48">
        <f t="shared" si="316"/>
        <v>0</v>
      </c>
      <c r="IL139" s="48">
        <f t="shared" si="316"/>
        <v>0</v>
      </c>
      <c r="IM139" s="48">
        <f t="shared" si="316"/>
        <v>0</v>
      </c>
      <c r="IN139" s="48">
        <f t="shared" si="316"/>
        <v>0</v>
      </c>
      <c r="IO139" s="48">
        <f t="shared" si="316"/>
        <v>0</v>
      </c>
      <c r="IP139" s="48">
        <f t="shared" si="316"/>
        <v>0</v>
      </c>
      <c r="IQ139" s="48">
        <f t="shared" si="316"/>
        <v>0</v>
      </c>
      <c r="IR139" s="48">
        <f t="shared" si="316"/>
        <v>0</v>
      </c>
      <c r="IS139" s="48">
        <f t="shared" si="316"/>
        <v>0</v>
      </c>
      <c r="IT139" s="48">
        <f t="shared" si="316"/>
        <v>0</v>
      </c>
      <c r="IU139" s="48">
        <f t="shared" si="316"/>
        <v>0</v>
      </c>
      <c r="IV139" s="48">
        <f t="shared" si="316"/>
        <v>0</v>
      </c>
      <c r="IW139" s="48">
        <f t="shared" si="316"/>
        <v>0</v>
      </c>
      <c r="IX139" s="48">
        <f t="shared" si="316"/>
        <v>0</v>
      </c>
      <c r="IY139" s="48">
        <f t="shared" si="316"/>
        <v>0</v>
      </c>
      <c r="IZ139" s="48">
        <f t="shared" si="316"/>
        <v>0</v>
      </c>
      <c r="JA139" s="48">
        <f t="shared" si="316"/>
        <v>0</v>
      </c>
      <c r="JB139" s="48">
        <f t="shared" si="316"/>
        <v>0</v>
      </c>
      <c r="JC139" s="48">
        <f t="shared" si="316"/>
        <v>0</v>
      </c>
      <c r="JD139" s="48">
        <f t="shared" si="316"/>
        <v>0</v>
      </c>
      <c r="JE139" s="48">
        <f t="shared" si="316"/>
        <v>0</v>
      </c>
      <c r="JF139" s="48">
        <f t="shared" si="316"/>
        <v>0</v>
      </c>
      <c r="JG139" s="48">
        <f t="shared" si="316"/>
        <v>0</v>
      </c>
      <c r="JH139" s="48">
        <f t="shared" si="316"/>
        <v>0</v>
      </c>
      <c r="JI139" s="48">
        <f t="shared" si="316"/>
        <v>0</v>
      </c>
      <c r="JJ139" s="48">
        <f t="shared" si="316"/>
        <v>0</v>
      </c>
      <c r="JK139" s="48">
        <f t="shared" ref="JK139:KI139" si="317">JK112</f>
        <v>0</v>
      </c>
      <c r="JL139" s="48">
        <f t="shared" si="317"/>
        <v>0</v>
      </c>
      <c r="JM139" s="48">
        <f t="shared" si="317"/>
        <v>0</v>
      </c>
      <c r="JN139" s="48">
        <f t="shared" si="317"/>
        <v>0</v>
      </c>
      <c r="JO139" s="48">
        <f t="shared" si="317"/>
        <v>0</v>
      </c>
      <c r="JP139" s="48">
        <f t="shared" si="317"/>
        <v>0</v>
      </c>
      <c r="JQ139" s="48">
        <f t="shared" si="317"/>
        <v>0</v>
      </c>
      <c r="JR139" s="48">
        <f t="shared" si="317"/>
        <v>0</v>
      </c>
      <c r="JS139" s="48">
        <f t="shared" si="317"/>
        <v>0</v>
      </c>
      <c r="JT139" s="48">
        <f t="shared" si="317"/>
        <v>0</v>
      </c>
      <c r="JU139" s="48">
        <f t="shared" si="317"/>
        <v>0</v>
      </c>
      <c r="JV139" s="48">
        <f t="shared" si="317"/>
        <v>0</v>
      </c>
      <c r="JW139" s="48">
        <f t="shared" si="317"/>
        <v>0</v>
      </c>
      <c r="JX139" s="48">
        <f t="shared" si="317"/>
        <v>0</v>
      </c>
      <c r="JY139" s="48">
        <f t="shared" si="317"/>
        <v>0</v>
      </c>
      <c r="JZ139" s="48">
        <f t="shared" si="317"/>
        <v>0</v>
      </c>
      <c r="KA139" s="48">
        <f t="shared" si="317"/>
        <v>0</v>
      </c>
      <c r="KB139" s="48">
        <f t="shared" si="317"/>
        <v>0</v>
      </c>
      <c r="KC139" s="48">
        <f t="shared" si="317"/>
        <v>0</v>
      </c>
      <c r="KD139" s="48">
        <f t="shared" si="317"/>
        <v>0</v>
      </c>
      <c r="KE139" s="48">
        <f t="shared" si="317"/>
        <v>0</v>
      </c>
      <c r="KF139" s="48">
        <f t="shared" si="317"/>
        <v>0</v>
      </c>
      <c r="KG139" s="48">
        <f t="shared" si="317"/>
        <v>0</v>
      </c>
      <c r="KH139" s="48">
        <f t="shared" si="317"/>
        <v>0</v>
      </c>
      <c r="KI139" s="48">
        <f t="shared" si="317"/>
        <v>0</v>
      </c>
      <c r="KJ139" s="1"/>
    </row>
    <row r="140" spans="10:296" x14ac:dyDescent="0.35">
      <c r="M140" s="15" t="s">
        <v>207</v>
      </c>
      <c r="N140" s="48">
        <f>N111</f>
        <v>0</v>
      </c>
      <c r="O140" s="48">
        <f t="shared" ref="O140:BZ140" si="318">O111</f>
        <v>0</v>
      </c>
      <c r="P140" s="48">
        <f t="shared" si="318"/>
        <v>0</v>
      </c>
      <c r="Q140" s="48">
        <f t="shared" si="318"/>
        <v>0</v>
      </c>
      <c r="R140" s="48">
        <f t="shared" si="318"/>
        <v>0</v>
      </c>
      <c r="S140" s="48">
        <f t="shared" si="318"/>
        <v>0</v>
      </c>
      <c r="T140" s="48">
        <f t="shared" si="318"/>
        <v>0</v>
      </c>
      <c r="U140" s="48">
        <f t="shared" si="318"/>
        <v>0</v>
      </c>
      <c r="V140" s="48">
        <f t="shared" si="318"/>
        <v>-25</v>
      </c>
      <c r="W140" s="48">
        <f t="shared" si="318"/>
        <v>0</v>
      </c>
      <c r="X140" s="48">
        <f t="shared" si="318"/>
        <v>0</v>
      </c>
      <c r="Y140" s="48">
        <f t="shared" si="318"/>
        <v>0</v>
      </c>
      <c r="Z140" s="48">
        <f t="shared" si="318"/>
        <v>0</v>
      </c>
      <c r="AA140" s="48">
        <f t="shared" si="318"/>
        <v>0</v>
      </c>
      <c r="AB140" s="48">
        <f t="shared" si="318"/>
        <v>-25</v>
      </c>
      <c r="AC140" s="48">
        <f t="shared" si="318"/>
        <v>0</v>
      </c>
      <c r="AD140" s="48">
        <f t="shared" si="318"/>
        <v>0</v>
      </c>
      <c r="AE140" s="48">
        <f t="shared" si="318"/>
        <v>0</v>
      </c>
      <c r="AF140" s="48">
        <f t="shared" si="318"/>
        <v>0</v>
      </c>
      <c r="AG140" s="48">
        <f t="shared" si="318"/>
        <v>0</v>
      </c>
      <c r="AH140" s="48">
        <f t="shared" si="318"/>
        <v>-25</v>
      </c>
      <c r="AI140" s="48">
        <f t="shared" si="318"/>
        <v>0</v>
      </c>
      <c r="AJ140" s="48">
        <f t="shared" si="318"/>
        <v>0</v>
      </c>
      <c r="AK140" s="48">
        <f t="shared" si="318"/>
        <v>0</v>
      </c>
      <c r="AL140" s="48">
        <f t="shared" si="318"/>
        <v>0</v>
      </c>
      <c r="AM140" s="48">
        <f t="shared" si="318"/>
        <v>0</v>
      </c>
      <c r="AN140" s="48">
        <f t="shared" si="318"/>
        <v>-25</v>
      </c>
      <c r="AO140" s="48">
        <f t="shared" si="318"/>
        <v>0</v>
      </c>
      <c r="AP140" s="48">
        <f t="shared" si="318"/>
        <v>0</v>
      </c>
      <c r="AQ140" s="48">
        <f t="shared" si="318"/>
        <v>0</v>
      </c>
      <c r="AR140" s="48">
        <f t="shared" si="318"/>
        <v>0</v>
      </c>
      <c r="AS140" s="48">
        <f t="shared" si="318"/>
        <v>0</v>
      </c>
      <c r="AT140" s="48">
        <f t="shared" si="318"/>
        <v>-25</v>
      </c>
      <c r="AU140" s="48">
        <f t="shared" si="318"/>
        <v>0</v>
      </c>
      <c r="AV140" s="48">
        <f t="shared" si="318"/>
        <v>0</v>
      </c>
      <c r="AW140" s="48">
        <f t="shared" si="318"/>
        <v>0</v>
      </c>
      <c r="AX140" s="48">
        <f t="shared" si="318"/>
        <v>0</v>
      </c>
      <c r="AY140" s="48">
        <f t="shared" si="318"/>
        <v>0</v>
      </c>
      <c r="AZ140" s="48">
        <f t="shared" si="318"/>
        <v>-25</v>
      </c>
      <c r="BA140" s="48">
        <f t="shared" si="318"/>
        <v>0</v>
      </c>
      <c r="BB140" s="48">
        <f t="shared" si="318"/>
        <v>0</v>
      </c>
      <c r="BC140" s="48">
        <f t="shared" si="318"/>
        <v>0</v>
      </c>
      <c r="BD140" s="48">
        <f t="shared" si="318"/>
        <v>0</v>
      </c>
      <c r="BE140" s="48">
        <f t="shared" si="318"/>
        <v>0</v>
      </c>
      <c r="BF140" s="48">
        <f t="shared" si="318"/>
        <v>-25</v>
      </c>
      <c r="BG140" s="48">
        <f t="shared" si="318"/>
        <v>0</v>
      </c>
      <c r="BH140" s="48">
        <f t="shared" si="318"/>
        <v>0</v>
      </c>
      <c r="BI140" s="48">
        <f t="shared" si="318"/>
        <v>0</v>
      </c>
      <c r="BJ140" s="48">
        <f t="shared" si="318"/>
        <v>0</v>
      </c>
      <c r="BK140" s="48">
        <f t="shared" si="318"/>
        <v>0</v>
      </c>
      <c r="BL140" s="48">
        <f t="shared" si="318"/>
        <v>-25</v>
      </c>
      <c r="BM140" s="48">
        <f t="shared" si="318"/>
        <v>0</v>
      </c>
      <c r="BN140" s="48">
        <f t="shared" si="318"/>
        <v>0</v>
      </c>
      <c r="BO140" s="48">
        <f t="shared" si="318"/>
        <v>0</v>
      </c>
      <c r="BP140" s="48">
        <f t="shared" si="318"/>
        <v>0</v>
      </c>
      <c r="BQ140" s="48">
        <f t="shared" si="318"/>
        <v>0</v>
      </c>
      <c r="BR140" s="48">
        <f t="shared" si="318"/>
        <v>-25</v>
      </c>
      <c r="BS140" s="48">
        <f t="shared" si="318"/>
        <v>0</v>
      </c>
      <c r="BT140" s="48">
        <f t="shared" si="318"/>
        <v>0</v>
      </c>
      <c r="BU140" s="48">
        <f t="shared" si="318"/>
        <v>0</v>
      </c>
      <c r="BV140" s="48">
        <f t="shared" si="318"/>
        <v>0</v>
      </c>
      <c r="BW140" s="48">
        <f t="shared" si="318"/>
        <v>0</v>
      </c>
      <c r="BX140" s="48">
        <f t="shared" si="318"/>
        <v>-25</v>
      </c>
      <c r="BY140" s="48">
        <f t="shared" si="318"/>
        <v>0</v>
      </c>
      <c r="BZ140" s="48">
        <f t="shared" si="318"/>
        <v>0</v>
      </c>
      <c r="CA140" s="48">
        <f t="shared" ref="CA140:EL140" si="319">CA111</f>
        <v>0</v>
      </c>
      <c r="CB140" s="48">
        <f t="shared" si="319"/>
        <v>0</v>
      </c>
      <c r="CC140" s="48">
        <f t="shared" si="319"/>
        <v>0</v>
      </c>
      <c r="CD140" s="48">
        <f t="shared" si="319"/>
        <v>0</v>
      </c>
      <c r="CE140" s="48">
        <f t="shared" si="319"/>
        <v>0</v>
      </c>
      <c r="CF140" s="48">
        <f t="shared" si="319"/>
        <v>0</v>
      </c>
      <c r="CG140" s="48">
        <f t="shared" si="319"/>
        <v>0</v>
      </c>
      <c r="CH140" s="48">
        <f t="shared" si="319"/>
        <v>0</v>
      </c>
      <c r="CI140" s="48">
        <f t="shared" si="319"/>
        <v>0</v>
      </c>
      <c r="CJ140" s="48">
        <f t="shared" si="319"/>
        <v>0</v>
      </c>
      <c r="CK140" s="48">
        <f t="shared" si="319"/>
        <v>0</v>
      </c>
      <c r="CL140" s="48">
        <f t="shared" si="319"/>
        <v>0</v>
      </c>
      <c r="CM140" s="48">
        <f t="shared" si="319"/>
        <v>0</v>
      </c>
      <c r="CN140" s="48">
        <f t="shared" si="319"/>
        <v>0</v>
      </c>
      <c r="CO140" s="48">
        <f t="shared" si="319"/>
        <v>0</v>
      </c>
      <c r="CP140" s="48">
        <f t="shared" si="319"/>
        <v>0</v>
      </c>
      <c r="CQ140" s="48">
        <f t="shared" si="319"/>
        <v>0</v>
      </c>
      <c r="CR140" s="48">
        <f t="shared" si="319"/>
        <v>0</v>
      </c>
      <c r="CS140" s="48">
        <f t="shared" si="319"/>
        <v>0</v>
      </c>
      <c r="CT140" s="48">
        <f t="shared" si="319"/>
        <v>0</v>
      </c>
      <c r="CU140" s="48">
        <f t="shared" si="319"/>
        <v>0</v>
      </c>
      <c r="CV140" s="48">
        <f t="shared" si="319"/>
        <v>0</v>
      </c>
      <c r="CW140" s="48">
        <f t="shared" si="319"/>
        <v>0</v>
      </c>
      <c r="CX140" s="48">
        <f t="shared" si="319"/>
        <v>0</v>
      </c>
      <c r="CY140" s="48">
        <f t="shared" si="319"/>
        <v>0</v>
      </c>
      <c r="CZ140" s="48">
        <f t="shared" si="319"/>
        <v>0</v>
      </c>
      <c r="DA140" s="48">
        <f t="shared" si="319"/>
        <v>0</v>
      </c>
      <c r="DB140" s="48">
        <f t="shared" si="319"/>
        <v>0</v>
      </c>
      <c r="DC140" s="48">
        <f t="shared" si="319"/>
        <v>0</v>
      </c>
      <c r="DD140" s="48">
        <f t="shared" si="319"/>
        <v>0</v>
      </c>
      <c r="DE140" s="48">
        <f t="shared" si="319"/>
        <v>0</v>
      </c>
      <c r="DF140" s="48">
        <f t="shared" si="319"/>
        <v>0</v>
      </c>
      <c r="DG140" s="48">
        <f t="shared" si="319"/>
        <v>0</v>
      </c>
      <c r="DH140" s="48">
        <f t="shared" si="319"/>
        <v>0</v>
      </c>
      <c r="DI140" s="48">
        <f t="shared" si="319"/>
        <v>0</v>
      </c>
      <c r="DJ140" s="48">
        <f t="shared" si="319"/>
        <v>0</v>
      </c>
      <c r="DK140" s="48">
        <f t="shared" si="319"/>
        <v>0</v>
      </c>
      <c r="DL140" s="48">
        <f t="shared" si="319"/>
        <v>0</v>
      </c>
      <c r="DM140" s="48">
        <f t="shared" si="319"/>
        <v>0</v>
      </c>
      <c r="DN140" s="48">
        <f t="shared" si="319"/>
        <v>0</v>
      </c>
      <c r="DO140" s="48">
        <f t="shared" si="319"/>
        <v>0</v>
      </c>
      <c r="DP140" s="48">
        <f t="shared" si="319"/>
        <v>0</v>
      </c>
      <c r="DQ140" s="48">
        <f t="shared" si="319"/>
        <v>0</v>
      </c>
      <c r="DR140" s="48">
        <f t="shared" si="319"/>
        <v>0</v>
      </c>
      <c r="DS140" s="48">
        <f t="shared" si="319"/>
        <v>0</v>
      </c>
      <c r="DT140" s="48">
        <f t="shared" si="319"/>
        <v>0</v>
      </c>
      <c r="DU140" s="48">
        <f t="shared" si="319"/>
        <v>0</v>
      </c>
      <c r="DV140" s="48">
        <f t="shared" si="319"/>
        <v>0</v>
      </c>
      <c r="DW140" s="48">
        <f t="shared" si="319"/>
        <v>0</v>
      </c>
      <c r="DX140" s="48">
        <f t="shared" si="319"/>
        <v>0</v>
      </c>
      <c r="DY140" s="48">
        <f t="shared" si="319"/>
        <v>0</v>
      </c>
      <c r="DZ140" s="48">
        <f t="shared" si="319"/>
        <v>0</v>
      </c>
      <c r="EA140" s="48">
        <f t="shared" si="319"/>
        <v>0</v>
      </c>
      <c r="EB140" s="48">
        <f t="shared" si="319"/>
        <v>0</v>
      </c>
      <c r="EC140" s="48">
        <f t="shared" si="319"/>
        <v>0</v>
      </c>
      <c r="ED140" s="48">
        <f t="shared" si="319"/>
        <v>0</v>
      </c>
      <c r="EE140" s="48">
        <f t="shared" si="319"/>
        <v>0</v>
      </c>
      <c r="EF140" s="48">
        <f t="shared" si="319"/>
        <v>0</v>
      </c>
      <c r="EG140" s="48">
        <f t="shared" si="319"/>
        <v>0</v>
      </c>
      <c r="EH140" s="48">
        <f t="shared" si="319"/>
        <v>0</v>
      </c>
      <c r="EI140" s="48">
        <f t="shared" si="319"/>
        <v>0</v>
      </c>
      <c r="EJ140" s="48">
        <f t="shared" si="319"/>
        <v>0</v>
      </c>
      <c r="EK140" s="48">
        <f t="shared" si="319"/>
        <v>0</v>
      </c>
      <c r="EL140" s="48">
        <f t="shared" si="319"/>
        <v>0</v>
      </c>
      <c r="EM140" s="48">
        <f t="shared" ref="EM140:GX140" si="320">EM111</f>
        <v>0</v>
      </c>
      <c r="EN140" s="48">
        <f t="shared" si="320"/>
        <v>0</v>
      </c>
      <c r="EO140" s="48">
        <f t="shared" si="320"/>
        <v>0</v>
      </c>
      <c r="EP140" s="48">
        <f t="shared" si="320"/>
        <v>0</v>
      </c>
      <c r="EQ140" s="48">
        <f t="shared" si="320"/>
        <v>0</v>
      </c>
      <c r="ER140" s="48">
        <f t="shared" si="320"/>
        <v>0</v>
      </c>
      <c r="ES140" s="48">
        <f t="shared" si="320"/>
        <v>0</v>
      </c>
      <c r="ET140" s="48">
        <f t="shared" si="320"/>
        <v>0</v>
      </c>
      <c r="EU140" s="48">
        <f t="shared" si="320"/>
        <v>0</v>
      </c>
      <c r="EV140" s="48">
        <f t="shared" si="320"/>
        <v>0</v>
      </c>
      <c r="EW140" s="48">
        <f t="shared" si="320"/>
        <v>0</v>
      </c>
      <c r="EX140" s="48">
        <f t="shared" si="320"/>
        <v>0</v>
      </c>
      <c r="EY140" s="48">
        <f t="shared" si="320"/>
        <v>0</v>
      </c>
      <c r="EZ140" s="48">
        <f t="shared" si="320"/>
        <v>0</v>
      </c>
      <c r="FA140" s="48">
        <f t="shared" si="320"/>
        <v>0</v>
      </c>
      <c r="FB140" s="48">
        <f t="shared" si="320"/>
        <v>0</v>
      </c>
      <c r="FC140" s="48">
        <f t="shared" si="320"/>
        <v>0</v>
      </c>
      <c r="FD140" s="48">
        <f t="shared" si="320"/>
        <v>0</v>
      </c>
      <c r="FE140" s="48">
        <f t="shared" si="320"/>
        <v>0</v>
      </c>
      <c r="FF140" s="48">
        <f t="shared" si="320"/>
        <v>0</v>
      </c>
      <c r="FG140" s="48">
        <f t="shared" si="320"/>
        <v>0</v>
      </c>
      <c r="FH140" s="48">
        <f t="shared" si="320"/>
        <v>0</v>
      </c>
      <c r="FI140" s="48">
        <f t="shared" si="320"/>
        <v>0</v>
      </c>
      <c r="FJ140" s="48">
        <f t="shared" si="320"/>
        <v>0</v>
      </c>
      <c r="FK140" s="48">
        <f t="shared" si="320"/>
        <v>0</v>
      </c>
      <c r="FL140" s="48">
        <f t="shared" si="320"/>
        <v>0</v>
      </c>
      <c r="FM140" s="48">
        <f t="shared" si="320"/>
        <v>0</v>
      </c>
      <c r="FN140" s="48">
        <f t="shared" si="320"/>
        <v>0</v>
      </c>
      <c r="FO140" s="48">
        <f t="shared" si="320"/>
        <v>0</v>
      </c>
      <c r="FP140" s="48">
        <f t="shared" si="320"/>
        <v>0</v>
      </c>
      <c r="FQ140" s="48">
        <f t="shared" si="320"/>
        <v>0</v>
      </c>
      <c r="FR140" s="48">
        <f t="shared" si="320"/>
        <v>0</v>
      </c>
      <c r="FS140" s="48">
        <f t="shared" si="320"/>
        <v>0</v>
      </c>
      <c r="FT140" s="48">
        <f t="shared" si="320"/>
        <v>0</v>
      </c>
      <c r="FU140" s="48">
        <f t="shared" si="320"/>
        <v>0</v>
      </c>
      <c r="FV140" s="48">
        <f t="shared" si="320"/>
        <v>0</v>
      </c>
      <c r="FW140" s="48">
        <f t="shared" si="320"/>
        <v>0</v>
      </c>
      <c r="FX140" s="48">
        <f t="shared" si="320"/>
        <v>0</v>
      </c>
      <c r="FY140" s="48">
        <f t="shared" si="320"/>
        <v>0</v>
      </c>
      <c r="FZ140" s="48">
        <f t="shared" si="320"/>
        <v>0</v>
      </c>
      <c r="GA140" s="48">
        <f t="shared" si="320"/>
        <v>0</v>
      </c>
      <c r="GB140" s="48">
        <f t="shared" si="320"/>
        <v>0</v>
      </c>
      <c r="GC140" s="48">
        <f t="shared" si="320"/>
        <v>0</v>
      </c>
      <c r="GD140" s="48">
        <f t="shared" si="320"/>
        <v>0</v>
      </c>
      <c r="GE140" s="48">
        <f t="shared" si="320"/>
        <v>0</v>
      </c>
      <c r="GF140" s="48">
        <f t="shared" si="320"/>
        <v>0</v>
      </c>
      <c r="GG140" s="48">
        <f t="shared" si="320"/>
        <v>0</v>
      </c>
      <c r="GH140" s="48">
        <f t="shared" si="320"/>
        <v>0</v>
      </c>
      <c r="GI140" s="48">
        <f t="shared" si="320"/>
        <v>0</v>
      </c>
      <c r="GJ140" s="48">
        <f t="shared" si="320"/>
        <v>0</v>
      </c>
      <c r="GK140" s="48">
        <f t="shared" si="320"/>
        <v>0</v>
      </c>
      <c r="GL140" s="48">
        <f t="shared" si="320"/>
        <v>0</v>
      </c>
      <c r="GM140" s="48">
        <f t="shared" si="320"/>
        <v>0</v>
      </c>
      <c r="GN140" s="48">
        <f t="shared" si="320"/>
        <v>0</v>
      </c>
      <c r="GO140" s="48">
        <f t="shared" si="320"/>
        <v>0</v>
      </c>
      <c r="GP140" s="48">
        <f t="shared" si="320"/>
        <v>0</v>
      </c>
      <c r="GQ140" s="48">
        <f t="shared" si="320"/>
        <v>0</v>
      </c>
      <c r="GR140" s="48">
        <f t="shared" si="320"/>
        <v>0</v>
      </c>
      <c r="GS140" s="48">
        <f t="shared" si="320"/>
        <v>0</v>
      </c>
      <c r="GT140" s="48">
        <f t="shared" si="320"/>
        <v>0</v>
      </c>
      <c r="GU140" s="48">
        <f t="shared" si="320"/>
        <v>0</v>
      </c>
      <c r="GV140" s="48">
        <f t="shared" si="320"/>
        <v>0</v>
      </c>
      <c r="GW140" s="48">
        <f t="shared" si="320"/>
        <v>0</v>
      </c>
      <c r="GX140" s="48">
        <f t="shared" si="320"/>
        <v>0</v>
      </c>
      <c r="GY140" s="48">
        <f t="shared" ref="GY140:JJ140" si="321">GY111</f>
        <v>0</v>
      </c>
      <c r="GZ140" s="48">
        <f t="shared" si="321"/>
        <v>0</v>
      </c>
      <c r="HA140" s="48">
        <f t="shared" si="321"/>
        <v>0</v>
      </c>
      <c r="HB140" s="48">
        <f t="shared" si="321"/>
        <v>0</v>
      </c>
      <c r="HC140" s="48">
        <f t="shared" si="321"/>
        <v>0</v>
      </c>
      <c r="HD140" s="48">
        <f t="shared" si="321"/>
        <v>0</v>
      </c>
      <c r="HE140" s="48">
        <f t="shared" si="321"/>
        <v>0</v>
      </c>
      <c r="HF140" s="48">
        <f t="shared" si="321"/>
        <v>0</v>
      </c>
      <c r="HG140" s="48">
        <f t="shared" si="321"/>
        <v>0</v>
      </c>
      <c r="HH140" s="48">
        <f t="shared" si="321"/>
        <v>0</v>
      </c>
      <c r="HI140" s="48">
        <f t="shared" si="321"/>
        <v>0</v>
      </c>
      <c r="HJ140" s="48">
        <f t="shared" si="321"/>
        <v>0</v>
      </c>
      <c r="HK140" s="48">
        <f t="shared" si="321"/>
        <v>0</v>
      </c>
      <c r="HL140" s="48">
        <f t="shared" si="321"/>
        <v>0</v>
      </c>
      <c r="HM140" s="48">
        <f t="shared" si="321"/>
        <v>0</v>
      </c>
      <c r="HN140" s="48">
        <f t="shared" si="321"/>
        <v>0</v>
      </c>
      <c r="HO140" s="48">
        <f t="shared" si="321"/>
        <v>0</v>
      </c>
      <c r="HP140" s="48">
        <f t="shared" si="321"/>
        <v>0</v>
      </c>
      <c r="HQ140" s="48">
        <f t="shared" si="321"/>
        <v>0</v>
      </c>
      <c r="HR140" s="48">
        <f t="shared" si="321"/>
        <v>0</v>
      </c>
      <c r="HS140" s="48">
        <f t="shared" si="321"/>
        <v>0</v>
      </c>
      <c r="HT140" s="48">
        <f t="shared" si="321"/>
        <v>0</v>
      </c>
      <c r="HU140" s="48">
        <f t="shared" si="321"/>
        <v>0</v>
      </c>
      <c r="HV140" s="48">
        <f t="shared" si="321"/>
        <v>0</v>
      </c>
      <c r="HW140" s="48">
        <f t="shared" si="321"/>
        <v>0</v>
      </c>
      <c r="HX140" s="48">
        <f t="shared" si="321"/>
        <v>0</v>
      </c>
      <c r="HY140" s="48">
        <f t="shared" si="321"/>
        <v>0</v>
      </c>
      <c r="HZ140" s="48">
        <f t="shared" si="321"/>
        <v>0</v>
      </c>
      <c r="IA140" s="48">
        <f t="shared" si="321"/>
        <v>0</v>
      </c>
      <c r="IB140" s="48">
        <f t="shared" si="321"/>
        <v>0</v>
      </c>
      <c r="IC140" s="48">
        <f t="shared" si="321"/>
        <v>0</v>
      </c>
      <c r="ID140" s="48">
        <f t="shared" si="321"/>
        <v>0</v>
      </c>
      <c r="IE140" s="48">
        <f t="shared" si="321"/>
        <v>0</v>
      </c>
      <c r="IF140" s="48">
        <f t="shared" si="321"/>
        <v>0</v>
      </c>
      <c r="IG140" s="48">
        <f t="shared" si="321"/>
        <v>0</v>
      </c>
      <c r="IH140" s="48">
        <f t="shared" si="321"/>
        <v>0</v>
      </c>
      <c r="II140" s="48">
        <f t="shared" si="321"/>
        <v>0</v>
      </c>
      <c r="IJ140" s="48">
        <f t="shared" si="321"/>
        <v>0</v>
      </c>
      <c r="IK140" s="48">
        <f t="shared" si="321"/>
        <v>0</v>
      </c>
      <c r="IL140" s="48">
        <f t="shared" si="321"/>
        <v>0</v>
      </c>
      <c r="IM140" s="48">
        <f t="shared" si="321"/>
        <v>0</v>
      </c>
      <c r="IN140" s="48">
        <f t="shared" si="321"/>
        <v>0</v>
      </c>
      <c r="IO140" s="48">
        <f t="shared" si="321"/>
        <v>0</v>
      </c>
      <c r="IP140" s="48">
        <f t="shared" si="321"/>
        <v>0</v>
      </c>
      <c r="IQ140" s="48">
        <f t="shared" si="321"/>
        <v>0</v>
      </c>
      <c r="IR140" s="48">
        <f t="shared" si="321"/>
        <v>0</v>
      </c>
      <c r="IS140" s="48">
        <f t="shared" si="321"/>
        <v>0</v>
      </c>
      <c r="IT140" s="48">
        <f t="shared" si="321"/>
        <v>0</v>
      </c>
      <c r="IU140" s="48">
        <f t="shared" si="321"/>
        <v>0</v>
      </c>
      <c r="IV140" s="48">
        <f t="shared" si="321"/>
        <v>0</v>
      </c>
      <c r="IW140" s="48">
        <f t="shared" si="321"/>
        <v>0</v>
      </c>
      <c r="IX140" s="48">
        <f t="shared" si="321"/>
        <v>0</v>
      </c>
      <c r="IY140" s="48">
        <f t="shared" si="321"/>
        <v>0</v>
      </c>
      <c r="IZ140" s="48">
        <f t="shared" si="321"/>
        <v>0</v>
      </c>
      <c r="JA140" s="48">
        <f t="shared" si="321"/>
        <v>0</v>
      </c>
      <c r="JB140" s="48">
        <f t="shared" si="321"/>
        <v>0</v>
      </c>
      <c r="JC140" s="48">
        <f t="shared" si="321"/>
        <v>0</v>
      </c>
      <c r="JD140" s="48">
        <f t="shared" si="321"/>
        <v>0</v>
      </c>
      <c r="JE140" s="48">
        <f t="shared" si="321"/>
        <v>0</v>
      </c>
      <c r="JF140" s="48">
        <f t="shared" si="321"/>
        <v>0</v>
      </c>
      <c r="JG140" s="48">
        <f t="shared" si="321"/>
        <v>0</v>
      </c>
      <c r="JH140" s="48">
        <f t="shared" si="321"/>
        <v>0</v>
      </c>
      <c r="JI140" s="48">
        <f t="shared" si="321"/>
        <v>0</v>
      </c>
      <c r="JJ140" s="48">
        <f t="shared" si="321"/>
        <v>0</v>
      </c>
      <c r="JK140" s="48">
        <f t="shared" ref="JK140:KI140" si="322">JK111</f>
        <v>0</v>
      </c>
      <c r="JL140" s="48">
        <f t="shared" si="322"/>
        <v>0</v>
      </c>
      <c r="JM140" s="48">
        <f t="shared" si="322"/>
        <v>0</v>
      </c>
      <c r="JN140" s="48">
        <f t="shared" si="322"/>
        <v>0</v>
      </c>
      <c r="JO140" s="48">
        <f t="shared" si="322"/>
        <v>0</v>
      </c>
      <c r="JP140" s="48">
        <f t="shared" si="322"/>
        <v>0</v>
      </c>
      <c r="JQ140" s="48">
        <f t="shared" si="322"/>
        <v>0</v>
      </c>
      <c r="JR140" s="48">
        <f t="shared" si="322"/>
        <v>0</v>
      </c>
      <c r="JS140" s="48">
        <f t="shared" si="322"/>
        <v>0</v>
      </c>
      <c r="JT140" s="48">
        <f t="shared" si="322"/>
        <v>0</v>
      </c>
      <c r="JU140" s="48">
        <f t="shared" si="322"/>
        <v>0</v>
      </c>
      <c r="JV140" s="48">
        <f t="shared" si="322"/>
        <v>0</v>
      </c>
      <c r="JW140" s="48">
        <f t="shared" si="322"/>
        <v>0</v>
      </c>
      <c r="JX140" s="48">
        <f t="shared" si="322"/>
        <v>0</v>
      </c>
      <c r="JY140" s="48">
        <f t="shared" si="322"/>
        <v>0</v>
      </c>
      <c r="JZ140" s="48">
        <f t="shared" si="322"/>
        <v>0</v>
      </c>
      <c r="KA140" s="48">
        <f t="shared" si="322"/>
        <v>0</v>
      </c>
      <c r="KB140" s="48">
        <f t="shared" si="322"/>
        <v>0</v>
      </c>
      <c r="KC140" s="48">
        <f t="shared" si="322"/>
        <v>0</v>
      </c>
      <c r="KD140" s="48">
        <f t="shared" si="322"/>
        <v>0</v>
      </c>
      <c r="KE140" s="48">
        <f t="shared" si="322"/>
        <v>0</v>
      </c>
      <c r="KF140" s="48">
        <f t="shared" si="322"/>
        <v>0</v>
      </c>
      <c r="KG140" s="48">
        <f t="shared" si="322"/>
        <v>0</v>
      </c>
      <c r="KH140" s="48">
        <f t="shared" si="322"/>
        <v>0</v>
      </c>
      <c r="KI140" s="48">
        <f t="shared" si="322"/>
        <v>0</v>
      </c>
      <c r="KJ140" s="1"/>
    </row>
    <row r="141" spans="10:296" x14ac:dyDescent="0.35">
      <c r="M141" s="15" t="s">
        <v>208</v>
      </c>
      <c r="N141" s="48">
        <f>N122</f>
        <v>0</v>
      </c>
      <c r="O141" s="48">
        <f t="shared" ref="O141:BZ141" si="323">O122</f>
        <v>0</v>
      </c>
      <c r="P141" s="48">
        <f t="shared" si="323"/>
        <v>0</v>
      </c>
      <c r="Q141" s="48">
        <f t="shared" si="323"/>
        <v>0</v>
      </c>
      <c r="R141" s="48">
        <f t="shared" si="323"/>
        <v>0</v>
      </c>
      <c r="S141" s="48">
        <f t="shared" si="323"/>
        <v>0</v>
      </c>
      <c r="T141" s="48">
        <f t="shared" si="323"/>
        <v>0</v>
      </c>
      <c r="U141" s="48">
        <f t="shared" si="323"/>
        <v>0</v>
      </c>
      <c r="V141" s="48">
        <f t="shared" si="323"/>
        <v>0</v>
      </c>
      <c r="W141" s="48">
        <f t="shared" si="323"/>
        <v>0</v>
      </c>
      <c r="X141" s="48">
        <f t="shared" si="323"/>
        <v>0</v>
      </c>
      <c r="Y141" s="48">
        <f t="shared" si="323"/>
        <v>-7.0939236111111121</v>
      </c>
      <c r="Z141" s="48">
        <f t="shared" si="323"/>
        <v>0</v>
      </c>
      <c r="AA141" s="48">
        <f t="shared" si="323"/>
        <v>0</v>
      </c>
      <c r="AB141" s="48">
        <f t="shared" si="323"/>
        <v>0</v>
      </c>
      <c r="AC141" s="48">
        <f t="shared" si="323"/>
        <v>0</v>
      </c>
      <c r="AD141" s="48">
        <f t="shared" si="323"/>
        <v>0</v>
      </c>
      <c r="AE141" s="48">
        <f t="shared" si="323"/>
        <v>-7.8743055555555568</v>
      </c>
      <c r="AF141" s="48">
        <f t="shared" si="323"/>
        <v>0</v>
      </c>
      <c r="AG141" s="48">
        <f t="shared" si="323"/>
        <v>0</v>
      </c>
      <c r="AH141" s="48">
        <f t="shared" si="323"/>
        <v>0</v>
      </c>
      <c r="AI141" s="48">
        <f t="shared" si="323"/>
        <v>0</v>
      </c>
      <c r="AJ141" s="48">
        <f t="shared" si="323"/>
        <v>0</v>
      </c>
      <c r="AK141" s="48">
        <f t="shared" si="323"/>
        <v>-6.8723958333333339</v>
      </c>
      <c r="AL141" s="48">
        <f t="shared" si="323"/>
        <v>0</v>
      </c>
      <c r="AM141" s="48">
        <f t="shared" si="323"/>
        <v>0</v>
      </c>
      <c r="AN141" s="48">
        <f t="shared" si="323"/>
        <v>0</v>
      </c>
      <c r="AO141" s="48">
        <f t="shared" si="323"/>
        <v>0</v>
      </c>
      <c r="AP141" s="48">
        <f t="shared" si="323"/>
        <v>0</v>
      </c>
      <c r="AQ141" s="48">
        <f t="shared" si="323"/>
        <v>-6.0215277777777807</v>
      </c>
      <c r="AR141" s="48">
        <f t="shared" si="323"/>
        <v>0</v>
      </c>
      <c r="AS141" s="48">
        <f t="shared" si="323"/>
        <v>0</v>
      </c>
      <c r="AT141" s="48">
        <f t="shared" si="323"/>
        <v>0</v>
      </c>
      <c r="AU141" s="48">
        <f t="shared" si="323"/>
        <v>0</v>
      </c>
      <c r="AV141" s="48">
        <f t="shared" si="323"/>
        <v>0</v>
      </c>
      <c r="AW141" s="48">
        <f t="shared" si="323"/>
        <v>-5.0095486111111178</v>
      </c>
      <c r="AX141" s="48">
        <f t="shared" si="323"/>
        <v>0</v>
      </c>
      <c r="AY141" s="48">
        <f t="shared" si="323"/>
        <v>0</v>
      </c>
      <c r="AZ141" s="48">
        <f t="shared" si="323"/>
        <v>0</v>
      </c>
      <c r="BA141" s="48">
        <f t="shared" si="323"/>
        <v>0</v>
      </c>
      <c r="BB141" s="48">
        <f t="shared" si="323"/>
        <v>0</v>
      </c>
      <c r="BC141" s="48">
        <f t="shared" si="323"/>
        <v>-4.1687500000000028</v>
      </c>
      <c r="BD141" s="48">
        <f t="shared" si="323"/>
        <v>0</v>
      </c>
      <c r="BE141" s="48">
        <f t="shared" si="323"/>
        <v>0</v>
      </c>
      <c r="BF141" s="48">
        <f t="shared" si="323"/>
        <v>0</v>
      </c>
      <c r="BG141" s="48">
        <f t="shared" si="323"/>
        <v>0</v>
      </c>
      <c r="BH141" s="48">
        <f t="shared" si="323"/>
        <v>0</v>
      </c>
      <c r="BI141" s="48">
        <f t="shared" si="323"/>
        <v>-3.1869791666666742</v>
      </c>
      <c r="BJ141" s="48">
        <f t="shared" si="323"/>
        <v>0</v>
      </c>
      <c r="BK141" s="48">
        <f t="shared" si="323"/>
        <v>0</v>
      </c>
      <c r="BL141" s="48">
        <f t="shared" si="323"/>
        <v>0</v>
      </c>
      <c r="BM141" s="48">
        <f t="shared" si="323"/>
        <v>0</v>
      </c>
      <c r="BN141" s="48">
        <f t="shared" si="323"/>
        <v>0</v>
      </c>
      <c r="BO141" s="48">
        <f t="shared" si="323"/>
        <v>-2.3159722222222214</v>
      </c>
      <c r="BP141" s="48">
        <f t="shared" si="323"/>
        <v>0</v>
      </c>
      <c r="BQ141" s="48">
        <f t="shared" si="323"/>
        <v>0</v>
      </c>
      <c r="BR141" s="48">
        <f t="shared" si="323"/>
        <v>0</v>
      </c>
      <c r="BS141" s="48">
        <f t="shared" si="323"/>
        <v>0</v>
      </c>
      <c r="BT141" s="48">
        <f t="shared" si="323"/>
        <v>0</v>
      </c>
      <c r="BU141" s="48">
        <f t="shared" si="323"/>
        <v>-1.3644097222222129</v>
      </c>
      <c r="BV141" s="48">
        <f t="shared" si="323"/>
        <v>0</v>
      </c>
      <c r="BW141" s="48">
        <f t="shared" si="323"/>
        <v>0</v>
      </c>
      <c r="BX141" s="48">
        <f t="shared" si="323"/>
        <v>0</v>
      </c>
      <c r="BY141" s="48">
        <f t="shared" si="323"/>
        <v>0</v>
      </c>
      <c r="BZ141" s="48">
        <f t="shared" si="323"/>
        <v>0</v>
      </c>
      <c r="CA141" s="48">
        <f t="shared" ref="CA141:EL141" si="324">CA122</f>
        <v>-0.46319444444444713</v>
      </c>
      <c r="CB141" s="48">
        <f t="shared" si="324"/>
        <v>0</v>
      </c>
      <c r="CC141" s="48">
        <f t="shared" si="324"/>
        <v>0</v>
      </c>
      <c r="CD141" s="48">
        <f t="shared" si="324"/>
        <v>0</v>
      </c>
      <c r="CE141" s="48">
        <f t="shared" si="324"/>
        <v>0</v>
      </c>
      <c r="CF141" s="48">
        <f t="shared" si="324"/>
        <v>0</v>
      </c>
      <c r="CG141" s="48">
        <f t="shared" si="324"/>
        <v>0</v>
      </c>
      <c r="CH141" s="48">
        <f t="shared" si="324"/>
        <v>0</v>
      </c>
      <c r="CI141" s="48">
        <f t="shared" si="324"/>
        <v>0</v>
      </c>
      <c r="CJ141" s="48">
        <f t="shared" si="324"/>
        <v>0</v>
      </c>
      <c r="CK141" s="48">
        <f t="shared" si="324"/>
        <v>0</v>
      </c>
      <c r="CL141" s="48">
        <f t="shared" si="324"/>
        <v>0</v>
      </c>
      <c r="CM141" s="48">
        <f t="shared" si="324"/>
        <v>0</v>
      </c>
      <c r="CN141" s="48">
        <f t="shared" si="324"/>
        <v>0</v>
      </c>
      <c r="CO141" s="48">
        <f t="shared" si="324"/>
        <v>0</v>
      </c>
      <c r="CP141" s="48">
        <f t="shared" si="324"/>
        <v>0</v>
      </c>
      <c r="CQ141" s="48">
        <f t="shared" si="324"/>
        <v>0</v>
      </c>
      <c r="CR141" s="48">
        <f t="shared" si="324"/>
        <v>0</v>
      </c>
      <c r="CS141" s="48">
        <f t="shared" si="324"/>
        <v>0</v>
      </c>
      <c r="CT141" s="48">
        <f t="shared" si="324"/>
        <v>0</v>
      </c>
      <c r="CU141" s="48">
        <f t="shared" si="324"/>
        <v>0</v>
      </c>
      <c r="CV141" s="48">
        <f t="shared" si="324"/>
        <v>0</v>
      </c>
      <c r="CW141" s="48">
        <f t="shared" si="324"/>
        <v>0</v>
      </c>
      <c r="CX141" s="48">
        <f t="shared" si="324"/>
        <v>0</v>
      </c>
      <c r="CY141" s="48">
        <f t="shared" si="324"/>
        <v>0</v>
      </c>
      <c r="CZ141" s="48">
        <f t="shared" si="324"/>
        <v>0</v>
      </c>
      <c r="DA141" s="48">
        <f t="shared" si="324"/>
        <v>0</v>
      </c>
      <c r="DB141" s="48">
        <f t="shared" si="324"/>
        <v>0</v>
      </c>
      <c r="DC141" s="48">
        <f t="shared" si="324"/>
        <v>0</v>
      </c>
      <c r="DD141" s="48">
        <f t="shared" si="324"/>
        <v>0</v>
      </c>
      <c r="DE141" s="48">
        <f t="shared" si="324"/>
        <v>0</v>
      </c>
      <c r="DF141" s="48">
        <f t="shared" si="324"/>
        <v>0</v>
      </c>
      <c r="DG141" s="48">
        <f t="shared" si="324"/>
        <v>0</v>
      </c>
      <c r="DH141" s="48">
        <f t="shared" si="324"/>
        <v>0</v>
      </c>
      <c r="DI141" s="48">
        <f t="shared" si="324"/>
        <v>0</v>
      </c>
      <c r="DJ141" s="48">
        <f t="shared" si="324"/>
        <v>0</v>
      </c>
      <c r="DK141" s="48">
        <f t="shared" si="324"/>
        <v>0</v>
      </c>
      <c r="DL141" s="48">
        <f t="shared" si="324"/>
        <v>0</v>
      </c>
      <c r="DM141" s="48">
        <f t="shared" si="324"/>
        <v>0</v>
      </c>
      <c r="DN141" s="48">
        <f t="shared" si="324"/>
        <v>0</v>
      </c>
      <c r="DO141" s="48">
        <f t="shared" si="324"/>
        <v>0</v>
      </c>
      <c r="DP141" s="48">
        <f t="shared" si="324"/>
        <v>0</v>
      </c>
      <c r="DQ141" s="48">
        <f t="shared" si="324"/>
        <v>0</v>
      </c>
      <c r="DR141" s="48">
        <f t="shared" si="324"/>
        <v>0</v>
      </c>
      <c r="DS141" s="48">
        <f t="shared" si="324"/>
        <v>0</v>
      </c>
      <c r="DT141" s="48">
        <f t="shared" si="324"/>
        <v>0</v>
      </c>
      <c r="DU141" s="48">
        <f t="shared" si="324"/>
        <v>0</v>
      </c>
      <c r="DV141" s="48">
        <f t="shared" si="324"/>
        <v>0</v>
      </c>
      <c r="DW141" s="48">
        <f t="shared" si="324"/>
        <v>0</v>
      </c>
      <c r="DX141" s="48">
        <f t="shared" si="324"/>
        <v>0</v>
      </c>
      <c r="DY141" s="48">
        <f t="shared" si="324"/>
        <v>0</v>
      </c>
      <c r="DZ141" s="48">
        <f t="shared" si="324"/>
        <v>0</v>
      </c>
      <c r="EA141" s="48">
        <f t="shared" si="324"/>
        <v>0</v>
      </c>
      <c r="EB141" s="48">
        <f t="shared" si="324"/>
        <v>0</v>
      </c>
      <c r="EC141" s="48">
        <f t="shared" si="324"/>
        <v>0</v>
      </c>
      <c r="ED141" s="48">
        <f t="shared" si="324"/>
        <v>0</v>
      </c>
      <c r="EE141" s="48">
        <f t="shared" si="324"/>
        <v>0</v>
      </c>
      <c r="EF141" s="48">
        <f t="shared" si="324"/>
        <v>0</v>
      </c>
      <c r="EG141" s="48">
        <f t="shared" si="324"/>
        <v>0</v>
      </c>
      <c r="EH141" s="48">
        <f t="shared" si="324"/>
        <v>0</v>
      </c>
      <c r="EI141" s="48">
        <f t="shared" si="324"/>
        <v>0</v>
      </c>
      <c r="EJ141" s="48">
        <f t="shared" si="324"/>
        <v>0</v>
      </c>
      <c r="EK141" s="48">
        <f t="shared" si="324"/>
        <v>0</v>
      </c>
      <c r="EL141" s="48">
        <f t="shared" si="324"/>
        <v>0</v>
      </c>
      <c r="EM141" s="48">
        <f t="shared" ref="EM141:GX141" si="325">EM122</f>
        <v>0</v>
      </c>
      <c r="EN141" s="48">
        <f t="shared" si="325"/>
        <v>0</v>
      </c>
      <c r="EO141" s="48">
        <f t="shared" si="325"/>
        <v>0</v>
      </c>
      <c r="EP141" s="48">
        <f t="shared" si="325"/>
        <v>0</v>
      </c>
      <c r="EQ141" s="48">
        <f t="shared" si="325"/>
        <v>0</v>
      </c>
      <c r="ER141" s="48">
        <f t="shared" si="325"/>
        <v>0</v>
      </c>
      <c r="ES141" s="48">
        <f t="shared" si="325"/>
        <v>0</v>
      </c>
      <c r="ET141" s="48">
        <f t="shared" si="325"/>
        <v>0</v>
      </c>
      <c r="EU141" s="48">
        <f t="shared" si="325"/>
        <v>0</v>
      </c>
      <c r="EV141" s="48">
        <f t="shared" si="325"/>
        <v>0</v>
      </c>
      <c r="EW141" s="48">
        <f t="shared" si="325"/>
        <v>0</v>
      </c>
      <c r="EX141" s="48">
        <f t="shared" si="325"/>
        <v>0</v>
      </c>
      <c r="EY141" s="48">
        <f t="shared" si="325"/>
        <v>0</v>
      </c>
      <c r="EZ141" s="48">
        <f t="shared" si="325"/>
        <v>0</v>
      </c>
      <c r="FA141" s="48">
        <f t="shared" si="325"/>
        <v>0</v>
      </c>
      <c r="FB141" s="48">
        <f t="shared" si="325"/>
        <v>0</v>
      </c>
      <c r="FC141" s="48">
        <f t="shared" si="325"/>
        <v>0</v>
      </c>
      <c r="FD141" s="48">
        <f t="shared" si="325"/>
        <v>0</v>
      </c>
      <c r="FE141" s="48">
        <f t="shared" si="325"/>
        <v>0</v>
      </c>
      <c r="FF141" s="48">
        <f t="shared" si="325"/>
        <v>0</v>
      </c>
      <c r="FG141" s="48">
        <f t="shared" si="325"/>
        <v>0</v>
      </c>
      <c r="FH141" s="48">
        <f t="shared" si="325"/>
        <v>0</v>
      </c>
      <c r="FI141" s="48">
        <f t="shared" si="325"/>
        <v>0</v>
      </c>
      <c r="FJ141" s="48">
        <f t="shared" si="325"/>
        <v>0</v>
      </c>
      <c r="FK141" s="48">
        <f t="shared" si="325"/>
        <v>0</v>
      </c>
      <c r="FL141" s="48">
        <f t="shared" si="325"/>
        <v>0</v>
      </c>
      <c r="FM141" s="48">
        <f t="shared" si="325"/>
        <v>0</v>
      </c>
      <c r="FN141" s="48">
        <f t="shared" si="325"/>
        <v>0</v>
      </c>
      <c r="FO141" s="48">
        <f t="shared" si="325"/>
        <v>0</v>
      </c>
      <c r="FP141" s="48">
        <f t="shared" si="325"/>
        <v>0</v>
      </c>
      <c r="FQ141" s="48">
        <f t="shared" si="325"/>
        <v>0</v>
      </c>
      <c r="FR141" s="48">
        <f t="shared" si="325"/>
        <v>0</v>
      </c>
      <c r="FS141" s="48">
        <f t="shared" si="325"/>
        <v>0</v>
      </c>
      <c r="FT141" s="48">
        <f t="shared" si="325"/>
        <v>0</v>
      </c>
      <c r="FU141" s="48">
        <f t="shared" si="325"/>
        <v>0</v>
      </c>
      <c r="FV141" s="48">
        <f t="shared" si="325"/>
        <v>0</v>
      </c>
      <c r="FW141" s="48">
        <f t="shared" si="325"/>
        <v>0</v>
      </c>
      <c r="FX141" s="48">
        <f t="shared" si="325"/>
        <v>0</v>
      </c>
      <c r="FY141" s="48">
        <f t="shared" si="325"/>
        <v>0</v>
      </c>
      <c r="FZ141" s="48">
        <f t="shared" si="325"/>
        <v>0</v>
      </c>
      <c r="GA141" s="48">
        <f t="shared" si="325"/>
        <v>0</v>
      </c>
      <c r="GB141" s="48">
        <f t="shared" si="325"/>
        <v>0</v>
      </c>
      <c r="GC141" s="48">
        <f t="shared" si="325"/>
        <v>0</v>
      </c>
      <c r="GD141" s="48">
        <f t="shared" si="325"/>
        <v>0</v>
      </c>
      <c r="GE141" s="48">
        <f t="shared" si="325"/>
        <v>0</v>
      </c>
      <c r="GF141" s="48">
        <f t="shared" si="325"/>
        <v>0</v>
      </c>
      <c r="GG141" s="48">
        <f t="shared" si="325"/>
        <v>0</v>
      </c>
      <c r="GH141" s="48">
        <f t="shared" si="325"/>
        <v>0</v>
      </c>
      <c r="GI141" s="48">
        <f t="shared" si="325"/>
        <v>0</v>
      </c>
      <c r="GJ141" s="48">
        <f t="shared" si="325"/>
        <v>0</v>
      </c>
      <c r="GK141" s="48">
        <f t="shared" si="325"/>
        <v>0</v>
      </c>
      <c r="GL141" s="48">
        <f t="shared" si="325"/>
        <v>0</v>
      </c>
      <c r="GM141" s="48">
        <f t="shared" si="325"/>
        <v>0</v>
      </c>
      <c r="GN141" s="48">
        <f t="shared" si="325"/>
        <v>0</v>
      </c>
      <c r="GO141" s="48">
        <f t="shared" si="325"/>
        <v>0</v>
      </c>
      <c r="GP141" s="48">
        <f t="shared" si="325"/>
        <v>0</v>
      </c>
      <c r="GQ141" s="48">
        <f t="shared" si="325"/>
        <v>0</v>
      </c>
      <c r="GR141" s="48">
        <f t="shared" si="325"/>
        <v>0</v>
      </c>
      <c r="GS141" s="48">
        <f t="shared" si="325"/>
        <v>0</v>
      </c>
      <c r="GT141" s="48">
        <f t="shared" si="325"/>
        <v>0</v>
      </c>
      <c r="GU141" s="48">
        <f t="shared" si="325"/>
        <v>0</v>
      </c>
      <c r="GV141" s="48">
        <f t="shared" si="325"/>
        <v>0</v>
      </c>
      <c r="GW141" s="48">
        <f t="shared" si="325"/>
        <v>0</v>
      </c>
      <c r="GX141" s="48">
        <f t="shared" si="325"/>
        <v>0</v>
      </c>
      <c r="GY141" s="48">
        <f t="shared" ref="GY141:JJ141" si="326">GY122</f>
        <v>0</v>
      </c>
      <c r="GZ141" s="48">
        <f t="shared" si="326"/>
        <v>0</v>
      </c>
      <c r="HA141" s="48">
        <f t="shared" si="326"/>
        <v>0</v>
      </c>
      <c r="HB141" s="48">
        <f t="shared" si="326"/>
        <v>0</v>
      </c>
      <c r="HC141" s="48">
        <f t="shared" si="326"/>
        <v>0</v>
      </c>
      <c r="HD141" s="48">
        <f t="shared" si="326"/>
        <v>0</v>
      </c>
      <c r="HE141" s="48">
        <f t="shared" si="326"/>
        <v>0</v>
      </c>
      <c r="HF141" s="48">
        <f t="shared" si="326"/>
        <v>0</v>
      </c>
      <c r="HG141" s="48">
        <f t="shared" si="326"/>
        <v>0</v>
      </c>
      <c r="HH141" s="48">
        <f t="shared" si="326"/>
        <v>0</v>
      </c>
      <c r="HI141" s="48">
        <f t="shared" si="326"/>
        <v>0</v>
      </c>
      <c r="HJ141" s="48">
        <f t="shared" si="326"/>
        <v>0</v>
      </c>
      <c r="HK141" s="48">
        <f t="shared" si="326"/>
        <v>0</v>
      </c>
      <c r="HL141" s="48">
        <f t="shared" si="326"/>
        <v>0</v>
      </c>
      <c r="HM141" s="48">
        <f t="shared" si="326"/>
        <v>0</v>
      </c>
      <c r="HN141" s="48">
        <f t="shared" si="326"/>
        <v>0</v>
      </c>
      <c r="HO141" s="48">
        <f t="shared" si="326"/>
        <v>0</v>
      </c>
      <c r="HP141" s="48">
        <f t="shared" si="326"/>
        <v>0</v>
      </c>
      <c r="HQ141" s="48">
        <f t="shared" si="326"/>
        <v>0</v>
      </c>
      <c r="HR141" s="48">
        <f t="shared" si="326"/>
        <v>0</v>
      </c>
      <c r="HS141" s="48">
        <f t="shared" si="326"/>
        <v>0</v>
      </c>
      <c r="HT141" s="48">
        <f t="shared" si="326"/>
        <v>0</v>
      </c>
      <c r="HU141" s="48">
        <f t="shared" si="326"/>
        <v>0</v>
      </c>
      <c r="HV141" s="48">
        <f t="shared" si="326"/>
        <v>0</v>
      </c>
      <c r="HW141" s="48">
        <f t="shared" si="326"/>
        <v>0</v>
      </c>
      <c r="HX141" s="48">
        <f t="shared" si="326"/>
        <v>0</v>
      </c>
      <c r="HY141" s="48">
        <f t="shared" si="326"/>
        <v>0</v>
      </c>
      <c r="HZ141" s="48">
        <f t="shared" si="326"/>
        <v>0</v>
      </c>
      <c r="IA141" s="48">
        <f t="shared" si="326"/>
        <v>0</v>
      </c>
      <c r="IB141" s="48">
        <f t="shared" si="326"/>
        <v>0</v>
      </c>
      <c r="IC141" s="48">
        <f t="shared" si="326"/>
        <v>0</v>
      </c>
      <c r="ID141" s="48">
        <f t="shared" si="326"/>
        <v>0</v>
      </c>
      <c r="IE141" s="48">
        <f t="shared" si="326"/>
        <v>0</v>
      </c>
      <c r="IF141" s="48">
        <f t="shared" si="326"/>
        <v>0</v>
      </c>
      <c r="IG141" s="48">
        <f t="shared" si="326"/>
        <v>0</v>
      </c>
      <c r="IH141" s="48">
        <f t="shared" si="326"/>
        <v>0</v>
      </c>
      <c r="II141" s="48">
        <f t="shared" si="326"/>
        <v>0</v>
      </c>
      <c r="IJ141" s="48">
        <f t="shared" si="326"/>
        <v>0</v>
      </c>
      <c r="IK141" s="48">
        <f t="shared" si="326"/>
        <v>0</v>
      </c>
      <c r="IL141" s="48">
        <f t="shared" si="326"/>
        <v>0</v>
      </c>
      <c r="IM141" s="48">
        <f t="shared" si="326"/>
        <v>0</v>
      </c>
      <c r="IN141" s="48">
        <f t="shared" si="326"/>
        <v>0</v>
      </c>
      <c r="IO141" s="48">
        <f t="shared" si="326"/>
        <v>0</v>
      </c>
      <c r="IP141" s="48">
        <f t="shared" si="326"/>
        <v>0</v>
      </c>
      <c r="IQ141" s="48">
        <f t="shared" si="326"/>
        <v>0</v>
      </c>
      <c r="IR141" s="48">
        <f t="shared" si="326"/>
        <v>0</v>
      </c>
      <c r="IS141" s="48">
        <f t="shared" si="326"/>
        <v>0</v>
      </c>
      <c r="IT141" s="48">
        <f t="shared" si="326"/>
        <v>0</v>
      </c>
      <c r="IU141" s="48">
        <f t="shared" si="326"/>
        <v>0</v>
      </c>
      <c r="IV141" s="48">
        <f t="shared" si="326"/>
        <v>0</v>
      </c>
      <c r="IW141" s="48">
        <f t="shared" si="326"/>
        <v>0</v>
      </c>
      <c r="IX141" s="48">
        <f t="shared" si="326"/>
        <v>0</v>
      </c>
      <c r="IY141" s="48">
        <f t="shared" si="326"/>
        <v>0</v>
      </c>
      <c r="IZ141" s="48">
        <f t="shared" si="326"/>
        <v>0</v>
      </c>
      <c r="JA141" s="48">
        <f t="shared" si="326"/>
        <v>0</v>
      </c>
      <c r="JB141" s="48">
        <f t="shared" si="326"/>
        <v>0</v>
      </c>
      <c r="JC141" s="48">
        <f t="shared" si="326"/>
        <v>0</v>
      </c>
      <c r="JD141" s="48">
        <f t="shared" si="326"/>
        <v>0</v>
      </c>
      <c r="JE141" s="48">
        <f t="shared" si="326"/>
        <v>0</v>
      </c>
      <c r="JF141" s="48">
        <f t="shared" si="326"/>
        <v>0</v>
      </c>
      <c r="JG141" s="48">
        <f t="shared" si="326"/>
        <v>0</v>
      </c>
      <c r="JH141" s="48">
        <f t="shared" si="326"/>
        <v>0</v>
      </c>
      <c r="JI141" s="48">
        <f t="shared" si="326"/>
        <v>0</v>
      </c>
      <c r="JJ141" s="48">
        <f t="shared" si="326"/>
        <v>0</v>
      </c>
      <c r="JK141" s="48">
        <f t="shared" ref="JK141:KI141" si="327">JK122</f>
        <v>0</v>
      </c>
      <c r="JL141" s="48">
        <f t="shared" si="327"/>
        <v>0</v>
      </c>
      <c r="JM141" s="48">
        <f t="shared" si="327"/>
        <v>0</v>
      </c>
      <c r="JN141" s="48">
        <f t="shared" si="327"/>
        <v>0</v>
      </c>
      <c r="JO141" s="48">
        <f t="shared" si="327"/>
        <v>0</v>
      </c>
      <c r="JP141" s="48">
        <f t="shared" si="327"/>
        <v>0</v>
      </c>
      <c r="JQ141" s="48">
        <f t="shared" si="327"/>
        <v>0</v>
      </c>
      <c r="JR141" s="48">
        <f t="shared" si="327"/>
        <v>0</v>
      </c>
      <c r="JS141" s="48">
        <f t="shared" si="327"/>
        <v>0</v>
      </c>
      <c r="JT141" s="48">
        <f t="shared" si="327"/>
        <v>0</v>
      </c>
      <c r="JU141" s="48">
        <f t="shared" si="327"/>
        <v>0</v>
      </c>
      <c r="JV141" s="48">
        <f t="shared" si="327"/>
        <v>0</v>
      </c>
      <c r="JW141" s="48">
        <f t="shared" si="327"/>
        <v>0</v>
      </c>
      <c r="JX141" s="48">
        <f t="shared" si="327"/>
        <v>0</v>
      </c>
      <c r="JY141" s="48">
        <f t="shared" si="327"/>
        <v>0</v>
      </c>
      <c r="JZ141" s="48">
        <f t="shared" si="327"/>
        <v>0</v>
      </c>
      <c r="KA141" s="48">
        <f t="shared" si="327"/>
        <v>0</v>
      </c>
      <c r="KB141" s="48">
        <f t="shared" si="327"/>
        <v>0</v>
      </c>
      <c r="KC141" s="48">
        <f t="shared" si="327"/>
        <v>0</v>
      </c>
      <c r="KD141" s="48">
        <f t="shared" si="327"/>
        <v>0</v>
      </c>
      <c r="KE141" s="48">
        <f t="shared" si="327"/>
        <v>0</v>
      </c>
      <c r="KF141" s="48">
        <f t="shared" si="327"/>
        <v>0</v>
      </c>
      <c r="KG141" s="48">
        <f t="shared" si="327"/>
        <v>0</v>
      </c>
      <c r="KH141" s="48">
        <f t="shared" si="327"/>
        <v>0</v>
      </c>
      <c r="KI141" s="48">
        <f t="shared" si="327"/>
        <v>0</v>
      </c>
      <c r="KJ141" s="1"/>
    </row>
    <row r="142" spans="10:296" x14ac:dyDescent="0.35">
      <c r="M142" s="15" t="s">
        <v>203</v>
      </c>
      <c r="N142" s="48">
        <f>N112</f>
        <v>0</v>
      </c>
      <c r="O142" s="48">
        <f t="shared" ref="O142:BZ142" si="328">O112</f>
        <v>0</v>
      </c>
      <c r="P142" s="48">
        <f t="shared" si="328"/>
        <v>0</v>
      </c>
      <c r="Q142" s="48">
        <f t="shared" si="328"/>
        <v>0</v>
      </c>
      <c r="R142" s="48">
        <f t="shared" si="328"/>
        <v>0</v>
      </c>
      <c r="S142" s="48">
        <f t="shared" si="328"/>
        <v>0</v>
      </c>
      <c r="T142" s="48">
        <f t="shared" si="328"/>
        <v>0</v>
      </c>
      <c r="U142" s="48">
        <f t="shared" si="328"/>
        <v>0</v>
      </c>
      <c r="V142" s="48">
        <f t="shared" si="328"/>
        <v>0</v>
      </c>
      <c r="W142" s="48">
        <f t="shared" si="328"/>
        <v>0</v>
      </c>
      <c r="X142" s="48">
        <f t="shared" si="328"/>
        <v>0</v>
      </c>
      <c r="Y142" s="48">
        <f t="shared" si="328"/>
        <v>0</v>
      </c>
      <c r="Z142" s="48">
        <f t="shared" si="328"/>
        <v>0</v>
      </c>
      <c r="AA142" s="48">
        <f t="shared" si="328"/>
        <v>0</v>
      </c>
      <c r="AB142" s="48">
        <f t="shared" si="328"/>
        <v>0</v>
      </c>
      <c r="AC142" s="48">
        <f t="shared" si="328"/>
        <v>0</v>
      </c>
      <c r="AD142" s="48">
        <f t="shared" si="328"/>
        <v>0</v>
      </c>
      <c r="AE142" s="48">
        <f t="shared" si="328"/>
        <v>0</v>
      </c>
      <c r="AF142" s="48">
        <f t="shared" si="328"/>
        <v>0</v>
      </c>
      <c r="AG142" s="48">
        <f t="shared" si="328"/>
        <v>0</v>
      </c>
      <c r="AH142" s="48">
        <f t="shared" si="328"/>
        <v>0</v>
      </c>
      <c r="AI142" s="48">
        <f t="shared" si="328"/>
        <v>0</v>
      </c>
      <c r="AJ142" s="48">
        <f t="shared" si="328"/>
        <v>0</v>
      </c>
      <c r="AK142" s="48">
        <f t="shared" si="328"/>
        <v>0</v>
      </c>
      <c r="AL142" s="48">
        <f t="shared" si="328"/>
        <v>0</v>
      </c>
      <c r="AM142" s="48">
        <f t="shared" si="328"/>
        <v>0</v>
      </c>
      <c r="AN142" s="48">
        <f t="shared" si="328"/>
        <v>0</v>
      </c>
      <c r="AO142" s="48">
        <f t="shared" si="328"/>
        <v>0</v>
      </c>
      <c r="AP142" s="48">
        <f t="shared" si="328"/>
        <v>0</v>
      </c>
      <c r="AQ142" s="48">
        <f t="shared" si="328"/>
        <v>0</v>
      </c>
      <c r="AR142" s="48">
        <f t="shared" si="328"/>
        <v>0</v>
      </c>
      <c r="AS142" s="48">
        <f t="shared" si="328"/>
        <v>0</v>
      </c>
      <c r="AT142" s="48">
        <f t="shared" si="328"/>
        <v>0</v>
      </c>
      <c r="AU142" s="48">
        <f t="shared" si="328"/>
        <v>0</v>
      </c>
      <c r="AV142" s="48">
        <f t="shared" si="328"/>
        <v>0</v>
      </c>
      <c r="AW142" s="48">
        <f t="shared" si="328"/>
        <v>0</v>
      </c>
      <c r="AX142" s="48">
        <f t="shared" si="328"/>
        <v>0</v>
      </c>
      <c r="AY142" s="48">
        <f t="shared" si="328"/>
        <v>0</v>
      </c>
      <c r="AZ142" s="48">
        <f t="shared" si="328"/>
        <v>0</v>
      </c>
      <c r="BA142" s="48">
        <f t="shared" si="328"/>
        <v>0</v>
      </c>
      <c r="BB142" s="48">
        <f t="shared" si="328"/>
        <v>0</v>
      </c>
      <c r="BC142" s="48">
        <f t="shared" si="328"/>
        <v>0</v>
      </c>
      <c r="BD142" s="48">
        <f t="shared" si="328"/>
        <v>0</v>
      </c>
      <c r="BE142" s="48">
        <f t="shared" si="328"/>
        <v>0</v>
      </c>
      <c r="BF142" s="48">
        <f t="shared" si="328"/>
        <v>0</v>
      </c>
      <c r="BG142" s="48">
        <f t="shared" si="328"/>
        <v>0</v>
      </c>
      <c r="BH142" s="48">
        <f t="shared" si="328"/>
        <v>0</v>
      </c>
      <c r="BI142" s="48">
        <f t="shared" si="328"/>
        <v>0</v>
      </c>
      <c r="BJ142" s="48">
        <f t="shared" si="328"/>
        <v>0</v>
      </c>
      <c r="BK142" s="48">
        <f t="shared" si="328"/>
        <v>0</v>
      </c>
      <c r="BL142" s="48">
        <f t="shared" si="328"/>
        <v>0</v>
      </c>
      <c r="BM142" s="48">
        <f t="shared" si="328"/>
        <v>0</v>
      </c>
      <c r="BN142" s="48">
        <f t="shared" si="328"/>
        <v>0</v>
      </c>
      <c r="BO142" s="48">
        <f t="shared" si="328"/>
        <v>0</v>
      </c>
      <c r="BP142" s="48">
        <f t="shared" si="328"/>
        <v>0</v>
      </c>
      <c r="BQ142" s="48">
        <f t="shared" si="328"/>
        <v>0</v>
      </c>
      <c r="BR142" s="48">
        <f t="shared" si="328"/>
        <v>0</v>
      </c>
      <c r="BS142" s="48">
        <f t="shared" si="328"/>
        <v>0</v>
      </c>
      <c r="BT142" s="48">
        <f t="shared" si="328"/>
        <v>0</v>
      </c>
      <c r="BU142" s="48">
        <f t="shared" si="328"/>
        <v>0</v>
      </c>
      <c r="BV142" s="48">
        <f t="shared" si="328"/>
        <v>0</v>
      </c>
      <c r="BW142" s="48">
        <f t="shared" si="328"/>
        <v>0</v>
      </c>
      <c r="BX142" s="48">
        <f t="shared" si="328"/>
        <v>0</v>
      </c>
      <c r="BY142" s="48">
        <f t="shared" si="328"/>
        <v>0</v>
      </c>
      <c r="BZ142" s="48">
        <f t="shared" si="328"/>
        <v>0</v>
      </c>
      <c r="CA142" s="48">
        <f t="shared" ref="CA142:EL142" si="329">CA112</f>
        <v>0</v>
      </c>
      <c r="CB142" s="48">
        <f t="shared" si="329"/>
        <v>0</v>
      </c>
      <c r="CC142" s="48">
        <f t="shared" si="329"/>
        <v>0</v>
      </c>
      <c r="CD142" s="48">
        <f t="shared" si="329"/>
        <v>0</v>
      </c>
      <c r="CE142" s="48">
        <f t="shared" si="329"/>
        <v>0</v>
      </c>
      <c r="CF142" s="48">
        <f t="shared" si="329"/>
        <v>0</v>
      </c>
      <c r="CG142" s="48">
        <f t="shared" si="329"/>
        <v>0</v>
      </c>
      <c r="CH142" s="48">
        <f t="shared" si="329"/>
        <v>0</v>
      </c>
      <c r="CI142" s="48">
        <f t="shared" si="329"/>
        <v>0</v>
      </c>
      <c r="CJ142" s="48">
        <f t="shared" si="329"/>
        <v>0</v>
      </c>
      <c r="CK142" s="48">
        <f t="shared" si="329"/>
        <v>0</v>
      </c>
      <c r="CL142" s="48">
        <f t="shared" si="329"/>
        <v>0</v>
      </c>
      <c r="CM142" s="48">
        <f t="shared" si="329"/>
        <v>0</v>
      </c>
      <c r="CN142" s="48">
        <f t="shared" si="329"/>
        <v>0</v>
      </c>
      <c r="CO142" s="48">
        <f t="shared" si="329"/>
        <v>0</v>
      </c>
      <c r="CP142" s="48">
        <f t="shared" si="329"/>
        <v>0</v>
      </c>
      <c r="CQ142" s="48">
        <f t="shared" si="329"/>
        <v>0</v>
      </c>
      <c r="CR142" s="48">
        <f t="shared" si="329"/>
        <v>0</v>
      </c>
      <c r="CS142" s="48">
        <f t="shared" si="329"/>
        <v>0</v>
      </c>
      <c r="CT142" s="48">
        <f t="shared" si="329"/>
        <v>0</v>
      </c>
      <c r="CU142" s="48">
        <f t="shared" si="329"/>
        <v>0</v>
      </c>
      <c r="CV142" s="48">
        <f t="shared" si="329"/>
        <v>0</v>
      </c>
      <c r="CW142" s="48">
        <f t="shared" si="329"/>
        <v>0</v>
      </c>
      <c r="CX142" s="48">
        <f t="shared" si="329"/>
        <v>0</v>
      </c>
      <c r="CY142" s="48">
        <f t="shared" si="329"/>
        <v>0</v>
      </c>
      <c r="CZ142" s="48">
        <f t="shared" si="329"/>
        <v>0</v>
      </c>
      <c r="DA142" s="48">
        <f t="shared" si="329"/>
        <v>0</v>
      </c>
      <c r="DB142" s="48">
        <f t="shared" si="329"/>
        <v>0</v>
      </c>
      <c r="DC142" s="48">
        <f t="shared" si="329"/>
        <v>0</v>
      </c>
      <c r="DD142" s="48">
        <f t="shared" si="329"/>
        <v>0</v>
      </c>
      <c r="DE142" s="48">
        <f t="shared" si="329"/>
        <v>0</v>
      </c>
      <c r="DF142" s="48">
        <f t="shared" si="329"/>
        <v>0</v>
      </c>
      <c r="DG142" s="48">
        <f t="shared" si="329"/>
        <v>0</v>
      </c>
      <c r="DH142" s="48">
        <f t="shared" si="329"/>
        <v>0</v>
      </c>
      <c r="DI142" s="48">
        <f t="shared" si="329"/>
        <v>0</v>
      </c>
      <c r="DJ142" s="48">
        <f t="shared" si="329"/>
        <v>0</v>
      </c>
      <c r="DK142" s="48">
        <f t="shared" si="329"/>
        <v>0</v>
      </c>
      <c r="DL142" s="48">
        <f t="shared" si="329"/>
        <v>0</v>
      </c>
      <c r="DM142" s="48">
        <f t="shared" si="329"/>
        <v>0</v>
      </c>
      <c r="DN142" s="48">
        <f t="shared" si="329"/>
        <v>0</v>
      </c>
      <c r="DO142" s="48">
        <f t="shared" si="329"/>
        <v>0</v>
      </c>
      <c r="DP142" s="48">
        <f t="shared" si="329"/>
        <v>0</v>
      </c>
      <c r="DQ142" s="48">
        <f t="shared" si="329"/>
        <v>0</v>
      </c>
      <c r="DR142" s="48">
        <f t="shared" si="329"/>
        <v>0</v>
      </c>
      <c r="DS142" s="48">
        <f t="shared" si="329"/>
        <v>0</v>
      </c>
      <c r="DT142" s="48">
        <f t="shared" si="329"/>
        <v>0</v>
      </c>
      <c r="DU142" s="48">
        <f t="shared" si="329"/>
        <v>0</v>
      </c>
      <c r="DV142" s="48">
        <f t="shared" si="329"/>
        <v>0</v>
      </c>
      <c r="DW142" s="48">
        <f t="shared" si="329"/>
        <v>0</v>
      </c>
      <c r="DX142" s="48">
        <f t="shared" si="329"/>
        <v>0</v>
      </c>
      <c r="DY142" s="48">
        <f t="shared" si="329"/>
        <v>0</v>
      </c>
      <c r="DZ142" s="48">
        <f t="shared" si="329"/>
        <v>0</v>
      </c>
      <c r="EA142" s="48">
        <f t="shared" si="329"/>
        <v>0</v>
      </c>
      <c r="EB142" s="48">
        <f t="shared" si="329"/>
        <v>0</v>
      </c>
      <c r="EC142" s="48">
        <f t="shared" si="329"/>
        <v>0</v>
      </c>
      <c r="ED142" s="48">
        <f t="shared" si="329"/>
        <v>0</v>
      </c>
      <c r="EE142" s="48">
        <f t="shared" si="329"/>
        <v>0</v>
      </c>
      <c r="EF142" s="48">
        <f t="shared" si="329"/>
        <v>0</v>
      </c>
      <c r="EG142" s="48">
        <f t="shared" si="329"/>
        <v>0</v>
      </c>
      <c r="EH142" s="48">
        <f t="shared" si="329"/>
        <v>0</v>
      </c>
      <c r="EI142" s="48">
        <f t="shared" si="329"/>
        <v>0</v>
      </c>
      <c r="EJ142" s="48">
        <f t="shared" si="329"/>
        <v>0</v>
      </c>
      <c r="EK142" s="48">
        <f t="shared" si="329"/>
        <v>0</v>
      </c>
      <c r="EL142" s="48">
        <f t="shared" si="329"/>
        <v>0</v>
      </c>
      <c r="EM142" s="48">
        <f t="shared" ref="EM142:GX142" si="330">EM112</f>
        <v>0</v>
      </c>
      <c r="EN142" s="48">
        <f t="shared" si="330"/>
        <v>0</v>
      </c>
      <c r="EO142" s="48">
        <f t="shared" si="330"/>
        <v>0</v>
      </c>
      <c r="EP142" s="48">
        <f t="shared" si="330"/>
        <v>0</v>
      </c>
      <c r="EQ142" s="48">
        <f t="shared" si="330"/>
        <v>0</v>
      </c>
      <c r="ER142" s="48">
        <f t="shared" si="330"/>
        <v>0</v>
      </c>
      <c r="ES142" s="48">
        <f t="shared" si="330"/>
        <v>0</v>
      </c>
      <c r="ET142" s="48">
        <f t="shared" si="330"/>
        <v>0</v>
      </c>
      <c r="EU142" s="48">
        <f t="shared" si="330"/>
        <v>0</v>
      </c>
      <c r="EV142" s="48">
        <f t="shared" si="330"/>
        <v>0</v>
      </c>
      <c r="EW142" s="48">
        <f t="shared" si="330"/>
        <v>0</v>
      </c>
      <c r="EX142" s="48">
        <f t="shared" si="330"/>
        <v>0</v>
      </c>
      <c r="EY142" s="48">
        <f t="shared" si="330"/>
        <v>0</v>
      </c>
      <c r="EZ142" s="48">
        <f t="shared" si="330"/>
        <v>0</v>
      </c>
      <c r="FA142" s="48">
        <f t="shared" si="330"/>
        <v>0</v>
      </c>
      <c r="FB142" s="48">
        <f t="shared" si="330"/>
        <v>0</v>
      </c>
      <c r="FC142" s="48">
        <f t="shared" si="330"/>
        <v>0</v>
      </c>
      <c r="FD142" s="48">
        <f t="shared" si="330"/>
        <v>0</v>
      </c>
      <c r="FE142" s="48">
        <f t="shared" si="330"/>
        <v>0</v>
      </c>
      <c r="FF142" s="48">
        <f t="shared" si="330"/>
        <v>0</v>
      </c>
      <c r="FG142" s="48">
        <f t="shared" si="330"/>
        <v>0</v>
      </c>
      <c r="FH142" s="48">
        <f t="shared" si="330"/>
        <v>0</v>
      </c>
      <c r="FI142" s="48">
        <f t="shared" si="330"/>
        <v>0</v>
      </c>
      <c r="FJ142" s="48">
        <f t="shared" si="330"/>
        <v>0</v>
      </c>
      <c r="FK142" s="48">
        <f t="shared" si="330"/>
        <v>0</v>
      </c>
      <c r="FL142" s="48">
        <f t="shared" si="330"/>
        <v>0</v>
      </c>
      <c r="FM142" s="48">
        <f t="shared" si="330"/>
        <v>0</v>
      </c>
      <c r="FN142" s="48">
        <f t="shared" si="330"/>
        <v>0</v>
      </c>
      <c r="FO142" s="48">
        <f t="shared" si="330"/>
        <v>0</v>
      </c>
      <c r="FP142" s="48">
        <f t="shared" si="330"/>
        <v>0</v>
      </c>
      <c r="FQ142" s="48">
        <f t="shared" si="330"/>
        <v>0</v>
      </c>
      <c r="FR142" s="48">
        <f t="shared" si="330"/>
        <v>0</v>
      </c>
      <c r="FS142" s="48">
        <f t="shared" si="330"/>
        <v>0</v>
      </c>
      <c r="FT142" s="48">
        <f t="shared" si="330"/>
        <v>0</v>
      </c>
      <c r="FU142" s="48">
        <f t="shared" si="330"/>
        <v>0</v>
      </c>
      <c r="FV142" s="48">
        <f t="shared" si="330"/>
        <v>0</v>
      </c>
      <c r="FW142" s="48">
        <f t="shared" si="330"/>
        <v>0</v>
      </c>
      <c r="FX142" s="48">
        <f t="shared" si="330"/>
        <v>0</v>
      </c>
      <c r="FY142" s="48">
        <f t="shared" si="330"/>
        <v>0</v>
      </c>
      <c r="FZ142" s="48">
        <f t="shared" si="330"/>
        <v>0</v>
      </c>
      <c r="GA142" s="48">
        <f t="shared" si="330"/>
        <v>0</v>
      </c>
      <c r="GB142" s="48">
        <f t="shared" si="330"/>
        <v>0</v>
      </c>
      <c r="GC142" s="48">
        <f t="shared" si="330"/>
        <v>0</v>
      </c>
      <c r="GD142" s="48">
        <f t="shared" si="330"/>
        <v>0</v>
      </c>
      <c r="GE142" s="48">
        <f t="shared" si="330"/>
        <v>0</v>
      </c>
      <c r="GF142" s="48">
        <f t="shared" si="330"/>
        <v>0</v>
      </c>
      <c r="GG142" s="48">
        <f t="shared" si="330"/>
        <v>0</v>
      </c>
      <c r="GH142" s="48">
        <f t="shared" si="330"/>
        <v>0</v>
      </c>
      <c r="GI142" s="48">
        <f t="shared" si="330"/>
        <v>0</v>
      </c>
      <c r="GJ142" s="48">
        <f t="shared" si="330"/>
        <v>0</v>
      </c>
      <c r="GK142" s="48">
        <f t="shared" si="330"/>
        <v>0</v>
      </c>
      <c r="GL142" s="48">
        <f t="shared" si="330"/>
        <v>0</v>
      </c>
      <c r="GM142" s="48">
        <f t="shared" si="330"/>
        <v>0</v>
      </c>
      <c r="GN142" s="48">
        <f t="shared" si="330"/>
        <v>0</v>
      </c>
      <c r="GO142" s="48">
        <f t="shared" si="330"/>
        <v>0</v>
      </c>
      <c r="GP142" s="48">
        <f t="shared" si="330"/>
        <v>0</v>
      </c>
      <c r="GQ142" s="48">
        <f t="shared" si="330"/>
        <v>0</v>
      </c>
      <c r="GR142" s="48">
        <f t="shared" si="330"/>
        <v>0</v>
      </c>
      <c r="GS142" s="48">
        <f t="shared" si="330"/>
        <v>0</v>
      </c>
      <c r="GT142" s="48">
        <f t="shared" si="330"/>
        <v>0</v>
      </c>
      <c r="GU142" s="48">
        <f t="shared" si="330"/>
        <v>0</v>
      </c>
      <c r="GV142" s="48">
        <f t="shared" si="330"/>
        <v>0</v>
      </c>
      <c r="GW142" s="48">
        <f t="shared" si="330"/>
        <v>0</v>
      </c>
      <c r="GX142" s="48">
        <f t="shared" si="330"/>
        <v>0</v>
      </c>
      <c r="GY142" s="48">
        <f t="shared" ref="GY142:JJ142" si="331">GY112</f>
        <v>0</v>
      </c>
      <c r="GZ142" s="48">
        <f t="shared" si="331"/>
        <v>0</v>
      </c>
      <c r="HA142" s="48">
        <f t="shared" si="331"/>
        <v>0</v>
      </c>
      <c r="HB142" s="48">
        <f t="shared" si="331"/>
        <v>0</v>
      </c>
      <c r="HC142" s="48">
        <f t="shared" si="331"/>
        <v>0</v>
      </c>
      <c r="HD142" s="48">
        <f t="shared" si="331"/>
        <v>0</v>
      </c>
      <c r="HE142" s="48">
        <f t="shared" si="331"/>
        <v>0</v>
      </c>
      <c r="HF142" s="48">
        <f t="shared" si="331"/>
        <v>0</v>
      </c>
      <c r="HG142" s="48">
        <f t="shared" si="331"/>
        <v>0</v>
      </c>
      <c r="HH142" s="48">
        <f t="shared" si="331"/>
        <v>0</v>
      </c>
      <c r="HI142" s="48">
        <f t="shared" si="331"/>
        <v>0</v>
      </c>
      <c r="HJ142" s="48">
        <f t="shared" si="331"/>
        <v>0</v>
      </c>
      <c r="HK142" s="48">
        <f t="shared" si="331"/>
        <v>0</v>
      </c>
      <c r="HL142" s="48">
        <f t="shared" si="331"/>
        <v>0</v>
      </c>
      <c r="HM142" s="48">
        <f t="shared" si="331"/>
        <v>0</v>
      </c>
      <c r="HN142" s="48">
        <f t="shared" si="331"/>
        <v>0</v>
      </c>
      <c r="HO142" s="48">
        <f t="shared" si="331"/>
        <v>0</v>
      </c>
      <c r="HP142" s="48">
        <f t="shared" si="331"/>
        <v>0</v>
      </c>
      <c r="HQ142" s="48">
        <f t="shared" si="331"/>
        <v>0</v>
      </c>
      <c r="HR142" s="48">
        <f t="shared" si="331"/>
        <v>0</v>
      </c>
      <c r="HS142" s="48">
        <f t="shared" si="331"/>
        <v>0</v>
      </c>
      <c r="HT142" s="48">
        <f t="shared" si="331"/>
        <v>0</v>
      </c>
      <c r="HU142" s="48">
        <f t="shared" si="331"/>
        <v>0</v>
      </c>
      <c r="HV142" s="48">
        <f t="shared" si="331"/>
        <v>0</v>
      </c>
      <c r="HW142" s="48">
        <f t="shared" si="331"/>
        <v>0</v>
      </c>
      <c r="HX142" s="48">
        <f t="shared" si="331"/>
        <v>0</v>
      </c>
      <c r="HY142" s="48">
        <f t="shared" si="331"/>
        <v>0</v>
      </c>
      <c r="HZ142" s="48">
        <f t="shared" si="331"/>
        <v>0</v>
      </c>
      <c r="IA142" s="48">
        <f t="shared" si="331"/>
        <v>0</v>
      </c>
      <c r="IB142" s="48">
        <f t="shared" si="331"/>
        <v>0</v>
      </c>
      <c r="IC142" s="48">
        <f t="shared" si="331"/>
        <v>0</v>
      </c>
      <c r="ID142" s="48">
        <f t="shared" si="331"/>
        <v>0</v>
      </c>
      <c r="IE142" s="48">
        <f t="shared" si="331"/>
        <v>0</v>
      </c>
      <c r="IF142" s="48">
        <f t="shared" si="331"/>
        <v>0</v>
      </c>
      <c r="IG142" s="48">
        <f t="shared" si="331"/>
        <v>0</v>
      </c>
      <c r="IH142" s="48">
        <f t="shared" si="331"/>
        <v>0</v>
      </c>
      <c r="II142" s="48">
        <f t="shared" si="331"/>
        <v>0</v>
      </c>
      <c r="IJ142" s="48">
        <f t="shared" si="331"/>
        <v>0</v>
      </c>
      <c r="IK142" s="48">
        <f t="shared" si="331"/>
        <v>0</v>
      </c>
      <c r="IL142" s="48">
        <f t="shared" si="331"/>
        <v>0</v>
      </c>
      <c r="IM142" s="48">
        <f t="shared" si="331"/>
        <v>0</v>
      </c>
      <c r="IN142" s="48">
        <f t="shared" si="331"/>
        <v>0</v>
      </c>
      <c r="IO142" s="48">
        <f t="shared" si="331"/>
        <v>0</v>
      </c>
      <c r="IP142" s="48">
        <f t="shared" si="331"/>
        <v>0</v>
      </c>
      <c r="IQ142" s="48">
        <f t="shared" si="331"/>
        <v>0</v>
      </c>
      <c r="IR142" s="48">
        <f t="shared" si="331"/>
        <v>0</v>
      </c>
      <c r="IS142" s="48">
        <f t="shared" si="331"/>
        <v>0</v>
      </c>
      <c r="IT142" s="48">
        <f t="shared" si="331"/>
        <v>0</v>
      </c>
      <c r="IU142" s="48">
        <f t="shared" si="331"/>
        <v>0</v>
      </c>
      <c r="IV142" s="48">
        <f t="shared" si="331"/>
        <v>0</v>
      </c>
      <c r="IW142" s="48">
        <f t="shared" si="331"/>
        <v>0</v>
      </c>
      <c r="IX142" s="48">
        <f t="shared" si="331"/>
        <v>0</v>
      </c>
      <c r="IY142" s="48">
        <f t="shared" si="331"/>
        <v>0</v>
      </c>
      <c r="IZ142" s="48">
        <f t="shared" si="331"/>
        <v>0</v>
      </c>
      <c r="JA142" s="48">
        <f t="shared" si="331"/>
        <v>0</v>
      </c>
      <c r="JB142" s="48">
        <f t="shared" si="331"/>
        <v>0</v>
      </c>
      <c r="JC142" s="48">
        <f t="shared" si="331"/>
        <v>0</v>
      </c>
      <c r="JD142" s="48">
        <f t="shared" si="331"/>
        <v>0</v>
      </c>
      <c r="JE142" s="48">
        <f t="shared" si="331"/>
        <v>0</v>
      </c>
      <c r="JF142" s="48">
        <f t="shared" si="331"/>
        <v>0</v>
      </c>
      <c r="JG142" s="48">
        <f t="shared" si="331"/>
        <v>0</v>
      </c>
      <c r="JH142" s="48">
        <f t="shared" si="331"/>
        <v>0</v>
      </c>
      <c r="JI142" s="48">
        <f t="shared" si="331"/>
        <v>0</v>
      </c>
      <c r="JJ142" s="48">
        <f t="shared" si="331"/>
        <v>0</v>
      </c>
      <c r="JK142" s="48">
        <f t="shared" ref="JK142:KI142" si="332">JK112</f>
        <v>0</v>
      </c>
      <c r="JL142" s="48">
        <f t="shared" si="332"/>
        <v>0</v>
      </c>
      <c r="JM142" s="48">
        <f t="shared" si="332"/>
        <v>0</v>
      </c>
      <c r="JN142" s="48">
        <f t="shared" si="332"/>
        <v>0</v>
      </c>
      <c r="JO142" s="48">
        <f t="shared" si="332"/>
        <v>0</v>
      </c>
      <c r="JP142" s="48">
        <f t="shared" si="332"/>
        <v>0</v>
      </c>
      <c r="JQ142" s="48">
        <f t="shared" si="332"/>
        <v>0</v>
      </c>
      <c r="JR142" s="48">
        <f t="shared" si="332"/>
        <v>0</v>
      </c>
      <c r="JS142" s="48">
        <f t="shared" si="332"/>
        <v>0</v>
      </c>
      <c r="JT142" s="48">
        <f t="shared" si="332"/>
        <v>0</v>
      </c>
      <c r="JU142" s="48">
        <f t="shared" si="332"/>
        <v>0</v>
      </c>
      <c r="JV142" s="48">
        <f t="shared" si="332"/>
        <v>0</v>
      </c>
      <c r="JW142" s="48">
        <f t="shared" si="332"/>
        <v>0</v>
      </c>
      <c r="JX142" s="48">
        <f t="shared" si="332"/>
        <v>0</v>
      </c>
      <c r="JY142" s="48">
        <f t="shared" si="332"/>
        <v>0</v>
      </c>
      <c r="JZ142" s="48">
        <f t="shared" si="332"/>
        <v>0</v>
      </c>
      <c r="KA142" s="48">
        <f t="shared" si="332"/>
        <v>0</v>
      </c>
      <c r="KB142" s="48">
        <f t="shared" si="332"/>
        <v>0</v>
      </c>
      <c r="KC142" s="48">
        <f t="shared" si="332"/>
        <v>0</v>
      </c>
      <c r="KD142" s="48">
        <f t="shared" si="332"/>
        <v>0</v>
      </c>
      <c r="KE142" s="48">
        <f t="shared" si="332"/>
        <v>0</v>
      </c>
      <c r="KF142" s="48">
        <f t="shared" si="332"/>
        <v>0</v>
      </c>
      <c r="KG142" s="48">
        <f t="shared" si="332"/>
        <v>0</v>
      </c>
      <c r="KH142" s="48">
        <f t="shared" si="332"/>
        <v>0</v>
      </c>
      <c r="KI142" s="48">
        <f t="shared" si="332"/>
        <v>0</v>
      </c>
      <c r="KJ142" s="1"/>
    </row>
    <row r="143" spans="10:296" x14ac:dyDescent="0.35">
      <c r="M143" s="15" t="s">
        <v>204</v>
      </c>
      <c r="N143" s="48">
        <f>0</f>
        <v>0</v>
      </c>
      <c r="O143" s="48">
        <f>0</f>
        <v>0</v>
      </c>
      <c r="P143" s="48">
        <f>0</f>
        <v>0</v>
      </c>
      <c r="Q143" s="48">
        <f>0</f>
        <v>0</v>
      </c>
      <c r="R143" s="48">
        <f>0</f>
        <v>0</v>
      </c>
      <c r="S143" s="48">
        <f>0</f>
        <v>0</v>
      </c>
      <c r="T143" s="48">
        <f>0</f>
        <v>0</v>
      </c>
      <c r="U143" s="48">
        <f>0</f>
        <v>0</v>
      </c>
      <c r="V143" s="48">
        <f>0</f>
        <v>0</v>
      </c>
      <c r="W143" s="48">
        <f>0</f>
        <v>0</v>
      </c>
      <c r="X143" s="48">
        <f>0</f>
        <v>0</v>
      </c>
      <c r="Y143" s="48">
        <f>0</f>
        <v>0</v>
      </c>
      <c r="Z143" s="48">
        <f>0</f>
        <v>0</v>
      </c>
      <c r="AA143" s="48">
        <f>0</f>
        <v>0</v>
      </c>
      <c r="AB143" s="48">
        <f>0</f>
        <v>0</v>
      </c>
      <c r="AC143" s="48">
        <f>0</f>
        <v>0</v>
      </c>
      <c r="AD143" s="48">
        <f>0</f>
        <v>0</v>
      </c>
      <c r="AE143" s="48">
        <f>0</f>
        <v>0</v>
      </c>
      <c r="AF143" s="48">
        <f>0</f>
        <v>0</v>
      </c>
      <c r="AG143" s="48">
        <f>0</f>
        <v>0</v>
      </c>
      <c r="AH143" s="48">
        <f>0</f>
        <v>0</v>
      </c>
      <c r="AI143" s="48">
        <f>0</f>
        <v>0</v>
      </c>
      <c r="AJ143" s="48">
        <f>0</f>
        <v>0</v>
      </c>
      <c r="AK143" s="48">
        <f>0</f>
        <v>0</v>
      </c>
      <c r="AL143" s="48">
        <f>0</f>
        <v>0</v>
      </c>
      <c r="AM143" s="48">
        <f>0</f>
        <v>0</v>
      </c>
      <c r="AN143" s="48">
        <f>0</f>
        <v>0</v>
      </c>
      <c r="AO143" s="48">
        <f>0</f>
        <v>0</v>
      </c>
      <c r="AP143" s="48">
        <f>0</f>
        <v>0</v>
      </c>
      <c r="AQ143" s="48">
        <f>0</f>
        <v>0</v>
      </c>
      <c r="AR143" s="48">
        <f>0</f>
        <v>0</v>
      </c>
      <c r="AS143" s="48">
        <f>0</f>
        <v>0</v>
      </c>
      <c r="AT143" s="48">
        <f>0</f>
        <v>0</v>
      </c>
      <c r="AU143" s="48">
        <f>0</f>
        <v>0</v>
      </c>
      <c r="AV143" s="48">
        <f>0</f>
        <v>0</v>
      </c>
      <c r="AW143" s="48">
        <f>0</f>
        <v>0</v>
      </c>
      <c r="AX143" s="48">
        <f>0</f>
        <v>0</v>
      </c>
      <c r="AY143" s="48">
        <f>0</f>
        <v>0</v>
      </c>
      <c r="AZ143" s="48">
        <f>0</f>
        <v>0</v>
      </c>
      <c r="BA143" s="48">
        <f>0</f>
        <v>0</v>
      </c>
      <c r="BB143" s="48">
        <f>0</f>
        <v>0</v>
      </c>
      <c r="BC143" s="48">
        <f>0</f>
        <v>0</v>
      </c>
      <c r="BD143" s="48">
        <f>0</f>
        <v>0</v>
      </c>
      <c r="BE143" s="48">
        <f>0</f>
        <v>0</v>
      </c>
      <c r="BF143" s="48">
        <f>0</f>
        <v>0</v>
      </c>
      <c r="BG143" s="48">
        <f>0</f>
        <v>0</v>
      </c>
      <c r="BH143" s="48">
        <f>0</f>
        <v>0</v>
      </c>
      <c r="BI143" s="48">
        <f>0</f>
        <v>0</v>
      </c>
      <c r="BJ143" s="48">
        <f>0</f>
        <v>0</v>
      </c>
      <c r="BK143" s="48">
        <f>0</f>
        <v>0</v>
      </c>
      <c r="BL143" s="48">
        <f>0</f>
        <v>0</v>
      </c>
      <c r="BM143" s="48">
        <f>0</f>
        <v>0</v>
      </c>
      <c r="BN143" s="48">
        <f>0</f>
        <v>0</v>
      </c>
      <c r="BO143" s="48">
        <f>0</f>
        <v>0</v>
      </c>
      <c r="BP143" s="48">
        <f>0</f>
        <v>0</v>
      </c>
      <c r="BQ143" s="48">
        <f>0</f>
        <v>0</v>
      </c>
      <c r="BR143" s="48">
        <f>0</f>
        <v>0</v>
      </c>
      <c r="BS143" s="48">
        <f>0</f>
        <v>0</v>
      </c>
      <c r="BT143" s="48">
        <f>0</f>
        <v>0</v>
      </c>
      <c r="BU143" s="48">
        <f>0</f>
        <v>0</v>
      </c>
      <c r="BV143" s="48">
        <f>0</f>
        <v>0</v>
      </c>
      <c r="BW143" s="48">
        <f>0</f>
        <v>0</v>
      </c>
      <c r="BX143" s="48">
        <f>0</f>
        <v>0</v>
      </c>
      <c r="BY143" s="48">
        <f>0</f>
        <v>0</v>
      </c>
      <c r="BZ143" s="48">
        <f>0</f>
        <v>0</v>
      </c>
      <c r="CA143" s="48">
        <f>0</f>
        <v>0</v>
      </c>
      <c r="CB143" s="48">
        <f>0</f>
        <v>0</v>
      </c>
      <c r="CC143" s="48">
        <f>0</f>
        <v>0</v>
      </c>
      <c r="CD143" s="48">
        <f>0</f>
        <v>0</v>
      </c>
      <c r="CE143" s="48">
        <f>0</f>
        <v>0</v>
      </c>
      <c r="CF143" s="48">
        <f>0</f>
        <v>0</v>
      </c>
      <c r="CG143" s="48">
        <f>0</f>
        <v>0</v>
      </c>
      <c r="CH143" s="48">
        <f>0</f>
        <v>0</v>
      </c>
      <c r="CI143" s="48">
        <f>0</f>
        <v>0</v>
      </c>
      <c r="CJ143" s="48">
        <f>0</f>
        <v>0</v>
      </c>
      <c r="CK143" s="48">
        <f>0</f>
        <v>0</v>
      </c>
      <c r="CL143" s="48">
        <f>0</f>
        <v>0</v>
      </c>
      <c r="CM143" s="48">
        <f>0</f>
        <v>0</v>
      </c>
      <c r="CN143" s="48">
        <f>0</f>
        <v>0</v>
      </c>
      <c r="CO143" s="48">
        <f>0</f>
        <v>0</v>
      </c>
      <c r="CP143" s="48">
        <f>0</f>
        <v>0</v>
      </c>
      <c r="CQ143" s="48">
        <f>0</f>
        <v>0</v>
      </c>
      <c r="CR143" s="48">
        <f>0</f>
        <v>0</v>
      </c>
      <c r="CS143" s="48">
        <f>0</f>
        <v>0</v>
      </c>
      <c r="CT143" s="48">
        <f>0</f>
        <v>0</v>
      </c>
      <c r="CU143" s="48">
        <f>0</f>
        <v>0</v>
      </c>
      <c r="CV143" s="48">
        <f>0</f>
        <v>0</v>
      </c>
      <c r="CW143" s="48">
        <f>0</f>
        <v>0</v>
      </c>
      <c r="CX143" s="48">
        <f>0</f>
        <v>0</v>
      </c>
      <c r="CY143" s="48">
        <f>0</f>
        <v>0</v>
      </c>
      <c r="CZ143" s="48">
        <f>0</f>
        <v>0</v>
      </c>
      <c r="DA143" s="48">
        <f>0</f>
        <v>0</v>
      </c>
      <c r="DB143" s="48">
        <f>0</f>
        <v>0</v>
      </c>
      <c r="DC143" s="48">
        <f>0</f>
        <v>0</v>
      </c>
      <c r="DD143" s="48">
        <f>0</f>
        <v>0</v>
      </c>
      <c r="DE143" s="48">
        <f>0</f>
        <v>0</v>
      </c>
      <c r="DF143" s="48">
        <f>0</f>
        <v>0</v>
      </c>
      <c r="DG143" s="48">
        <f>0</f>
        <v>0</v>
      </c>
      <c r="DH143" s="48">
        <f>0</f>
        <v>0</v>
      </c>
      <c r="DI143" s="48">
        <f>0</f>
        <v>0</v>
      </c>
      <c r="DJ143" s="48">
        <f>0</f>
        <v>0</v>
      </c>
      <c r="DK143" s="48">
        <f>0</f>
        <v>0</v>
      </c>
      <c r="DL143" s="48">
        <f>0</f>
        <v>0</v>
      </c>
      <c r="DM143" s="48">
        <f>0</f>
        <v>0</v>
      </c>
      <c r="DN143" s="48">
        <f>0</f>
        <v>0</v>
      </c>
      <c r="DO143" s="48">
        <f>0</f>
        <v>0</v>
      </c>
      <c r="DP143" s="48">
        <f>0</f>
        <v>0</v>
      </c>
      <c r="DQ143" s="48">
        <f>0</f>
        <v>0</v>
      </c>
      <c r="DR143" s="48">
        <f>0</f>
        <v>0</v>
      </c>
      <c r="DS143" s="48">
        <f>0</f>
        <v>0</v>
      </c>
      <c r="DT143" s="48">
        <f>0</f>
        <v>0</v>
      </c>
      <c r="DU143" s="48">
        <f>0</f>
        <v>0</v>
      </c>
      <c r="DV143" s="48">
        <f>0</f>
        <v>0</v>
      </c>
      <c r="DW143" s="48">
        <f>0</f>
        <v>0</v>
      </c>
      <c r="DX143" s="48">
        <f>0</f>
        <v>0</v>
      </c>
      <c r="DY143" s="48">
        <f>0</f>
        <v>0</v>
      </c>
      <c r="DZ143" s="48">
        <f>0</f>
        <v>0</v>
      </c>
      <c r="EA143" s="48">
        <f>0</f>
        <v>0</v>
      </c>
      <c r="EB143" s="48">
        <f>0</f>
        <v>0</v>
      </c>
      <c r="EC143" s="48">
        <f>0</f>
        <v>0</v>
      </c>
      <c r="ED143" s="48">
        <f>0</f>
        <v>0</v>
      </c>
      <c r="EE143" s="48">
        <f>0</f>
        <v>0</v>
      </c>
      <c r="EF143" s="48">
        <f>0</f>
        <v>0</v>
      </c>
      <c r="EG143" s="48">
        <f>0</f>
        <v>0</v>
      </c>
      <c r="EH143" s="48">
        <f>0</f>
        <v>0</v>
      </c>
      <c r="EI143" s="48">
        <f>0</f>
        <v>0</v>
      </c>
      <c r="EJ143" s="48">
        <f>0</f>
        <v>0</v>
      </c>
      <c r="EK143" s="48">
        <f>0</f>
        <v>0</v>
      </c>
      <c r="EL143" s="48">
        <f>0</f>
        <v>0</v>
      </c>
      <c r="EM143" s="48">
        <f>0</f>
        <v>0</v>
      </c>
      <c r="EN143" s="48">
        <f>0</f>
        <v>0</v>
      </c>
      <c r="EO143" s="48">
        <f>0</f>
        <v>0</v>
      </c>
      <c r="EP143" s="48">
        <f>0</f>
        <v>0</v>
      </c>
      <c r="EQ143" s="48">
        <f>0</f>
        <v>0</v>
      </c>
      <c r="ER143" s="48">
        <f>0</f>
        <v>0</v>
      </c>
      <c r="ES143" s="48">
        <f>0</f>
        <v>0</v>
      </c>
      <c r="ET143" s="48">
        <f>0</f>
        <v>0</v>
      </c>
      <c r="EU143" s="48">
        <f>0</f>
        <v>0</v>
      </c>
      <c r="EV143" s="48">
        <f>0</f>
        <v>0</v>
      </c>
      <c r="EW143" s="48">
        <f>0</f>
        <v>0</v>
      </c>
      <c r="EX143" s="48">
        <f>0</f>
        <v>0</v>
      </c>
      <c r="EY143" s="48">
        <f>0</f>
        <v>0</v>
      </c>
      <c r="EZ143" s="48">
        <f>0</f>
        <v>0</v>
      </c>
      <c r="FA143" s="48">
        <f>0</f>
        <v>0</v>
      </c>
      <c r="FB143" s="48">
        <f>0</f>
        <v>0</v>
      </c>
      <c r="FC143" s="48">
        <f>0</f>
        <v>0</v>
      </c>
      <c r="FD143" s="48">
        <f>0</f>
        <v>0</v>
      </c>
      <c r="FE143" s="48">
        <f>0</f>
        <v>0</v>
      </c>
      <c r="FF143" s="48">
        <f>0</f>
        <v>0</v>
      </c>
      <c r="FG143" s="48">
        <f>0</f>
        <v>0</v>
      </c>
      <c r="FH143" s="48">
        <f>0</f>
        <v>0</v>
      </c>
      <c r="FI143" s="48">
        <f>0</f>
        <v>0</v>
      </c>
      <c r="FJ143" s="48">
        <f>0</f>
        <v>0</v>
      </c>
      <c r="FK143" s="48">
        <f>0</f>
        <v>0</v>
      </c>
      <c r="FL143" s="48">
        <f>0</f>
        <v>0</v>
      </c>
      <c r="FM143" s="48">
        <f>0</f>
        <v>0</v>
      </c>
      <c r="FN143" s="48">
        <f>0</f>
        <v>0</v>
      </c>
      <c r="FO143" s="48">
        <f>0</f>
        <v>0</v>
      </c>
      <c r="FP143" s="48">
        <f>0</f>
        <v>0</v>
      </c>
      <c r="FQ143" s="48">
        <f>0</f>
        <v>0</v>
      </c>
      <c r="FR143" s="48">
        <f>0</f>
        <v>0</v>
      </c>
      <c r="FS143" s="48">
        <f>0</f>
        <v>0</v>
      </c>
      <c r="FT143" s="48">
        <f>0</f>
        <v>0</v>
      </c>
      <c r="FU143" s="48">
        <f>0</f>
        <v>0</v>
      </c>
      <c r="FV143" s="48">
        <f>0</f>
        <v>0</v>
      </c>
      <c r="FW143" s="48">
        <f>0</f>
        <v>0</v>
      </c>
      <c r="FX143" s="48">
        <f>0</f>
        <v>0</v>
      </c>
      <c r="FY143" s="48">
        <f>0</f>
        <v>0</v>
      </c>
      <c r="FZ143" s="48">
        <f>0</f>
        <v>0</v>
      </c>
      <c r="GA143" s="48">
        <f>0</f>
        <v>0</v>
      </c>
      <c r="GB143" s="48">
        <f>0</f>
        <v>0</v>
      </c>
      <c r="GC143" s="48">
        <f>0</f>
        <v>0</v>
      </c>
      <c r="GD143" s="48">
        <f>0</f>
        <v>0</v>
      </c>
      <c r="GE143" s="48">
        <f>0</f>
        <v>0</v>
      </c>
      <c r="GF143" s="48">
        <f>0</f>
        <v>0</v>
      </c>
      <c r="GG143" s="48">
        <f>0</f>
        <v>0</v>
      </c>
      <c r="GH143" s="48">
        <f>0</f>
        <v>0</v>
      </c>
      <c r="GI143" s="48">
        <f>0</f>
        <v>0</v>
      </c>
      <c r="GJ143" s="48">
        <f>0</f>
        <v>0</v>
      </c>
      <c r="GK143" s="48">
        <f>0</f>
        <v>0</v>
      </c>
      <c r="GL143" s="48">
        <f>0</f>
        <v>0</v>
      </c>
      <c r="GM143" s="48">
        <f>0</f>
        <v>0</v>
      </c>
      <c r="GN143" s="48">
        <f>0</f>
        <v>0</v>
      </c>
      <c r="GO143" s="48">
        <f>0</f>
        <v>0</v>
      </c>
      <c r="GP143" s="48">
        <f>0</f>
        <v>0</v>
      </c>
      <c r="GQ143" s="48">
        <f>0</f>
        <v>0</v>
      </c>
      <c r="GR143" s="48">
        <f>0</f>
        <v>0</v>
      </c>
      <c r="GS143" s="48">
        <f>0</f>
        <v>0</v>
      </c>
      <c r="GT143" s="48">
        <f>0</f>
        <v>0</v>
      </c>
      <c r="GU143" s="48">
        <f>0</f>
        <v>0</v>
      </c>
      <c r="GV143" s="48">
        <f>0</f>
        <v>0</v>
      </c>
      <c r="GW143" s="48">
        <f>0</f>
        <v>0</v>
      </c>
      <c r="GX143" s="48">
        <f>0</f>
        <v>0</v>
      </c>
      <c r="GY143" s="48">
        <f>0</f>
        <v>0</v>
      </c>
      <c r="GZ143" s="48">
        <f>0</f>
        <v>0</v>
      </c>
      <c r="HA143" s="48">
        <f>0</f>
        <v>0</v>
      </c>
      <c r="HB143" s="48">
        <f>0</f>
        <v>0</v>
      </c>
      <c r="HC143" s="48">
        <f>0</f>
        <v>0</v>
      </c>
      <c r="HD143" s="48">
        <f>0</f>
        <v>0</v>
      </c>
      <c r="HE143" s="48">
        <f>0</f>
        <v>0</v>
      </c>
      <c r="HF143" s="48">
        <f>0</f>
        <v>0</v>
      </c>
      <c r="HG143" s="48">
        <f>0</f>
        <v>0</v>
      </c>
      <c r="HH143" s="48">
        <f>0</f>
        <v>0</v>
      </c>
      <c r="HI143" s="48">
        <f>0</f>
        <v>0</v>
      </c>
      <c r="HJ143" s="48">
        <f>0</f>
        <v>0</v>
      </c>
      <c r="HK143" s="48">
        <f>0</f>
        <v>0</v>
      </c>
      <c r="HL143" s="48">
        <f>0</f>
        <v>0</v>
      </c>
      <c r="HM143" s="48">
        <f>0</f>
        <v>0</v>
      </c>
      <c r="HN143" s="48">
        <f>0</f>
        <v>0</v>
      </c>
      <c r="HO143" s="48">
        <f>0</f>
        <v>0</v>
      </c>
      <c r="HP143" s="48">
        <f>0</f>
        <v>0</v>
      </c>
      <c r="HQ143" s="48">
        <f>0</f>
        <v>0</v>
      </c>
      <c r="HR143" s="48">
        <f>0</f>
        <v>0</v>
      </c>
      <c r="HS143" s="48">
        <f>0</f>
        <v>0</v>
      </c>
      <c r="HT143" s="48">
        <f>0</f>
        <v>0</v>
      </c>
      <c r="HU143" s="48">
        <f>0</f>
        <v>0</v>
      </c>
      <c r="HV143" s="48">
        <f>0</f>
        <v>0</v>
      </c>
      <c r="HW143" s="48">
        <f>0</f>
        <v>0</v>
      </c>
      <c r="HX143" s="48">
        <f>0</f>
        <v>0</v>
      </c>
      <c r="HY143" s="48">
        <f>0</f>
        <v>0</v>
      </c>
      <c r="HZ143" s="48">
        <f>0</f>
        <v>0</v>
      </c>
      <c r="IA143" s="48">
        <f>0</f>
        <v>0</v>
      </c>
      <c r="IB143" s="48">
        <f>0</f>
        <v>0</v>
      </c>
      <c r="IC143" s="48">
        <f>0</f>
        <v>0</v>
      </c>
      <c r="ID143" s="48">
        <f>0</f>
        <v>0</v>
      </c>
      <c r="IE143" s="48">
        <f>0</f>
        <v>0</v>
      </c>
      <c r="IF143" s="48">
        <f>0</f>
        <v>0</v>
      </c>
      <c r="IG143" s="48">
        <f>0</f>
        <v>0</v>
      </c>
      <c r="IH143" s="48">
        <f>0</f>
        <v>0</v>
      </c>
      <c r="II143" s="48">
        <f>0</f>
        <v>0</v>
      </c>
      <c r="IJ143" s="48">
        <f>0</f>
        <v>0</v>
      </c>
      <c r="IK143" s="48">
        <f>0</f>
        <v>0</v>
      </c>
      <c r="IL143" s="48">
        <f>0</f>
        <v>0</v>
      </c>
      <c r="IM143" s="48">
        <f>0</f>
        <v>0</v>
      </c>
      <c r="IN143" s="48">
        <f>0</f>
        <v>0</v>
      </c>
      <c r="IO143" s="48">
        <f>0</f>
        <v>0</v>
      </c>
      <c r="IP143" s="48">
        <f>0</f>
        <v>0</v>
      </c>
      <c r="IQ143" s="48">
        <f>0</f>
        <v>0</v>
      </c>
      <c r="IR143" s="48">
        <f>0</f>
        <v>0</v>
      </c>
      <c r="IS143" s="48">
        <f>0</f>
        <v>0</v>
      </c>
      <c r="IT143" s="48">
        <f>0</f>
        <v>0</v>
      </c>
      <c r="IU143" s="48">
        <f>0</f>
        <v>0</v>
      </c>
      <c r="IV143" s="48">
        <f>0</f>
        <v>0</v>
      </c>
      <c r="IW143" s="48">
        <f>0</f>
        <v>0</v>
      </c>
      <c r="IX143" s="48">
        <f>0</f>
        <v>0</v>
      </c>
      <c r="IY143" s="48">
        <f>0</f>
        <v>0</v>
      </c>
      <c r="IZ143" s="48">
        <f>0</f>
        <v>0</v>
      </c>
      <c r="JA143" s="48">
        <f>0</f>
        <v>0</v>
      </c>
      <c r="JB143" s="48">
        <f>0</f>
        <v>0</v>
      </c>
      <c r="JC143" s="48">
        <f>0</f>
        <v>0</v>
      </c>
      <c r="JD143" s="48">
        <f>0</f>
        <v>0</v>
      </c>
      <c r="JE143" s="48">
        <f>0</f>
        <v>0</v>
      </c>
      <c r="JF143" s="48">
        <f>0</f>
        <v>0</v>
      </c>
      <c r="JG143" s="48">
        <f>0</f>
        <v>0</v>
      </c>
      <c r="JH143" s="48">
        <f>0</f>
        <v>0</v>
      </c>
      <c r="JI143" s="48">
        <f>0</f>
        <v>0</v>
      </c>
      <c r="JJ143" s="48">
        <f>0</f>
        <v>0</v>
      </c>
      <c r="JK143" s="48">
        <f>0</f>
        <v>0</v>
      </c>
      <c r="JL143" s="48">
        <f>0</f>
        <v>0</v>
      </c>
      <c r="JM143" s="48">
        <f>0</f>
        <v>0</v>
      </c>
      <c r="JN143" s="48">
        <f>0</f>
        <v>0</v>
      </c>
      <c r="JO143" s="48">
        <f>0</f>
        <v>0</v>
      </c>
      <c r="JP143" s="48">
        <f>0</f>
        <v>0</v>
      </c>
      <c r="JQ143" s="48">
        <f>0</f>
        <v>0</v>
      </c>
      <c r="JR143" s="48">
        <f>0</f>
        <v>0</v>
      </c>
      <c r="JS143" s="48">
        <f>0</f>
        <v>0</v>
      </c>
      <c r="JT143" s="48">
        <f>0</f>
        <v>0</v>
      </c>
      <c r="JU143" s="48">
        <f>0</f>
        <v>0</v>
      </c>
      <c r="JV143" s="48">
        <f>0</f>
        <v>0</v>
      </c>
      <c r="JW143" s="48">
        <f>0</f>
        <v>0</v>
      </c>
      <c r="JX143" s="48">
        <f>0</f>
        <v>0</v>
      </c>
      <c r="JY143" s="48">
        <f>0</f>
        <v>0</v>
      </c>
      <c r="JZ143" s="48">
        <f>0</f>
        <v>0</v>
      </c>
      <c r="KA143" s="48">
        <f>0</f>
        <v>0</v>
      </c>
      <c r="KB143" s="48">
        <f>0</f>
        <v>0</v>
      </c>
      <c r="KC143" s="48">
        <f>0</f>
        <v>0</v>
      </c>
      <c r="KD143" s="48">
        <f>0</f>
        <v>0</v>
      </c>
      <c r="KE143" s="48">
        <f>0</f>
        <v>0</v>
      </c>
      <c r="KF143" s="48">
        <f>0</f>
        <v>0</v>
      </c>
      <c r="KG143" s="48">
        <f>0</f>
        <v>0</v>
      </c>
      <c r="KH143" s="48">
        <f>0</f>
        <v>0</v>
      </c>
      <c r="KI143" s="48">
        <f>0</f>
        <v>0</v>
      </c>
      <c r="KJ143" s="1"/>
    </row>
    <row r="144" spans="10:296" x14ac:dyDescent="0.35">
      <c r="M144" s="29" t="s">
        <v>209</v>
      </c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>
        <f>SUM(N137:Y143)*Y$132</f>
        <v>-77.111701388888889</v>
      </c>
      <c r="Z144" s="54">
        <f t="shared" ref="Z144:CK144" si="333">SUM(O137:Z143)*Z$132</f>
        <v>0</v>
      </c>
      <c r="AA144" s="54">
        <f t="shared" si="333"/>
        <v>0</v>
      </c>
      <c r="AB144" s="54">
        <f t="shared" si="333"/>
        <v>0</v>
      </c>
      <c r="AC144" s="54">
        <f t="shared" si="333"/>
        <v>0</v>
      </c>
      <c r="AD144" s="54">
        <f t="shared" si="333"/>
        <v>0</v>
      </c>
      <c r="AE144" s="54">
        <f t="shared" si="333"/>
        <v>-64.96822916666666</v>
      </c>
      <c r="AF144" s="54">
        <f t="shared" si="333"/>
        <v>0</v>
      </c>
      <c r="AG144" s="54">
        <f t="shared" si="333"/>
        <v>0</v>
      </c>
      <c r="AH144" s="54">
        <f t="shared" si="333"/>
        <v>0</v>
      </c>
      <c r="AI144" s="54">
        <f t="shared" si="333"/>
        <v>0</v>
      </c>
      <c r="AJ144" s="54">
        <f t="shared" si="333"/>
        <v>0</v>
      </c>
      <c r="AK144" s="54">
        <f t="shared" si="333"/>
        <v>-64.746701388888894</v>
      </c>
      <c r="AL144" s="54">
        <f t="shared" si="333"/>
        <v>0</v>
      </c>
      <c r="AM144" s="54">
        <f t="shared" si="333"/>
        <v>0</v>
      </c>
      <c r="AN144" s="54">
        <f t="shared" si="333"/>
        <v>0</v>
      </c>
      <c r="AO144" s="54">
        <f t="shared" si="333"/>
        <v>0</v>
      </c>
      <c r="AP144" s="54">
        <f t="shared" si="333"/>
        <v>0</v>
      </c>
      <c r="AQ144" s="54">
        <f t="shared" si="333"/>
        <v>-62.89392361111112</v>
      </c>
      <c r="AR144" s="54">
        <f t="shared" si="333"/>
        <v>0</v>
      </c>
      <c r="AS144" s="54">
        <f t="shared" si="333"/>
        <v>0</v>
      </c>
      <c r="AT144" s="54">
        <f t="shared" si="333"/>
        <v>0</v>
      </c>
      <c r="AU144" s="54">
        <f t="shared" si="333"/>
        <v>0</v>
      </c>
      <c r="AV144" s="54">
        <f t="shared" si="333"/>
        <v>0</v>
      </c>
      <c r="AW144" s="54">
        <f t="shared" si="333"/>
        <v>-61.031076388888891</v>
      </c>
      <c r="AX144" s="54">
        <f t="shared" si="333"/>
        <v>0</v>
      </c>
      <c r="AY144" s="54">
        <f t="shared" si="333"/>
        <v>0</v>
      </c>
      <c r="AZ144" s="54">
        <f t="shared" si="333"/>
        <v>0</v>
      </c>
      <c r="BA144" s="54">
        <f t="shared" si="333"/>
        <v>0</v>
      </c>
      <c r="BB144" s="54">
        <f t="shared" si="333"/>
        <v>0</v>
      </c>
      <c r="BC144" s="54">
        <f t="shared" si="333"/>
        <v>-59.178298611111117</v>
      </c>
      <c r="BD144" s="54">
        <f t="shared" si="333"/>
        <v>0</v>
      </c>
      <c r="BE144" s="54">
        <f t="shared" si="333"/>
        <v>0</v>
      </c>
      <c r="BF144" s="54">
        <f t="shared" si="333"/>
        <v>0</v>
      </c>
      <c r="BG144" s="54">
        <f t="shared" si="333"/>
        <v>0</v>
      </c>
      <c r="BH144" s="54">
        <f t="shared" si="333"/>
        <v>0</v>
      </c>
      <c r="BI144" s="54">
        <f t="shared" si="333"/>
        <v>-57.355729166666677</v>
      </c>
      <c r="BJ144" s="54">
        <f t="shared" si="333"/>
        <v>0</v>
      </c>
      <c r="BK144" s="54">
        <f t="shared" si="333"/>
        <v>0</v>
      </c>
      <c r="BL144" s="54">
        <f t="shared" si="333"/>
        <v>0</v>
      </c>
      <c r="BM144" s="54">
        <f t="shared" si="333"/>
        <v>0</v>
      </c>
      <c r="BN144" s="54">
        <f t="shared" si="333"/>
        <v>0</v>
      </c>
      <c r="BO144" s="54">
        <f t="shared" si="333"/>
        <v>-55.502951388888896</v>
      </c>
      <c r="BP144" s="54">
        <f t="shared" si="333"/>
        <v>0</v>
      </c>
      <c r="BQ144" s="54">
        <f t="shared" si="333"/>
        <v>0</v>
      </c>
      <c r="BR144" s="54">
        <f t="shared" si="333"/>
        <v>0</v>
      </c>
      <c r="BS144" s="54">
        <f t="shared" si="333"/>
        <v>0</v>
      </c>
      <c r="BT144" s="54">
        <f t="shared" si="333"/>
        <v>0</v>
      </c>
      <c r="BU144" s="54">
        <f t="shared" si="333"/>
        <v>-53.680381944444434</v>
      </c>
      <c r="BV144" s="54">
        <f t="shared" si="333"/>
        <v>0</v>
      </c>
      <c r="BW144" s="54">
        <f t="shared" si="333"/>
        <v>0</v>
      </c>
      <c r="BX144" s="54">
        <f t="shared" si="333"/>
        <v>0</v>
      </c>
      <c r="BY144" s="54">
        <f t="shared" si="333"/>
        <v>0</v>
      </c>
      <c r="BZ144" s="54">
        <f t="shared" si="333"/>
        <v>0</v>
      </c>
      <c r="CA144" s="54">
        <f t="shared" si="333"/>
        <v>-51.82760416666666</v>
      </c>
      <c r="CB144" s="54">
        <f t="shared" si="333"/>
        <v>0</v>
      </c>
      <c r="CC144" s="54">
        <f t="shared" si="333"/>
        <v>0</v>
      </c>
      <c r="CD144" s="54">
        <f t="shared" si="333"/>
        <v>0</v>
      </c>
      <c r="CE144" s="54">
        <f t="shared" si="333"/>
        <v>0</v>
      </c>
      <c r="CF144" s="54">
        <f t="shared" si="333"/>
        <v>0</v>
      </c>
      <c r="CG144" s="54">
        <f t="shared" si="333"/>
        <v>-25.463194444444447</v>
      </c>
      <c r="CH144" s="54">
        <f t="shared" si="333"/>
        <v>0</v>
      </c>
      <c r="CI144" s="54">
        <f t="shared" si="333"/>
        <v>0</v>
      </c>
      <c r="CJ144" s="54">
        <f t="shared" si="333"/>
        <v>0</v>
      </c>
      <c r="CK144" s="54">
        <f t="shared" si="333"/>
        <v>0</v>
      </c>
      <c r="CL144" s="54">
        <f t="shared" ref="CL144:EW144" si="334">SUM(CA137:CL143)*CL$132</f>
        <v>0</v>
      </c>
      <c r="CM144" s="54">
        <f t="shared" si="334"/>
        <v>0</v>
      </c>
      <c r="CN144" s="54">
        <f t="shared" si="334"/>
        <v>0</v>
      </c>
      <c r="CO144" s="54">
        <f t="shared" si="334"/>
        <v>0</v>
      </c>
      <c r="CP144" s="54">
        <f t="shared" si="334"/>
        <v>0</v>
      </c>
      <c r="CQ144" s="54">
        <f t="shared" si="334"/>
        <v>0</v>
      </c>
      <c r="CR144" s="54">
        <f t="shared" si="334"/>
        <v>0</v>
      </c>
      <c r="CS144" s="54">
        <f t="shared" si="334"/>
        <v>0</v>
      </c>
      <c r="CT144" s="54">
        <f t="shared" si="334"/>
        <v>0</v>
      </c>
      <c r="CU144" s="54">
        <f t="shared" si="334"/>
        <v>0</v>
      </c>
      <c r="CV144" s="54">
        <f t="shared" si="334"/>
        <v>0</v>
      </c>
      <c r="CW144" s="54">
        <f t="shared" si="334"/>
        <v>0</v>
      </c>
      <c r="CX144" s="54">
        <f t="shared" si="334"/>
        <v>0</v>
      </c>
      <c r="CY144" s="54">
        <f t="shared" si="334"/>
        <v>0</v>
      </c>
      <c r="CZ144" s="54">
        <f t="shared" si="334"/>
        <v>0</v>
      </c>
      <c r="DA144" s="54">
        <f t="shared" si="334"/>
        <v>0</v>
      </c>
      <c r="DB144" s="54">
        <f t="shared" si="334"/>
        <v>0</v>
      </c>
      <c r="DC144" s="54">
        <f t="shared" si="334"/>
        <v>0</v>
      </c>
      <c r="DD144" s="54">
        <f t="shared" si="334"/>
        <v>0</v>
      </c>
      <c r="DE144" s="54">
        <f t="shared" si="334"/>
        <v>0</v>
      </c>
      <c r="DF144" s="54">
        <f t="shared" si="334"/>
        <v>0</v>
      </c>
      <c r="DG144" s="54">
        <f t="shared" si="334"/>
        <v>0</v>
      </c>
      <c r="DH144" s="54">
        <f t="shared" si="334"/>
        <v>0</v>
      </c>
      <c r="DI144" s="54">
        <f t="shared" si="334"/>
        <v>0</v>
      </c>
      <c r="DJ144" s="54">
        <f t="shared" si="334"/>
        <v>0</v>
      </c>
      <c r="DK144" s="54">
        <f t="shared" si="334"/>
        <v>0</v>
      </c>
      <c r="DL144" s="54">
        <f t="shared" si="334"/>
        <v>0</v>
      </c>
      <c r="DM144" s="54">
        <f t="shared" si="334"/>
        <v>0</v>
      </c>
      <c r="DN144" s="54">
        <f t="shared" si="334"/>
        <v>0</v>
      </c>
      <c r="DO144" s="54">
        <f t="shared" si="334"/>
        <v>0</v>
      </c>
      <c r="DP144" s="54">
        <f t="shared" si="334"/>
        <v>0</v>
      </c>
      <c r="DQ144" s="54">
        <f t="shared" si="334"/>
        <v>0</v>
      </c>
      <c r="DR144" s="54">
        <f t="shared" si="334"/>
        <v>0</v>
      </c>
      <c r="DS144" s="54">
        <f t="shared" si="334"/>
        <v>0</v>
      </c>
      <c r="DT144" s="54">
        <f t="shared" si="334"/>
        <v>0</v>
      </c>
      <c r="DU144" s="54">
        <f t="shared" si="334"/>
        <v>0</v>
      </c>
      <c r="DV144" s="54">
        <f t="shared" si="334"/>
        <v>0</v>
      </c>
      <c r="DW144" s="54">
        <f t="shared" si="334"/>
        <v>0</v>
      </c>
      <c r="DX144" s="54">
        <f t="shared" si="334"/>
        <v>0</v>
      </c>
      <c r="DY144" s="54">
        <f t="shared" si="334"/>
        <v>0</v>
      </c>
      <c r="DZ144" s="54">
        <f t="shared" si="334"/>
        <v>0</v>
      </c>
      <c r="EA144" s="54">
        <f t="shared" si="334"/>
        <v>0</v>
      </c>
      <c r="EB144" s="54">
        <f t="shared" si="334"/>
        <v>0</v>
      </c>
      <c r="EC144" s="54">
        <f t="shared" si="334"/>
        <v>0</v>
      </c>
      <c r="ED144" s="54">
        <f t="shared" si="334"/>
        <v>0</v>
      </c>
      <c r="EE144" s="54">
        <f t="shared" si="334"/>
        <v>0</v>
      </c>
      <c r="EF144" s="54">
        <f t="shared" si="334"/>
        <v>0</v>
      </c>
      <c r="EG144" s="54">
        <f t="shared" si="334"/>
        <v>0</v>
      </c>
      <c r="EH144" s="54">
        <f t="shared" si="334"/>
        <v>0</v>
      </c>
      <c r="EI144" s="54">
        <f t="shared" si="334"/>
        <v>0</v>
      </c>
      <c r="EJ144" s="54">
        <f t="shared" si="334"/>
        <v>0</v>
      </c>
      <c r="EK144" s="54">
        <f t="shared" si="334"/>
        <v>0</v>
      </c>
      <c r="EL144" s="54">
        <f t="shared" si="334"/>
        <v>0</v>
      </c>
      <c r="EM144" s="54">
        <f t="shared" si="334"/>
        <v>0</v>
      </c>
      <c r="EN144" s="54">
        <f t="shared" si="334"/>
        <v>0</v>
      </c>
      <c r="EO144" s="54">
        <f t="shared" si="334"/>
        <v>0</v>
      </c>
      <c r="EP144" s="54">
        <f t="shared" si="334"/>
        <v>0</v>
      </c>
      <c r="EQ144" s="54">
        <f t="shared" si="334"/>
        <v>0</v>
      </c>
      <c r="ER144" s="54">
        <f t="shared" si="334"/>
        <v>0</v>
      </c>
      <c r="ES144" s="54">
        <f t="shared" si="334"/>
        <v>0</v>
      </c>
      <c r="ET144" s="54">
        <f t="shared" si="334"/>
        <v>0</v>
      </c>
      <c r="EU144" s="54">
        <f t="shared" si="334"/>
        <v>0</v>
      </c>
      <c r="EV144" s="54">
        <f t="shared" si="334"/>
        <v>0</v>
      </c>
      <c r="EW144" s="54">
        <f t="shared" si="334"/>
        <v>0</v>
      </c>
      <c r="EX144" s="54">
        <f t="shared" ref="EX144:HI144" si="335">SUM(EM137:EX143)*EX$132</f>
        <v>0</v>
      </c>
      <c r="EY144" s="54">
        <f t="shared" si="335"/>
        <v>0</v>
      </c>
      <c r="EZ144" s="54">
        <f t="shared" si="335"/>
        <v>0</v>
      </c>
      <c r="FA144" s="54">
        <f t="shared" si="335"/>
        <v>0</v>
      </c>
      <c r="FB144" s="54">
        <f t="shared" si="335"/>
        <v>0</v>
      </c>
      <c r="FC144" s="54">
        <f t="shared" si="335"/>
        <v>0</v>
      </c>
      <c r="FD144" s="54">
        <f t="shared" si="335"/>
        <v>0</v>
      </c>
      <c r="FE144" s="54">
        <f t="shared" si="335"/>
        <v>0</v>
      </c>
      <c r="FF144" s="54">
        <f t="shared" si="335"/>
        <v>0</v>
      </c>
      <c r="FG144" s="54">
        <f t="shared" si="335"/>
        <v>0</v>
      </c>
      <c r="FH144" s="54">
        <f t="shared" si="335"/>
        <v>0</v>
      </c>
      <c r="FI144" s="54">
        <f t="shared" si="335"/>
        <v>0</v>
      </c>
      <c r="FJ144" s="54">
        <f t="shared" si="335"/>
        <v>0</v>
      </c>
      <c r="FK144" s="54">
        <f t="shared" si="335"/>
        <v>0</v>
      </c>
      <c r="FL144" s="54">
        <f t="shared" si="335"/>
        <v>0</v>
      </c>
      <c r="FM144" s="54">
        <f t="shared" si="335"/>
        <v>0</v>
      </c>
      <c r="FN144" s="54">
        <f t="shared" si="335"/>
        <v>0</v>
      </c>
      <c r="FO144" s="54">
        <f t="shared" si="335"/>
        <v>0</v>
      </c>
      <c r="FP144" s="54">
        <f t="shared" si="335"/>
        <v>0</v>
      </c>
      <c r="FQ144" s="54">
        <f t="shared" si="335"/>
        <v>0</v>
      </c>
      <c r="FR144" s="54">
        <f t="shared" si="335"/>
        <v>0</v>
      </c>
      <c r="FS144" s="54">
        <f t="shared" si="335"/>
        <v>0</v>
      </c>
      <c r="FT144" s="54">
        <f t="shared" si="335"/>
        <v>0</v>
      </c>
      <c r="FU144" s="54">
        <f t="shared" si="335"/>
        <v>0</v>
      </c>
      <c r="FV144" s="54">
        <f t="shared" si="335"/>
        <v>0</v>
      </c>
      <c r="FW144" s="54">
        <f t="shared" si="335"/>
        <v>0</v>
      </c>
      <c r="FX144" s="54">
        <f t="shared" si="335"/>
        <v>0</v>
      </c>
      <c r="FY144" s="54">
        <f t="shared" si="335"/>
        <v>0</v>
      </c>
      <c r="FZ144" s="54">
        <f t="shared" si="335"/>
        <v>0</v>
      </c>
      <c r="GA144" s="54">
        <f t="shared" si="335"/>
        <v>0</v>
      </c>
      <c r="GB144" s="54">
        <f t="shared" si="335"/>
        <v>0</v>
      </c>
      <c r="GC144" s="54">
        <f t="shared" si="335"/>
        <v>0</v>
      </c>
      <c r="GD144" s="54">
        <f t="shared" si="335"/>
        <v>0</v>
      </c>
      <c r="GE144" s="54">
        <f t="shared" si="335"/>
        <v>0</v>
      </c>
      <c r="GF144" s="54">
        <f t="shared" si="335"/>
        <v>0</v>
      </c>
      <c r="GG144" s="54">
        <f t="shared" si="335"/>
        <v>0</v>
      </c>
      <c r="GH144" s="54">
        <f t="shared" si="335"/>
        <v>0</v>
      </c>
      <c r="GI144" s="54">
        <f t="shared" si="335"/>
        <v>0</v>
      </c>
      <c r="GJ144" s="54">
        <f t="shared" si="335"/>
        <v>0</v>
      </c>
      <c r="GK144" s="54">
        <f t="shared" si="335"/>
        <v>0</v>
      </c>
      <c r="GL144" s="54">
        <f t="shared" si="335"/>
        <v>0</v>
      </c>
      <c r="GM144" s="54">
        <f t="shared" si="335"/>
        <v>0</v>
      </c>
      <c r="GN144" s="54">
        <f t="shared" si="335"/>
        <v>0</v>
      </c>
      <c r="GO144" s="54">
        <f t="shared" si="335"/>
        <v>0</v>
      </c>
      <c r="GP144" s="54">
        <f t="shared" si="335"/>
        <v>0</v>
      </c>
      <c r="GQ144" s="54">
        <f t="shared" si="335"/>
        <v>0</v>
      </c>
      <c r="GR144" s="54">
        <f t="shared" si="335"/>
        <v>0</v>
      </c>
      <c r="GS144" s="54">
        <f t="shared" si="335"/>
        <v>0</v>
      </c>
      <c r="GT144" s="54">
        <f t="shared" si="335"/>
        <v>0</v>
      </c>
      <c r="GU144" s="54">
        <f t="shared" si="335"/>
        <v>0</v>
      </c>
      <c r="GV144" s="54">
        <f t="shared" si="335"/>
        <v>0</v>
      </c>
      <c r="GW144" s="54">
        <f t="shared" si="335"/>
        <v>0</v>
      </c>
      <c r="GX144" s="54">
        <f t="shared" si="335"/>
        <v>0</v>
      </c>
      <c r="GY144" s="54">
        <f t="shared" si="335"/>
        <v>0</v>
      </c>
      <c r="GZ144" s="54">
        <f t="shared" si="335"/>
        <v>0</v>
      </c>
      <c r="HA144" s="54">
        <f t="shared" si="335"/>
        <v>0</v>
      </c>
      <c r="HB144" s="54">
        <f t="shared" si="335"/>
        <v>0</v>
      </c>
      <c r="HC144" s="54">
        <f t="shared" si="335"/>
        <v>0</v>
      </c>
      <c r="HD144" s="54">
        <f t="shared" si="335"/>
        <v>0</v>
      </c>
      <c r="HE144" s="54">
        <f t="shared" si="335"/>
        <v>0</v>
      </c>
      <c r="HF144" s="54">
        <f t="shared" si="335"/>
        <v>0</v>
      </c>
      <c r="HG144" s="54">
        <f t="shared" si="335"/>
        <v>0</v>
      </c>
      <c r="HH144" s="54">
        <f t="shared" si="335"/>
        <v>0</v>
      </c>
      <c r="HI144" s="54">
        <f t="shared" si="335"/>
        <v>0</v>
      </c>
      <c r="HJ144" s="54">
        <f t="shared" ref="HJ144:JU144" si="336">SUM(GY137:HJ143)*HJ$132</f>
        <v>0</v>
      </c>
      <c r="HK144" s="54">
        <f t="shared" si="336"/>
        <v>0</v>
      </c>
      <c r="HL144" s="54">
        <f t="shared" si="336"/>
        <v>0</v>
      </c>
      <c r="HM144" s="54">
        <f t="shared" si="336"/>
        <v>0</v>
      </c>
      <c r="HN144" s="54">
        <f t="shared" si="336"/>
        <v>0</v>
      </c>
      <c r="HO144" s="54">
        <f t="shared" si="336"/>
        <v>0</v>
      </c>
      <c r="HP144" s="54">
        <f t="shared" si="336"/>
        <v>0</v>
      </c>
      <c r="HQ144" s="54">
        <f t="shared" si="336"/>
        <v>0</v>
      </c>
      <c r="HR144" s="54">
        <f t="shared" si="336"/>
        <v>0</v>
      </c>
      <c r="HS144" s="54">
        <f t="shared" si="336"/>
        <v>0</v>
      </c>
      <c r="HT144" s="54">
        <f t="shared" si="336"/>
        <v>0</v>
      </c>
      <c r="HU144" s="54">
        <f t="shared" si="336"/>
        <v>0</v>
      </c>
      <c r="HV144" s="54">
        <f t="shared" si="336"/>
        <v>0</v>
      </c>
      <c r="HW144" s="54">
        <f t="shared" si="336"/>
        <v>0</v>
      </c>
      <c r="HX144" s="54">
        <f t="shared" si="336"/>
        <v>0</v>
      </c>
      <c r="HY144" s="54">
        <f t="shared" si="336"/>
        <v>0</v>
      </c>
      <c r="HZ144" s="54">
        <f t="shared" si="336"/>
        <v>0</v>
      </c>
      <c r="IA144" s="54">
        <f t="shared" si="336"/>
        <v>0</v>
      </c>
      <c r="IB144" s="54">
        <f t="shared" si="336"/>
        <v>0</v>
      </c>
      <c r="IC144" s="54">
        <f t="shared" si="336"/>
        <v>0</v>
      </c>
      <c r="ID144" s="54">
        <f t="shared" si="336"/>
        <v>0</v>
      </c>
      <c r="IE144" s="54">
        <f t="shared" si="336"/>
        <v>0</v>
      </c>
      <c r="IF144" s="54">
        <f t="shared" si="336"/>
        <v>0</v>
      </c>
      <c r="IG144" s="54">
        <f t="shared" si="336"/>
        <v>0</v>
      </c>
      <c r="IH144" s="54">
        <f t="shared" si="336"/>
        <v>0</v>
      </c>
      <c r="II144" s="54">
        <f t="shared" si="336"/>
        <v>0</v>
      </c>
      <c r="IJ144" s="54">
        <f t="shared" si="336"/>
        <v>0</v>
      </c>
      <c r="IK144" s="54">
        <f t="shared" si="336"/>
        <v>0</v>
      </c>
      <c r="IL144" s="54">
        <f t="shared" si="336"/>
        <v>0</v>
      </c>
      <c r="IM144" s="54">
        <f t="shared" si="336"/>
        <v>0</v>
      </c>
      <c r="IN144" s="54">
        <f t="shared" si="336"/>
        <v>0</v>
      </c>
      <c r="IO144" s="54">
        <f t="shared" si="336"/>
        <v>0</v>
      </c>
      <c r="IP144" s="54">
        <f t="shared" si="336"/>
        <v>0</v>
      </c>
      <c r="IQ144" s="54">
        <f t="shared" si="336"/>
        <v>0</v>
      </c>
      <c r="IR144" s="54">
        <f t="shared" si="336"/>
        <v>0</v>
      </c>
      <c r="IS144" s="54">
        <f t="shared" si="336"/>
        <v>0</v>
      </c>
      <c r="IT144" s="54">
        <f t="shared" si="336"/>
        <v>0</v>
      </c>
      <c r="IU144" s="54">
        <f t="shared" si="336"/>
        <v>0</v>
      </c>
      <c r="IV144" s="54">
        <f t="shared" si="336"/>
        <v>0</v>
      </c>
      <c r="IW144" s="54">
        <f t="shared" si="336"/>
        <v>0</v>
      </c>
      <c r="IX144" s="54">
        <f t="shared" si="336"/>
        <v>0</v>
      </c>
      <c r="IY144" s="54">
        <f t="shared" si="336"/>
        <v>0</v>
      </c>
      <c r="IZ144" s="54">
        <f t="shared" si="336"/>
        <v>0</v>
      </c>
      <c r="JA144" s="54">
        <f t="shared" si="336"/>
        <v>0</v>
      </c>
      <c r="JB144" s="54">
        <f t="shared" si="336"/>
        <v>0</v>
      </c>
      <c r="JC144" s="54">
        <f t="shared" si="336"/>
        <v>0</v>
      </c>
      <c r="JD144" s="54">
        <f t="shared" si="336"/>
        <v>0</v>
      </c>
      <c r="JE144" s="54">
        <f t="shared" si="336"/>
        <v>0</v>
      </c>
      <c r="JF144" s="54">
        <f t="shared" si="336"/>
        <v>0</v>
      </c>
      <c r="JG144" s="54">
        <f t="shared" si="336"/>
        <v>0</v>
      </c>
      <c r="JH144" s="54">
        <f t="shared" si="336"/>
        <v>0</v>
      </c>
      <c r="JI144" s="54">
        <f t="shared" si="336"/>
        <v>0</v>
      </c>
      <c r="JJ144" s="54">
        <f t="shared" si="336"/>
        <v>0</v>
      </c>
      <c r="JK144" s="54">
        <f t="shared" si="336"/>
        <v>0</v>
      </c>
      <c r="JL144" s="54">
        <f t="shared" si="336"/>
        <v>0</v>
      </c>
      <c r="JM144" s="54">
        <f t="shared" si="336"/>
        <v>0</v>
      </c>
      <c r="JN144" s="54">
        <f t="shared" si="336"/>
        <v>0</v>
      </c>
      <c r="JO144" s="54">
        <f t="shared" si="336"/>
        <v>0</v>
      </c>
      <c r="JP144" s="54">
        <f t="shared" si="336"/>
        <v>0</v>
      </c>
      <c r="JQ144" s="54">
        <f t="shared" si="336"/>
        <v>0</v>
      </c>
      <c r="JR144" s="54">
        <f t="shared" si="336"/>
        <v>0</v>
      </c>
      <c r="JS144" s="54">
        <f t="shared" si="336"/>
        <v>0</v>
      </c>
      <c r="JT144" s="54">
        <f t="shared" si="336"/>
        <v>0</v>
      </c>
      <c r="JU144" s="54">
        <f t="shared" si="336"/>
        <v>0</v>
      </c>
      <c r="JV144" s="54">
        <f t="shared" ref="JV144:KI144" si="337">SUM(JK137:JV143)*JV$132</f>
        <v>0</v>
      </c>
      <c r="JW144" s="54">
        <f t="shared" si="337"/>
        <v>0</v>
      </c>
      <c r="JX144" s="54">
        <f t="shared" si="337"/>
        <v>0</v>
      </c>
      <c r="JY144" s="54">
        <f t="shared" si="337"/>
        <v>0</v>
      </c>
      <c r="JZ144" s="54">
        <f t="shared" si="337"/>
        <v>0</v>
      </c>
      <c r="KA144" s="54">
        <f t="shared" si="337"/>
        <v>0</v>
      </c>
      <c r="KB144" s="54">
        <f t="shared" si="337"/>
        <v>0</v>
      </c>
      <c r="KC144" s="54">
        <f t="shared" si="337"/>
        <v>0</v>
      </c>
      <c r="KD144" s="54">
        <f t="shared" si="337"/>
        <v>0</v>
      </c>
      <c r="KE144" s="54">
        <f t="shared" si="337"/>
        <v>0</v>
      </c>
      <c r="KF144" s="54">
        <f t="shared" si="337"/>
        <v>0</v>
      </c>
      <c r="KG144" s="54">
        <f t="shared" si="337"/>
        <v>0</v>
      </c>
      <c r="KH144" s="54">
        <f t="shared" si="337"/>
        <v>0</v>
      </c>
      <c r="KI144" s="54">
        <f t="shared" si="337"/>
        <v>0</v>
      </c>
      <c r="KJ144" s="1"/>
    </row>
    <row r="145" spans="11:296" x14ac:dyDescent="0.35">
      <c r="KJ145" s="1"/>
    </row>
    <row r="146" spans="11:296" x14ac:dyDescent="0.35">
      <c r="L146" s="22" t="s">
        <v>86</v>
      </c>
      <c r="KJ146" s="1"/>
    </row>
    <row r="147" spans="11:296" x14ac:dyDescent="0.35">
      <c r="M147" s="15" t="str">
        <f>M37</f>
        <v>Cash EBITDA</v>
      </c>
      <c r="N147" s="48">
        <f t="shared" ref="N147:BY147" si="338">N37</f>
        <v>77.281217590757379</v>
      </c>
      <c r="O147" s="48">
        <f t="shared" si="338"/>
        <v>69.962567869084012</v>
      </c>
      <c r="P147" s="48">
        <f t="shared" si="338"/>
        <v>94.173555838041963</v>
      </c>
      <c r="Q147" s="48">
        <f t="shared" si="338"/>
        <v>128.24619413838747</v>
      </c>
      <c r="R147" s="48">
        <f t="shared" si="338"/>
        <v>68.120138605687032</v>
      </c>
      <c r="S147" s="48">
        <f t="shared" si="338"/>
        <v>62.489567631413145</v>
      </c>
      <c r="T147" s="48">
        <f t="shared" si="338"/>
        <v>78.684712652880805</v>
      </c>
      <c r="U147" s="48">
        <f t="shared" si="338"/>
        <v>86.948294359908346</v>
      </c>
      <c r="V147" s="48">
        <f t="shared" si="338"/>
        <v>133.82362173783869</v>
      </c>
      <c r="W147" s="48">
        <f t="shared" si="338"/>
        <v>137.61581301750581</v>
      </c>
      <c r="X147" s="48">
        <f t="shared" si="338"/>
        <v>120.30351627032113</v>
      </c>
      <c r="Y147" s="48">
        <f t="shared" si="338"/>
        <v>102.41919596661612</v>
      </c>
      <c r="Z147" s="48">
        <f t="shared" si="338"/>
        <v>45.804089076305893</v>
      </c>
      <c r="AA147" s="48">
        <f t="shared" si="338"/>
        <v>130.34239281602632</v>
      </c>
      <c r="AB147" s="48">
        <f t="shared" si="338"/>
        <v>134.44795566002529</v>
      </c>
      <c r="AC147" s="48">
        <f t="shared" si="338"/>
        <v>131.96579831628085</v>
      </c>
      <c r="AD147" s="48">
        <f t="shared" si="338"/>
        <v>114.59122734235974</v>
      </c>
      <c r="AE147" s="48">
        <f t="shared" si="338"/>
        <v>81.350294241264763</v>
      </c>
      <c r="AF147" s="48">
        <f t="shared" si="338"/>
        <v>66.193925736622219</v>
      </c>
      <c r="AG147" s="48">
        <f t="shared" si="338"/>
        <v>107.7775960085652</v>
      </c>
      <c r="AH147" s="48">
        <f t="shared" si="338"/>
        <v>46.412534727100457</v>
      </c>
      <c r="AI147" s="48">
        <f t="shared" si="338"/>
        <v>109.29105949126028</v>
      </c>
      <c r="AJ147" s="48">
        <f t="shared" si="338"/>
        <v>52.123916114884842</v>
      </c>
      <c r="AK147" s="48">
        <f t="shared" si="338"/>
        <v>105.29673418842502</v>
      </c>
      <c r="AL147" s="48">
        <f t="shared" si="338"/>
        <v>55.602054734961769</v>
      </c>
      <c r="AM147" s="48">
        <f t="shared" si="338"/>
        <v>109.11572831791545</v>
      </c>
      <c r="AN147" s="48">
        <f t="shared" si="338"/>
        <v>106.60294685919149</v>
      </c>
      <c r="AO147" s="48">
        <f t="shared" si="338"/>
        <v>61.177813692254283</v>
      </c>
      <c r="AP147" s="48">
        <f t="shared" si="338"/>
        <v>66.239673120503582</v>
      </c>
      <c r="AQ147" s="48">
        <f t="shared" si="338"/>
        <v>62.721408744178696</v>
      </c>
      <c r="AR147" s="48">
        <f t="shared" si="338"/>
        <v>46.502851998336013</v>
      </c>
      <c r="AS147" s="48">
        <f t="shared" si="338"/>
        <v>107.96369350452871</v>
      </c>
      <c r="AT147" s="48">
        <f t="shared" si="338"/>
        <v>82.959236977440881</v>
      </c>
      <c r="AU147" s="48">
        <f t="shared" si="338"/>
        <v>90.511852734269127</v>
      </c>
      <c r="AV147" s="48">
        <f t="shared" si="338"/>
        <v>87.749129187584458</v>
      </c>
      <c r="AW147" s="48">
        <f t="shared" si="338"/>
        <v>113.32994917319434</v>
      </c>
      <c r="AX147" s="48">
        <f t="shared" si="338"/>
        <v>128.66039899178074</v>
      </c>
      <c r="AY147" s="48">
        <f t="shared" si="338"/>
        <v>101.11576249623278</v>
      </c>
      <c r="AZ147" s="48">
        <f t="shared" si="338"/>
        <v>123.24727148280155</v>
      </c>
      <c r="BA147" s="48">
        <f t="shared" si="338"/>
        <v>107.98226517256779</v>
      </c>
      <c r="BB147" s="48">
        <f t="shared" si="338"/>
        <v>135.07313960947221</v>
      </c>
      <c r="BC147" s="48">
        <f t="shared" si="338"/>
        <v>93.689484115881555</v>
      </c>
      <c r="BD147" s="48">
        <f t="shared" si="338"/>
        <v>46.531056891905976</v>
      </c>
      <c r="BE147" s="48">
        <f t="shared" si="338"/>
        <v>115.81832895445834</v>
      </c>
      <c r="BF147" s="48">
        <f t="shared" si="338"/>
        <v>142.3992386422772</v>
      </c>
      <c r="BG147" s="48">
        <f t="shared" si="338"/>
        <v>79.700225575691491</v>
      </c>
      <c r="BH147" s="48">
        <f t="shared" si="338"/>
        <v>103.87275131402578</v>
      </c>
      <c r="BI147" s="48">
        <f t="shared" si="338"/>
        <v>93.592257548996344</v>
      </c>
      <c r="BJ147" s="48">
        <f t="shared" si="338"/>
        <v>123.34081419296851</v>
      </c>
      <c r="BK147" s="48">
        <f t="shared" si="338"/>
        <v>145.13701768532653</v>
      </c>
      <c r="BL147" s="48">
        <f t="shared" si="338"/>
        <v>112.99591488753582</v>
      </c>
      <c r="BM147" s="48">
        <f t="shared" si="338"/>
        <v>67.978508254746743</v>
      </c>
      <c r="BN147" s="48">
        <f t="shared" si="338"/>
        <v>86.091765841695008</v>
      </c>
      <c r="BO147" s="48">
        <f t="shared" si="338"/>
        <v>96.704909651573885</v>
      </c>
      <c r="BP147" s="48">
        <f t="shared" si="338"/>
        <v>82.988226941806445</v>
      </c>
      <c r="BQ147" s="48">
        <f t="shared" si="338"/>
        <v>106.4451189540913</v>
      </c>
      <c r="BR147" s="48">
        <f t="shared" si="338"/>
        <v>117.984178060953</v>
      </c>
      <c r="BS147" s="48">
        <f t="shared" si="338"/>
        <v>64.631417051464865</v>
      </c>
      <c r="BT147" s="48">
        <f t="shared" si="338"/>
        <v>62.935295956800168</v>
      </c>
      <c r="BU147" s="48">
        <f t="shared" si="338"/>
        <v>71.434638469648107</v>
      </c>
      <c r="BV147" s="48">
        <f t="shared" si="338"/>
        <v>74.69900898689346</v>
      </c>
      <c r="BW147" s="48">
        <f t="shared" si="338"/>
        <v>67.905877178105115</v>
      </c>
      <c r="BX147" s="48">
        <f t="shared" si="338"/>
        <v>81.372314654673147</v>
      </c>
      <c r="BY147" s="48">
        <f t="shared" si="338"/>
        <v>128.57221463205815</v>
      </c>
      <c r="BZ147" s="48">
        <f t="shared" ref="BZ147:EK147" si="339">BZ37</f>
        <v>105.08408720461928</v>
      </c>
      <c r="CA147" s="48">
        <f t="shared" si="339"/>
        <v>73.116201315013768</v>
      </c>
      <c r="CB147" s="48">
        <f t="shared" si="339"/>
        <v>86.147473074983623</v>
      </c>
      <c r="CC147" s="48">
        <f t="shared" si="339"/>
        <v>71.304516423625074</v>
      </c>
      <c r="CD147" s="48">
        <f t="shared" si="339"/>
        <v>55.77768303574701</v>
      </c>
      <c r="CE147" s="48">
        <f t="shared" si="339"/>
        <v>55.721345473396291</v>
      </c>
      <c r="CF147" s="48">
        <f t="shared" si="339"/>
        <v>52.13001407463571</v>
      </c>
      <c r="CG147" s="48">
        <f t="shared" si="339"/>
        <v>107.82706387435999</v>
      </c>
      <c r="CH147" s="48">
        <f t="shared" si="339"/>
        <v>68.052329960507649</v>
      </c>
      <c r="CI147" s="48">
        <f t="shared" si="339"/>
        <v>92.256290582510204</v>
      </c>
      <c r="CJ147" s="48">
        <f t="shared" si="339"/>
        <v>140.03773056482234</v>
      </c>
      <c r="CK147" s="48">
        <f t="shared" si="339"/>
        <v>106.37307369982577</v>
      </c>
      <c r="CL147" s="48">
        <f t="shared" si="339"/>
        <v>106.47358154256921</v>
      </c>
      <c r="CM147" s="48">
        <f t="shared" si="339"/>
        <v>105.12191145767378</v>
      </c>
      <c r="CN147" s="48">
        <f t="shared" si="339"/>
        <v>117.06544720587888</v>
      </c>
      <c r="CO147" s="48">
        <f t="shared" si="339"/>
        <v>67.934604033501628</v>
      </c>
      <c r="CP147" s="48">
        <f t="shared" si="339"/>
        <v>122.91849537214546</v>
      </c>
      <c r="CQ147" s="48">
        <f t="shared" si="339"/>
        <v>137.01538027465392</v>
      </c>
      <c r="CR147" s="48">
        <f t="shared" si="339"/>
        <v>146.64114722329131</v>
      </c>
      <c r="CS147" s="48">
        <f t="shared" si="339"/>
        <v>110.47516044171604</v>
      </c>
      <c r="CT147" s="48">
        <f t="shared" si="339"/>
        <v>123.08920646053932</v>
      </c>
      <c r="CU147" s="48">
        <f t="shared" si="339"/>
        <v>137.05746597633663</v>
      </c>
      <c r="CV147" s="48">
        <f t="shared" si="339"/>
        <v>134.20817713127755</v>
      </c>
      <c r="CW147" s="48">
        <f t="shared" si="339"/>
        <v>53.95928996427503</v>
      </c>
      <c r="CX147" s="48">
        <f t="shared" si="339"/>
        <v>103.95508187635019</v>
      </c>
      <c r="CY147" s="48">
        <f t="shared" si="339"/>
        <v>68.062778700363651</v>
      </c>
      <c r="CZ147" s="48">
        <f t="shared" si="339"/>
        <v>123.0322014645149</v>
      </c>
      <c r="DA147" s="48">
        <f t="shared" si="339"/>
        <v>73.120752829558683</v>
      </c>
      <c r="DB147" s="48">
        <f t="shared" si="339"/>
        <v>44.559160030877173</v>
      </c>
      <c r="DC147" s="48">
        <f t="shared" si="339"/>
        <v>134.29098001247354</v>
      </c>
      <c r="DD147" s="48">
        <f t="shared" si="339"/>
        <v>44.507518311647935</v>
      </c>
      <c r="DE147" s="48">
        <f t="shared" si="339"/>
        <v>129.76487992643428</v>
      </c>
      <c r="DF147" s="48">
        <f t="shared" si="339"/>
        <v>136.01093640665226</v>
      </c>
      <c r="DG147" s="48">
        <f t="shared" si="339"/>
        <v>104.99813168638025</v>
      </c>
      <c r="DH147" s="48">
        <f t="shared" si="339"/>
        <v>86.145020634781261</v>
      </c>
      <c r="DI147" s="48">
        <f t="shared" si="339"/>
        <v>127.42468306222344</v>
      </c>
      <c r="DJ147" s="48">
        <f t="shared" si="339"/>
        <v>137.39180137997258</v>
      </c>
      <c r="DK147" s="48">
        <f t="shared" si="339"/>
        <v>123.0216782017383</v>
      </c>
      <c r="DL147" s="48">
        <f t="shared" si="339"/>
        <v>97.957659972764219</v>
      </c>
      <c r="DM147" s="48">
        <f t="shared" si="339"/>
        <v>93.723312106203707</v>
      </c>
      <c r="DN147" s="48">
        <f t="shared" si="339"/>
        <v>118.22357269773565</v>
      </c>
      <c r="DO147" s="48">
        <f t="shared" si="339"/>
        <v>139.31128160262895</v>
      </c>
      <c r="DP147" s="48">
        <f t="shared" si="339"/>
        <v>142.19396366702267</v>
      </c>
      <c r="DQ147" s="48">
        <f t="shared" si="339"/>
        <v>121.97742175526317</v>
      </c>
      <c r="DR147" s="48">
        <f t="shared" si="339"/>
        <v>103.7258422719044</v>
      </c>
      <c r="DS147" s="48">
        <f t="shared" si="339"/>
        <v>146.47260924081402</v>
      </c>
      <c r="DT147" s="48">
        <f t="shared" si="339"/>
        <v>109.43740693793856</v>
      </c>
      <c r="DU147" s="48">
        <f t="shared" si="339"/>
        <v>66.207070170672523</v>
      </c>
      <c r="DV147" s="48">
        <f t="shared" si="339"/>
        <v>69.734537120367278</v>
      </c>
      <c r="DW147" s="48">
        <f t="shared" si="339"/>
        <v>130.10168311017642</v>
      </c>
      <c r="DX147" s="48">
        <f t="shared" si="339"/>
        <v>145.97492358287062</v>
      </c>
      <c r="DY147" s="48">
        <f t="shared" si="339"/>
        <v>77.961488680636904</v>
      </c>
      <c r="DZ147" s="48">
        <f t="shared" si="339"/>
        <v>89.314994328079194</v>
      </c>
      <c r="EA147" s="48">
        <f t="shared" si="339"/>
        <v>90.65612377778713</v>
      </c>
      <c r="EB147" s="48">
        <f t="shared" si="339"/>
        <v>134.21122730978209</v>
      </c>
      <c r="EC147" s="48">
        <f t="shared" si="339"/>
        <v>123.22225073472029</v>
      </c>
      <c r="ED147" s="48">
        <f t="shared" si="339"/>
        <v>102.41964249802454</v>
      </c>
      <c r="EE147" s="48">
        <f t="shared" si="339"/>
        <v>126.65061527035695</v>
      </c>
      <c r="EF147" s="48">
        <f t="shared" si="339"/>
        <v>71.419103306298027</v>
      </c>
      <c r="EG147" s="48">
        <f t="shared" si="339"/>
        <v>71.573280139542746</v>
      </c>
      <c r="EH147" s="48">
        <f t="shared" si="339"/>
        <v>109.08223615172612</v>
      </c>
      <c r="EI147" s="48">
        <f t="shared" si="339"/>
        <v>78.051628541774505</v>
      </c>
      <c r="EJ147" s="48">
        <f t="shared" si="339"/>
        <v>55.68004830479255</v>
      </c>
      <c r="EK147" s="48">
        <f t="shared" si="339"/>
        <v>74.69977325175968</v>
      </c>
      <c r="EL147" s="48">
        <f t="shared" ref="EL147:GW147" si="340">EL37</f>
        <v>103.66167741041743</v>
      </c>
      <c r="EM147" s="48">
        <f t="shared" si="340"/>
        <v>57.500683574552745</v>
      </c>
      <c r="EN147" s="48">
        <f t="shared" si="340"/>
        <v>115.65677592026861</v>
      </c>
      <c r="EO147" s="48">
        <f t="shared" si="340"/>
        <v>103.91725627961492</v>
      </c>
      <c r="EP147" s="48">
        <f t="shared" si="340"/>
        <v>52.11515342283699</v>
      </c>
      <c r="EQ147" s="48">
        <f t="shared" si="340"/>
        <v>50.131631394392265</v>
      </c>
      <c r="ER147" s="48">
        <f t="shared" si="340"/>
        <v>109.01255735931439</v>
      </c>
      <c r="ES147" s="48">
        <f t="shared" si="340"/>
        <v>81.394107217761572</v>
      </c>
      <c r="ET147" s="48">
        <f t="shared" si="340"/>
        <v>137.03297628524209</v>
      </c>
      <c r="EU147" s="48">
        <f t="shared" si="340"/>
        <v>140.52637932970754</v>
      </c>
      <c r="EV147" s="48">
        <f t="shared" si="340"/>
        <v>138.5649837540299</v>
      </c>
      <c r="EW147" s="48">
        <f t="shared" si="340"/>
        <v>146.31844771361111</v>
      </c>
      <c r="EX147" s="48">
        <f t="shared" si="340"/>
        <v>85.979990625744918</v>
      </c>
      <c r="EY147" s="48">
        <f t="shared" si="340"/>
        <v>113.39869070121952</v>
      </c>
      <c r="EZ147" s="48">
        <f t="shared" si="340"/>
        <v>96.459426247310219</v>
      </c>
      <c r="FA147" s="48">
        <f t="shared" si="340"/>
        <v>142.37873381211074</v>
      </c>
      <c r="FB147" s="48">
        <f t="shared" si="340"/>
        <v>55.690357507699048</v>
      </c>
      <c r="FC147" s="48">
        <f t="shared" si="340"/>
        <v>57.528502609786244</v>
      </c>
      <c r="FD147" s="48">
        <f t="shared" si="340"/>
        <v>142.77303913954665</v>
      </c>
      <c r="FE147" s="48">
        <f t="shared" si="340"/>
        <v>136.4758627925379</v>
      </c>
      <c r="FF147" s="48">
        <f t="shared" si="340"/>
        <v>128.99603113805901</v>
      </c>
      <c r="FG147" s="48">
        <f t="shared" si="340"/>
        <v>87.485255116023495</v>
      </c>
      <c r="FH147" s="48">
        <f t="shared" si="340"/>
        <v>59.268058385017248</v>
      </c>
      <c r="FI147" s="48">
        <f t="shared" si="340"/>
        <v>71.351163044966995</v>
      </c>
      <c r="FJ147" s="48">
        <f t="shared" si="340"/>
        <v>133.3934343958588</v>
      </c>
      <c r="FK147" s="48">
        <f t="shared" si="340"/>
        <v>136.1002340238276</v>
      </c>
      <c r="FL147" s="48">
        <f t="shared" si="340"/>
        <v>57.598003599243093</v>
      </c>
      <c r="FM147" s="48">
        <f t="shared" si="340"/>
        <v>116.85897188379337</v>
      </c>
      <c r="FN147" s="48">
        <f t="shared" si="340"/>
        <v>137.20203374500085</v>
      </c>
      <c r="FO147" s="48">
        <f t="shared" si="340"/>
        <v>102.25349508311228</v>
      </c>
      <c r="FP147" s="48">
        <f t="shared" si="340"/>
        <v>143.73845078030237</v>
      </c>
      <c r="FQ147" s="48">
        <f t="shared" si="340"/>
        <v>111.89314254654499</v>
      </c>
      <c r="FR147" s="48">
        <f t="shared" si="340"/>
        <v>99.509078338834456</v>
      </c>
      <c r="FS147" s="48">
        <f t="shared" si="340"/>
        <v>133.01758432787588</v>
      </c>
      <c r="FT147" s="48">
        <f t="shared" si="340"/>
        <v>144.19742120777835</v>
      </c>
      <c r="FU147" s="48">
        <f t="shared" si="340"/>
        <v>111.743726567761</v>
      </c>
      <c r="FV147" s="48">
        <f t="shared" si="340"/>
        <v>126.38503980193661</v>
      </c>
      <c r="FW147" s="48">
        <f t="shared" si="340"/>
        <v>114.53881396524423</v>
      </c>
      <c r="FX147" s="48">
        <f t="shared" si="340"/>
        <v>141.05057100852275</v>
      </c>
      <c r="FY147" s="48">
        <f t="shared" si="340"/>
        <v>134.23498988647995</v>
      </c>
      <c r="FZ147" s="48">
        <f t="shared" si="340"/>
        <v>91.997271985957866</v>
      </c>
      <c r="GA147" s="48">
        <f t="shared" si="340"/>
        <v>129.68910329573879</v>
      </c>
      <c r="GB147" s="48">
        <f t="shared" si="340"/>
        <v>98.12692181267488</v>
      </c>
      <c r="GC147" s="48">
        <f t="shared" si="340"/>
        <v>71.445891003633079</v>
      </c>
      <c r="GD147" s="48">
        <f t="shared" si="340"/>
        <v>50.171172817821244</v>
      </c>
      <c r="GE147" s="48">
        <f t="shared" si="340"/>
        <v>46.508471781927184</v>
      </c>
      <c r="GF147" s="48">
        <f t="shared" si="340"/>
        <v>50.259802606967639</v>
      </c>
      <c r="GG147" s="48">
        <f t="shared" si="340"/>
        <v>134.16173318478928</v>
      </c>
      <c r="GH147" s="48">
        <f t="shared" si="340"/>
        <v>62.793500030642257</v>
      </c>
      <c r="GI147" s="48">
        <f t="shared" si="340"/>
        <v>114.40462997352796</v>
      </c>
      <c r="GJ147" s="48">
        <f t="shared" si="340"/>
        <v>67.91161689852774</v>
      </c>
      <c r="GK147" s="48">
        <f t="shared" si="340"/>
        <v>89.199549039174201</v>
      </c>
      <c r="GL147" s="48">
        <f t="shared" si="340"/>
        <v>92.047562393922647</v>
      </c>
      <c r="GM147" s="48">
        <f t="shared" si="340"/>
        <v>69.649474428475514</v>
      </c>
      <c r="GN147" s="48">
        <f t="shared" si="340"/>
        <v>126.60849086841856</v>
      </c>
      <c r="GO147" s="48">
        <f t="shared" si="340"/>
        <v>146.43149200785226</v>
      </c>
      <c r="GP147" s="48">
        <f t="shared" si="340"/>
        <v>119.50974213231778</v>
      </c>
      <c r="GQ147" s="48">
        <f t="shared" si="340"/>
        <v>129.7704247293513</v>
      </c>
      <c r="GR147" s="48">
        <f t="shared" si="340"/>
        <v>73.069197817794389</v>
      </c>
      <c r="GS147" s="48">
        <f t="shared" si="340"/>
        <v>89.004592309221962</v>
      </c>
      <c r="GT147" s="48">
        <f t="shared" si="340"/>
        <v>76.402726896828739</v>
      </c>
      <c r="GU147" s="48">
        <f t="shared" si="340"/>
        <v>89.28190089251801</v>
      </c>
      <c r="GV147" s="48">
        <f t="shared" si="340"/>
        <v>116.82415869760914</v>
      </c>
      <c r="GW147" s="48">
        <f t="shared" si="340"/>
        <v>79.548855893191174</v>
      </c>
      <c r="GX147" s="48">
        <f t="shared" ref="GX147:JI147" si="341">GX37</f>
        <v>107.77557005042758</v>
      </c>
      <c r="GY147" s="48">
        <f t="shared" si="341"/>
        <v>61.159065197106166</v>
      </c>
      <c r="GZ147" s="48">
        <f t="shared" si="341"/>
        <v>59.353078477855455</v>
      </c>
      <c r="HA147" s="48">
        <f t="shared" si="341"/>
        <v>81.350340237762467</v>
      </c>
      <c r="HB147" s="48">
        <f t="shared" si="341"/>
        <v>134.3521023738632</v>
      </c>
      <c r="HC147" s="48">
        <f t="shared" si="341"/>
        <v>46.399270460152522</v>
      </c>
      <c r="HD147" s="48">
        <f t="shared" si="341"/>
        <v>129.71188890935761</v>
      </c>
      <c r="HE147" s="48">
        <f t="shared" si="341"/>
        <v>135.11557428051677</v>
      </c>
      <c r="HF147" s="48">
        <f t="shared" si="341"/>
        <v>124.16373699533727</v>
      </c>
      <c r="HG147" s="48">
        <f t="shared" si="341"/>
        <v>139.46738506698185</v>
      </c>
      <c r="HH147" s="48">
        <f t="shared" si="341"/>
        <v>125.44090945942034</v>
      </c>
      <c r="HI147" s="48">
        <f t="shared" si="341"/>
        <v>69.725240456050244</v>
      </c>
      <c r="HJ147" s="48">
        <f t="shared" si="341"/>
        <v>126.68792354904252</v>
      </c>
      <c r="HK147" s="48">
        <f t="shared" si="341"/>
        <v>62.849732365078886</v>
      </c>
      <c r="HL147" s="48">
        <f t="shared" si="341"/>
        <v>141.2180747553742</v>
      </c>
      <c r="HM147" s="48">
        <f t="shared" si="341"/>
        <v>133.2511808724179</v>
      </c>
      <c r="HN147" s="48">
        <f t="shared" si="341"/>
        <v>126.53738714992065</v>
      </c>
      <c r="HO147" s="48">
        <f t="shared" si="341"/>
        <v>126.36860314385657</v>
      </c>
      <c r="HP147" s="48">
        <f t="shared" si="341"/>
        <v>64.50153290912229</v>
      </c>
      <c r="HQ147" s="48">
        <f t="shared" si="341"/>
        <v>134.47206494898205</v>
      </c>
      <c r="HR147" s="48">
        <f t="shared" si="341"/>
        <v>78.020482955371193</v>
      </c>
      <c r="HS147" s="48">
        <f t="shared" si="341"/>
        <v>51.99876211194141</v>
      </c>
      <c r="HT147" s="48">
        <f t="shared" si="341"/>
        <v>140.98703610134066</v>
      </c>
      <c r="HU147" s="48">
        <f t="shared" si="341"/>
        <v>62.932110304193763</v>
      </c>
      <c r="HV147" s="48">
        <f t="shared" si="341"/>
        <v>145.76918136209414</v>
      </c>
      <c r="HW147" s="48">
        <f t="shared" si="341"/>
        <v>141.35691885053544</v>
      </c>
      <c r="HX147" s="48">
        <f t="shared" si="341"/>
        <v>110.33438185110212</v>
      </c>
      <c r="HY147" s="48">
        <f t="shared" si="341"/>
        <v>143.31046611782941</v>
      </c>
      <c r="HZ147" s="48">
        <f t="shared" si="341"/>
        <v>52.012323724163302</v>
      </c>
      <c r="IA147" s="48">
        <f t="shared" si="341"/>
        <v>62.888516399668625</v>
      </c>
      <c r="IB147" s="48">
        <f t="shared" si="341"/>
        <v>99.328221249592318</v>
      </c>
      <c r="IC147" s="48">
        <f t="shared" si="341"/>
        <v>76.472725911586906</v>
      </c>
      <c r="ID147" s="48">
        <f t="shared" si="341"/>
        <v>144.20765626351491</v>
      </c>
      <c r="IE147" s="48">
        <f t="shared" si="341"/>
        <v>96.542721505676226</v>
      </c>
      <c r="IF147" s="48">
        <f t="shared" si="341"/>
        <v>134.41464212413135</v>
      </c>
      <c r="IG147" s="48">
        <f t="shared" si="341"/>
        <v>84.579789690698959</v>
      </c>
      <c r="IH147" s="48">
        <f t="shared" si="341"/>
        <v>136.53716670717947</v>
      </c>
      <c r="II147" s="48">
        <f t="shared" si="341"/>
        <v>118.24497241634026</v>
      </c>
      <c r="IJ147" s="48">
        <f t="shared" si="341"/>
        <v>118.47607065320977</v>
      </c>
      <c r="IK147" s="48">
        <f t="shared" si="341"/>
        <v>77.937223658287536</v>
      </c>
      <c r="IL147" s="48">
        <f t="shared" si="341"/>
        <v>115.5061302608481</v>
      </c>
      <c r="IM147" s="48">
        <f t="shared" si="341"/>
        <v>122.02634334804699</v>
      </c>
      <c r="IN147" s="48">
        <f t="shared" si="341"/>
        <v>121.89511300642276</v>
      </c>
      <c r="IO147" s="48">
        <f t="shared" si="341"/>
        <v>138.96658297578412</v>
      </c>
      <c r="IP147" s="48">
        <f t="shared" si="341"/>
        <v>111.75037395082278</v>
      </c>
      <c r="IQ147" s="48">
        <f t="shared" si="341"/>
        <v>87.475242592654453</v>
      </c>
      <c r="IR147" s="48">
        <f t="shared" si="341"/>
        <v>103.6888209020656</v>
      </c>
      <c r="IS147" s="48">
        <f t="shared" si="341"/>
        <v>89.059752726061831</v>
      </c>
      <c r="IT147" s="48">
        <f t="shared" si="341"/>
        <v>98.141957789003385</v>
      </c>
      <c r="IU147" s="48">
        <f t="shared" si="341"/>
        <v>69.813439503851782</v>
      </c>
      <c r="IV147" s="48">
        <f t="shared" si="341"/>
        <v>109.304153149085</v>
      </c>
      <c r="IW147" s="48">
        <f t="shared" si="341"/>
        <v>146.48351017719258</v>
      </c>
      <c r="IX147" s="48">
        <f t="shared" si="341"/>
        <v>96.74329701049416</v>
      </c>
      <c r="IY147" s="48">
        <f t="shared" si="341"/>
        <v>134.38434133451935</v>
      </c>
      <c r="IZ147" s="48">
        <f t="shared" si="341"/>
        <v>102.46473365753238</v>
      </c>
      <c r="JA147" s="48">
        <f t="shared" si="341"/>
        <v>105.01758772412562</v>
      </c>
      <c r="JB147" s="48">
        <f t="shared" si="341"/>
        <v>53.768604728706663</v>
      </c>
      <c r="JC147" s="48">
        <f t="shared" si="341"/>
        <v>133.4260955463111</v>
      </c>
      <c r="JD147" s="48">
        <f t="shared" si="341"/>
        <v>81.462251823222104</v>
      </c>
      <c r="JE147" s="48">
        <f t="shared" si="341"/>
        <v>81.243515875625349</v>
      </c>
      <c r="JF147" s="48">
        <f t="shared" si="341"/>
        <v>86.103319471017556</v>
      </c>
      <c r="JG147" s="48">
        <f t="shared" si="341"/>
        <v>146.6267295801641</v>
      </c>
      <c r="JH147" s="48">
        <f t="shared" si="341"/>
        <v>62.944622987628371</v>
      </c>
      <c r="JI147" s="48">
        <f t="shared" si="341"/>
        <v>135.08695929276436</v>
      </c>
      <c r="JJ147" s="48">
        <f t="shared" ref="JJ147:KI147" si="342">JJ37</f>
        <v>67.949176826294178</v>
      </c>
      <c r="JK147" s="48">
        <f t="shared" si="342"/>
        <v>59.235223129206368</v>
      </c>
      <c r="JL147" s="48">
        <f t="shared" si="342"/>
        <v>115.93223142847305</v>
      </c>
      <c r="JM147" s="48">
        <f t="shared" si="342"/>
        <v>141.02327868839373</v>
      </c>
      <c r="JN147" s="48">
        <f t="shared" si="342"/>
        <v>53.939212277777692</v>
      </c>
      <c r="JO147" s="48">
        <f t="shared" si="342"/>
        <v>113.36278857519684</v>
      </c>
      <c r="JP147" s="48">
        <f t="shared" si="342"/>
        <v>44.555882524262003</v>
      </c>
      <c r="JQ147" s="48">
        <f t="shared" si="342"/>
        <v>95.026114482793332</v>
      </c>
      <c r="JR147" s="48">
        <f t="shared" si="342"/>
        <v>137.96703606308637</v>
      </c>
      <c r="JS147" s="48">
        <f t="shared" si="342"/>
        <v>66.397926108410815</v>
      </c>
      <c r="JT147" s="48">
        <f t="shared" si="342"/>
        <v>137.56252916697326</v>
      </c>
      <c r="JU147" s="48">
        <f t="shared" si="342"/>
        <v>135.31050430650578</v>
      </c>
      <c r="JV147" s="48">
        <f t="shared" si="342"/>
        <v>66.250805452564066</v>
      </c>
      <c r="JW147" s="48">
        <f t="shared" si="342"/>
        <v>136.0634010213179</v>
      </c>
      <c r="JX147" s="48">
        <f t="shared" si="342"/>
        <v>46.414234370747756</v>
      </c>
      <c r="JY147" s="48">
        <f t="shared" si="342"/>
        <v>136.19100850540255</v>
      </c>
      <c r="JZ147" s="48">
        <f t="shared" si="342"/>
        <v>97.98545260341136</v>
      </c>
      <c r="KA147" s="48">
        <f t="shared" si="342"/>
        <v>59.392114050733532</v>
      </c>
      <c r="KB147" s="48">
        <f t="shared" si="342"/>
        <v>60.968425801909568</v>
      </c>
      <c r="KC147" s="48">
        <f t="shared" si="342"/>
        <v>140.02274368570906</v>
      </c>
      <c r="KD147" s="48">
        <f t="shared" si="342"/>
        <v>143.10012706104536</v>
      </c>
      <c r="KE147" s="48">
        <f t="shared" si="342"/>
        <v>90.560701159405113</v>
      </c>
      <c r="KF147" s="48">
        <f t="shared" si="342"/>
        <v>133.39850611526501</v>
      </c>
      <c r="KG147" s="48">
        <f t="shared" si="342"/>
        <v>110.60724407916086</v>
      </c>
      <c r="KH147" s="48">
        <f t="shared" si="342"/>
        <v>78.079849115921604</v>
      </c>
      <c r="KI147" s="48">
        <f t="shared" si="342"/>
        <v>92.115723103773064</v>
      </c>
      <c r="KJ147" s="1"/>
    </row>
    <row r="148" spans="11:296" x14ac:dyDescent="0.35">
      <c r="M148" s="15" t="str">
        <f>M38</f>
        <v>Capex</v>
      </c>
      <c r="N148" s="48">
        <f t="shared" ref="N148:BY148" si="343">N38</f>
        <v>-1</v>
      </c>
      <c r="O148" s="48">
        <f t="shared" si="343"/>
        <v>-1</v>
      </c>
      <c r="P148" s="48">
        <f t="shared" si="343"/>
        <v>-1</v>
      </c>
      <c r="Q148" s="48">
        <f t="shared" si="343"/>
        <v>-1</v>
      </c>
      <c r="R148" s="48">
        <f t="shared" si="343"/>
        <v>-1</v>
      </c>
      <c r="S148" s="48">
        <f t="shared" si="343"/>
        <v>-1</v>
      </c>
      <c r="T148" s="48">
        <f t="shared" si="343"/>
        <v>-1</v>
      </c>
      <c r="U148" s="48">
        <f t="shared" si="343"/>
        <v>-1</v>
      </c>
      <c r="V148" s="48">
        <f t="shared" si="343"/>
        <v>-1</v>
      </c>
      <c r="W148" s="48">
        <f t="shared" si="343"/>
        <v>-1</v>
      </c>
      <c r="X148" s="48">
        <f t="shared" si="343"/>
        <v>-1</v>
      </c>
      <c r="Y148" s="48">
        <f t="shared" si="343"/>
        <v>-1</v>
      </c>
      <c r="Z148" s="48">
        <f t="shared" si="343"/>
        <v>-1</v>
      </c>
      <c r="AA148" s="48">
        <f t="shared" si="343"/>
        <v>-1</v>
      </c>
      <c r="AB148" s="48">
        <f t="shared" si="343"/>
        <v>-1</v>
      </c>
      <c r="AC148" s="48">
        <f t="shared" si="343"/>
        <v>-1</v>
      </c>
      <c r="AD148" s="48">
        <f t="shared" si="343"/>
        <v>-1</v>
      </c>
      <c r="AE148" s="48">
        <f t="shared" si="343"/>
        <v>-1</v>
      </c>
      <c r="AF148" s="48">
        <f t="shared" si="343"/>
        <v>-1</v>
      </c>
      <c r="AG148" s="48">
        <f t="shared" si="343"/>
        <v>-1</v>
      </c>
      <c r="AH148" s="48">
        <f t="shared" si="343"/>
        <v>-1</v>
      </c>
      <c r="AI148" s="48">
        <f t="shared" si="343"/>
        <v>-1</v>
      </c>
      <c r="AJ148" s="48">
        <f t="shared" si="343"/>
        <v>-1</v>
      </c>
      <c r="AK148" s="48">
        <f t="shared" si="343"/>
        <v>-1</v>
      </c>
      <c r="AL148" s="48">
        <f t="shared" si="343"/>
        <v>-1</v>
      </c>
      <c r="AM148" s="48">
        <f t="shared" si="343"/>
        <v>-1</v>
      </c>
      <c r="AN148" s="48">
        <f t="shared" si="343"/>
        <v>-1</v>
      </c>
      <c r="AO148" s="48">
        <f t="shared" si="343"/>
        <v>-1</v>
      </c>
      <c r="AP148" s="48">
        <f t="shared" si="343"/>
        <v>-1</v>
      </c>
      <c r="AQ148" s="48">
        <f t="shared" si="343"/>
        <v>-1</v>
      </c>
      <c r="AR148" s="48">
        <f t="shared" si="343"/>
        <v>-1</v>
      </c>
      <c r="AS148" s="48">
        <f t="shared" si="343"/>
        <v>-1</v>
      </c>
      <c r="AT148" s="48">
        <f t="shared" si="343"/>
        <v>-1</v>
      </c>
      <c r="AU148" s="48">
        <f t="shared" si="343"/>
        <v>-1</v>
      </c>
      <c r="AV148" s="48">
        <f t="shared" si="343"/>
        <v>-1</v>
      </c>
      <c r="AW148" s="48">
        <f t="shared" si="343"/>
        <v>-1</v>
      </c>
      <c r="AX148" s="48">
        <f t="shared" si="343"/>
        <v>-1</v>
      </c>
      <c r="AY148" s="48">
        <f t="shared" si="343"/>
        <v>-1</v>
      </c>
      <c r="AZ148" s="48">
        <f t="shared" si="343"/>
        <v>-1</v>
      </c>
      <c r="BA148" s="48">
        <f t="shared" si="343"/>
        <v>-1</v>
      </c>
      <c r="BB148" s="48">
        <f t="shared" si="343"/>
        <v>-1</v>
      </c>
      <c r="BC148" s="48">
        <f t="shared" si="343"/>
        <v>-1</v>
      </c>
      <c r="BD148" s="48">
        <f t="shared" si="343"/>
        <v>-1</v>
      </c>
      <c r="BE148" s="48">
        <f t="shared" si="343"/>
        <v>-1</v>
      </c>
      <c r="BF148" s="48">
        <f t="shared" si="343"/>
        <v>-1</v>
      </c>
      <c r="BG148" s="48">
        <f t="shared" si="343"/>
        <v>-1</v>
      </c>
      <c r="BH148" s="48">
        <f t="shared" si="343"/>
        <v>-1</v>
      </c>
      <c r="BI148" s="48">
        <f t="shared" si="343"/>
        <v>-1</v>
      </c>
      <c r="BJ148" s="48">
        <f t="shared" si="343"/>
        <v>-1</v>
      </c>
      <c r="BK148" s="48">
        <f t="shared" si="343"/>
        <v>-1</v>
      </c>
      <c r="BL148" s="48">
        <f t="shared" si="343"/>
        <v>-1</v>
      </c>
      <c r="BM148" s="48">
        <f t="shared" si="343"/>
        <v>-1</v>
      </c>
      <c r="BN148" s="48">
        <f t="shared" si="343"/>
        <v>-1</v>
      </c>
      <c r="BO148" s="48">
        <f t="shared" si="343"/>
        <v>-1</v>
      </c>
      <c r="BP148" s="48">
        <f t="shared" si="343"/>
        <v>-1</v>
      </c>
      <c r="BQ148" s="48">
        <f t="shared" si="343"/>
        <v>-1</v>
      </c>
      <c r="BR148" s="48">
        <f t="shared" si="343"/>
        <v>-1</v>
      </c>
      <c r="BS148" s="48">
        <f t="shared" si="343"/>
        <v>-1</v>
      </c>
      <c r="BT148" s="48">
        <f t="shared" si="343"/>
        <v>-1</v>
      </c>
      <c r="BU148" s="48">
        <f t="shared" si="343"/>
        <v>-1</v>
      </c>
      <c r="BV148" s="48">
        <f t="shared" si="343"/>
        <v>-1</v>
      </c>
      <c r="BW148" s="48">
        <f t="shared" si="343"/>
        <v>-1</v>
      </c>
      <c r="BX148" s="48">
        <f t="shared" si="343"/>
        <v>-1</v>
      </c>
      <c r="BY148" s="48">
        <f t="shared" si="343"/>
        <v>-1</v>
      </c>
      <c r="BZ148" s="48">
        <f t="shared" ref="BZ148:EK148" si="344">BZ38</f>
        <v>-1</v>
      </c>
      <c r="CA148" s="48">
        <f t="shared" si="344"/>
        <v>-1</v>
      </c>
      <c r="CB148" s="48">
        <f t="shared" si="344"/>
        <v>-1</v>
      </c>
      <c r="CC148" s="48">
        <f t="shared" si="344"/>
        <v>-1</v>
      </c>
      <c r="CD148" s="48">
        <f t="shared" si="344"/>
        <v>-1</v>
      </c>
      <c r="CE148" s="48">
        <f t="shared" si="344"/>
        <v>-1</v>
      </c>
      <c r="CF148" s="48">
        <f t="shared" si="344"/>
        <v>-1</v>
      </c>
      <c r="CG148" s="48">
        <f t="shared" si="344"/>
        <v>-1</v>
      </c>
      <c r="CH148" s="48">
        <f t="shared" si="344"/>
        <v>-1</v>
      </c>
      <c r="CI148" s="48">
        <f t="shared" si="344"/>
        <v>-1</v>
      </c>
      <c r="CJ148" s="48">
        <f t="shared" si="344"/>
        <v>-1</v>
      </c>
      <c r="CK148" s="48">
        <f t="shared" si="344"/>
        <v>-1</v>
      </c>
      <c r="CL148" s="48">
        <f t="shared" si="344"/>
        <v>-1</v>
      </c>
      <c r="CM148" s="48">
        <f t="shared" si="344"/>
        <v>-1</v>
      </c>
      <c r="CN148" s="48">
        <f t="shared" si="344"/>
        <v>-1</v>
      </c>
      <c r="CO148" s="48">
        <f t="shared" si="344"/>
        <v>-1</v>
      </c>
      <c r="CP148" s="48">
        <f t="shared" si="344"/>
        <v>-1</v>
      </c>
      <c r="CQ148" s="48">
        <f t="shared" si="344"/>
        <v>-1</v>
      </c>
      <c r="CR148" s="48">
        <f t="shared" si="344"/>
        <v>-1</v>
      </c>
      <c r="CS148" s="48">
        <f t="shared" si="344"/>
        <v>-1</v>
      </c>
      <c r="CT148" s="48">
        <f t="shared" si="344"/>
        <v>-1</v>
      </c>
      <c r="CU148" s="48">
        <f t="shared" si="344"/>
        <v>-1</v>
      </c>
      <c r="CV148" s="48">
        <f t="shared" si="344"/>
        <v>-1</v>
      </c>
      <c r="CW148" s="48">
        <f t="shared" si="344"/>
        <v>-1</v>
      </c>
      <c r="CX148" s="48">
        <f t="shared" si="344"/>
        <v>-1</v>
      </c>
      <c r="CY148" s="48">
        <f t="shared" si="344"/>
        <v>-1</v>
      </c>
      <c r="CZ148" s="48">
        <f t="shared" si="344"/>
        <v>-1</v>
      </c>
      <c r="DA148" s="48">
        <f t="shared" si="344"/>
        <v>-1</v>
      </c>
      <c r="DB148" s="48">
        <f t="shared" si="344"/>
        <v>-1</v>
      </c>
      <c r="DC148" s="48">
        <f t="shared" si="344"/>
        <v>-1</v>
      </c>
      <c r="DD148" s="48">
        <f t="shared" si="344"/>
        <v>-1</v>
      </c>
      <c r="DE148" s="48">
        <f t="shared" si="344"/>
        <v>-1</v>
      </c>
      <c r="DF148" s="48">
        <f t="shared" si="344"/>
        <v>-1</v>
      </c>
      <c r="DG148" s="48">
        <f t="shared" si="344"/>
        <v>-1</v>
      </c>
      <c r="DH148" s="48">
        <f t="shared" si="344"/>
        <v>-1</v>
      </c>
      <c r="DI148" s="48">
        <f t="shared" si="344"/>
        <v>-1</v>
      </c>
      <c r="DJ148" s="48">
        <f t="shared" si="344"/>
        <v>-1</v>
      </c>
      <c r="DK148" s="48">
        <f t="shared" si="344"/>
        <v>-1</v>
      </c>
      <c r="DL148" s="48">
        <f t="shared" si="344"/>
        <v>-1</v>
      </c>
      <c r="DM148" s="48">
        <f t="shared" si="344"/>
        <v>-1</v>
      </c>
      <c r="DN148" s="48">
        <f t="shared" si="344"/>
        <v>-1</v>
      </c>
      <c r="DO148" s="48">
        <f t="shared" si="344"/>
        <v>-1</v>
      </c>
      <c r="DP148" s="48">
        <f t="shared" si="344"/>
        <v>-1</v>
      </c>
      <c r="DQ148" s="48">
        <f t="shared" si="344"/>
        <v>-1</v>
      </c>
      <c r="DR148" s="48">
        <f t="shared" si="344"/>
        <v>-1</v>
      </c>
      <c r="DS148" s="48">
        <f t="shared" si="344"/>
        <v>-1</v>
      </c>
      <c r="DT148" s="48">
        <f t="shared" si="344"/>
        <v>-1</v>
      </c>
      <c r="DU148" s="48">
        <f t="shared" si="344"/>
        <v>-1</v>
      </c>
      <c r="DV148" s="48">
        <f t="shared" si="344"/>
        <v>-1</v>
      </c>
      <c r="DW148" s="48">
        <f t="shared" si="344"/>
        <v>-1</v>
      </c>
      <c r="DX148" s="48">
        <f t="shared" si="344"/>
        <v>-1</v>
      </c>
      <c r="DY148" s="48">
        <f t="shared" si="344"/>
        <v>-1</v>
      </c>
      <c r="DZ148" s="48">
        <f t="shared" si="344"/>
        <v>-1</v>
      </c>
      <c r="EA148" s="48">
        <f t="shared" si="344"/>
        <v>-1</v>
      </c>
      <c r="EB148" s="48">
        <f t="shared" si="344"/>
        <v>-1</v>
      </c>
      <c r="EC148" s="48">
        <f t="shared" si="344"/>
        <v>-1</v>
      </c>
      <c r="ED148" s="48">
        <f t="shared" si="344"/>
        <v>-1</v>
      </c>
      <c r="EE148" s="48">
        <f t="shared" si="344"/>
        <v>-1</v>
      </c>
      <c r="EF148" s="48">
        <f t="shared" si="344"/>
        <v>-1</v>
      </c>
      <c r="EG148" s="48">
        <f t="shared" si="344"/>
        <v>-1</v>
      </c>
      <c r="EH148" s="48">
        <f t="shared" si="344"/>
        <v>-1</v>
      </c>
      <c r="EI148" s="48">
        <f t="shared" si="344"/>
        <v>-1</v>
      </c>
      <c r="EJ148" s="48">
        <f t="shared" si="344"/>
        <v>-1</v>
      </c>
      <c r="EK148" s="48">
        <f t="shared" si="344"/>
        <v>-1</v>
      </c>
      <c r="EL148" s="48">
        <f t="shared" ref="EL148:GW148" si="345">EL38</f>
        <v>-1</v>
      </c>
      <c r="EM148" s="48">
        <f t="shared" si="345"/>
        <v>-1</v>
      </c>
      <c r="EN148" s="48">
        <f t="shared" si="345"/>
        <v>-1</v>
      </c>
      <c r="EO148" s="48">
        <f t="shared" si="345"/>
        <v>-1</v>
      </c>
      <c r="EP148" s="48">
        <f t="shared" si="345"/>
        <v>-1</v>
      </c>
      <c r="EQ148" s="48">
        <f t="shared" si="345"/>
        <v>-1</v>
      </c>
      <c r="ER148" s="48">
        <f t="shared" si="345"/>
        <v>-1</v>
      </c>
      <c r="ES148" s="48">
        <f t="shared" si="345"/>
        <v>-1</v>
      </c>
      <c r="ET148" s="48">
        <f t="shared" si="345"/>
        <v>-1</v>
      </c>
      <c r="EU148" s="48">
        <f t="shared" si="345"/>
        <v>-1</v>
      </c>
      <c r="EV148" s="48">
        <f t="shared" si="345"/>
        <v>-1</v>
      </c>
      <c r="EW148" s="48">
        <f t="shared" si="345"/>
        <v>-1</v>
      </c>
      <c r="EX148" s="48">
        <f t="shared" si="345"/>
        <v>-1</v>
      </c>
      <c r="EY148" s="48">
        <f t="shared" si="345"/>
        <v>-1</v>
      </c>
      <c r="EZ148" s="48">
        <f t="shared" si="345"/>
        <v>-1</v>
      </c>
      <c r="FA148" s="48">
        <f t="shared" si="345"/>
        <v>-1</v>
      </c>
      <c r="FB148" s="48">
        <f t="shared" si="345"/>
        <v>-1</v>
      </c>
      <c r="FC148" s="48">
        <f t="shared" si="345"/>
        <v>-1</v>
      </c>
      <c r="FD148" s="48">
        <f t="shared" si="345"/>
        <v>-1</v>
      </c>
      <c r="FE148" s="48">
        <f t="shared" si="345"/>
        <v>-1</v>
      </c>
      <c r="FF148" s="48">
        <f t="shared" si="345"/>
        <v>-1</v>
      </c>
      <c r="FG148" s="48">
        <f t="shared" si="345"/>
        <v>-1</v>
      </c>
      <c r="FH148" s="48">
        <f t="shared" si="345"/>
        <v>-1</v>
      </c>
      <c r="FI148" s="48">
        <f t="shared" si="345"/>
        <v>-1</v>
      </c>
      <c r="FJ148" s="48">
        <f t="shared" si="345"/>
        <v>-1</v>
      </c>
      <c r="FK148" s="48">
        <f t="shared" si="345"/>
        <v>-1</v>
      </c>
      <c r="FL148" s="48">
        <f t="shared" si="345"/>
        <v>-1</v>
      </c>
      <c r="FM148" s="48">
        <f t="shared" si="345"/>
        <v>-1</v>
      </c>
      <c r="FN148" s="48">
        <f t="shared" si="345"/>
        <v>-1</v>
      </c>
      <c r="FO148" s="48">
        <f t="shared" si="345"/>
        <v>-1</v>
      </c>
      <c r="FP148" s="48">
        <f t="shared" si="345"/>
        <v>-1</v>
      </c>
      <c r="FQ148" s="48">
        <f t="shared" si="345"/>
        <v>-1</v>
      </c>
      <c r="FR148" s="48">
        <f t="shared" si="345"/>
        <v>-1</v>
      </c>
      <c r="FS148" s="48">
        <f t="shared" si="345"/>
        <v>-1</v>
      </c>
      <c r="FT148" s="48">
        <f t="shared" si="345"/>
        <v>-1</v>
      </c>
      <c r="FU148" s="48">
        <f t="shared" si="345"/>
        <v>-1</v>
      </c>
      <c r="FV148" s="48">
        <f t="shared" si="345"/>
        <v>-1</v>
      </c>
      <c r="FW148" s="48">
        <f t="shared" si="345"/>
        <v>-1</v>
      </c>
      <c r="FX148" s="48">
        <f t="shared" si="345"/>
        <v>-1</v>
      </c>
      <c r="FY148" s="48">
        <f t="shared" si="345"/>
        <v>-1</v>
      </c>
      <c r="FZ148" s="48">
        <f t="shared" si="345"/>
        <v>-1</v>
      </c>
      <c r="GA148" s="48">
        <f t="shared" si="345"/>
        <v>-1</v>
      </c>
      <c r="GB148" s="48">
        <f t="shared" si="345"/>
        <v>-1</v>
      </c>
      <c r="GC148" s="48">
        <f t="shared" si="345"/>
        <v>-1</v>
      </c>
      <c r="GD148" s="48">
        <f t="shared" si="345"/>
        <v>-1</v>
      </c>
      <c r="GE148" s="48">
        <f t="shared" si="345"/>
        <v>-1</v>
      </c>
      <c r="GF148" s="48">
        <f t="shared" si="345"/>
        <v>-1</v>
      </c>
      <c r="GG148" s="48">
        <f t="shared" si="345"/>
        <v>-1</v>
      </c>
      <c r="GH148" s="48">
        <f t="shared" si="345"/>
        <v>-1</v>
      </c>
      <c r="GI148" s="48">
        <f t="shared" si="345"/>
        <v>-1</v>
      </c>
      <c r="GJ148" s="48">
        <f t="shared" si="345"/>
        <v>-1</v>
      </c>
      <c r="GK148" s="48">
        <f t="shared" si="345"/>
        <v>-1</v>
      </c>
      <c r="GL148" s="48">
        <f t="shared" si="345"/>
        <v>-1</v>
      </c>
      <c r="GM148" s="48">
        <f t="shared" si="345"/>
        <v>-1</v>
      </c>
      <c r="GN148" s="48">
        <f t="shared" si="345"/>
        <v>-1</v>
      </c>
      <c r="GO148" s="48">
        <f t="shared" si="345"/>
        <v>-1</v>
      </c>
      <c r="GP148" s="48">
        <f t="shared" si="345"/>
        <v>-1</v>
      </c>
      <c r="GQ148" s="48">
        <f t="shared" si="345"/>
        <v>-1</v>
      </c>
      <c r="GR148" s="48">
        <f t="shared" si="345"/>
        <v>-1</v>
      </c>
      <c r="GS148" s="48">
        <f t="shared" si="345"/>
        <v>-1</v>
      </c>
      <c r="GT148" s="48">
        <f t="shared" si="345"/>
        <v>-1</v>
      </c>
      <c r="GU148" s="48">
        <f t="shared" si="345"/>
        <v>-1</v>
      </c>
      <c r="GV148" s="48">
        <f t="shared" si="345"/>
        <v>-1</v>
      </c>
      <c r="GW148" s="48">
        <f t="shared" si="345"/>
        <v>-1</v>
      </c>
      <c r="GX148" s="48">
        <f t="shared" ref="GX148:JI148" si="346">GX38</f>
        <v>-1</v>
      </c>
      <c r="GY148" s="48">
        <f t="shared" si="346"/>
        <v>-1</v>
      </c>
      <c r="GZ148" s="48">
        <f t="shared" si="346"/>
        <v>-1</v>
      </c>
      <c r="HA148" s="48">
        <f t="shared" si="346"/>
        <v>-1</v>
      </c>
      <c r="HB148" s="48">
        <f t="shared" si="346"/>
        <v>-1</v>
      </c>
      <c r="HC148" s="48">
        <f t="shared" si="346"/>
        <v>-1</v>
      </c>
      <c r="HD148" s="48">
        <f t="shared" si="346"/>
        <v>-1</v>
      </c>
      <c r="HE148" s="48">
        <f t="shared" si="346"/>
        <v>-1</v>
      </c>
      <c r="HF148" s="48">
        <f t="shared" si="346"/>
        <v>-1</v>
      </c>
      <c r="HG148" s="48">
        <f t="shared" si="346"/>
        <v>-1</v>
      </c>
      <c r="HH148" s="48">
        <f t="shared" si="346"/>
        <v>-1</v>
      </c>
      <c r="HI148" s="48">
        <f t="shared" si="346"/>
        <v>-1</v>
      </c>
      <c r="HJ148" s="48">
        <f t="shared" si="346"/>
        <v>-1</v>
      </c>
      <c r="HK148" s="48">
        <f t="shared" si="346"/>
        <v>-1</v>
      </c>
      <c r="HL148" s="48">
        <f t="shared" si="346"/>
        <v>-1</v>
      </c>
      <c r="HM148" s="48">
        <f t="shared" si="346"/>
        <v>-1</v>
      </c>
      <c r="HN148" s="48">
        <f t="shared" si="346"/>
        <v>-1</v>
      </c>
      <c r="HO148" s="48">
        <f t="shared" si="346"/>
        <v>-1</v>
      </c>
      <c r="HP148" s="48">
        <f t="shared" si="346"/>
        <v>-1</v>
      </c>
      <c r="HQ148" s="48">
        <f t="shared" si="346"/>
        <v>-1</v>
      </c>
      <c r="HR148" s="48">
        <f t="shared" si="346"/>
        <v>-1</v>
      </c>
      <c r="HS148" s="48">
        <f t="shared" si="346"/>
        <v>-1</v>
      </c>
      <c r="HT148" s="48">
        <f t="shared" si="346"/>
        <v>-1</v>
      </c>
      <c r="HU148" s="48">
        <f t="shared" si="346"/>
        <v>-1</v>
      </c>
      <c r="HV148" s="48">
        <f t="shared" si="346"/>
        <v>-1</v>
      </c>
      <c r="HW148" s="48">
        <f t="shared" si="346"/>
        <v>-1</v>
      </c>
      <c r="HX148" s="48">
        <f t="shared" si="346"/>
        <v>-1</v>
      </c>
      <c r="HY148" s="48">
        <f t="shared" si="346"/>
        <v>-1</v>
      </c>
      <c r="HZ148" s="48">
        <f t="shared" si="346"/>
        <v>-1</v>
      </c>
      <c r="IA148" s="48">
        <f t="shared" si="346"/>
        <v>-1</v>
      </c>
      <c r="IB148" s="48">
        <f t="shared" si="346"/>
        <v>-1</v>
      </c>
      <c r="IC148" s="48">
        <f t="shared" si="346"/>
        <v>-1</v>
      </c>
      <c r="ID148" s="48">
        <f t="shared" si="346"/>
        <v>-1</v>
      </c>
      <c r="IE148" s="48">
        <f t="shared" si="346"/>
        <v>-1</v>
      </c>
      <c r="IF148" s="48">
        <f t="shared" si="346"/>
        <v>-1</v>
      </c>
      <c r="IG148" s="48">
        <f t="shared" si="346"/>
        <v>-1</v>
      </c>
      <c r="IH148" s="48">
        <f t="shared" si="346"/>
        <v>-1</v>
      </c>
      <c r="II148" s="48">
        <f t="shared" si="346"/>
        <v>-1</v>
      </c>
      <c r="IJ148" s="48">
        <f t="shared" si="346"/>
        <v>-1</v>
      </c>
      <c r="IK148" s="48">
        <f t="shared" si="346"/>
        <v>-1</v>
      </c>
      <c r="IL148" s="48">
        <f t="shared" si="346"/>
        <v>-1</v>
      </c>
      <c r="IM148" s="48">
        <f t="shared" si="346"/>
        <v>-1</v>
      </c>
      <c r="IN148" s="48">
        <f t="shared" si="346"/>
        <v>-1</v>
      </c>
      <c r="IO148" s="48">
        <f t="shared" si="346"/>
        <v>-1</v>
      </c>
      <c r="IP148" s="48">
        <f t="shared" si="346"/>
        <v>-1</v>
      </c>
      <c r="IQ148" s="48">
        <f t="shared" si="346"/>
        <v>-1</v>
      </c>
      <c r="IR148" s="48">
        <f t="shared" si="346"/>
        <v>-1</v>
      </c>
      <c r="IS148" s="48">
        <f t="shared" si="346"/>
        <v>-1</v>
      </c>
      <c r="IT148" s="48">
        <f t="shared" si="346"/>
        <v>-1</v>
      </c>
      <c r="IU148" s="48">
        <f t="shared" si="346"/>
        <v>-1</v>
      </c>
      <c r="IV148" s="48">
        <f t="shared" si="346"/>
        <v>-1</v>
      </c>
      <c r="IW148" s="48">
        <f t="shared" si="346"/>
        <v>-1</v>
      </c>
      <c r="IX148" s="48">
        <f t="shared" si="346"/>
        <v>-1</v>
      </c>
      <c r="IY148" s="48">
        <f t="shared" si="346"/>
        <v>-1</v>
      </c>
      <c r="IZ148" s="48">
        <f t="shared" si="346"/>
        <v>-1</v>
      </c>
      <c r="JA148" s="48">
        <f t="shared" si="346"/>
        <v>-1</v>
      </c>
      <c r="JB148" s="48">
        <f t="shared" si="346"/>
        <v>-1</v>
      </c>
      <c r="JC148" s="48">
        <f t="shared" si="346"/>
        <v>-1</v>
      </c>
      <c r="JD148" s="48">
        <f t="shared" si="346"/>
        <v>-1</v>
      </c>
      <c r="JE148" s="48">
        <f t="shared" si="346"/>
        <v>-1</v>
      </c>
      <c r="JF148" s="48">
        <f t="shared" si="346"/>
        <v>-1</v>
      </c>
      <c r="JG148" s="48">
        <f t="shared" si="346"/>
        <v>-1</v>
      </c>
      <c r="JH148" s="48">
        <f t="shared" si="346"/>
        <v>-1</v>
      </c>
      <c r="JI148" s="48">
        <f t="shared" si="346"/>
        <v>-1</v>
      </c>
      <c r="JJ148" s="48">
        <f t="shared" ref="JJ148:KI148" si="347">JJ38</f>
        <v>-1</v>
      </c>
      <c r="JK148" s="48">
        <f t="shared" si="347"/>
        <v>-1</v>
      </c>
      <c r="JL148" s="48">
        <f t="shared" si="347"/>
        <v>-1</v>
      </c>
      <c r="JM148" s="48">
        <f t="shared" si="347"/>
        <v>-1</v>
      </c>
      <c r="JN148" s="48">
        <f t="shared" si="347"/>
        <v>-1</v>
      </c>
      <c r="JO148" s="48">
        <f t="shared" si="347"/>
        <v>-1</v>
      </c>
      <c r="JP148" s="48">
        <f t="shared" si="347"/>
        <v>-1</v>
      </c>
      <c r="JQ148" s="48">
        <f t="shared" si="347"/>
        <v>-1</v>
      </c>
      <c r="JR148" s="48">
        <f t="shared" si="347"/>
        <v>-1</v>
      </c>
      <c r="JS148" s="48">
        <f t="shared" si="347"/>
        <v>-1</v>
      </c>
      <c r="JT148" s="48">
        <f t="shared" si="347"/>
        <v>-1</v>
      </c>
      <c r="JU148" s="48">
        <f t="shared" si="347"/>
        <v>-1</v>
      </c>
      <c r="JV148" s="48">
        <f t="shared" si="347"/>
        <v>-1</v>
      </c>
      <c r="JW148" s="48">
        <f t="shared" si="347"/>
        <v>-1</v>
      </c>
      <c r="JX148" s="48">
        <f t="shared" si="347"/>
        <v>-1</v>
      </c>
      <c r="JY148" s="48">
        <f t="shared" si="347"/>
        <v>-1</v>
      </c>
      <c r="JZ148" s="48">
        <f t="shared" si="347"/>
        <v>-1</v>
      </c>
      <c r="KA148" s="48">
        <f t="shared" si="347"/>
        <v>-1</v>
      </c>
      <c r="KB148" s="48">
        <f t="shared" si="347"/>
        <v>-1</v>
      </c>
      <c r="KC148" s="48">
        <f t="shared" si="347"/>
        <v>-1</v>
      </c>
      <c r="KD148" s="48">
        <f t="shared" si="347"/>
        <v>-1</v>
      </c>
      <c r="KE148" s="48">
        <f t="shared" si="347"/>
        <v>-1</v>
      </c>
      <c r="KF148" s="48">
        <f t="shared" si="347"/>
        <v>-1</v>
      </c>
      <c r="KG148" s="48">
        <f t="shared" si="347"/>
        <v>-1</v>
      </c>
      <c r="KH148" s="48">
        <f t="shared" si="347"/>
        <v>-1</v>
      </c>
      <c r="KI148" s="48">
        <f t="shared" si="347"/>
        <v>-1</v>
      </c>
      <c r="KJ148" s="1"/>
    </row>
    <row r="149" spans="11:296" x14ac:dyDescent="0.35">
      <c r="M149" s="29" t="s">
        <v>128</v>
      </c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>
        <f>SUM(N147:Y148)*Y$132</f>
        <v>1148.0683956784419</v>
      </c>
      <c r="Z149" s="54">
        <f t="shared" ref="Z149:CK149" si="348">SUM(O147:Z148)*Z$132</f>
        <v>0</v>
      </c>
      <c r="AA149" s="54">
        <f t="shared" si="348"/>
        <v>0</v>
      </c>
      <c r="AB149" s="54">
        <f t="shared" si="348"/>
        <v>0</v>
      </c>
      <c r="AC149" s="54">
        <f t="shared" si="348"/>
        <v>0</v>
      </c>
      <c r="AD149" s="54">
        <f t="shared" si="348"/>
        <v>0</v>
      </c>
      <c r="AE149" s="54">
        <f t="shared" si="348"/>
        <v>1286.2969114573339</v>
      </c>
      <c r="AF149" s="54">
        <f t="shared" si="348"/>
        <v>0</v>
      </c>
      <c r="AG149" s="54">
        <f t="shared" si="348"/>
        <v>0</v>
      </c>
      <c r="AH149" s="54">
        <f t="shared" si="348"/>
        <v>0</v>
      </c>
      <c r="AI149" s="54">
        <f t="shared" si="348"/>
        <v>0</v>
      </c>
      <c r="AJ149" s="54">
        <f t="shared" si="348"/>
        <v>0</v>
      </c>
      <c r="AK149" s="54">
        <f t="shared" si="348"/>
        <v>1113.5975237191208</v>
      </c>
      <c r="AL149" s="54">
        <f t="shared" si="348"/>
        <v>0</v>
      </c>
      <c r="AM149" s="54">
        <f t="shared" si="348"/>
        <v>0</v>
      </c>
      <c r="AN149" s="54">
        <f t="shared" si="348"/>
        <v>0</v>
      </c>
      <c r="AO149" s="54">
        <f t="shared" si="348"/>
        <v>0</v>
      </c>
      <c r="AP149" s="54">
        <f t="shared" si="348"/>
        <v>0</v>
      </c>
      <c r="AQ149" s="54">
        <f t="shared" si="348"/>
        <v>936.55539173586328</v>
      </c>
      <c r="AR149" s="54">
        <f t="shared" si="348"/>
        <v>0</v>
      </c>
      <c r="AS149" s="54">
        <f t="shared" si="348"/>
        <v>0</v>
      </c>
      <c r="AT149" s="54">
        <f t="shared" si="348"/>
        <v>0</v>
      </c>
      <c r="AU149" s="54">
        <f t="shared" si="348"/>
        <v>0</v>
      </c>
      <c r="AV149" s="54">
        <f t="shared" si="348"/>
        <v>0</v>
      </c>
      <c r="AW149" s="54">
        <f t="shared" si="348"/>
        <v>978.47633904435884</v>
      </c>
      <c r="AX149" s="54">
        <f t="shared" si="348"/>
        <v>0</v>
      </c>
      <c r="AY149" s="54">
        <f t="shared" si="348"/>
        <v>0</v>
      </c>
      <c r="AZ149" s="54">
        <f t="shared" si="348"/>
        <v>0</v>
      </c>
      <c r="BA149" s="54">
        <f t="shared" si="348"/>
        <v>0</v>
      </c>
      <c r="BB149" s="54">
        <f t="shared" si="348"/>
        <v>0</v>
      </c>
      <c r="BC149" s="54">
        <f t="shared" si="348"/>
        <v>1206.7850354440902</v>
      </c>
      <c r="BD149" s="54">
        <f t="shared" si="348"/>
        <v>0</v>
      </c>
      <c r="BE149" s="54">
        <f t="shared" si="348"/>
        <v>0</v>
      </c>
      <c r="BF149" s="54">
        <f t="shared" si="348"/>
        <v>0</v>
      </c>
      <c r="BG149" s="54">
        <f t="shared" si="348"/>
        <v>0</v>
      </c>
      <c r="BH149" s="54">
        <f t="shared" si="348"/>
        <v>0</v>
      </c>
      <c r="BI149" s="54">
        <f t="shared" si="348"/>
        <v>1259.6821807960919</v>
      </c>
      <c r="BJ149" s="54">
        <f t="shared" si="348"/>
        <v>0</v>
      </c>
      <c r="BK149" s="54">
        <f t="shared" si="348"/>
        <v>0</v>
      </c>
      <c r="BL149" s="54">
        <f t="shared" si="348"/>
        <v>0</v>
      </c>
      <c r="BM149" s="54">
        <f t="shared" si="348"/>
        <v>0</v>
      </c>
      <c r="BN149" s="54">
        <f t="shared" si="348"/>
        <v>0</v>
      </c>
      <c r="BO149" s="54">
        <f t="shared" si="348"/>
        <v>1202.1627894412015</v>
      </c>
      <c r="BP149" s="54">
        <f t="shared" si="348"/>
        <v>0</v>
      </c>
      <c r="BQ149" s="54">
        <f t="shared" si="348"/>
        <v>0</v>
      </c>
      <c r="BR149" s="54">
        <f t="shared" si="348"/>
        <v>0</v>
      </c>
      <c r="BS149" s="54">
        <f t="shared" si="348"/>
        <v>0</v>
      </c>
      <c r="BT149" s="54">
        <f t="shared" si="348"/>
        <v>0</v>
      </c>
      <c r="BU149" s="54">
        <f t="shared" si="348"/>
        <v>1126.6678059486103</v>
      </c>
      <c r="BV149" s="54">
        <f t="shared" si="348"/>
        <v>0</v>
      </c>
      <c r="BW149" s="54">
        <f t="shared" si="348"/>
        <v>0</v>
      </c>
      <c r="BX149" s="54">
        <f t="shared" si="348"/>
        <v>0</v>
      </c>
      <c r="BY149" s="54">
        <f t="shared" si="348"/>
        <v>0</v>
      </c>
      <c r="BZ149" s="54">
        <f t="shared" si="348"/>
        <v>0</v>
      </c>
      <c r="CA149" s="54">
        <f t="shared" si="348"/>
        <v>1025.1685794061268</v>
      </c>
      <c r="CB149" s="54">
        <f t="shared" si="348"/>
        <v>0</v>
      </c>
      <c r="CC149" s="54">
        <f t="shared" si="348"/>
        <v>0</v>
      </c>
      <c r="CD149" s="54">
        <f t="shared" si="348"/>
        <v>0</v>
      </c>
      <c r="CE149" s="54">
        <f t="shared" si="348"/>
        <v>0</v>
      </c>
      <c r="CF149" s="54">
        <f t="shared" si="348"/>
        <v>0</v>
      </c>
      <c r="CG149" s="54">
        <f t="shared" si="348"/>
        <v>947.65779992811042</v>
      </c>
      <c r="CH149" s="54">
        <f t="shared" si="348"/>
        <v>0</v>
      </c>
      <c r="CI149" s="54">
        <f t="shared" si="348"/>
        <v>0</v>
      </c>
      <c r="CJ149" s="54">
        <f t="shared" si="348"/>
        <v>0</v>
      </c>
      <c r="CK149" s="54">
        <f t="shared" si="348"/>
        <v>0</v>
      </c>
      <c r="CL149" s="54">
        <f t="shared" ref="CL149:EW149" si="349">SUM(CA147:CL148)*CL$132</f>
        <v>0</v>
      </c>
      <c r="CM149" s="54">
        <f t="shared" si="349"/>
        <v>1035.2230137646568</v>
      </c>
      <c r="CN149" s="54">
        <f t="shared" si="349"/>
        <v>0</v>
      </c>
      <c r="CO149" s="54">
        <f t="shared" si="349"/>
        <v>0</v>
      </c>
      <c r="CP149" s="54">
        <f t="shared" si="349"/>
        <v>0</v>
      </c>
      <c r="CQ149" s="54">
        <f t="shared" si="349"/>
        <v>0</v>
      </c>
      <c r="CR149" s="54">
        <f t="shared" si="349"/>
        <v>0</v>
      </c>
      <c r="CS149" s="54">
        <f t="shared" si="349"/>
        <v>1308.3651523590961</v>
      </c>
      <c r="CT149" s="54">
        <f t="shared" si="349"/>
        <v>0</v>
      </c>
      <c r="CU149" s="54">
        <f t="shared" si="349"/>
        <v>0</v>
      </c>
      <c r="CV149" s="54">
        <f t="shared" si="349"/>
        <v>0</v>
      </c>
      <c r="CW149" s="54">
        <f t="shared" si="349"/>
        <v>0</v>
      </c>
      <c r="CX149" s="54">
        <f t="shared" si="349"/>
        <v>0</v>
      </c>
      <c r="CY149" s="54">
        <f t="shared" si="349"/>
        <v>1310.3822346603297</v>
      </c>
      <c r="CZ149" s="54">
        <f t="shared" si="349"/>
        <v>0</v>
      </c>
      <c r="DA149" s="54">
        <f t="shared" si="349"/>
        <v>0</v>
      </c>
      <c r="DB149" s="54">
        <f t="shared" si="349"/>
        <v>0</v>
      </c>
      <c r="DC149" s="54">
        <f t="shared" si="349"/>
        <v>0</v>
      </c>
      <c r="DD149" s="54">
        <f t="shared" si="349"/>
        <v>0</v>
      </c>
      <c r="DE149" s="54">
        <f t="shared" si="349"/>
        <v>1157.6074926846491</v>
      </c>
      <c r="DF149" s="54">
        <f t="shared" si="349"/>
        <v>0</v>
      </c>
      <c r="DG149" s="54">
        <f t="shared" si="349"/>
        <v>0</v>
      </c>
      <c r="DH149" s="54">
        <f t="shared" si="349"/>
        <v>0</v>
      </c>
      <c r="DI149" s="54">
        <f t="shared" si="349"/>
        <v>0</v>
      </c>
      <c r="DJ149" s="54">
        <f t="shared" si="349"/>
        <v>0</v>
      </c>
      <c r="DK149" s="54">
        <f t="shared" si="349"/>
        <v>1252.2677439472545</v>
      </c>
      <c r="DL149" s="54">
        <f t="shared" si="349"/>
        <v>0</v>
      </c>
      <c r="DM149" s="54">
        <f t="shared" si="349"/>
        <v>0</v>
      </c>
      <c r="DN149" s="54">
        <f t="shared" si="349"/>
        <v>0</v>
      </c>
      <c r="DO149" s="54">
        <f t="shared" si="349"/>
        <v>0</v>
      </c>
      <c r="DP149" s="54">
        <f t="shared" si="349"/>
        <v>0</v>
      </c>
      <c r="DQ149" s="54">
        <f t="shared" si="349"/>
        <v>1416.3794631733663</v>
      </c>
      <c r="DR149" s="54">
        <f t="shared" si="349"/>
        <v>0</v>
      </c>
      <c r="DS149" s="54">
        <f t="shared" si="349"/>
        <v>0</v>
      </c>
      <c r="DT149" s="54">
        <f t="shared" si="349"/>
        <v>0</v>
      </c>
      <c r="DU149" s="54">
        <f t="shared" si="349"/>
        <v>0</v>
      </c>
      <c r="DV149" s="54">
        <f t="shared" si="349"/>
        <v>0</v>
      </c>
      <c r="DW149" s="54">
        <f t="shared" si="349"/>
        <v>1327.0663606534918</v>
      </c>
      <c r="DX149" s="54">
        <f t="shared" si="349"/>
        <v>0</v>
      </c>
      <c r="DY149" s="54">
        <f t="shared" si="349"/>
        <v>0</v>
      </c>
      <c r="DZ149" s="54">
        <f t="shared" si="349"/>
        <v>0</v>
      </c>
      <c r="EA149" s="54">
        <f t="shared" si="349"/>
        <v>0</v>
      </c>
      <c r="EB149" s="54">
        <f t="shared" si="349"/>
        <v>0</v>
      </c>
      <c r="EC149" s="54">
        <f t="shared" si="349"/>
        <v>1275.0201572657495</v>
      </c>
      <c r="ED149" s="54">
        <f t="shared" si="349"/>
        <v>0</v>
      </c>
      <c r="EE149" s="54">
        <f t="shared" si="349"/>
        <v>0</v>
      </c>
      <c r="EF149" s="54">
        <f t="shared" si="349"/>
        <v>0</v>
      </c>
      <c r="EG149" s="54">
        <f t="shared" si="349"/>
        <v>0</v>
      </c>
      <c r="EH149" s="54">
        <f t="shared" si="349"/>
        <v>0</v>
      </c>
      <c r="EI149" s="54">
        <f t="shared" si="349"/>
        <v>1208.5375143215992</v>
      </c>
      <c r="EJ149" s="54">
        <f t="shared" si="349"/>
        <v>0</v>
      </c>
      <c r="EK149" s="54">
        <f t="shared" si="349"/>
        <v>0</v>
      </c>
      <c r="EL149" s="54">
        <f t="shared" si="349"/>
        <v>0</v>
      </c>
      <c r="EM149" s="54">
        <f t="shared" si="349"/>
        <v>0</v>
      </c>
      <c r="EN149" s="54">
        <f t="shared" si="349"/>
        <v>0</v>
      </c>
      <c r="EO149" s="54">
        <f t="shared" si="349"/>
        <v>1058.3127206491288</v>
      </c>
      <c r="EP149" s="54">
        <f t="shared" si="349"/>
        <v>0</v>
      </c>
      <c r="EQ149" s="54">
        <f t="shared" si="349"/>
        <v>0</v>
      </c>
      <c r="ER149" s="54">
        <f t="shared" si="349"/>
        <v>0</v>
      </c>
      <c r="ES149" s="54">
        <f t="shared" si="349"/>
        <v>0</v>
      </c>
      <c r="ET149" s="54">
        <f t="shared" si="349"/>
        <v>0</v>
      </c>
      <c r="EU149" s="54">
        <f t="shared" si="349"/>
        <v>1069.3290197506608</v>
      </c>
      <c r="EV149" s="54">
        <f t="shared" si="349"/>
        <v>0</v>
      </c>
      <c r="EW149" s="54">
        <f t="shared" si="349"/>
        <v>0</v>
      </c>
      <c r="EX149" s="54">
        <f t="shared" ref="EX149:HI149" si="350">SUM(EM147:EX148)*EX$132</f>
        <v>0</v>
      </c>
      <c r="EY149" s="54">
        <f t="shared" si="350"/>
        <v>0</v>
      </c>
      <c r="EZ149" s="54">
        <f t="shared" si="350"/>
        <v>0</v>
      </c>
      <c r="FA149" s="54">
        <f t="shared" si="350"/>
        <v>1281.3130778632813</v>
      </c>
      <c r="FB149" s="54">
        <f t="shared" si="350"/>
        <v>0</v>
      </c>
      <c r="FC149" s="54">
        <f t="shared" si="350"/>
        <v>0</v>
      </c>
      <c r="FD149" s="54">
        <f t="shared" si="350"/>
        <v>0</v>
      </c>
      <c r="FE149" s="54">
        <f t="shared" si="350"/>
        <v>0</v>
      </c>
      <c r="FF149" s="54">
        <f t="shared" si="350"/>
        <v>0</v>
      </c>
      <c r="FG149" s="54">
        <f t="shared" si="350"/>
        <v>1320.0493211576786</v>
      </c>
      <c r="FH149" s="54">
        <f t="shared" si="350"/>
        <v>0</v>
      </c>
      <c r="FI149" s="54">
        <f t="shared" si="350"/>
        <v>0</v>
      </c>
      <c r="FJ149" s="54">
        <f t="shared" si="350"/>
        <v>0</v>
      </c>
      <c r="FK149" s="54">
        <f t="shared" si="350"/>
        <v>0</v>
      </c>
      <c r="FL149" s="54">
        <f t="shared" si="350"/>
        <v>0</v>
      </c>
      <c r="FM149" s="54">
        <f t="shared" si="350"/>
        <v>1171.5189136363597</v>
      </c>
      <c r="FN149" s="54">
        <f t="shared" si="350"/>
        <v>0</v>
      </c>
      <c r="FO149" s="54">
        <f t="shared" si="350"/>
        <v>0</v>
      </c>
      <c r="FP149" s="54">
        <f t="shared" si="350"/>
        <v>0</v>
      </c>
      <c r="FQ149" s="54">
        <f t="shared" si="350"/>
        <v>0</v>
      </c>
      <c r="FR149" s="54">
        <f t="shared" si="350"/>
        <v>0</v>
      </c>
      <c r="FS149" s="54">
        <f t="shared" si="350"/>
        <v>1290.1836501543783</v>
      </c>
      <c r="FT149" s="54">
        <f t="shared" si="350"/>
        <v>0</v>
      </c>
      <c r="FU149" s="54">
        <f t="shared" si="350"/>
        <v>0</v>
      </c>
      <c r="FV149" s="54">
        <f t="shared" si="350"/>
        <v>0</v>
      </c>
      <c r="FW149" s="54">
        <f t="shared" si="350"/>
        <v>0</v>
      </c>
      <c r="FX149" s="54">
        <f t="shared" si="350"/>
        <v>0</v>
      </c>
      <c r="FY149" s="54">
        <f t="shared" si="350"/>
        <v>1487.7643472593936</v>
      </c>
      <c r="FZ149" s="54">
        <f t="shared" si="350"/>
        <v>0</v>
      </c>
      <c r="GA149" s="54">
        <f t="shared" si="350"/>
        <v>0</v>
      </c>
      <c r="GB149" s="54">
        <f t="shared" si="350"/>
        <v>0</v>
      </c>
      <c r="GC149" s="54">
        <f t="shared" si="350"/>
        <v>0</v>
      </c>
      <c r="GD149" s="54">
        <f t="shared" si="350"/>
        <v>0</v>
      </c>
      <c r="GE149" s="54">
        <f t="shared" si="350"/>
        <v>1248.089395135476</v>
      </c>
      <c r="GF149" s="54">
        <f t="shared" si="350"/>
        <v>0</v>
      </c>
      <c r="GG149" s="54">
        <f t="shared" si="350"/>
        <v>0</v>
      </c>
      <c r="GH149" s="54">
        <f t="shared" si="350"/>
        <v>0</v>
      </c>
      <c r="GI149" s="54">
        <f t="shared" si="350"/>
        <v>0</v>
      </c>
      <c r="GJ149" s="54">
        <f t="shared" si="350"/>
        <v>0</v>
      </c>
      <c r="GK149" s="54">
        <f t="shared" si="350"/>
        <v>994.66966443138222</v>
      </c>
      <c r="GL149" s="54">
        <f t="shared" si="350"/>
        <v>0</v>
      </c>
      <c r="GM149" s="54">
        <f t="shared" si="350"/>
        <v>0</v>
      </c>
      <c r="GN149" s="54">
        <f t="shared" si="350"/>
        <v>0</v>
      </c>
      <c r="GO149" s="54">
        <f t="shared" si="350"/>
        <v>0</v>
      </c>
      <c r="GP149" s="54">
        <f t="shared" si="350"/>
        <v>0</v>
      </c>
      <c r="GQ149" s="54">
        <f t="shared" si="350"/>
        <v>1190.7480182939673</v>
      </c>
      <c r="GR149" s="54">
        <f t="shared" si="350"/>
        <v>0</v>
      </c>
      <c r="GS149" s="54">
        <f t="shared" si="350"/>
        <v>0</v>
      </c>
      <c r="GT149" s="54">
        <f t="shared" si="350"/>
        <v>0</v>
      </c>
      <c r="GU149" s="54">
        <f t="shared" si="350"/>
        <v>0</v>
      </c>
      <c r="GV149" s="54">
        <f t="shared" si="350"/>
        <v>0</v>
      </c>
      <c r="GW149" s="54">
        <f t="shared" si="350"/>
        <v>1196.1486190675014</v>
      </c>
      <c r="GX149" s="54">
        <f t="shared" si="350"/>
        <v>0</v>
      </c>
      <c r="GY149" s="54">
        <f t="shared" si="350"/>
        <v>0</v>
      </c>
      <c r="GZ149" s="54">
        <f t="shared" si="350"/>
        <v>0</v>
      </c>
      <c r="HA149" s="54">
        <f t="shared" si="350"/>
        <v>0</v>
      </c>
      <c r="HB149" s="54">
        <f t="shared" si="350"/>
        <v>0</v>
      </c>
      <c r="HC149" s="54">
        <f t="shared" si="350"/>
        <v>1002.5208593043309</v>
      </c>
      <c r="HD149" s="54">
        <f t="shared" si="350"/>
        <v>0</v>
      </c>
      <c r="HE149" s="54">
        <f t="shared" si="350"/>
        <v>0</v>
      </c>
      <c r="HF149" s="54">
        <f t="shared" si="350"/>
        <v>0</v>
      </c>
      <c r="HG149" s="54">
        <f t="shared" si="350"/>
        <v>0</v>
      </c>
      <c r="HH149" s="54">
        <f t="shared" si="350"/>
        <v>0</v>
      </c>
      <c r="HI149" s="54">
        <f t="shared" si="350"/>
        <v>1202.0141619648314</v>
      </c>
      <c r="HJ149" s="54">
        <f t="shared" ref="HJ149:JU149" si="351">SUM(GY147:HJ148)*HJ$132</f>
        <v>0</v>
      </c>
      <c r="HK149" s="54">
        <f t="shared" si="351"/>
        <v>0</v>
      </c>
      <c r="HL149" s="54">
        <f t="shared" si="351"/>
        <v>0</v>
      </c>
      <c r="HM149" s="54">
        <f t="shared" si="351"/>
        <v>0</v>
      </c>
      <c r="HN149" s="54">
        <f t="shared" si="351"/>
        <v>0</v>
      </c>
      <c r="HO149" s="54">
        <f t="shared" si="351"/>
        <v>1428.537637003355</v>
      </c>
      <c r="HP149" s="54">
        <f t="shared" si="351"/>
        <v>0</v>
      </c>
      <c r="HQ149" s="54">
        <f t="shared" si="351"/>
        <v>0</v>
      </c>
      <c r="HR149" s="54">
        <f t="shared" si="351"/>
        <v>0</v>
      </c>
      <c r="HS149" s="54">
        <f t="shared" si="351"/>
        <v>0</v>
      </c>
      <c r="HT149" s="54">
        <f t="shared" si="351"/>
        <v>0</v>
      </c>
      <c r="HU149" s="54">
        <f t="shared" si="351"/>
        <v>1237.8248911666419</v>
      </c>
      <c r="HV149" s="54">
        <f t="shared" si="351"/>
        <v>0</v>
      </c>
      <c r="HW149" s="54">
        <f t="shared" si="351"/>
        <v>0</v>
      </c>
      <c r="HX149" s="54">
        <f t="shared" si="351"/>
        <v>0</v>
      </c>
      <c r="HY149" s="54">
        <f t="shared" si="351"/>
        <v>0</v>
      </c>
      <c r="HZ149" s="54">
        <f t="shared" si="351"/>
        <v>0</v>
      </c>
      <c r="IA149" s="54">
        <f t="shared" si="351"/>
        <v>1176.5837776363442</v>
      </c>
      <c r="IB149" s="54">
        <f t="shared" si="351"/>
        <v>0</v>
      </c>
      <c r="IC149" s="54">
        <f t="shared" si="351"/>
        <v>0</v>
      </c>
      <c r="ID149" s="54">
        <f t="shared" si="351"/>
        <v>0</v>
      </c>
      <c r="IE149" s="54">
        <f t="shared" si="351"/>
        <v>0</v>
      </c>
      <c r="IF149" s="54">
        <f t="shared" si="351"/>
        <v>0</v>
      </c>
      <c r="IG149" s="54">
        <f t="shared" si="351"/>
        <v>1279.2175450505938</v>
      </c>
      <c r="IH149" s="54">
        <f t="shared" si="351"/>
        <v>0</v>
      </c>
      <c r="II149" s="54">
        <f t="shared" si="351"/>
        <v>0</v>
      </c>
      <c r="IJ149" s="54">
        <f t="shared" si="351"/>
        <v>0</v>
      </c>
      <c r="IK149" s="54">
        <f t="shared" si="351"/>
        <v>0</v>
      </c>
      <c r="IL149" s="54">
        <f t="shared" si="351"/>
        <v>0</v>
      </c>
      <c r="IM149" s="54">
        <f t="shared" si="351"/>
        <v>1312.2736637891128</v>
      </c>
      <c r="IN149" s="54">
        <f t="shared" si="351"/>
        <v>0</v>
      </c>
      <c r="IO149" s="54">
        <f t="shared" si="351"/>
        <v>0</v>
      </c>
      <c r="IP149" s="54">
        <f t="shared" si="351"/>
        <v>0</v>
      </c>
      <c r="IQ149" s="54">
        <f t="shared" si="351"/>
        <v>0</v>
      </c>
      <c r="IR149" s="54">
        <f t="shared" si="351"/>
        <v>0</v>
      </c>
      <c r="IS149" s="54">
        <f t="shared" si="351"/>
        <v>1329.5637931977235</v>
      </c>
      <c r="IT149" s="54">
        <f t="shared" si="351"/>
        <v>0</v>
      </c>
      <c r="IU149" s="54">
        <f t="shared" si="351"/>
        <v>0</v>
      </c>
      <c r="IV149" s="54">
        <f t="shared" si="351"/>
        <v>0</v>
      </c>
      <c r="IW149" s="54">
        <f t="shared" si="351"/>
        <v>0</v>
      </c>
      <c r="IX149" s="54">
        <f t="shared" si="351"/>
        <v>0</v>
      </c>
      <c r="IY149" s="54">
        <f t="shared" si="351"/>
        <v>1295.706585117958</v>
      </c>
      <c r="IZ149" s="54">
        <f t="shared" si="351"/>
        <v>0</v>
      </c>
      <c r="JA149" s="54">
        <f t="shared" si="351"/>
        <v>0</v>
      </c>
      <c r="JB149" s="54">
        <f t="shared" si="351"/>
        <v>0</v>
      </c>
      <c r="JC149" s="54">
        <f t="shared" si="351"/>
        <v>0</v>
      </c>
      <c r="JD149" s="54">
        <f t="shared" si="351"/>
        <v>0</v>
      </c>
      <c r="JE149" s="54">
        <f t="shared" si="351"/>
        <v>1200.2534883196695</v>
      </c>
      <c r="JF149" s="54">
        <f t="shared" si="351"/>
        <v>0</v>
      </c>
      <c r="JG149" s="54">
        <f t="shared" si="351"/>
        <v>0</v>
      </c>
      <c r="JH149" s="54">
        <f t="shared" si="351"/>
        <v>0</v>
      </c>
      <c r="JI149" s="54">
        <f t="shared" si="351"/>
        <v>0</v>
      </c>
      <c r="JJ149" s="54">
        <f t="shared" si="351"/>
        <v>0</v>
      </c>
      <c r="JK149" s="54">
        <f t="shared" si="351"/>
        <v>1103.3288206425982</v>
      </c>
      <c r="JL149" s="54">
        <f t="shared" si="351"/>
        <v>0</v>
      </c>
      <c r="JM149" s="54">
        <f t="shared" si="351"/>
        <v>0</v>
      </c>
      <c r="JN149" s="54">
        <f t="shared" si="351"/>
        <v>0</v>
      </c>
      <c r="JO149" s="54">
        <f t="shared" si="351"/>
        <v>0</v>
      </c>
      <c r="JP149" s="54">
        <f t="shared" si="351"/>
        <v>0</v>
      </c>
      <c r="JQ149" s="54">
        <f t="shared" si="351"/>
        <v>1109.7855392639717</v>
      </c>
      <c r="JR149" s="54">
        <f t="shared" si="351"/>
        <v>0</v>
      </c>
      <c r="JS149" s="54">
        <f t="shared" si="351"/>
        <v>0</v>
      </c>
      <c r="JT149" s="54">
        <f t="shared" si="351"/>
        <v>0</v>
      </c>
      <c r="JU149" s="54">
        <f t="shared" si="351"/>
        <v>0</v>
      </c>
      <c r="JV149" s="54">
        <f t="shared" ref="JV149:KI149" si="352">SUM(JK147:JV148)*JV$132</f>
        <v>0</v>
      </c>
      <c r="JW149" s="54">
        <f t="shared" si="352"/>
        <v>1231.3917100957549</v>
      </c>
      <c r="JX149" s="54">
        <f t="shared" si="352"/>
        <v>0</v>
      </c>
      <c r="JY149" s="54">
        <f t="shared" si="352"/>
        <v>0</v>
      </c>
      <c r="JZ149" s="54">
        <f t="shared" si="352"/>
        <v>0</v>
      </c>
      <c r="KA149" s="54">
        <f t="shared" si="352"/>
        <v>0</v>
      </c>
      <c r="KB149" s="54">
        <f t="shared" si="352"/>
        <v>0</v>
      </c>
      <c r="KC149" s="54">
        <f t="shared" si="352"/>
        <v>1208.5261811367718</v>
      </c>
      <c r="KD149" s="54">
        <f t="shared" si="352"/>
        <v>0</v>
      </c>
      <c r="KE149" s="54">
        <f t="shared" si="352"/>
        <v>0</v>
      </c>
      <c r="KF149" s="54">
        <f t="shared" si="352"/>
        <v>0</v>
      </c>
      <c r="KG149" s="54">
        <f t="shared" si="352"/>
        <v>0</v>
      </c>
      <c r="KH149" s="54">
        <f t="shared" si="352"/>
        <v>0</v>
      </c>
      <c r="KI149" s="54">
        <f t="shared" si="352"/>
        <v>1176.8361296524847</v>
      </c>
      <c r="KJ149" s="1"/>
    </row>
    <row r="150" spans="11:296" x14ac:dyDescent="0.35">
      <c r="KJ150" s="1"/>
    </row>
    <row r="151" spans="11:296" x14ac:dyDescent="0.35">
      <c r="L151" s="22" t="s">
        <v>129</v>
      </c>
      <c r="KJ151" s="1"/>
    </row>
    <row r="152" spans="11:296" x14ac:dyDescent="0.35">
      <c r="M152" s="29" t="s">
        <v>129</v>
      </c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>
        <f>IFERROR(-Y149/Y144,0)</f>
        <v>14.888381075765867</v>
      </c>
      <c r="Z152" s="54">
        <f t="shared" ref="Z152:CK152" si="353">IFERROR(-Z149/Z144,0)</f>
        <v>0</v>
      </c>
      <c r="AA152" s="54">
        <f t="shared" si="353"/>
        <v>0</v>
      </c>
      <c r="AB152" s="54">
        <f t="shared" si="353"/>
        <v>0</v>
      </c>
      <c r="AC152" s="54">
        <f t="shared" si="353"/>
        <v>0</v>
      </c>
      <c r="AD152" s="54">
        <f t="shared" si="353"/>
        <v>0</v>
      </c>
      <c r="AE152" s="54">
        <f t="shared" si="353"/>
        <v>19.798860580877523</v>
      </c>
      <c r="AF152" s="54">
        <f t="shared" si="353"/>
        <v>0</v>
      </c>
      <c r="AG152" s="54">
        <f t="shared" si="353"/>
        <v>0</v>
      </c>
      <c r="AH152" s="54">
        <f t="shared" si="353"/>
        <v>0</v>
      </c>
      <c r="AI152" s="54">
        <f t="shared" si="353"/>
        <v>0</v>
      </c>
      <c r="AJ152" s="54">
        <f t="shared" si="353"/>
        <v>0</v>
      </c>
      <c r="AK152" s="54">
        <f t="shared" si="353"/>
        <v>17.199293552122548</v>
      </c>
      <c r="AL152" s="54">
        <f t="shared" si="353"/>
        <v>0</v>
      </c>
      <c r="AM152" s="54">
        <f t="shared" si="353"/>
        <v>0</v>
      </c>
      <c r="AN152" s="54">
        <f t="shared" si="353"/>
        <v>0</v>
      </c>
      <c r="AO152" s="54">
        <f t="shared" si="353"/>
        <v>0</v>
      </c>
      <c r="AP152" s="54">
        <f t="shared" si="353"/>
        <v>0</v>
      </c>
      <c r="AQ152" s="54">
        <f t="shared" si="353"/>
        <v>14.891031405940259</v>
      </c>
      <c r="AR152" s="54">
        <f t="shared" si="353"/>
        <v>0</v>
      </c>
      <c r="AS152" s="54">
        <f t="shared" si="353"/>
        <v>0</v>
      </c>
      <c r="AT152" s="54">
        <f t="shared" si="353"/>
        <v>0</v>
      </c>
      <c r="AU152" s="54">
        <f t="shared" si="353"/>
        <v>0</v>
      </c>
      <c r="AV152" s="54">
        <f t="shared" si="353"/>
        <v>0</v>
      </c>
      <c r="AW152" s="54">
        <f t="shared" si="353"/>
        <v>16.032428017646708</v>
      </c>
      <c r="AX152" s="54">
        <f t="shared" si="353"/>
        <v>0</v>
      </c>
      <c r="AY152" s="54">
        <f t="shared" si="353"/>
        <v>0</v>
      </c>
      <c r="AZ152" s="54">
        <f t="shared" si="353"/>
        <v>0</v>
      </c>
      <c r="BA152" s="54">
        <f t="shared" si="353"/>
        <v>0</v>
      </c>
      <c r="BB152" s="54">
        <f t="shared" si="353"/>
        <v>0</v>
      </c>
      <c r="BC152" s="54">
        <f t="shared" si="353"/>
        <v>20.392357735298397</v>
      </c>
      <c r="BD152" s="54">
        <f t="shared" si="353"/>
        <v>0</v>
      </c>
      <c r="BE152" s="54">
        <f t="shared" si="353"/>
        <v>0</v>
      </c>
      <c r="BF152" s="54">
        <f t="shared" si="353"/>
        <v>0</v>
      </c>
      <c r="BG152" s="54">
        <f t="shared" si="353"/>
        <v>0</v>
      </c>
      <c r="BH152" s="54">
        <f t="shared" si="353"/>
        <v>0</v>
      </c>
      <c r="BI152" s="54">
        <f t="shared" si="353"/>
        <v>21.962621678745549</v>
      </c>
      <c r="BJ152" s="54">
        <f t="shared" si="353"/>
        <v>0</v>
      </c>
      <c r="BK152" s="54">
        <f t="shared" si="353"/>
        <v>0</v>
      </c>
      <c r="BL152" s="54">
        <f t="shared" si="353"/>
        <v>0</v>
      </c>
      <c r="BM152" s="54">
        <f t="shared" si="353"/>
        <v>0</v>
      </c>
      <c r="BN152" s="54">
        <f t="shared" si="353"/>
        <v>0</v>
      </c>
      <c r="BO152" s="54">
        <f t="shared" si="353"/>
        <v>21.659438991236453</v>
      </c>
      <c r="BP152" s="54">
        <f t="shared" si="353"/>
        <v>0</v>
      </c>
      <c r="BQ152" s="54">
        <f t="shared" si="353"/>
        <v>0</v>
      </c>
      <c r="BR152" s="54">
        <f t="shared" si="353"/>
        <v>0</v>
      </c>
      <c r="BS152" s="54">
        <f t="shared" si="353"/>
        <v>0</v>
      </c>
      <c r="BT152" s="54">
        <f t="shared" si="353"/>
        <v>0</v>
      </c>
      <c r="BU152" s="54">
        <f t="shared" si="353"/>
        <v>20.988446153655079</v>
      </c>
      <c r="BV152" s="54">
        <f t="shared" si="353"/>
        <v>0</v>
      </c>
      <c r="BW152" s="54">
        <f t="shared" si="353"/>
        <v>0</v>
      </c>
      <c r="BX152" s="54">
        <f t="shared" si="353"/>
        <v>0</v>
      </c>
      <c r="BY152" s="54">
        <f t="shared" si="353"/>
        <v>0</v>
      </c>
      <c r="BZ152" s="54">
        <f t="shared" si="353"/>
        <v>0</v>
      </c>
      <c r="CA152" s="54">
        <f t="shared" si="353"/>
        <v>19.780358283770951</v>
      </c>
      <c r="CB152" s="54">
        <f t="shared" si="353"/>
        <v>0</v>
      </c>
      <c r="CC152" s="54">
        <f t="shared" si="353"/>
        <v>0</v>
      </c>
      <c r="CD152" s="54">
        <f t="shared" si="353"/>
        <v>0</v>
      </c>
      <c r="CE152" s="54">
        <f t="shared" si="353"/>
        <v>0</v>
      </c>
      <c r="CF152" s="54">
        <f t="shared" si="353"/>
        <v>0</v>
      </c>
      <c r="CG152" s="54">
        <f t="shared" si="353"/>
        <v>37.216767990194967</v>
      </c>
      <c r="CH152" s="54">
        <f t="shared" si="353"/>
        <v>0</v>
      </c>
      <c r="CI152" s="54">
        <f t="shared" si="353"/>
        <v>0</v>
      </c>
      <c r="CJ152" s="54">
        <f t="shared" si="353"/>
        <v>0</v>
      </c>
      <c r="CK152" s="54">
        <f t="shared" si="353"/>
        <v>0</v>
      </c>
      <c r="CL152" s="54">
        <f t="shared" ref="CL152:EW152" si="354">IFERROR(-CL149/CL144,0)</f>
        <v>0</v>
      </c>
      <c r="CM152" s="54">
        <f t="shared" si="354"/>
        <v>0</v>
      </c>
      <c r="CN152" s="54">
        <f t="shared" si="354"/>
        <v>0</v>
      </c>
      <c r="CO152" s="54">
        <f t="shared" si="354"/>
        <v>0</v>
      </c>
      <c r="CP152" s="54">
        <f t="shared" si="354"/>
        <v>0</v>
      </c>
      <c r="CQ152" s="54">
        <f t="shared" si="354"/>
        <v>0</v>
      </c>
      <c r="CR152" s="54">
        <f t="shared" si="354"/>
        <v>0</v>
      </c>
      <c r="CS152" s="54">
        <f t="shared" si="354"/>
        <v>0</v>
      </c>
      <c r="CT152" s="54">
        <f t="shared" si="354"/>
        <v>0</v>
      </c>
      <c r="CU152" s="54">
        <f t="shared" si="354"/>
        <v>0</v>
      </c>
      <c r="CV152" s="54">
        <f t="shared" si="354"/>
        <v>0</v>
      </c>
      <c r="CW152" s="54">
        <f t="shared" si="354"/>
        <v>0</v>
      </c>
      <c r="CX152" s="54">
        <f t="shared" si="354"/>
        <v>0</v>
      </c>
      <c r="CY152" s="54">
        <f t="shared" si="354"/>
        <v>0</v>
      </c>
      <c r="CZ152" s="54">
        <f t="shared" si="354"/>
        <v>0</v>
      </c>
      <c r="DA152" s="54">
        <f t="shared" si="354"/>
        <v>0</v>
      </c>
      <c r="DB152" s="54">
        <f t="shared" si="354"/>
        <v>0</v>
      </c>
      <c r="DC152" s="54">
        <f t="shared" si="354"/>
        <v>0</v>
      </c>
      <c r="DD152" s="54">
        <f t="shared" si="354"/>
        <v>0</v>
      </c>
      <c r="DE152" s="54">
        <f t="shared" si="354"/>
        <v>0</v>
      </c>
      <c r="DF152" s="54">
        <f t="shared" si="354"/>
        <v>0</v>
      </c>
      <c r="DG152" s="54">
        <f t="shared" si="354"/>
        <v>0</v>
      </c>
      <c r="DH152" s="54">
        <f t="shared" si="354"/>
        <v>0</v>
      </c>
      <c r="DI152" s="54">
        <f t="shared" si="354"/>
        <v>0</v>
      </c>
      <c r="DJ152" s="54">
        <f t="shared" si="354"/>
        <v>0</v>
      </c>
      <c r="DK152" s="54">
        <f t="shared" si="354"/>
        <v>0</v>
      </c>
      <c r="DL152" s="54">
        <f t="shared" si="354"/>
        <v>0</v>
      </c>
      <c r="DM152" s="54">
        <f t="shared" si="354"/>
        <v>0</v>
      </c>
      <c r="DN152" s="54">
        <f t="shared" si="354"/>
        <v>0</v>
      </c>
      <c r="DO152" s="54">
        <f t="shared" si="354"/>
        <v>0</v>
      </c>
      <c r="DP152" s="54">
        <f t="shared" si="354"/>
        <v>0</v>
      </c>
      <c r="DQ152" s="54">
        <f t="shared" si="354"/>
        <v>0</v>
      </c>
      <c r="DR152" s="54">
        <f t="shared" si="354"/>
        <v>0</v>
      </c>
      <c r="DS152" s="54">
        <f t="shared" si="354"/>
        <v>0</v>
      </c>
      <c r="DT152" s="54">
        <f t="shared" si="354"/>
        <v>0</v>
      </c>
      <c r="DU152" s="54">
        <f t="shared" si="354"/>
        <v>0</v>
      </c>
      <c r="DV152" s="54">
        <f t="shared" si="354"/>
        <v>0</v>
      </c>
      <c r="DW152" s="54">
        <f t="shared" si="354"/>
        <v>0</v>
      </c>
      <c r="DX152" s="54">
        <f t="shared" si="354"/>
        <v>0</v>
      </c>
      <c r="DY152" s="54">
        <f t="shared" si="354"/>
        <v>0</v>
      </c>
      <c r="DZ152" s="54">
        <f t="shared" si="354"/>
        <v>0</v>
      </c>
      <c r="EA152" s="54">
        <f t="shared" si="354"/>
        <v>0</v>
      </c>
      <c r="EB152" s="54">
        <f t="shared" si="354"/>
        <v>0</v>
      </c>
      <c r="EC152" s="54">
        <f t="shared" si="354"/>
        <v>0</v>
      </c>
      <c r="ED152" s="54">
        <f t="shared" si="354"/>
        <v>0</v>
      </c>
      <c r="EE152" s="54">
        <f t="shared" si="354"/>
        <v>0</v>
      </c>
      <c r="EF152" s="54">
        <f t="shared" si="354"/>
        <v>0</v>
      </c>
      <c r="EG152" s="54">
        <f t="shared" si="354"/>
        <v>0</v>
      </c>
      <c r="EH152" s="54">
        <f t="shared" si="354"/>
        <v>0</v>
      </c>
      <c r="EI152" s="54">
        <f t="shared" si="354"/>
        <v>0</v>
      </c>
      <c r="EJ152" s="54">
        <f t="shared" si="354"/>
        <v>0</v>
      </c>
      <c r="EK152" s="54">
        <f t="shared" si="354"/>
        <v>0</v>
      </c>
      <c r="EL152" s="54">
        <f t="shared" si="354"/>
        <v>0</v>
      </c>
      <c r="EM152" s="54">
        <f t="shared" si="354"/>
        <v>0</v>
      </c>
      <c r="EN152" s="54">
        <f t="shared" si="354"/>
        <v>0</v>
      </c>
      <c r="EO152" s="54">
        <f t="shared" si="354"/>
        <v>0</v>
      </c>
      <c r="EP152" s="54">
        <f t="shared" si="354"/>
        <v>0</v>
      </c>
      <c r="EQ152" s="54">
        <f t="shared" si="354"/>
        <v>0</v>
      </c>
      <c r="ER152" s="54">
        <f t="shared" si="354"/>
        <v>0</v>
      </c>
      <c r="ES152" s="54">
        <f t="shared" si="354"/>
        <v>0</v>
      </c>
      <c r="ET152" s="54">
        <f t="shared" si="354"/>
        <v>0</v>
      </c>
      <c r="EU152" s="54">
        <f t="shared" si="354"/>
        <v>0</v>
      </c>
      <c r="EV152" s="54">
        <f t="shared" si="354"/>
        <v>0</v>
      </c>
      <c r="EW152" s="54">
        <f t="shared" si="354"/>
        <v>0</v>
      </c>
      <c r="EX152" s="54">
        <f t="shared" ref="EX152:HI152" si="355">IFERROR(-EX149/EX144,0)</f>
        <v>0</v>
      </c>
      <c r="EY152" s="54">
        <f t="shared" si="355"/>
        <v>0</v>
      </c>
      <c r="EZ152" s="54">
        <f t="shared" si="355"/>
        <v>0</v>
      </c>
      <c r="FA152" s="54">
        <f t="shared" si="355"/>
        <v>0</v>
      </c>
      <c r="FB152" s="54">
        <f t="shared" si="355"/>
        <v>0</v>
      </c>
      <c r="FC152" s="54">
        <f t="shared" si="355"/>
        <v>0</v>
      </c>
      <c r="FD152" s="54">
        <f t="shared" si="355"/>
        <v>0</v>
      </c>
      <c r="FE152" s="54">
        <f t="shared" si="355"/>
        <v>0</v>
      </c>
      <c r="FF152" s="54">
        <f t="shared" si="355"/>
        <v>0</v>
      </c>
      <c r="FG152" s="54">
        <f t="shared" si="355"/>
        <v>0</v>
      </c>
      <c r="FH152" s="54">
        <f t="shared" si="355"/>
        <v>0</v>
      </c>
      <c r="FI152" s="54">
        <f t="shared" si="355"/>
        <v>0</v>
      </c>
      <c r="FJ152" s="54">
        <f t="shared" si="355"/>
        <v>0</v>
      </c>
      <c r="FK152" s="54">
        <f t="shared" si="355"/>
        <v>0</v>
      </c>
      <c r="FL152" s="54">
        <f t="shared" si="355"/>
        <v>0</v>
      </c>
      <c r="FM152" s="54">
        <f t="shared" si="355"/>
        <v>0</v>
      </c>
      <c r="FN152" s="54">
        <f t="shared" si="355"/>
        <v>0</v>
      </c>
      <c r="FO152" s="54">
        <f t="shared" si="355"/>
        <v>0</v>
      </c>
      <c r="FP152" s="54">
        <f t="shared" si="355"/>
        <v>0</v>
      </c>
      <c r="FQ152" s="54">
        <f t="shared" si="355"/>
        <v>0</v>
      </c>
      <c r="FR152" s="54">
        <f t="shared" si="355"/>
        <v>0</v>
      </c>
      <c r="FS152" s="54">
        <f t="shared" si="355"/>
        <v>0</v>
      </c>
      <c r="FT152" s="54">
        <f t="shared" si="355"/>
        <v>0</v>
      </c>
      <c r="FU152" s="54">
        <f t="shared" si="355"/>
        <v>0</v>
      </c>
      <c r="FV152" s="54">
        <f t="shared" si="355"/>
        <v>0</v>
      </c>
      <c r="FW152" s="54">
        <f t="shared" si="355"/>
        <v>0</v>
      </c>
      <c r="FX152" s="54">
        <f t="shared" si="355"/>
        <v>0</v>
      </c>
      <c r="FY152" s="54">
        <f t="shared" si="355"/>
        <v>0</v>
      </c>
      <c r="FZ152" s="54">
        <f t="shared" si="355"/>
        <v>0</v>
      </c>
      <c r="GA152" s="54">
        <f t="shared" si="355"/>
        <v>0</v>
      </c>
      <c r="GB152" s="54">
        <f t="shared" si="355"/>
        <v>0</v>
      </c>
      <c r="GC152" s="54">
        <f t="shared" si="355"/>
        <v>0</v>
      </c>
      <c r="GD152" s="54">
        <f t="shared" si="355"/>
        <v>0</v>
      </c>
      <c r="GE152" s="54">
        <f t="shared" si="355"/>
        <v>0</v>
      </c>
      <c r="GF152" s="54">
        <f t="shared" si="355"/>
        <v>0</v>
      </c>
      <c r="GG152" s="54">
        <f t="shared" si="355"/>
        <v>0</v>
      </c>
      <c r="GH152" s="54">
        <f t="shared" si="355"/>
        <v>0</v>
      </c>
      <c r="GI152" s="54">
        <f t="shared" si="355"/>
        <v>0</v>
      </c>
      <c r="GJ152" s="54">
        <f t="shared" si="355"/>
        <v>0</v>
      </c>
      <c r="GK152" s="54">
        <f t="shared" si="355"/>
        <v>0</v>
      </c>
      <c r="GL152" s="54">
        <f t="shared" si="355"/>
        <v>0</v>
      </c>
      <c r="GM152" s="54">
        <f t="shared" si="355"/>
        <v>0</v>
      </c>
      <c r="GN152" s="54">
        <f t="shared" si="355"/>
        <v>0</v>
      </c>
      <c r="GO152" s="54">
        <f t="shared" si="355"/>
        <v>0</v>
      </c>
      <c r="GP152" s="54">
        <f t="shared" si="355"/>
        <v>0</v>
      </c>
      <c r="GQ152" s="54">
        <f t="shared" si="355"/>
        <v>0</v>
      </c>
      <c r="GR152" s="54">
        <f t="shared" si="355"/>
        <v>0</v>
      </c>
      <c r="GS152" s="54">
        <f t="shared" si="355"/>
        <v>0</v>
      </c>
      <c r="GT152" s="54">
        <f t="shared" si="355"/>
        <v>0</v>
      </c>
      <c r="GU152" s="54">
        <f t="shared" si="355"/>
        <v>0</v>
      </c>
      <c r="GV152" s="54">
        <f t="shared" si="355"/>
        <v>0</v>
      </c>
      <c r="GW152" s="54">
        <f t="shared" si="355"/>
        <v>0</v>
      </c>
      <c r="GX152" s="54">
        <f t="shared" si="355"/>
        <v>0</v>
      </c>
      <c r="GY152" s="54">
        <f t="shared" si="355"/>
        <v>0</v>
      </c>
      <c r="GZ152" s="54">
        <f t="shared" si="355"/>
        <v>0</v>
      </c>
      <c r="HA152" s="54">
        <f t="shared" si="355"/>
        <v>0</v>
      </c>
      <c r="HB152" s="54">
        <f t="shared" si="355"/>
        <v>0</v>
      </c>
      <c r="HC152" s="54">
        <f t="shared" si="355"/>
        <v>0</v>
      </c>
      <c r="HD152" s="54">
        <f t="shared" si="355"/>
        <v>0</v>
      </c>
      <c r="HE152" s="54">
        <f t="shared" si="355"/>
        <v>0</v>
      </c>
      <c r="HF152" s="54">
        <f t="shared" si="355"/>
        <v>0</v>
      </c>
      <c r="HG152" s="54">
        <f t="shared" si="355"/>
        <v>0</v>
      </c>
      <c r="HH152" s="54">
        <f t="shared" si="355"/>
        <v>0</v>
      </c>
      <c r="HI152" s="54">
        <f t="shared" si="355"/>
        <v>0</v>
      </c>
      <c r="HJ152" s="54">
        <f t="shared" ref="HJ152:JU152" si="356">IFERROR(-HJ149/HJ144,0)</f>
        <v>0</v>
      </c>
      <c r="HK152" s="54">
        <f t="shared" si="356"/>
        <v>0</v>
      </c>
      <c r="HL152" s="54">
        <f t="shared" si="356"/>
        <v>0</v>
      </c>
      <c r="HM152" s="54">
        <f t="shared" si="356"/>
        <v>0</v>
      </c>
      <c r="HN152" s="54">
        <f t="shared" si="356"/>
        <v>0</v>
      </c>
      <c r="HO152" s="54">
        <f t="shared" si="356"/>
        <v>0</v>
      </c>
      <c r="HP152" s="54">
        <f t="shared" si="356"/>
        <v>0</v>
      </c>
      <c r="HQ152" s="54">
        <f t="shared" si="356"/>
        <v>0</v>
      </c>
      <c r="HR152" s="54">
        <f t="shared" si="356"/>
        <v>0</v>
      </c>
      <c r="HS152" s="54">
        <f t="shared" si="356"/>
        <v>0</v>
      </c>
      <c r="HT152" s="54">
        <f t="shared" si="356"/>
        <v>0</v>
      </c>
      <c r="HU152" s="54">
        <f t="shared" si="356"/>
        <v>0</v>
      </c>
      <c r="HV152" s="54">
        <f t="shared" si="356"/>
        <v>0</v>
      </c>
      <c r="HW152" s="54">
        <f t="shared" si="356"/>
        <v>0</v>
      </c>
      <c r="HX152" s="54">
        <f t="shared" si="356"/>
        <v>0</v>
      </c>
      <c r="HY152" s="54">
        <f t="shared" si="356"/>
        <v>0</v>
      </c>
      <c r="HZ152" s="54">
        <f t="shared" si="356"/>
        <v>0</v>
      </c>
      <c r="IA152" s="54">
        <f t="shared" si="356"/>
        <v>0</v>
      </c>
      <c r="IB152" s="54">
        <f t="shared" si="356"/>
        <v>0</v>
      </c>
      <c r="IC152" s="54">
        <f t="shared" si="356"/>
        <v>0</v>
      </c>
      <c r="ID152" s="54">
        <f t="shared" si="356"/>
        <v>0</v>
      </c>
      <c r="IE152" s="54">
        <f t="shared" si="356"/>
        <v>0</v>
      </c>
      <c r="IF152" s="54">
        <f t="shared" si="356"/>
        <v>0</v>
      </c>
      <c r="IG152" s="54">
        <f t="shared" si="356"/>
        <v>0</v>
      </c>
      <c r="IH152" s="54">
        <f t="shared" si="356"/>
        <v>0</v>
      </c>
      <c r="II152" s="54">
        <f t="shared" si="356"/>
        <v>0</v>
      </c>
      <c r="IJ152" s="54">
        <f t="shared" si="356"/>
        <v>0</v>
      </c>
      <c r="IK152" s="54">
        <f t="shared" si="356"/>
        <v>0</v>
      </c>
      <c r="IL152" s="54">
        <f t="shared" si="356"/>
        <v>0</v>
      </c>
      <c r="IM152" s="54">
        <f t="shared" si="356"/>
        <v>0</v>
      </c>
      <c r="IN152" s="54">
        <f t="shared" si="356"/>
        <v>0</v>
      </c>
      <c r="IO152" s="54">
        <f t="shared" si="356"/>
        <v>0</v>
      </c>
      <c r="IP152" s="54">
        <f t="shared" si="356"/>
        <v>0</v>
      </c>
      <c r="IQ152" s="54">
        <f t="shared" si="356"/>
        <v>0</v>
      </c>
      <c r="IR152" s="54">
        <f t="shared" si="356"/>
        <v>0</v>
      </c>
      <c r="IS152" s="54">
        <f t="shared" si="356"/>
        <v>0</v>
      </c>
      <c r="IT152" s="54">
        <f t="shared" si="356"/>
        <v>0</v>
      </c>
      <c r="IU152" s="54">
        <f t="shared" si="356"/>
        <v>0</v>
      </c>
      <c r="IV152" s="54">
        <f t="shared" si="356"/>
        <v>0</v>
      </c>
      <c r="IW152" s="54">
        <f t="shared" si="356"/>
        <v>0</v>
      </c>
      <c r="IX152" s="54">
        <f t="shared" si="356"/>
        <v>0</v>
      </c>
      <c r="IY152" s="54">
        <f t="shared" si="356"/>
        <v>0</v>
      </c>
      <c r="IZ152" s="54">
        <f t="shared" si="356"/>
        <v>0</v>
      </c>
      <c r="JA152" s="54">
        <f t="shared" si="356"/>
        <v>0</v>
      </c>
      <c r="JB152" s="54">
        <f t="shared" si="356"/>
        <v>0</v>
      </c>
      <c r="JC152" s="54">
        <f t="shared" si="356"/>
        <v>0</v>
      </c>
      <c r="JD152" s="54">
        <f t="shared" si="356"/>
        <v>0</v>
      </c>
      <c r="JE152" s="54">
        <f t="shared" si="356"/>
        <v>0</v>
      </c>
      <c r="JF152" s="54">
        <f t="shared" si="356"/>
        <v>0</v>
      </c>
      <c r="JG152" s="54">
        <f t="shared" si="356"/>
        <v>0</v>
      </c>
      <c r="JH152" s="54">
        <f t="shared" si="356"/>
        <v>0</v>
      </c>
      <c r="JI152" s="54">
        <f t="shared" si="356"/>
        <v>0</v>
      </c>
      <c r="JJ152" s="54">
        <f t="shared" si="356"/>
        <v>0</v>
      </c>
      <c r="JK152" s="54">
        <f t="shared" si="356"/>
        <v>0</v>
      </c>
      <c r="JL152" s="54">
        <f t="shared" si="356"/>
        <v>0</v>
      </c>
      <c r="JM152" s="54">
        <f t="shared" si="356"/>
        <v>0</v>
      </c>
      <c r="JN152" s="54">
        <f t="shared" si="356"/>
        <v>0</v>
      </c>
      <c r="JO152" s="54">
        <f t="shared" si="356"/>
        <v>0</v>
      </c>
      <c r="JP152" s="54">
        <f t="shared" si="356"/>
        <v>0</v>
      </c>
      <c r="JQ152" s="54">
        <f t="shared" si="356"/>
        <v>0</v>
      </c>
      <c r="JR152" s="54">
        <f t="shared" si="356"/>
        <v>0</v>
      </c>
      <c r="JS152" s="54">
        <f t="shared" si="356"/>
        <v>0</v>
      </c>
      <c r="JT152" s="54">
        <f t="shared" si="356"/>
        <v>0</v>
      </c>
      <c r="JU152" s="54">
        <f t="shared" si="356"/>
        <v>0</v>
      </c>
      <c r="JV152" s="54">
        <f t="shared" ref="JV152:KI152" si="357">IFERROR(-JV149/JV144,0)</f>
        <v>0</v>
      </c>
      <c r="JW152" s="54">
        <f t="shared" si="357"/>
        <v>0</v>
      </c>
      <c r="JX152" s="54">
        <f t="shared" si="357"/>
        <v>0</v>
      </c>
      <c r="JY152" s="54">
        <f t="shared" si="357"/>
        <v>0</v>
      </c>
      <c r="JZ152" s="54">
        <f t="shared" si="357"/>
        <v>0</v>
      </c>
      <c r="KA152" s="54">
        <f t="shared" si="357"/>
        <v>0</v>
      </c>
      <c r="KB152" s="54">
        <f t="shared" si="357"/>
        <v>0</v>
      </c>
      <c r="KC152" s="54">
        <f t="shared" si="357"/>
        <v>0</v>
      </c>
      <c r="KD152" s="54">
        <f t="shared" si="357"/>
        <v>0</v>
      </c>
      <c r="KE152" s="54">
        <f t="shared" si="357"/>
        <v>0</v>
      </c>
      <c r="KF152" s="54">
        <f t="shared" si="357"/>
        <v>0</v>
      </c>
      <c r="KG152" s="54">
        <f t="shared" si="357"/>
        <v>0</v>
      </c>
      <c r="KH152" s="54">
        <f t="shared" si="357"/>
        <v>0</v>
      </c>
      <c r="KI152" s="54">
        <f t="shared" si="357"/>
        <v>0</v>
      </c>
      <c r="KJ152" s="1"/>
    </row>
    <row r="153" spans="11:296" x14ac:dyDescent="0.35">
      <c r="KJ153" s="1"/>
    </row>
    <row r="154" spans="11:296" x14ac:dyDescent="0.35">
      <c r="K154" s="19" t="s">
        <v>210</v>
      </c>
      <c r="L154" s="19"/>
      <c r="M154" s="16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  <c r="EW154" s="17"/>
      <c r="EX154" s="17"/>
      <c r="EY154" s="17"/>
      <c r="EZ154" s="17"/>
      <c r="FA154" s="17"/>
      <c r="FB154" s="17"/>
      <c r="FC154" s="17"/>
      <c r="FD154" s="17"/>
      <c r="FE154" s="17"/>
      <c r="FF154" s="17"/>
      <c r="FG154" s="17"/>
      <c r="FH154" s="17"/>
      <c r="FI154" s="17"/>
      <c r="FJ154" s="17"/>
      <c r="FK154" s="17"/>
      <c r="FL154" s="17"/>
      <c r="FM154" s="17"/>
      <c r="FN154" s="17"/>
      <c r="FO154" s="17"/>
      <c r="FP154" s="17"/>
      <c r="FQ154" s="17"/>
      <c r="FR154" s="17"/>
      <c r="FS154" s="17"/>
      <c r="FT154" s="17"/>
      <c r="FU154" s="17"/>
      <c r="FV154" s="17"/>
      <c r="FW154" s="17"/>
      <c r="FX154" s="17"/>
      <c r="FY154" s="17"/>
      <c r="FZ154" s="17"/>
      <c r="GA154" s="17"/>
      <c r="GB154" s="17"/>
      <c r="GC154" s="17"/>
      <c r="GD154" s="17"/>
      <c r="GE154" s="17"/>
      <c r="GF154" s="17"/>
      <c r="GG154" s="17"/>
      <c r="GH154" s="17"/>
      <c r="GI154" s="17"/>
      <c r="GJ154" s="17"/>
      <c r="GK154" s="17"/>
      <c r="GL154" s="17"/>
      <c r="GM154" s="17"/>
      <c r="GN154" s="17"/>
      <c r="GO154" s="17"/>
      <c r="GP154" s="17"/>
      <c r="GQ154" s="17"/>
      <c r="GR154" s="17"/>
      <c r="GS154" s="17"/>
      <c r="GT154" s="17"/>
      <c r="GU154" s="17"/>
      <c r="GV154" s="17"/>
      <c r="GW154" s="17"/>
      <c r="GX154" s="17"/>
      <c r="GY154" s="17"/>
      <c r="GZ154" s="17"/>
      <c r="HA154" s="17"/>
      <c r="HB154" s="17"/>
      <c r="HC154" s="17"/>
      <c r="HD154" s="17"/>
      <c r="HE154" s="17"/>
      <c r="HF154" s="17"/>
      <c r="HG154" s="17"/>
      <c r="HH154" s="17"/>
      <c r="HI154" s="17"/>
      <c r="HJ154" s="17"/>
      <c r="HK154" s="17"/>
      <c r="HL154" s="17"/>
      <c r="HM154" s="17"/>
      <c r="HN154" s="17"/>
      <c r="HO154" s="17"/>
      <c r="HP154" s="17"/>
      <c r="HQ154" s="17"/>
      <c r="HR154" s="17"/>
      <c r="HS154" s="17"/>
      <c r="HT154" s="17"/>
      <c r="HU154" s="17"/>
      <c r="HV154" s="17"/>
      <c r="HW154" s="17"/>
      <c r="HX154" s="17"/>
      <c r="HY154" s="17"/>
      <c r="HZ154" s="17"/>
      <c r="IA154" s="17"/>
      <c r="IB154" s="17"/>
      <c r="IC154" s="17"/>
      <c r="ID154" s="17"/>
      <c r="IE154" s="17"/>
      <c r="IF154" s="17"/>
      <c r="IG154" s="17"/>
      <c r="IH154" s="17"/>
      <c r="II154" s="17"/>
      <c r="IJ154" s="17"/>
      <c r="IK154" s="17"/>
      <c r="IL154" s="17"/>
      <c r="IM154" s="17"/>
      <c r="IN154" s="17"/>
      <c r="IO154" s="17"/>
      <c r="IP154" s="17"/>
      <c r="IQ154" s="17"/>
      <c r="IR154" s="17"/>
      <c r="IS154" s="17"/>
      <c r="IT154" s="17"/>
      <c r="IU154" s="17"/>
      <c r="IV154" s="17"/>
      <c r="IW154" s="17"/>
      <c r="IX154" s="17"/>
      <c r="IY154" s="17"/>
      <c r="IZ154" s="17"/>
      <c r="JA154" s="17"/>
      <c r="JB154" s="17"/>
      <c r="JC154" s="17"/>
      <c r="JD154" s="17"/>
      <c r="JE154" s="17"/>
      <c r="JF154" s="17"/>
      <c r="JG154" s="17"/>
      <c r="JH154" s="17"/>
      <c r="JI154" s="17"/>
      <c r="JJ154" s="17"/>
      <c r="JK154" s="17"/>
      <c r="JL154" s="17"/>
      <c r="JM154" s="17"/>
      <c r="JN154" s="17"/>
      <c r="JO154" s="17"/>
      <c r="JP154" s="17"/>
      <c r="JQ154" s="17"/>
      <c r="JR154" s="17"/>
      <c r="JS154" s="17"/>
      <c r="JT154" s="17"/>
      <c r="JU154" s="17"/>
      <c r="JV154" s="17"/>
      <c r="JW154" s="17"/>
      <c r="JX154" s="17"/>
      <c r="JY154" s="17"/>
      <c r="JZ154" s="17"/>
      <c r="KA154" s="17"/>
      <c r="KB154" s="17"/>
      <c r="KC154" s="17"/>
      <c r="KD154" s="17"/>
      <c r="KE154" s="17"/>
      <c r="KF154" s="17"/>
      <c r="KG154" s="17"/>
      <c r="KH154" s="17"/>
      <c r="KI154" s="17"/>
      <c r="KJ154" s="1"/>
    </row>
    <row r="155" spans="11:296" x14ac:dyDescent="0.35">
      <c r="KJ155" s="1"/>
    </row>
    <row r="156" spans="11:296" x14ac:dyDescent="0.35">
      <c r="L156" s="22" t="s">
        <v>81</v>
      </c>
      <c r="KJ156" s="1"/>
    </row>
    <row r="157" spans="11:296" x14ac:dyDescent="0.35">
      <c r="M157" s="15" t="s">
        <v>81</v>
      </c>
      <c r="N157" s="48">
        <f t="shared" ref="N157:BY157" si="358">N138+N141</f>
        <v>0</v>
      </c>
      <c r="O157" s="48">
        <f t="shared" si="358"/>
        <v>0</v>
      </c>
      <c r="P157" s="48">
        <f t="shared" si="358"/>
        <v>0</v>
      </c>
      <c r="Q157" s="48">
        <f t="shared" si="358"/>
        <v>0</v>
      </c>
      <c r="R157" s="48">
        <f t="shared" si="358"/>
        <v>0</v>
      </c>
      <c r="S157" s="48">
        <f t="shared" si="358"/>
        <v>-10.017777777777777</v>
      </c>
      <c r="T157" s="48">
        <f t="shared" si="358"/>
        <v>0</v>
      </c>
      <c r="U157" s="48">
        <f t="shared" si="358"/>
        <v>0</v>
      </c>
      <c r="V157" s="48">
        <f t="shared" si="358"/>
        <v>0</v>
      </c>
      <c r="W157" s="48">
        <f t="shared" si="358"/>
        <v>0</v>
      </c>
      <c r="X157" s="48">
        <f t="shared" si="358"/>
        <v>0</v>
      </c>
      <c r="Y157" s="48">
        <f t="shared" si="358"/>
        <v>-7.0939236111111121</v>
      </c>
      <c r="Z157" s="48">
        <f t="shared" si="358"/>
        <v>0</v>
      </c>
      <c r="AA157" s="48">
        <f t="shared" si="358"/>
        <v>0</v>
      </c>
      <c r="AB157" s="48">
        <f t="shared" si="358"/>
        <v>0</v>
      </c>
      <c r="AC157" s="48">
        <f t="shared" si="358"/>
        <v>0</v>
      </c>
      <c r="AD157" s="48">
        <f t="shared" si="358"/>
        <v>0</v>
      </c>
      <c r="AE157" s="48">
        <f t="shared" si="358"/>
        <v>-7.8743055555555568</v>
      </c>
      <c r="AF157" s="48">
        <f t="shared" si="358"/>
        <v>0</v>
      </c>
      <c r="AG157" s="48">
        <f t="shared" si="358"/>
        <v>0</v>
      </c>
      <c r="AH157" s="48">
        <f t="shared" si="358"/>
        <v>0</v>
      </c>
      <c r="AI157" s="48">
        <f t="shared" si="358"/>
        <v>0</v>
      </c>
      <c r="AJ157" s="48">
        <f t="shared" si="358"/>
        <v>0</v>
      </c>
      <c r="AK157" s="48">
        <f t="shared" si="358"/>
        <v>-6.8723958333333339</v>
      </c>
      <c r="AL157" s="48">
        <f t="shared" si="358"/>
        <v>0</v>
      </c>
      <c r="AM157" s="48">
        <f t="shared" si="358"/>
        <v>0</v>
      </c>
      <c r="AN157" s="48">
        <f t="shared" si="358"/>
        <v>0</v>
      </c>
      <c r="AO157" s="48">
        <f t="shared" si="358"/>
        <v>0</v>
      </c>
      <c r="AP157" s="48">
        <f t="shared" si="358"/>
        <v>0</v>
      </c>
      <c r="AQ157" s="48">
        <f t="shared" si="358"/>
        <v>-6.0215277777777807</v>
      </c>
      <c r="AR157" s="48">
        <f t="shared" si="358"/>
        <v>0</v>
      </c>
      <c r="AS157" s="48">
        <f t="shared" si="358"/>
        <v>0</v>
      </c>
      <c r="AT157" s="48">
        <f t="shared" si="358"/>
        <v>0</v>
      </c>
      <c r="AU157" s="48">
        <f t="shared" si="358"/>
        <v>0</v>
      </c>
      <c r="AV157" s="48">
        <f t="shared" si="358"/>
        <v>0</v>
      </c>
      <c r="AW157" s="48">
        <f t="shared" si="358"/>
        <v>-5.0095486111111178</v>
      </c>
      <c r="AX157" s="48">
        <f t="shared" si="358"/>
        <v>0</v>
      </c>
      <c r="AY157" s="48">
        <f t="shared" si="358"/>
        <v>0</v>
      </c>
      <c r="AZ157" s="48">
        <f t="shared" si="358"/>
        <v>0</v>
      </c>
      <c r="BA157" s="48">
        <f t="shared" si="358"/>
        <v>0</v>
      </c>
      <c r="BB157" s="48">
        <f t="shared" si="358"/>
        <v>0</v>
      </c>
      <c r="BC157" s="48">
        <f t="shared" si="358"/>
        <v>-4.1687500000000028</v>
      </c>
      <c r="BD157" s="48">
        <f t="shared" si="358"/>
        <v>0</v>
      </c>
      <c r="BE157" s="48">
        <f t="shared" si="358"/>
        <v>0</v>
      </c>
      <c r="BF157" s="48">
        <f t="shared" si="358"/>
        <v>0</v>
      </c>
      <c r="BG157" s="48">
        <f t="shared" si="358"/>
        <v>0</v>
      </c>
      <c r="BH157" s="48">
        <f t="shared" si="358"/>
        <v>0</v>
      </c>
      <c r="BI157" s="48">
        <f t="shared" si="358"/>
        <v>-3.1869791666666742</v>
      </c>
      <c r="BJ157" s="48">
        <f t="shared" si="358"/>
        <v>0</v>
      </c>
      <c r="BK157" s="48">
        <f t="shared" si="358"/>
        <v>0</v>
      </c>
      <c r="BL157" s="48">
        <f t="shared" si="358"/>
        <v>0</v>
      </c>
      <c r="BM157" s="48">
        <f t="shared" si="358"/>
        <v>0</v>
      </c>
      <c r="BN157" s="48">
        <f t="shared" si="358"/>
        <v>0</v>
      </c>
      <c r="BO157" s="48">
        <f t="shared" si="358"/>
        <v>-2.3159722222222214</v>
      </c>
      <c r="BP157" s="48">
        <f t="shared" si="358"/>
        <v>0</v>
      </c>
      <c r="BQ157" s="48">
        <f t="shared" si="358"/>
        <v>0</v>
      </c>
      <c r="BR157" s="48">
        <f t="shared" si="358"/>
        <v>0</v>
      </c>
      <c r="BS157" s="48">
        <f t="shared" si="358"/>
        <v>0</v>
      </c>
      <c r="BT157" s="48">
        <f t="shared" si="358"/>
        <v>0</v>
      </c>
      <c r="BU157" s="48">
        <f t="shared" si="358"/>
        <v>-1.3644097222222129</v>
      </c>
      <c r="BV157" s="48">
        <f t="shared" si="358"/>
        <v>0</v>
      </c>
      <c r="BW157" s="48">
        <f t="shared" si="358"/>
        <v>0</v>
      </c>
      <c r="BX157" s="48">
        <f t="shared" si="358"/>
        <v>0</v>
      </c>
      <c r="BY157" s="48">
        <f t="shared" si="358"/>
        <v>0</v>
      </c>
      <c r="BZ157" s="48">
        <f t="shared" ref="BZ157:EK157" si="359">BZ138+BZ141</f>
        <v>0</v>
      </c>
      <c r="CA157" s="48">
        <f t="shared" si="359"/>
        <v>-0.46319444444444713</v>
      </c>
      <c r="CB157" s="48">
        <f t="shared" si="359"/>
        <v>0</v>
      </c>
      <c r="CC157" s="48">
        <f t="shared" si="359"/>
        <v>0</v>
      </c>
      <c r="CD157" s="48">
        <f t="shared" si="359"/>
        <v>0</v>
      </c>
      <c r="CE157" s="48">
        <f t="shared" si="359"/>
        <v>0</v>
      </c>
      <c r="CF157" s="48">
        <f t="shared" si="359"/>
        <v>0</v>
      </c>
      <c r="CG157" s="48">
        <f t="shared" si="359"/>
        <v>0</v>
      </c>
      <c r="CH157" s="48">
        <f t="shared" si="359"/>
        <v>0</v>
      </c>
      <c r="CI157" s="48">
        <f t="shared" si="359"/>
        <v>0</v>
      </c>
      <c r="CJ157" s="48">
        <f t="shared" si="359"/>
        <v>0</v>
      </c>
      <c r="CK157" s="48">
        <f t="shared" si="359"/>
        <v>0</v>
      </c>
      <c r="CL157" s="48">
        <f t="shared" si="359"/>
        <v>0</v>
      </c>
      <c r="CM157" s="48">
        <f t="shared" si="359"/>
        <v>0</v>
      </c>
      <c r="CN157" s="48">
        <f t="shared" si="359"/>
        <v>0</v>
      </c>
      <c r="CO157" s="48">
        <f t="shared" si="359"/>
        <v>0</v>
      </c>
      <c r="CP157" s="48">
        <f t="shared" si="359"/>
        <v>0</v>
      </c>
      <c r="CQ157" s="48">
        <f t="shared" si="359"/>
        <v>0</v>
      </c>
      <c r="CR157" s="48">
        <f t="shared" si="359"/>
        <v>0</v>
      </c>
      <c r="CS157" s="48">
        <f t="shared" si="359"/>
        <v>0</v>
      </c>
      <c r="CT157" s="48">
        <f t="shared" si="359"/>
        <v>0</v>
      </c>
      <c r="CU157" s="48">
        <f t="shared" si="359"/>
        <v>0</v>
      </c>
      <c r="CV157" s="48">
        <f t="shared" si="359"/>
        <v>0</v>
      </c>
      <c r="CW157" s="48">
        <f t="shared" si="359"/>
        <v>0</v>
      </c>
      <c r="CX157" s="48">
        <f t="shared" si="359"/>
        <v>0</v>
      </c>
      <c r="CY157" s="48">
        <f t="shared" si="359"/>
        <v>0</v>
      </c>
      <c r="CZ157" s="48">
        <f t="shared" si="359"/>
        <v>0</v>
      </c>
      <c r="DA157" s="48">
        <f t="shared" si="359"/>
        <v>0</v>
      </c>
      <c r="DB157" s="48">
        <f t="shared" si="359"/>
        <v>0</v>
      </c>
      <c r="DC157" s="48">
        <f t="shared" si="359"/>
        <v>0</v>
      </c>
      <c r="DD157" s="48">
        <f t="shared" si="359"/>
        <v>0</v>
      </c>
      <c r="DE157" s="48">
        <f t="shared" si="359"/>
        <v>0</v>
      </c>
      <c r="DF157" s="48">
        <f t="shared" si="359"/>
        <v>0</v>
      </c>
      <c r="DG157" s="48">
        <f t="shared" si="359"/>
        <v>0</v>
      </c>
      <c r="DH157" s="48">
        <f t="shared" si="359"/>
        <v>0</v>
      </c>
      <c r="DI157" s="48">
        <f t="shared" si="359"/>
        <v>0</v>
      </c>
      <c r="DJ157" s="48">
        <f t="shared" si="359"/>
        <v>0</v>
      </c>
      <c r="DK157" s="48">
        <f t="shared" si="359"/>
        <v>0</v>
      </c>
      <c r="DL157" s="48">
        <f t="shared" si="359"/>
        <v>0</v>
      </c>
      <c r="DM157" s="48">
        <f t="shared" si="359"/>
        <v>0</v>
      </c>
      <c r="DN157" s="48">
        <f t="shared" si="359"/>
        <v>0</v>
      </c>
      <c r="DO157" s="48">
        <f t="shared" si="359"/>
        <v>0</v>
      </c>
      <c r="DP157" s="48">
        <f t="shared" si="359"/>
        <v>0</v>
      </c>
      <c r="DQ157" s="48">
        <f t="shared" si="359"/>
        <v>0</v>
      </c>
      <c r="DR157" s="48">
        <f t="shared" si="359"/>
        <v>0</v>
      </c>
      <c r="DS157" s="48">
        <f t="shared" si="359"/>
        <v>0</v>
      </c>
      <c r="DT157" s="48">
        <f t="shared" si="359"/>
        <v>0</v>
      </c>
      <c r="DU157" s="48">
        <f t="shared" si="359"/>
        <v>0</v>
      </c>
      <c r="DV157" s="48">
        <f t="shared" si="359"/>
        <v>0</v>
      </c>
      <c r="DW157" s="48">
        <f t="shared" si="359"/>
        <v>0</v>
      </c>
      <c r="DX157" s="48">
        <f t="shared" si="359"/>
        <v>0</v>
      </c>
      <c r="DY157" s="48">
        <f t="shared" si="359"/>
        <v>0</v>
      </c>
      <c r="DZ157" s="48">
        <f t="shared" si="359"/>
        <v>0</v>
      </c>
      <c r="EA157" s="48">
        <f t="shared" si="359"/>
        <v>0</v>
      </c>
      <c r="EB157" s="48">
        <f t="shared" si="359"/>
        <v>0</v>
      </c>
      <c r="EC157" s="48">
        <f t="shared" si="359"/>
        <v>0</v>
      </c>
      <c r="ED157" s="48">
        <f t="shared" si="359"/>
        <v>0</v>
      </c>
      <c r="EE157" s="48">
        <f t="shared" si="359"/>
        <v>0</v>
      </c>
      <c r="EF157" s="48">
        <f t="shared" si="359"/>
        <v>0</v>
      </c>
      <c r="EG157" s="48">
        <f t="shared" si="359"/>
        <v>0</v>
      </c>
      <c r="EH157" s="48">
        <f t="shared" si="359"/>
        <v>0</v>
      </c>
      <c r="EI157" s="48">
        <f t="shared" si="359"/>
        <v>0</v>
      </c>
      <c r="EJ157" s="48">
        <f t="shared" si="359"/>
        <v>0</v>
      </c>
      <c r="EK157" s="48">
        <f t="shared" si="359"/>
        <v>0</v>
      </c>
      <c r="EL157" s="48">
        <f t="shared" ref="EL157:GW157" si="360">EL138+EL141</f>
        <v>0</v>
      </c>
      <c r="EM157" s="48">
        <f t="shared" si="360"/>
        <v>0</v>
      </c>
      <c r="EN157" s="48">
        <f t="shared" si="360"/>
        <v>0</v>
      </c>
      <c r="EO157" s="48">
        <f t="shared" si="360"/>
        <v>0</v>
      </c>
      <c r="EP157" s="48">
        <f t="shared" si="360"/>
        <v>0</v>
      </c>
      <c r="EQ157" s="48">
        <f t="shared" si="360"/>
        <v>0</v>
      </c>
      <c r="ER157" s="48">
        <f t="shared" si="360"/>
        <v>0</v>
      </c>
      <c r="ES157" s="48">
        <f t="shared" si="360"/>
        <v>0</v>
      </c>
      <c r="ET157" s="48">
        <f t="shared" si="360"/>
        <v>0</v>
      </c>
      <c r="EU157" s="48">
        <f t="shared" si="360"/>
        <v>0</v>
      </c>
      <c r="EV157" s="48">
        <f t="shared" si="360"/>
        <v>0</v>
      </c>
      <c r="EW157" s="48">
        <f t="shared" si="360"/>
        <v>0</v>
      </c>
      <c r="EX157" s="48">
        <f t="shared" si="360"/>
        <v>0</v>
      </c>
      <c r="EY157" s="48">
        <f t="shared" si="360"/>
        <v>0</v>
      </c>
      <c r="EZ157" s="48">
        <f t="shared" si="360"/>
        <v>0</v>
      </c>
      <c r="FA157" s="48">
        <f t="shared" si="360"/>
        <v>0</v>
      </c>
      <c r="FB157" s="48">
        <f t="shared" si="360"/>
        <v>0</v>
      </c>
      <c r="FC157" s="48">
        <f t="shared" si="360"/>
        <v>0</v>
      </c>
      <c r="FD157" s="48">
        <f t="shared" si="360"/>
        <v>0</v>
      </c>
      <c r="FE157" s="48">
        <f t="shared" si="360"/>
        <v>0</v>
      </c>
      <c r="FF157" s="48">
        <f t="shared" si="360"/>
        <v>0</v>
      </c>
      <c r="FG157" s="48">
        <f t="shared" si="360"/>
        <v>0</v>
      </c>
      <c r="FH157" s="48">
        <f t="shared" si="360"/>
        <v>0</v>
      </c>
      <c r="FI157" s="48">
        <f t="shared" si="360"/>
        <v>0</v>
      </c>
      <c r="FJ157" s="48">
        <f t="shared" si="360"/>
        <v>0</v>
      </c>
      <c r="FK157" s="48">
        <f t="shared" si="360"/>
        <v>0</v>
      </c>
      <c r="FL157" s="48">
        <f t="shared" si="360"/>
        <v>0</v>
      </c>
      <c r="FM157" s="48">
        <f t="shared" si="360"/>
        <v>0</v>
      </c>
      <c r="FN157" s="48">
        <f t="shared" si="360"/>
        <v>0</v>
      </c>
      <c r="FO157" s="48">
        <f t="shared" si="360"/>
        <v>0</v>
      </c>
      <c r="FP157" s="48">
        <f t="shared" si="360"/>
        <v>0</v>
      </c>
      <c r="FQ157" s="48">
        <f t="shared" si="360"/>
        <v>0</v>
      </c>
      <c r="FR157" s="48">
        <f t="shared" si="360"/>
        <v>0</v>
      </c>
      <c r="FS157" s="48">
        <f t="shared" si="360"/>
        <v>0</v>
      </c>
      <c r="FT157" s="48">
        <f t="shared" si="360"/>
        <v>0</v>
      </c>
      <c r="FU157" s="48">
        <f t="shared" si="360"/>
        <v>0</v>
      </c>
      <c r="FV157" s="48">
        <f t="shared" si="360"/>
        <v>0</v>
      </c>
      <c r="FW157" s="48">
        <f t="shared" si="360"/>
        <v>0</v>
      </c>
      <c r="FX157" s="48">
        <f t="shared" si="360"/>
        <v>0</v>
      </c>
      <c r="FY157" s="48">
        <f t="shared" si="360"/>
        <v>0</v>
      </c>
      <c r="FZ157" s="48">
        <f t="shared" si="360"/>
        <v>0</v>
      </c>
      <c r="GA157" s="48">
        <f t="shared" si="360"/>
        <v>0</v>
      </c>
      <c r="GB157" s="48">
        <f t="shared" si="360"/>
        <v>0</v>
      </c>
      <c r="GC157" s="48">
        <f t="shared" si="360"/>
        <v>0</v>
      </c>
      <c r="GD157" s="48">
        <f t="shared" si="360"/>
        <v>0</v>
      </c>
      <c r="GE157" s="48">
        <f t="shared" si="360"/>
        <v>0</v>
      </c>
      <c r="GF157" s="48">
        <f t="shared" si="360"/>
        <v>0</v>
      </c>
      <c r="GG157" s="48">
        <f t="shared" si="360"/>
        <v>0</v>
      </c>
      <c r="GH157" s="48">
        <f t="shared" si="360"/>
        <v>0</v>
      </c>
      <c r="GI157" s="48">
        <f t="shared" si="360"/>
        <v>0</v>
      </c>
      <c r="GJ157" s="48">
        <f t="shared" si="360"/>
        <v>0</v>
      </c>
      <c r="GK157" s="48">
        <f t="shared" si="360"/>
        <v>0</v>
      </c>
      <c r="GL157" s="48">
        <f t="shared" si="360"/>
        <v>0</v>
      </c>
      <c r="GM157" s="48">
        <f t="shared" si="360"/>
        <v>0</v>
      </c>
      <c r="GN157" s="48">
        <f t="shared" si="360"/>
        <v>0</v>
      </c>
      <c r="GO157" s="48">
        <f t="shared" si="360"/>
        <v>0</v>
      </c>
      <c r="GP157" s="48">
        <f t="shared" si="360"/>
        <v>0</v>
      </c>
      <c r="GQ157" s="48">
        <f t="shared" si="360"/>
        <v>0</v>
      </c>
      <c r="GR157" s="48">
        <f t="shared" si="360"/>
        <v>0</v>
      </c>
      <c r="GS157" s="48">
        <f t="shared" si="360"/>
        <v>0</v>
      </c>
      <c r="GT157" s="48">
        <f t="shared" si="360"/>
        <v>0</v>
      </c>
      <c r="GU157" s="48">
        <f t="shared" si="360"/>
        <v>0</v>
      </c>
      <c r="GV157" s="48">
        <f t="shared" si="360"/>
        <v>0</v>
      </c>
      <c r="GW157" s="48">
        <f t="shared" si="360"/>
        <v>0</v>
      </c>
      <c r="GX157" s="48">
        <f t="shared" ref="GX157:JI157" si="361">GX138+GX141</f>
        <v>0</v>
      </c>
      <c r="GY157" s="48">
        <f t="shared" si="361"/>
        <v>0</v>
      </c>
      <c r="GZ157" s="48">
        <f t="shared" si="361"/>
        <v>0</v>
      </c>
      <c r="HA157" s="48">
        <f t="shared" si="361"/>
        <v>0</v>
      </c>
      <c r="HB157" s="48">
        <f t="shared" si="361"/>
        <v>0</v>
      </c>
      <c r="HC157" s="48">
        <f t="shared" si="361"/>
        <v>0</v>
      </c>
      <c r="HD157" s="48">
        <f t="shared" si="361"/>
        <v>0</v>
      </c>
      <c r="HE157" s="48">
        <f t="shared" si="361"/>
        <v>0</v>
      </c>
      <c r="HF157" s="48">
        <f t="shared" si="361"/>
        <v>0</v>
      </c>
      <c r="HG157" s="48">
        <f t="shared" si="361"/>
        <v>0</v>
      </c>
      <c r="HH157" s="48">
        <f t="shared" si="361"/>
        <v>0</v>
      </c>
      <c r="HI157" s="48">
        <f t="shared" si="361"/>
        <v>0</v>
      </c>
      <c r="HJ157" s="48">
        <f t="shared" si="361"/>
        <v>0</v>
      </c>
      <c r="HK157" s="48">
        <f t="shared" si="361"/>
        <v>0</v>
      </c>
      <c r="HL157" s="48">
        <f t="shared" si="361"/>
        <v>0</v>
      </c>
      <c r="HM157" s="48">
        <f t="shared" si="361"/>
        <v>0</v>
      </c>
      <c r="HN157" s="48">
        <f t="shared" si="361"/>
        <v>0</v>
      </c>
      <c r="HO157" s="48">
        <f t="shared" si="361"/>
        <v>0</v>
      </c>
      <c r="HP157" s="48">
        <f t="shared" si="361"/>
        <v>0</v>
      </c>
      <c r="HQ157" s="48">
        <f t="shared" si="361"/>
        <v>0</v>
      </c>
      <c r="HR157" s="48">
        <f t="shared" si="361"/>
        <v>0</v>
      </c>
      <c r="HS157" s="48">
        <f t="shared" si="361"/>
        <v>0</v>
      </c>
      <c r="HT157" s="48">
        <f t="shared" si="361"/>
        <v>0</v>
      </c>
      <c r="HU157" s="48">
        <f t="shared" si="361"/>
        <v>0</v>
      </c>
      <c r="HV157" s="48">
        <f t="shared" si="361"/>
        <v>0</v>
      </c>
      <c r="HW157" s="48">
        <f t="shared" si="361"/>
        <v>0</v>
      </c>
      <c r="HX157" s="48">
        <f t="shared" si="361"/>
        <v>0</v>
      </c>
      <c r="HY157" s="48">
        <f t="shared" si="361"/>
        <v>0</v>
      </c>
      <c r="HZ157" s="48">
        <f t="shared" si="361"/>
        <v>0</v>
      </c>
      <c r="IA157" s="48">
        <f t="shared" si="361"/>
        <v>0</v>
      </c>
      <c r="IB157" s="48">
        <f t="shared" si="361"/>
        <v>0</v>
      </c>
      <c r="IC157" s="48">
        <f t="shared" si="361"/>
        <v>0</v>
      </c>
      <c r="ID157" s="48">
        <f t="shared" si="361"/>
        <v>0</v>
      </c>
      <c r="IE157" s="48">
        <f t="shared" si="361"/>
        <v>0</v>
      </c>
      <c r="IF157" s="48">
        <f t="shared" si="361"/>
        <v>0</v>
      </c>
      <c r="IG157" s="48">
        <f t="shared" si="361"/>
        <v>0</v>
      </c>
      <c r="IH157" s="48">
        <f t="shared" si="361"/>
        <v>0</v>
      </c>
      <c r="II157" s="48">
        <f t="shared" si="361"/>
        <v>0</v>
      </c>
      <c r="IJ157" s="48">
        <f t="shared" si="361"/>
        <v>0</v>
      </c>
      <c r="IK157" s="48">
        <f t="shared" si="361"/>
        <v>0</v>
      </c>
      <c r="IL157" s="48">
        <f t="shared" si="361"/>
        <v>0</v>
      </c>
      <c r="IM157" s="48">
        <f t="shared" si="361"/>
        <v>0</v>
      </c>
      <c r="IN157" s="48">
        <f t="shared" si="361"/>
        <v>0</v>
      </c>
      <c r="IO157" s="48">
        <f t="shared" si="361"/>
        <v>0</v>
      </c>
      <c r="IP157" s="48">
        <f t="shared" si="361"/>
        <v>0</v>
      </c>
      <c r="IQ157" s="48">
        <f t="shared" si="361"/>
        <v>0</v>
      </c>
      <c r="IR157" s="48">
        <f t="shared" si="361"/>
        <v>0</v>
      </c>
      <c r="IS157" s="48">
        <f t="shared" si="361"/>
        <v>0</v>
      </c>
      <c r="IT157" s="48">
        <f t="shared" si="361"/>
        <v>0</v>
      </c>
      <c r="IU157" s="48">
        <f t="shared" si="361"/>
        <v>0</v>
      </c>
      <c r="IV157" s="48">
        <f t="shared" si="361"/>
        <v>0</v>
      </c>
      <c r="IW157" s="48">
        <f t="shared" si="361"/>
        <v>0</v>
      </c>
      <c r="IX157" s="48">
        <f t="shared" si="361"/>
        <v>0</v>
      </c>
      <c r="IY157" s="48">
        <f t="shared" si="361"/>
        <v>0</v>
      </c>
      <c r="IZ157" s="48">
        <f t="shared" si="361"/>
        <v>0</v>
      </c>
      <c r="JA157" s="48">
        <f t="shared" si="361"/>
        <v>0</v>
      </c>
      <c r="JB157" s="48">
        <f t="shared" si="361"/>
        <v>0</v>
      </c>
      <c r="JC157" s="48">
        <f t="shared" si="361"/>
        <v>0</v>
      </c>
      <c r="JD157" s="48">
        <f t="shared" si="361"/>
        <v>0</v>
      </c>
      <c r="JE157" s="48">
        <f t="shared" si="361"/>
        <v>0</v>
      </c>
      <c r="JF157" s="48">
        <f t="shared" si="361"/>
        <v>0</v>
      </c>
      <c r="JG157" s="48">
        <f t="shared" si="361"/>
        <v>0</v>
      </c>
      <c r="JH157" s="48">
        <f t="shared" si="361"/>
        <v>0</v>
      </c>
      <c r="JI157" s="48">
        <f t="shared" si="361"/>
        <v>0</v>
      </c>
      <c r="JJ157" s="48">
        <f t="shared" ref="JJ157:KI157" si="362">JJ138+JJ141</f>
        <v>0</v>
      </c>
      <c r="JK157" s="48">
        <f t="shared" si="362"/>
        <v>0</v>
      </c>
      <c r="JL157" s="48">
        <f t="shared" si="362"/>
        <v>0</v>
      </c>
      <c r="JM157" s="48">
        <f t="shared" si="362"/>
        <v>0</v>
      </c>
      <c r="JN157" s="48">
        <f t="shared" si="362"/>
        <v>0</v>
      </c>
      <c r="JO157" s="48">
        <f t="shared" si="362"/>
        <v>0</v>
      </c>
      <c r="JP157" s="48">
        <f t="shared" si="362"/>
        <v>0</v>
      </c>
      <c r="JQ157" s="48">
        <f t="shared" si="362"/>
        <v>0</v>
      </c>
      <c r="JR157" s="48">
        <f t="shared" si="362"/>
        <v>0</v>
      </c>
      <c r="JS157" s="48">
        <f t="shared" si="362"/>
        <v>0</v>
      </c>
      <c r="JT157" s="48">
        <f t="shared" si="362"/>
        <v>0</v>
      </c>
      <c r="JU157" s="48">
        <f t="shared" si="362"/>
        <v>0</v>
      </c>
      <c r="JV157" s="48">
        <f t="shared" si="362"/>
        <v>0</v>
      </c>
      <c r="JW157" s="48">
        <f t="shared" si="362"/>
        <v>0</v>
      </c>
      <c r="JX157" s="48">
        <f t="shared" si="362"/>
        <v>0</v>
      </c>
      <c r="JY157" s="48">
        <f t="shared" si="362"/>
        <v>0</v>
      </c>
      <c r="JZ157" s="48">
        <f t="shared" si="362"/>
        <v>0</v>
      </c>
      <c r="KA157" s="48">
        <f t="shared" si="362"/>
        <v>0</v>
      </c>
      <c r="KB157" s="48">
        <f t="shared" si="362"/>
        <v>0</v>
      </c>
      <c r="KC157" s="48">
        <f t="shared" si="362"/>
        <v>0</v>
      </c>
      <c r="KD157" s="48">
        <f t="shared" si="362"/>
        <v>0</v>
      </c>
      <c r="KE157" s="48">
        <f t="shared" si="362"/>
        <v>0</v>
      </c>
      <c r="KF157" s="48">
        <f t="shared" si="362"/>
        <v>0</v>
      </c>
      <c r="KG157" s="48">
        <f t="shared" si="362"/>
        <v>0</v>
      </c>
      <c r="KH157" s="48">
        <f t="shared" si="362"/>
        <v>0</v>
      </c>
      <c r="KI157" s="48">
        <f t="shared" si="362"/>
        <v>0</v>
      </c>
      <c r="KJ157" s="1"/>
    </row>
    <row r="158" spans="11:296" x14ac:dyDescent="0.35">
      <c r="M158" s="29" t="s">
        <v>135</v>
      </c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>
        <f t="shared" ref="Y158:CJ158" si="363">SUM(N157:Y157)*Y$132</f>
        <v>-17.111701388888889</v>
      </c>
      <c r="Z158" s="54">
        <f t="shared" si="363"/>
        <v>0</v>
      </c>
      <c r="AA158" s="54">
        <f t="shared" si="363"/>
        <v>0</v>
      </c>
      <c r="AB158" s="54">
        <f t="shared" si="363"/>
        <v>0</v>
      </c>
      <c r="AC158" s="54">
        <f t="shared" si="363"/>
        <v>0</v>
      </c>
      <c r="AD158" s="54">
        <f t="shared" si="363"/>
        <v>0</v>
      </c>
      <c r="AE158" s="54">
        <f t="shared" si="363"/>
        <v>-14.968229166666669</v>
      </c>
      <c r="AF158" s="54">
        <f t="shared" si="363"/>
        <v>0</v>
      </c>
      <c r="AG158" s="54">
        <f t="shared" si="363"/>
        <v>0</v>
      </c>
      <c r="AH158" s="54">
        <f t="shared" si="363"/>
        <v>0</v>
      </c>
      <c r="AI158" s="54">
        <f t="shared" si="363"/>
        <v>0</v>
      </c>
      <c r="AJ158" s="54">
        <f t="shared" si="363"/>
        <v>0</v>
      </c>
      <c r="AK158" s="54">
        <f t="shared" si="363"/>
        <v>-14.746701388888891</v>
      </c>
      <c r="AL158" s="54">
        <f t="shared" si="363"/>
        <v>0</v>
      </c>
      <c r="AM158" s="54">
        <f t="shared" si="363"/>
        <v>0</v>
      </c>
      <c r="AN158" s="54">
        <f t="shared" si="363"/>
        <v>0</v>
      </c>
      <c r="AO158" s="54">
        <f t="shared" si="363"/>
        <v>0</v>
      </c>
      <c r="AP158" s="54">
        <f t="shared" si="363"/>
        <v>0</v>
      </c>
      <c r="AQ158" s="54">
        <f t="shared" si="363"/>
        <v>-12.893923611111115</v>
      </c>
      <c r="AR158" s="54">
        <f t="shared" si="363"/>
        <v>0</v>
      </c>
      <c r="AS158" s="54">
        <f t="shared" si="363"/>
        <v>0</v>
      </c>
      <c r="AT158" s="54">
        <f t="shared" si="363"/>
        <v>0</v>
      </c>
      <c r="AU158" s="54">
        <f t="shared" si="363"/>
        <v>0</v>
      </c>
      <c r="AV158" s="54">
        <f t="shared" si="363"/>
        <v>0</v>
      </c>
      <c r="AW158" s="54">
        <f t="shared" si="363"/>
        <v>-11.031076388888899</v>
      </c>
      <c r="AX158" s="54">
        <f t="shared" si="363"/>
        <v>0</v>
      </c>
      <c r="AY158" s="54">
        <f t="shared" si="363"/>
        <v>0</v>
      </c>
      <c r="AZ158" s="54">
        <f t="shared" si="363"/>
        <v>0</v>
      </c>
      <c r="BA158" s="54">
        <f t="shared" si="363"/>
        <v>0</v>
      </c>
      <c r="BB158" s="54">
        <f t="shared" si="363"/>
        <v>0</v>
      </c>
      <c r="BC158" s="54">
        <f t="shared" si="363"/>
        <v>-9.1782986111111207</v>
      </c>
      <c r="BD158" s="54">
        <f t="shared" si="363"/>
        <v>0</v>
      </c>
      <c r="BE158" s="54">
        <f t="shared" si="363"/>
        <v>0</v>
      </c>
      <c r="BF158" s="54">
        <f t="shared" si="363"/>
        <v>0</v>
      </c>
      <c r="BG158" s="54">
        <f t="shared" si="363"/>
        <v>0</v>
      </c>
      <c r="BH158" s="54">
        <f t="shared" si="363"/>
        <v>0</v>
      </c>
      <c r="BI158" s="54">
        <f t="shared" si="363"/>
        <v>-7.3557291666666771</v>
      </c>
      <c r="BJ158" s="54">
        <f t="shared" si="363"/>
        <v>0</v>
      </c>
      <c r="BK158" s="54">
        <f t="shared" si="363"/>
        <v>0</v>
      </c>
      <c r="BL158" s="54">
        <f t="shared" si="363"/>
        <v>0</v>
      </c>
      <c r="BM158" s="54">
        <f t="shared" si="363"/>
        <v>0</v>
      </c>
      <c r="BN158" s="54">
        <f t="shared" si="363"/>
        <v>0</v>
      </c>
      <c r="BO158" s="54">
        <f t="shared" si="363"/>
        <v>-5.5029513888888957</v>
      </c>
      <c r="BP158" s="54">
        <f t="shared" si="363"/>
        <v>0</v>
      </c>
      <c r="BQ158" s="54">
        <f t="shared" si="363"/>
        <v>0</v>
      </c>
      <c r="BR158" s="54">
        <f t="shared" si="363"/>
        <v>0</v>
      </c>
      <c r="BS158" s="54">
        <f t="shared" si="363"/>
        <v>0</v>
      </c>
      <c r="BT158" s="54">
        <f t="shared" si="363"/>
        <v>0</v>
      </c>
      <c r="BU158" s="54">
        <f t="shared" si="363"/>
        <v>-3.6803819444444343</v>
      </c>
      <c r="BV158" s="54">
        <f t="shared" si="363"/>
        <v>0</v>
      </c>
      <c r="BW158" s="54">
        <f t="shared" si="363"/>
        <v>0</v>
      </c>
      <c r="BX158" s="54">
        <f t="shared" si="363"/>
        <v>0</v>
      </c>
      <c r="BY158" s="54">
        <f t="shared" si="363"/>
        <v>0</v>
      </c>
      <c r="BZ158" s="54">
        <f t="shared" si="363"/>
        <v>0</v>
      </c>
      <c r="CA158" s="54">
        <f t="shared" si="363"/>
        <v>-1.82760416666666</v>
      </c>
      <c r="CB158" s="54">
        <f t="shared" si="363"/>
        <v>0</v>
      </c>
      <c r="CC158" s="54">
        <f t="shared" si="363"/>
        <v>0</v>
      </c>
      <c r="CD158" s="54">
        <f t="shared" si="363"/>
        <v>0</v>
      </c>
      <c r="CE158" s="54">
        <f t="shared" si="363"/>
        <v>0</v>
      </c>
      <c r="CF158" s="54">
        <f t="shared" si="363"/>
        <v>0</v>
      </c>
      <c r="CG158" s="54">
        <f t="shared" si="363"/>
        <v>-0.46319444444444713</v>
      </c>
      <c r="CH158" s="54">
        <f t="shared" si="363"/>
        <v>0</v>
      </c>
      <c r="CI158" s="54">
        <f t="shared" si="363"/>
        <v>0</v>
      </c>
      <c r="CJ158" s="54">
        <f t="shared" si="363"/>
        <v>0</v>
      </c>
      <c r="CK158" s="54">
        <f t="shared" ref="CK158:EV158" si="364">SUM(BZ157:CK157)*CK$132</f>
        <v>0</v>
      </c>
      <c r="CL158" s="54">
        <f t="shared" si="364"/>
        <v>0</v>
      </c>
      <c r="CM158" s="54">
        <f t="shared" si="364"/>
        <v>0</v>
      </c>
      <c r="CN158" s="54">
        <f t="shared" si="364"/>
        <v>0</v>
      </c>
      <c r="CO158" s="54">
        <f t="shared" si="364"/>
        <v>0</v>
      </c>
      <c r="CP158" s="54">
        <f t="shared" si="364"/>
        <v>0</v>
      </c>
      <c r="CQ158" s="54">
        <f t="shared" si="364"/>
        <v>0</v>
      </c>
      <c r="CR158" s="54">
        <f t="shared" si="364"/>
        <v>0</v>
      </c>
      <c r="CS158" s="54">
        <f t="shared" si="364"/>
        <v>0</v>
      </c>
      <c r="CT158" s="54">
        <f t="shared" si="364"/>
        <v>0</v>
      </c>
      <c r="CU158" s="54">
        <f t="shared" si="364"/>
        <v>0</v>
      </c>
      <c r="CV158" s="54">
        <f t="shared" si="364"/>
        <v>0</v>
      </c>
      <c r="CW158" s="54">
        <f t="shared" si="364"/>
        <v>0</v>
      </c>
      <c r="CX158" s="54">
        <f t="shared" si="364"/>
        <v>0</v>
      </c>
      <c r="CY158" s="54">
        <f t="shared" si="364"/>
        <v>0</v>
      </c>
      <c r="CZ158" s="54">
        <f t="shared" si="364"/>
        <v>0</v>
      </c>
      <c r="DA158" s="54">
        <f t="shared" si="364"/>
        <v>0</v>
      </c>
      <c r="DB158" s="54">
        <f t="shared" si="364"/>
        <v>0</v>
      </c>
      <c r="DC158" s="54">
        <f t="shared" si="364"/>
        <v>0</v>
      </c>
      <c r="DD158" s="54">
        <f t="shared" si="364"/>
        <v>0</v>
      </c>
      <c r="DE158" s="54">
        <f t="shared" si="364"/>
        <v>0</v>
      </c>
      <c r="DF158" s="54">
        <f t="shared" si="364"/>
        <v>0</v>
      </c>
      <c r="DG158" s="54">
        <f t="shared" si="364"/>
        <v>0</v>
      </c>
      <c r="DH158" s="54">
        <f t="shared" si="364"/>
        <v>0</v>
      </c>
      <c r="DI158" s="54">
        <f t="shared" si="364"/>
        <v>0</v>
      </c>
      <c r="DJ158" s="54">
        <f t="shared" si="364"/>
        <v>0</v>
      </c>
      <c r="DK158" s="54">
        <f t="shared" si="364"/>
        <v>0</v>
      </c>
      <c r="DL158" s="54">
        <f t="shared" si="364"/>
        <v>0</v>
      </c>
      <c r="DM158" s="54">
        <f t="shared" si="364"/>
        <v>0</v>
      </c>
      <c r="DN158" s="54">
        <f t="shared" si="364"/>
        <v>0</v>
      </c>
      <c r="DO158" s="54">
        <f t="shared" si="364"/>
        <v>0</v>
      </c>
      <c r="DP158" s="54">
        <f t="shared" si="364"/>
        <v>0</v>
      </c>
      <c r="DQ158" s="54">
        <f t="shared" si="364"/>
        <v>0</v>
      </c>
      <c r="DR158" s="54">
        <f t="shared" si="364"/>
        <v>0</v>
      </c>
      <c r="DS158" s="54">
        <f t="shared" si="364"/>
        <v>0</v>
      </c>
      <c r="DT158" s="54">
        <f t="shared" si="364"/>
        <v>0</v>
      </c>
      <c r="DU158" s="54">
        <f t="shared" si="364"/>
        <v>0</v>
      </c>
      <c r="DV158" s="54">
        <f t="shared" si="364"/>
        <v>0</v>
      </c>
      <c r="DW158" s="54">
        <f t="shared" si="364"/>
        <v>0</v>
      </c>
      <c r="DX158" s="54">
        <f t="shared" si="364"/>
        <v>0</v>
      </c>
      <c r="DY158" s="54">
        <f t="shared" si="364"/>
        <v>0</v>
      </c>
      <c r="DZ158" s="54">
        <f t="shared" si="364"/>
        <v>0</v>
      </c>
      <c r="EA158" s="54">
        <f t="shared" si="364"/>
        <v>0</v>
      </c>
      <c r="EB158" s="54">
        <f t="shared" si="364"/>
        <v>0</v>
      </c>
      <c r="EC158" s="54">
        <f t="shared" si="364"/>
        <v>0</v>
      </c>
      <c r="ED158" s="54">
        <f t="shared" si="364"/>
        <v>0</v>
      </c>
      <c r="EE158" s="54">
        <f t="shared" si="364"/>
        <v>0</v>
      </c>
      <c r="EF158" s="54">
        <f t="shared" si="364"/>
        <v>0</v>
      </c>
      <c r="EG158" s="54">
        <f t="shared" si="364"/>
        <v>0</v>
      </c>
      <c r="EH158" s="54">
        <f t="shared" si="364"/>
        <v>0</v>
      </c>
      <c r="EI158" s="54">
        <f t="shared" si="364"/>
        <v>0</v>
      </c>
      <c r="EJ158" s="54">
        <f t="shared" si="364"/>
        <v>0</v>
      </c>
      <c r="EK158" s="54">
        <f t="shared" si="364"/>
        <v>0</v>
      </c>
      <c r="EL158" s="54">
        <f t="shared" si="364"/>
        <v>0</v>
      </c>
      <c r="EM158" s="54">
        <f t="shared" si="364"/>
        <v>0</v>
      </c>
      <c r="EN158" s="54">
        <f t="shared" si="364"/>
        <v>0</v>
      </c>
      <c r="EO158" s="54">
        <f t="shared" si="364"/>
        <v>0</v>
      </c>
      <c r="EP158" s="54">
        <f t="shared" si="364"/>
        <v>0</v>
      </c>
      <c r="EQ158" s="54">
        <f t="shared" si="364"/>
        <v>0</v>
      </c>
      <c r="ER158" s="54">
        <f t="shared" si="364"/>
        <v>0</v>
      </c>
      <c r="ES158" s="54">
        <f t="shared" si="364"/>
        <v>0</v>
      </c>
      <c r="ET158" s="54">
        <f t="shared" si="364"/>
        <v>0</v>
      </c>
      <c r="EU158" s="54">
        <f t="shared" si="364"/>
        <v>0</v>
      </c>
      <c r="EV158" s="54">
        <f t="shared" si="364"/>
        <v>0</v>
      </c>
      <c r="EW158" s="54">
        <f t="shared" ref="EW158:HH158" si="365">SUM(EL157:EW157)*EW$132</f>
        <v>0</v>
      </c>
      <c r="EX158" s="54">
        <f t="shared" si="365"/>
        <v>0</v>
      </c>
      <c r="EY158" s="54">
        <f t="shared" si="365"/>
        <v>0</v>
      </c>
      <c r="EZ158" s="54">
        <f t="shared" si="365"/>
        <v>0</v>
      </c>
      <c r="FA158" s="54">
        <f t="shared" si="365"/>
        <v>0</v>
      </c>
      <c r="FB158" s="54">
        <f t="shared" si="365"/>
        <v>0</v>
      </c>
      <c r="FC158" s="54">
        <f t="shared" si="365"/>
        <v>0</v>
      </c>
      <c r="FD158" s="54">
        <f t="shared" si="365"/>
        <v>0</v>
      </c>
      <c r="FE158" s="54">
        <f t="shared" si="365"/>
        <v>0</v>
      </c>
      <c r="FF158" s="54">
        <f t="shared" si="365"/>
        <v>0</v>
      </c>
      <c r="FG158" s="54">
        <f t="shared" si="365"/>
        <v>0</v>
      </c>
      <c r="FH158" s="54">
        <f t="shared" si="365"/>
        <v>0</v>
      </c>
      <c r="FI158" s="54">
        <f t="shared" si="365"/>
        <v>0</v>
      </c>
      <c r="FJ158" s="54">
        <f t="shared" si="365"/>
        <v>0</v>
      </c>
      <c r="FK158" s="54">
        <f t="shared" si="365"/>
        <v>0</v>
      </c>
      <c r="FL158" s="54">
        <f t="shared" si="365"/>
        <v>0</v>
      </c>
      <c r="FM158" s="54">
        <f t="shared" si="365"/>
        <v>0</v>
      </c>
      <c r="FN158" s="54">
        <f t="shared" si="365"/>
        <v>0</v>
      </c>
      <c r="FO158" s="54">
        <f t="shared" si="365"/>
        <v>0</v>
      </c>
      <c r="FP158" s="54">
        <f t="shared" si="365"/>
        <v>0</v>
      </c>
      <c r="FQ158" s="54">
        <f t="shared" si="365"/>
        <v>0</v>
      </c>
      <c r="FR158" s="54">
        <f t="shared" si="365"/>
        <v>0</v>
      </c>
      <c r="FS158" s="54">
        <f t="shared" si="365"/>
        <v>0</v>
      </c>
      <c r="FT158" s="54">
        <f t="shared" si="365"/>
        <v>0</v>
      </c>
      <c r="FU158" s="54">
        <f t="shared" si="365"/>
        <v>0</v>
      </c>
      <c r="FV158" s="54">
        <f t="shared" si="365"/>
        <v>0</v>
      </c>
      <c r="FW158" s="54">
        <f t="shared" si="365"/>
        <v>0</v>
      </c>
      <c r="FX158" s="54">
        <f t="shared" si="365"/>
        <v>0</v>
      </c>
      <c r="FY158" s="54">
        <f t="shared" si="365"/>
        <v>0</v>
      </c>
      <c r="FZ158" s="54">
        <f t="shared" si="365"/>
        <v>0</v>
      </c>
      <c r="GA158" s="54">
        <f t="shared" si="365"/>
        <v>0</v>
      </c>
      <c r="GB158" s="54">
        <f t="shared" si="365"/>
        <v>0</v>
      </c>
      <c r="GC158" s="54">
        <f t="shared" si="365"/>
        <v>0</v>
      </c>
      <c r="GD158" s="54">
        <f t="shared" si="365"/>
        <v>0</v>
      </c>
      <c r="GE158" s="54">
        <f t="shared" si="365"/>
        <v>0</v>
      </c>
      <c r="GF158" s="54">
        <f t="shared" si="365"/>
        <v>0</v>
      </c>
      <c r="GG158" s="54">
        <f t="shared" si="365"/>
        <v>0</v>
      </c>
      <c r="GH158" s="54">
        <f t="shared" si="365"/>
        <v>0</v>
      </c>
      <c r="GI158" s="54">
        <f t="shared" si="365"/>
        <v>0</v>
      </c>
      <c r="GJ158" s="54">
        <f t="shared" si="365"/>
        <v>0</v>
      </c>
      <c r="GK158" s="54">
        <f t="shared" si="365"/>
        <v>0</v>
      </c>
      <c r="GL158" s="54">
        <f t="shared" si="365"/>
        <v>0</v>
      </c>
      <c r="GM158" s="54">
        <f t="shared" si="365"/>
        <v>0</v>
      </c>
      <c r="GN158" s="54">
        <f t="shared" si="365"/>
        <v>0</v>
      </c>
      <c r="GO158" s="54">
        <f t="shared" si="365"/>
        <v>0</v>
      </c>
      <c r="GP158" s="54">
        <f t="shared" si="365"/>
        <v>0</v>
      </c>
      <c r="GQ158" s="54">
        <f t="shared" si="365"/>
        <v>0</v>
      </c>
      <c r="GR158" s="54">
        <f t="shared" si="365"/>
        <v>0</v>
      </c>
      <c r="GS158" s="54">
        <f t="shared" si="365"/>
        <v>0</v>
      </c>
      <c r="GT158" s="54">
        <f t="shared" si="365"/>
        <v>0</v>
      </c>
      <c r="GU158" s="54">
        <f t="shared" si="365"/>
        <v>0</v>
      </c>
      <c r="GV158" s="54">
        <f t="shared" si="365"/>
        <v>0</v>
      </c>
      <c r="GW158" s="54">
        <f t="shared" si="365"/>
        <v>0</v>
      </c>
      <c r="GX158" s="54">
        <f t="shared" si="365"/>
        <v>0</v>
      </c>
      <c r="GY158" s="54">
        <f t="shared" si="365"/>
        <v>0</v>
      </c>
      <c r="GZ158" s="54">
        <f t="shared" si="365"/>
        <v>0</v>
      </c>
      <c r="HA158" s="54">
        <f t="shared" si="365"/>
        <v>0</v>
      </c>
      <c r="HB158" s="54">
        <f t="shared" si="365"/>
        <v>0</v>
      </c>
      <c r="HC158" s="54">
        <f t="shared" si="365"/>
        <v>0</v>
      </c>
      <c r="HD158" s="54">
        <f t="shared" si="365"/>
        <v>0</v>
      </c>
      <c r="HE158" s="54">
        <f t="shared" si="365"/>
        <v>0</v>
      </c>
      <c r="HF158" s="54">
        <f t="shared" si="365"/>
        <v>0</v>
      </c>
      <c r="HG158" s="54">
        <f t="shared" si="365"/>
        <v>0</v>
      </c>
      <c r="HH158" s="54">
        <f t="shared" si="365"/>
        <v>0</v>
      </c>
      <c r="HI158" s="54">
        <f t="shared" ref="HI158:JT158" si="366">SUM(GX157:HI157)*HI$132</f>
        <v>0</v>
      </c>
      <c r="HJ158" s="54">
        <f t="shared" si="366"/>
        <v>0</v>
      </c>
      <c r="HK158" s="54">
        <f t="shared" si="366"/>
        <v>0</v>
      </c>
      <c r="HL158" s="54">
        <f t="shared" si="366"/>
        <v>0</v>
      </c>
      <c r="HM158" s="54">
        <f t="shared" si="366"/>
        <v>0</v>
      </c>
      <c r="HN158" s="54">
        <f t="shared" si="366"/>
        <v>0</v>
      </c>
      <c r="HO158" s="54">
        <f t="shared" si="366"/>
        <v>0</v>
      </c>
      <c r="HP158" s="54">
        <f t="shared" si="366"/>
        <v>0</v>
      </c>
      <c r="HQ158" s="54">
        <f t="shared" si="366"/>
        <v>0</v>
      </c>
      <c r="HR158" s="54">
        <f t="shared" si="366"/>
        <v>0</v>
      </c>
      <c r="HS158" s="54">
        <f t="shared" si="366"/>
        <v>0</v>
      </c>
      <c r="HT158" s="54">
        <f t="shared" si="366"/>
        <v>0</v>
      </c>
      <c r="HU158" s="54">
        <f t="shared" si="366"/>
        <v>0</v>
      </c>
      <c r="HV158" s="54">
        <f t="shared" si="366"/>
        <v>0</v>
      </c>
      <c r="HW158" s="54">
        <f t="shared" si="366"/>
        <v>0</v>
      </c>
      <c r="HX158" s="54">
        <f t="shared" si="366"/>
        <v>0</v>
      </c>
      <c r="HY158" s="54">
        <f t="shared" si="366"/>
        <v>0</v>
      </c>
      <c r="HZ158" s="54">
        <f t="shared" si="366"/>
        <v>0</v>
      </c>
      <c r="IA158" s="54">
        <f t="shared" si="366"/>
        <v>0</v>
      </c>
      <c r="IB158" s="54">
        <f t="shared" si="366"/>
        <v>0</v>
      </c>
      <c r="IC158" s="54">
        <f t="shared" si="366"/>
        <v>0</v>
      </c>
      <c r="ID158" s="54">
        <f t="shared" si="366"/>
        <v>0</v>
      </c>
      <c r="IE158" s="54">
        <f t="shared" si="366"/>
        <v>0</v>
      </c>
      <c r="IF158" s="54">
        <f t="shared" si="366"/>
        <v>0</v>
      </c>
      <c r="IG158" s="54">
        <f t="shared" si="366"/>
        <v>0</v>
      </c>
      <c r="IH158" s="54">
        <f t="shared" si="366"/>
        <v>0</v>
      </c>
      <c r="II158" s="54">
        <f t="shared" si="366"/>
        <v>0</v>
      </c>
      <c r="IJ158" s="54">
        <f t="shared" si="366"/>
        <v>0</v>
      </c>
      <c r="IK158" s="54">
        <f t="shared" si="366"/>
        <v>0</v>
      </c>
      <c r="IL158" s="54">
        <f t="shared" si="366"/>
        <v>0</v>
      </c>
      <c r="IM158" s="54">
        <f t="shared" si="366"/>
        <v>0</v>
      </c>
      <c r="IN158" s="54">
        <f t="shared" si="366"/>
        <v>0</v>
      </c>
      <c r="IO158" s="54">
        <f t="shared" si="366"/>
        <v>0</v>
      </c>
      <c r="IP158" s="54">
        <f t="shared" si="366"/>
        <v>0</v>
      </c>
      <c r="IQ158" s="54">
        <f t="shared" si="366"/>
        <v>0</v>
      </c>
      <c r="IR158" s="54">
        <f t="shared" si="366"/>
        <v>0</v>
      </c>
      <c r="IS158" s="54">
        <f t="shared" si="366"/>
        <v>0</v>
      </c>
      <c r="IT158" s="54">
        <f t="shared" si="366"/>
        <v>0</v>
      </c>
      <c r="IU158" s="54">
        <f t="shared" si="366"/>
        <v>0</v>
      </c>
      <c r="IV158" s="54">
        <f t="shared" si="366"/>
        <v>0</v>
      </c>
      <c r="IW158" s="54">
        <f t="shared" si="366"/>
        <v>0</v>
      </c>
      <c r="IX158" s="54">
        <f t="shared" si="366"/>
        <v>0</v>
      </c>
      <c r="IY158" s="54">
        <f t="shared" si="366"/>
        <v>0</v>
      </c>
      <c r="IZ158" s="54">
        <f t="shared" si="366"/>
        <v>0</v>
      </c>
      <c r="JA158" s="54">
        <f t="shared" si="366"/>
        <v>0</v>
      </c>
      <c r="JB158" s="54">
        <f t="shared" si="366"/>
        <v>0</v>
      </c>
      <c r="JC158" s="54">
        <f t="shared" si="366"/>
        <v>0</v>
      </c>
      <c r="JD158" s="54">
        <f t="shared" si="366"/>
        <v>0</v>
      </c>
      <c r="JE158" s="54">
        <f t="shared" si="366"/>
        <v>0</v>
      </c>
      <c r="JF158" s="54">
        <f t="shared" si="366"/>
        <v>0</v>
      </c>
      <c r="JG158" s="54">
        <f t="shared" si="366"/>
        <v>0</v>
      </c>
      <c r="JH158" s="54">
        <f t="shared" si="366"/>
        <v>0</v>
      </c>
      <c r="JI158" s="54">
        <f t="shared" si="366"/>
        <v>0</v>
      </c>
      <c r="JJ158" s="54">
        <f t="shared" si="366"/>
        <v>0</v>
      </c>
      <c r="JK158" s="54">
        <f t="shared" si="366"/>
        <v>0</v>
      </c>
      <c r="JL158" s="54">
        <f t="shared" si="366"/>
        <v>0</v>
      </c>
      <c r="JM158" s="54">
        <f t="shared" si="366"/>
        <v>0</v>
      </c>
      <c r="JN158" s="54">
        <f t="shared" si="366"/>
        <v>0</v>
      </c>
      <c r="JO158" s="54">
        <f t="shared" si="366"/>
        <v>0</v>
      </c>
      <c r="JP158" s="54">
        <f t="shared" si="366"/>
        <v>0</v>
      </c>
      <c r="JQ158" s="54">
        <f t="shared" si="366"/>
        <v>0</v>
      </c>
      <c r="JR158" s="54">
        <f t="shared" si="366"/>
        <v>0</v>
      </c>
      <c r="JS158" s="54">
        <f t="shared" si="366"/>
        <v>0</v>
      </c>
      <c r="JT158" s="54">
        <f t="shared" si="366"/>
        <v>0</v>
      </c>
      <c r="JU158" s="54">
        <f t="shared" ref="JU158:MF158" si="367">SUM(JJ157:JU157)*JU$132</f>
        <v>0</v>
      </c>
      <c r="JV158" s="54">
        <f t="shared" si="367"/>
        <v>0</v>
      </c>
      <c r="JW158" s="54">
        <f t="shared" si="367"/>
        <v>0</v>
      </c>
      <c r="JX158" s="54">
        <f t="shared" si="367"/>
        <v>0</v>
      </c>
      <c r="JY158" s="54">
        <f t="shared" si="367"/>
        <v>0</v>
      </c>
      <c r="JZ158" s="54">
        <f t="shared" si="367"/>
        <v>0</v>
      </c>
      <c r="KA158" s="54">
        <f t="shared" si="367"/>
        <v>0</v>
      </c>
      <c r="KB158" s="54">
        <f t="shared" si="367"/>
        <v>0</v>
      </c>
      <c r="KC158" s="54">
        <f t="shared" si="367"/>
        <v>0</v>
      </c>
      <c r="KD158" s="54">
        <f t="shared" si="367"/>
        <v>0</v>
      </c>
      <c r="KE158" s="54">
        <f t="shared" si="367"/>
        <v>0</v>
      </c>
      <c r="KF158" s="54">
        <f t="shared" si="367"/>
        <v>0</v>
      </c>
      <c r="KG158" s="54">
        <f t="shared" si="367"/>
        <v>0</v>
      </c>
      <c r="KH158" s="54">
        <f t="shared" si="367"/>
        <v>0</v>
      </c>
      <c r="KI158" s="54">
        <f t="shared" si="367"/>
        <v>0</v>
      </c>
      <c r="KJ158" s="1"/>
    </row>
    <row r="159" spans="11:296" x14ac:dyDescent="0.35">
      <c r="KJ159" s="1"/>
    </row>
    <row r="160" spans="11:296" x14ac:dyDescent="0.35">
      <c r="L160" s="22" t="s">
        <v>20</v>
      </c>
      <c r="KJ160" s="1"/>
    </row>
    <row r="161" spans="11:296" x14ac:dyDescent="0.35">
      <c r="M161" s="15" t="str">
        <f t="shared" ref="M161" si="368">M37</f>
        <v>Cash EBITDA</v>
      </c>
      <c r="N161" s="48">
        <f>N37</f>
        <v>77.281217590757379</v>
      </c>
      <c r="O161" s="48">
        <f t="shared" ref="O161:BZ161" si="369">O37</f>
        <v>69.962567869084012</v>
      </c>
      <c r="P161" s="48">
        <f t="shared" si="369"/>
        <v>94.173555838041963</v>
      </c>
      <c r="Q161" s="48">
        <f t="shared" si="369"/>
        <v>128.24619413838747</v>
      </c>
      <c r="R161" s="48">
        <f t="shared" si="369"/>
        <v>68.120138605687032</v>
      </c>
      <c r="S161" s="48">
        <f t="shared" si="369"/>
        <v>62.489567631413145</v>
      </c>
      <c r="T161" s="48">
        <f t="shared" si="369"/>
        <v>78.684712652880805</v>
      </c>
      <c r="U161" s="48">
        <f t="shared" si="369"/>
        <v>86.948294359908346</v>
      </c>
      <c r="V161" s="48">
        <f t="shared" si="369"/>
        <v>133.82362173783869</v>
      </c>
      <c r="W161" s="48">
        <f t="shared" si="369"/>
        <v>137.61581301750581</v>
      </c>
      <c r="X161" s="48">
        <f t="shared" si="369"/>
        <v>120.30351627032113</v>
      </c>
      <c r="Y161" s="48">
        <f t="shared" si="369"/>
        <v>102.41919596661612</v>
      </c>
      <c r="Z161" s="48">
        <f t="shared" si="369"/>
        <v>45.804089076305893</v>
      </c>
      <c r="AA161" s="48">
        <f t="shared" si="369"/>
        <v>130.34239281602632</v>
      </c>
      <c r="AB161" s="48">
        <f t="shared" si="369"/>
        <v>134.44795566002529</v>
      </c>
      <c r="AC161" s="48">
        <f t="shared" si="369"/>
        <v>131.96579831628085</v>
      </c>
      <c r="AD161" s="48">
        <f t="shared" si="369"/>
        <v>114.59122734235974</v>
      </c>
      <c r="AE161" s="48">
        <f t="shared" si="369"/>
        <v>81.350294241264763</v>
      </c>
      <c r="AF161" s="48">
        <f t="shared" si="369"/>
        <v>66.193925736622219</v>
      </c>
      <c r="AG161" s="48">
        <f t="shared" si="369"/>
        <v>107.7775960085652</v>
      </c>
      <c r="AH161" s="48">
        <f t="shared" si="369"/>
        <v>46.412534727100457</v>
      </c>
      <c r="AI161" s="48">
        <f t="shared" si="369"/>
        <v>109.29105949126028</v>
      </c>
      <c r="AJ161" s="48">
        <f t="shared" si="369"/>
        <v>52.123916114884842</v>
      </c>
      <c r="AK161" s="48">
        <f t="shared" si="369"/>
        <v>105.29673418842502</v>
      </c>
      <c r="AL161" s="48">
        <f t="shared" si="369"/>
        <v>55.602054734961769</v>
      </c>
      <c r="AM161" s="48">
        <f t="shared" si="369"/>
        <v>109.11572831791545</v>
      </c>
      <c r="AN161" s="48">
        <f t="shared" si="369"/>
        <v>106.60294685919149</v>
      </c>
      <c r="AO161" s="48">
        <f t="shared" si="369"/>
        <v>61.177813692254283</v>
      </c>
      <c r="AP161" s="48">
        <f t="shared" si="369"/>
        <v>66.239673120503582</v>
      </c>
      <c r="AQ161" s="48">
        <f t="shared" si="369"/>
        <v>62.721408744178696</v>
      </c>
      <c r="AR161" s="48">
        <f t="shared" si="369"/>
        <v>46.502851998336013</v>
      </c>
      <c r="AS161" s="48">
        <f t="shared" si="369"/>
        <v>107.96369350452871</v>
      </c>
      <c r="AT161" s="48">
        <f t="shared" si="369"/>
        <v>82.959236977440881</v>
      </c>
      <c r="AU161" s="48">
        <f t="shared" si="369"/>
        <v>90.511852734269127</v>
      </c>
      <c r="AV161" s="48">
        <f t="shared" si="369"/>
        <v>87.749129187584458</v>
      </c>
      <c r="AW161" s="48">
        <f t="shared" si="369"/>
        <v>113.32994917319434</v>
      </c>
      <c r="AX161" s="48">
        <f t="shared" si="369"/>
        <v>128.66039899178074</v>
      </c>
      <c r="AY161" s="48">
        <f t="shared" si="369"/>
        <v>101.11576249623278</v>
      </c>
      <c r="AZ161" s="48">
        <f t="shared" si="369"/>
        <v>123.24727148280155</v>
      </c>
      <c r="BA161" s="48">
        <f t="shared" si="369"/>
        <v>107.98226517256779</v>
      </c>
      <c r="BB161" s="48">
        <f t="shared" si="369"/>
        <v>135.07313960947221</v>
      </c>
      <c r="BC161" s="48">
        <f t="shared" si="369"/>
        <v>93.689484115881555</v>
      </c>
      <c r="BD161" s="48">
        <f t="shared" si="369"/>
        <v>46.531056891905976</v>
      </c>
      <c r="BE161" s="48">
        <f t="shared" si="369"/>
        <v>115.81832895445834</v>
      </c>
      <c r="BF161" s="48">
        <f t="shared" si="369"/>
        <v>142.3992386422772</v>
      </c>
      <c r="BG161" s="48">
        <f t="shared" si="369"/>
        <v>79.700225575691491</v>
      </c>
      <c r="BH161" s="48">
        <f t="shared" si="369"/>
        <v>103.87275131402578</v>
      </c>
      <c r="BI161" s="48">
        <f t="shared" si="369"/>
        <v>93.592257548996344</v>
      </c>
      <c r="BJ161" s="48">
        <f t="shared" si="369"/>
        <v>123.34081419296851</v>
      </c>
      <c r="BK161" s="48">
        <f t="shared" si="369"/>
        <v>145.13701768532653</v>
      </c>
      <c r="BL161" s="48">
        <f t="shared" si="369"/>
        <v>112.99591488753582</v>
      </c>
      <c r="BM161" s="48">
        <f t="shared" si="369"/>
        <v>67.978508254746743</v>
      </c>
      <c r="BN161" s="48">
        <f t="shared" si="369"/>
        <v>86.091765841695008</v>
      </c>
      <c r="BO161" s="48">
        <f t="shared" si="369"/>
        <v>96.704909651573885</v>
      </c>
      <c r="BP161" s="48">
        <f t="shared" si="369"/>
        <v>82.988226941806445</v>
      </c>
      <c r="BQ161" s="48">
        <f t="shared" si="369"/>
        <v>106.4451189540913</v>
      </c>
      <c r="BR161" s="48">
        <f t="shared" si="369"/>
        <v>117.984178060953</v>
      </c>
      <c r="BS161" s="48">
        <f t="shared" si="369"/>
        <v>64.631417051464865</v>
      </c>
      <c r="BT161" s="48">
        <f t="shared" si="369"/>
        <v>62.935295956800168</v>
      </c>
      <c r="BU161" s="48">
        <f t="shared" si="369"/>
        <v>71.434638469648107</v>
      </c>
      <c r="BV161" s="48">
        <f t="shared" si="369"/>
        <v>74.69900898689346</v>
      </c>
      <c r="BW161" s="48">
        <f t="shared" si="369"/>
        <v>67.905877178105115</v>
      </c>
      <c r="BX161" s="48">
        <f t="shared" si="369"/>
        <v>81.372314654673147</v>
      </c>
      <c r="BY161" s="48">
        <f t="shared" si="369"/>
        <v>128.57221463205815</v>
      </c>
      <c r="BZ161" s="48">
        <f t="shared" si="369"/>
        <v>105.08408720461928</v>
      </c>
      <c r="CA161" s="48">
        <f t="shared" ref="CA161:EL161" si="370">CA37</f>
        <v>73.116201315013768</v>
      </c>
      <c r="CB161" s="48">
        <f t="shared" si="370"/>
        <v>86.147473074983623</v>
      </c>
      <c r="CC161" s="48">
        <f t="shared" si="370"/>
        <v>71.304516423625074</v>
      </c>
      <c r="CD161" s="48">
        <f t="shared" si="370"/>
        <v>55.77768303574701</v>
      </c>
      <c r="CE161" s="48">
        <f t="shared" si="370"/>
        <v>55.721345473396291</v>
      </c>
      <c r="CF161" s="48">
        <f t="shared" si="370"/>
        <v>52.13001407463571</v>
      </c>
      <c r="CG161" s="48">
        <f t="shared" si="370"/>
        <v>107.82706387435999</v>
      </c>
      <c r="CH161" s="48">
        <f t="shared" si="370"/>
        <v>68.052329960507649</v>
      </c>
      <c r="CI161" s="48">
        <f t="shared" si="370"/>
        <v>92.256290582510204</v>
      </c>
      <c r="CJ161" s="48">
        <f t="shared" si="370"/>
        <v>140.03773056482234</v>
      </c>
      <c r="CK161" s="48">
        <f t="shared" si="370"/>
        <v>106.37307369982577</v>
      </c>
      <c r="CL161" s="48">
        <f t="shared" si="370"/>
        <v>106.47358154256921</v>
      </c>
      <c r="CM161" s="48">
        <f t="shared" si="370"/>
        <v>105.12191145767378</v>
      </c>
      <c r="CN161" s="48">
        <f t="shared" si="370"/>
        <v>117.06544720587888</v>
      </c>
      <c r="CO161" s="48">
        <f t="shared" si="370"/>
        <v>67.934604033501628</v>
      </c>
      <c r="CP161" s="48">
        <f t="shared" si="370"/>
        <v>122.91849537214546</v>
      </c>
      <c r="CQ161" s="48">
        <f t="shared" si="370"/>
        <v>137.01538027465392</v>
      </c>
      <c r="CR161" s="48">
        <f t="shared" si="370"/>
        <v>146.64114722329131</v>
      </c>
      <c r="CS161" s="48">
        <f t="shared" si="370"/>
        <v>110.47516044171604</v>
      </c>
      <c r="CT161" s="48">
        <f t="shared" si="370"/>
        <v>123.08920646053932</v>
      </c>
      <c r="CU161" s="48">
        <f t="shared" si="370"/>
        <v>137.05746597633663</v>
      </c>
      <c r="CV161" s="48">
        <f t="shared" si="370"/>
        <v>134.20817713127755</v>
      </c>
      <c r="CW161" s="48">
        <f t="shared" si="370"/>
        <v>53.95928996427503</v>
      </c>
      <c r="CX161" s="48">
        <f t="shared" si="370"/>
        <v>103.95508187635019</v>
      </c>
      <c r="CY161" s="48">
        <f t="shared" si="370"/>
        <v>68.062778700363651</v>
      </c>
      <c r="CZ161" s="48">
        <f t="shared" si="370"/>
        <v>123.0322014645149</v>
      </c>
      <c r="DA161" s="48">
        <f t="shared" si="370"/>
        <v>73.120752829558683</v>
      </c>
      <c r="DB161" s="48">
        <f t="shared" si="370"/>
        <v>44.559160030877173</v>
      </c>
      <c r="DC161" s="48">
        <f t="shared" si="370"/>
        <v>134.29098001247354</v>
      </c>
      <c r="DD161" s="48">
        <f t="shared" si="370"/>
        <v>44.507518311647935</v>
      </c>
      <c r="DE161" s="48">
        <f t="shared" si="370"/>
        <v>129.76487992643428</v>
      </c>
      <c r="DF161" s="48">
        <f t="shared" si="370"/>
        <v>136.01093640665226</v>
      </c>
      <c r="DG161" s="48">
        <f t="shared" si="370"/>
        <v>104.99813168638025</v>
      </c>
      <c r="DH161" s="48">
        <f t="shared" si="370"/>
        <v>86.145020634781261</v>
      </c>
      <c r="DI161" s="48">
        <f t="shared" si="370"/>
        <v>127.42468306222344</v>
      </c>
      <c r="DJ161" s="48">
        <f t="shared" si="370"/>
        <v>137.39180137997258</v>
      </c>
      <c r="DK161" s="48">
        <f t="shared" si="370"/>
        <v>123.0216782017383</v>
      </c>
      <c r="DL161" s="48">
        <f t="shared" si="370"/>
        <v>97.957659972764219</v>
      </c>
      <c r="DM161" s="48">
        <f t="shared" si="370"/>
        <v>93.723312106203707</v>
      </c>
      <c r="DN161" s="48">
        <f t="shared" si="370"/>
        <v>118.22357269773565</v>
      </c>
      <c r="DO161" s="48">
        <f t="shared" si="370"/>
        <v>139.31128160262895</v>
      </c>
      <c r="DP161" s="48">
        <f t="shared" si="370"/>
        <v>142.19396366702267</v>
      </c>
      <c r="DQ161" s="48">
        <f t="shared" si="370"/>
        <v>121.97742175526317</v>
      </c>
      <c r="DR161" s="48">
        <f t="shared" si="370"/>
        <v>103.7258422719044</v>
      </c>
      <c r="DS161" s="48">
        <f t="shared" si="370"/>
        <v>146.47260924081402</v>
      </c>
      <c r="DT161" s="48">
        <f t="shared" si="370"/>
        <v>109.43740693793856</v>
      </c>
      <c r="DU161" s="48">
        <f t="shared" si="370"/>
        <v>66.207070170672523</v>
      </c>
      <c r="DV161" s="48">
        <f t="shared" si="370"/>
        <v>69.734537120367278</v>
      </c>
      <c r="DW161" s="48">
        <f t="shared" si="370"/>
        <v>130.10168311017642</v>
      </c>
      <c r="DX161" s="48">
        <f t="shared" si="370"/>
        <v>145.97492358287062</v>
      </c>
      <c r="DY161" s="48">
        <f t="shared" si="370"/>
        <v>77.961488680636904</v>
      </c>
      <c r="DZ161" s="48">
        <f t="shared" si="370"/>
        <v>89.314994328079194</v>
      </c>
      <c r="EA161" s="48">
        <f t="shared" si="370"/>
        <v>90.65612377778713</v>
      </c>
      <c r="EB161" s="48">
        <f t="shared" si="370"/>
        <v>134.21122730978209</v>
      </c>
      <c r="EC161" s="48">
        <f t="shared" si="370"/>
        <v>123.22225073472029</v>
      </c>
      <c r="ED161" s="48">
        <f t="shared" si="370"/>
        <v>102.41964249802454</v>
      </c>
      <c r="EE161" s="48">
        <f t="shared" si="370"/>
        <v>126.65061527035695</v>
      </c>
      <c r="EF161" s="48">
        <f t="shared" si="370"/>
        <v>71.419103306298027</v>
      </c>
      <c r="EG161" s="48">
        <f t="shared" si="370"/>
        <v>71.573280139542746</v>
      </c>
      <c r="EH161" s="48">
        <f t="shared" si="370"/>
        <v>109.08223615172612</v>
      </c>
      <c r="EI161" s="48">
        <f t="shared" si="370"/>
        <v>78.051628541774505</v>
      </c>
      <c r="EJ161" s="48">
        <f t="shared" si="370"/>
        <v>55.68004830479255</v>
      </c>
      <c r="EK161" s="48">
        <f t="shared" si="370"/>
        <v>74.69977325175968</v>
      </c>
      <c r="EL161" s="48">
        <f t="shared" si="370"/>
        <v>103.66167741041743</v>
      </c>
      <c r="EM161" s="48">
        <f t="shared" ref="EM161:GX161" si="371">EM37</f>
        <v>57.500683574552745</v>
      </c>
      <c r="EN161" s="48">
        <f t="shared" si="371"/>
        <v>115.65677592026861</v>
      </c>
      <c r="EO161" s="48">
        <f t="shared" si="371"/>
        <v>103.91725627961492</v>
      </c>
      <c r="EP161" s="48">
        <f t="shared" si="371"/>
        <v>52.11515342283699</v>
      </c>
      <c r="EQ161" s="48">
        <f t="shared" si="371"/>
        <v>50.131631394392265</v>
      </c>
      <c r="ER161" s="48">
        <f t="shared" si="371"/>
        <v>109.01255735931439</v>
      </c>
      <c r="ES161" s="48">
        <f t="shared" si="371"/>
        <v>81.394107217761572</v>
      </c>
      <c r="ET161" s="48">
        <f t="shared" si="371"/>
        <v>137.03297628524209</v>
      </c>
      <c r="EU161" s="48">
        <f t="shared" si="371"/>
        <v>140.52637932970754</v>
      </c>
      <c r="EV161" s="48">
        <f t="shared" si="371"/>
        <v>138.5649837540299</v>
      </c>
      <c r="EW161" s="48">
        <f t="shared" si="371"/>
        <v>146.31844771361111</v>
      </c>
      <c r="EX161" s="48">
        <f t="shared" si="371"/>
        <v>85.979990625744918</v>
      </c>
      <c r="EY161" s="48">
        <f t="shared" si="371"/>
        <v>113.39869070121952</v>
      </c>
      <c r="EZ161" s="48">
        <f t="shared" si="371"/>
        <v>96.459426247310219</v>
      </c>
      <c r="FA161" s="48">
        <f t="shared" si="371"/>
        <v>142.37873381211074</v>
      </c>
      <c r="FB161" s="48">
        <f t="shared" si="371"/>
        <v>55.690357507699048</v>
      </c>
      <c r="FC161" s="48">
        <f t="shared" si="371"/>
        <v>57.528502609786244</v>
      </c>
      <c r="FD161" s="48">
        <f t="shared" si="371"/>
        <v>142.77303913954665</v>
      </c>
      <c r="FE161" s="48">
        <f t="shared" si="371"/>
        <v>136.4758627925379</v>
      </c>
      <c r="FF161" s="48">
        <f t="shared" si="371"/>
        <v>128.99603113805901</v>
      </c>
      <c r="FG161" s="48">
        <f t="shared" si="371"/>
        <v>87.485255116023495</v>
      </c>
      <c r="FH161" s="48">
        <f t="shared" si="371"/>
        <v>59.268058385017248</v>
      </c>
      <c r="FI161" s="48">
        <f t="shared" si="371"/>
        <v>71.351163044966995</v>
      </c>
      <c r="FJ161" s="48">
        <f t="shared" si="371"/>
        <v>133.3934343958588</v>
      </c>
      <c r="FK161" s="48">
        <f t="shared" si="371"/>
        <v>136.1002340238276</v>
      </c>
      <c r="FL161" s="48">
        <f t="shared" si="371"/>
        <v>57.598003599243093</v>
      </c>
      <c r="FM161" s="48">
        <f t="shared" si="371"/>
        <v>116.85897188379337</v>
      </c>
      <c r="FN161" s="48">
        <f t="shared" si="371"/>
        <v>137.20203374500085</v>
      </c>
      <c r="FO161" s="48">
        <f t="shared" si="371"/>
        <v>102.25349508311228</v>
      </c>
      <c r="FP161" s="48">
        <f t="shared" si="371"/>
        <v>143.73845078030237</v>
      </c>
      <c r="FQ161" s="48">
        <f t="shared" si="371"/>
        <v>111.89314254654499</v>
      </c>
      <c r="FR161" s="48">
        <f t="shared" si="371"/>
        <v>99.509078338834456</v>
      </c>
      <c r="FS161" s="48">
        <f t="shared" si="371"/>
        <v>133.01758432787588</v>
      </c>
      <c r="FT161" s="48">
        <f t="shared" si="371"/>
        <v>144.19742120777835</v>
      </c>
      <c r="FU161" s="48">
        <f t="shared" si="371"/>
        <v>111.743726567761</v>
      </c>
      <c r="FV161" s="48">
        <f t="shared" si="371"/>
        <v>126.38503980193661</v>
      </c>
      <c r="FW161" s="48">
        <f t="shared" si="371"/>
        <v>114.53881396524423</v>
      </c>
      <c r="FX161" s="48">
        <f t="shared" si="371"/>
        <v>141.05057100852275</v>
      </c>
      <c r="FY161" s="48">
        <f t="shared" si="371"/>
        <v>134.23498988647995</v>
      </c>
      <c r="FZ161" s="48">
        <f t="shared" si="371"/>
        <v>91.997271985957866</v>
      </c>
      <c r="GA161" s="48">
        <f t="shared" si="371"/>
        <v>129.68910329573879</v>
      </c>
      <c r="GB161" s="48">
        <f t="shared" si="371"/>
        <v>98.12692181267488</v>
      </c>
      <c r="GC161" s="48">
        <f t="shared" si="371"/>
        <v>71.445891003633079</v>
      </c>
      <c r="GD161" s="48">
        <f t="shared" si="371"/>
        <v>50.171172817821244</v>
      </c>
      <c r="GE161" s="48">
        <f t="shared" si="371"/>
        <v>46.508471781927184</v>
      </c>
      <c r="GF161" s="48">
        <f t="shared" si="371"/>
        <v>50.259802606967639</v>
      </c>
      <c r="GG161" s="48">
        <f t="shared" si="371"/>
        <v>134.16173318478928</v>
      </c>
      <c r="GH161" s="48">
        <f t="shared" si="371"/>
        <v>62.793500030642257</v>
      </c>
      <c r="GI161" s="48">
        <f t="shared" si="371"/>
        <v>114.40462997352796</v>
      </c>
      <c r="GJ161" s="48">
        <f t="shared" si="371"/>
        <v>67.91161689852774</v>
      </c>
      <c r="GK161" s="48">
        <f t="shared" si="371"/>
        <v>89.199549039174201</v>
      </c>
      <c r="GL161" s="48">
        <f t="shared" si="371"/>
        <v>92.047562393922647</v>
      </c>
      <c r="GM161" s="48">
        <f t="shared" si="371"/>
        <v>69.649474428475514</v>
      </c>
      <c r="GN161" s="48">
        <f t="shared" si="371"/>
        <v>126.60849086841856</v>
      </c>
      <c r="GO161" s="48">
        <f t="shared" si="371"/>
        <v>146.43149200785226</v>
      </c>
      <c r="GP161" s="48">
        <f t="shared" si="371"/>
        <v>119.50974213231778</v>
      </c>
      <c r="GQ161" s="48">
        <f t="shared" si="371"/>
        <v>129.7704247293513</v>
      </c>
      <c r="GR161" s="48">
        <f t="shared" si="371"/>
        <v>73.069197817794389</v>
      </c>
      <c r="GS161" s="48">
        <f t="shared" si="371"/>
        <v>89.004592309221962</v>
      </c>
      <c r="GT161" s="48">
        <f t="shared" si="371"/>
        <v>76.402726896828739</v>
      </c>
      <c r="GU161" s="48">
        <f t="shared" si="371"/>
        <v>89.28190089251801</v>
      </c>
      <c r="GV161" s="48">
        <f t="shared" si="371"/>
        <v>116.82415869760914</v>
      </c>
      <c r="GW161" s="48">
        <f t="shared" si="371"/>
        <v>79.548855893191174</v>
      </c>
      <c r="GX161" s="48">
        <f t="shared" si="371"/>
        <v>107.77557005042758</v>
      </c>
      <c r="GY161" s="48">
        <f t="shared" ref="GY161:JJ161" si="372">GY37</f>
        <v>61.159065197106166</v>
      </c>
      <c r="GZ161" s="48">
        <f t="shared" si="372"/>
        <v>59.353078477855455</v>
      </c>
      <c r="HA161" s="48">
        <f t="shared" si="372"/>
        <v>81.350340237762467</v>
      </c>
      <c r="HB161" s="48">
        <f t="shared" si="372"/>
        <v>134.3521023738632</v>
      </c>
      <c r="HC161" s="48">
        <f t="shared" si="372"/>
        <v>46.399270460152522</v>
      </c>
      <c r="HD161" s="48">
        <f t="shared" si="372"/>
        <v>129.71188890935761</v>
      </c>
      <c r="HE161" s="48">
        <f t="shared" si="372"/>
        <v>135.11557428051677</v>
      </c>
      <c r="HF161" s="48">
        <f t="shared" si="372"/>
        <v>124.16373699533727</v>
      </c>
      <c r="HG161" s="48">
        <f t="shared" si="372"/>
        <v>139.46738506698185</v>
      </c>
      <c r="HH161" s="48">
        <f t="shared" si="372"/>
        <v>125.44090945942034</v>
      </c>
      <c r="HI161" s="48">
        <f t="shared" si="372"/>
        <v>69.725240456050244</v>
      </c>
      <c r="HJ161" s="48">
        <f t="shared" si="372"/>
        <v>126.68792354904252</v>
      </c>
      <c r="HK161" s="48">
        <f t="shared" si="372"/>
        <v>62.849732365078886</v>
      </c>
      <c r="HL161" s="48">
        <f t="shared" si="372"/>
        <v>141.2180747553742</v>
      </c>
      <c r="HM161" s="48">
        <f t="shared" si="372"/>
        <v>133.2511808724179</v>
      </c>
      <c r="HN161" s="48">
        <f t="shared" si="372"/>
        <v>126.53738714992065</v>
      </c>
      <c r="HO161" s="48">
        <f t="shared" si="372"/>
        <v>126.36860314385657</v>
      </c>
      <c r="HP161" s="48">
        <f t="shared" si="372"/>
        <v>64.50153290912229</v>
      </c>
      <c r="HQ161" s="48">
        <f t="shared" si="372"/>
        <v>134.47206494898205</v>
      </c>
      <c r="HR161" s="48">
        <f t="shared" si="372"/>
        <v>78.020482955371193</v>
      </c>
      <c r="HS161" s="48">
        <f t="shared" si="372"/>
        <v>51.99876211194141</v>
      </c>
      <c r="HT161" s="48">
        <f t="shared" si="372"/>
        <v>140.98703610134066</v>
      </c>
      <c r="HU161" s="48">
        <f t="shared" si="372"/>
        <v>62.932110304193763</v>
      </c>
      <c r="HV161" s="48">
        <f t="shared" si="372"/>
        <v>145.76918136209414</v>
      </c>
      <c r="HW161" s="48">
        <f t="shared" si="372"/>
        <v>141.35691885053544</v>
      </c>
      <c r="HX161" s="48">
        <f t="shared" si="372"/>
        <v>110.33438185110212</v>
      </c>
      <c r="HY161" s="48">
        <f t="shared" si="372"/>
        <v>143.31046611782941</v>
      </c>
      <c r="HZ161" s="48">
        <f t="shared" si="372"/>
        <v>52.012323724163302</v>
      </c>
      <c r="IA161" s="48">
        <f t="shared" si="372"/>
        <v>62.888516399668625</v>
      </c>
      <c r="IB161" s="48">
        <f t="shared" si="372"/>
        <v>99.328221249592318</v>
      </c>
      <c r="IC161" s="48">
        <f t="shared" si="372"/>
        <v>76.472725911586906</v>
      </c>
      <c r="ID161" s="48">
        <f t="shared" si="372"/>
        <v>144.20765626351491</v>
      </c>
      <c r="IE161" s="48">
        <f t="shared" si="372"/>
        <v>96.542721505676226</v>
      </c>
      <c r="IF161" s="48">
        <f t="shared" si="372"/>
        <v>134.41464212413135</v>
      </c>
      <c r="IG161" s="48">
        <f t="shared" si="372"/>
        <v>84.579789690698959</v>
      </c>
      <c r="IH161" s="48">
        <f t="shared" si="372"/>
        <v>136.53716670717947</v>
      </c>
      <c r="II161" s="48">
        <f t="shared" si="372"/>
        <v>118.24497241634026</v>
      </c>
      <c r="IJ161" s="48">
        <f t="shared" si="372"/>
        <v>118.47607065320977</v>
      </c>
      <c r="IK161" s="48">
        <f t="shared" si="372"/>
        <v>77.937223658287536</v>
      </c>
      <c r="IL161" s="48">
        <f t="shared" si="372"/>
        <v>115.5061302608481</v>
      </c>
      <c r="IM161" s="48">
        <f t="shared" si="372"/>
        <v>122.02634334804699</v>
      </c>
      <c r="IN161" s="48">
        <f t="shared" si="372"/>
        <v>121.89511300642276</v>
      </c>
      <c r="IO161" s="48">
        <f t="shared" si="372"/>
        <v>138.96658297578412</v>
      </c>
      <c r="IP161" s="48">
        <f t="shared" si="372"/>
        <v>111.75037395082278</v>
      </c>
      <c r="IQ161" s="48">
        <f t="shared" si="372"/>
        <v>87.475242592654453</v>
      </c>
      <c r="IR161" s="48">
        <f t="shared" si="372"/>
        <v>103.6888209020656</v>
      </c>
      <c r="IS161" s="48">
        <f t="shared" si="372"/>
        <v>89.059752726061831</v>
      </c>
      <c r="IT161" s="48">
        <f t="shared" si="372"/>
        <v>98.141957789003385</v>
      </c>
      <c r="IU161" s="48">
        <f t="shared" si="372"/>
        <v>69.813439503851782</v>
      </c>
      <c r="IV161" s="48">
        <f t="shared" si="372"/>
        <v>109.304153149085</v>
      </c>
      <c r="IW161" s="48">
        <f t="shared" si="372"/>
        <v>146.48351017719258</v>
      </c>
      <c r="IX161" s="48">
        <f t="shared" si="372"/>
        <v>96.74329701049416</v>
      </c>
      <c r="IY161" s="48">
        <f t="shared" si="372"/>
        <v>134.38434133451935</v>
      </c>
      <c r="IZ161" s="48">
        <f t="shared" si="372"/>
        <v>102.46473365753238</v>
      </c>
      <c r="JA161" s="48">
        <f t="shared" si="372"/>
        <v>105.01758772412562</v>
      </c>
      <c r="JB161" s="48">
        <f t="shared" si="372"/>
        <v>53.768604728706663</v>
      </c>
      <c r="JC161" s="48">
        <f t="shared" si="372"/>
        <v>133.4260955463111</v>
      </c>
      <c r="JD161" s="48">
        <f t="shared" si="372"/>
        <v>81.462251823222104</v>
      </c>
      <c r="JE161" s="48">
        <f t="shared" si="372"/>
        <v>81.243515875625349</v>
      </c>
      <c r="JF161" s="48">
        <f t="shared" si="372"/>
        <v>86.103319471017556</v>
      </c>
      <c r="JG161" s="48">
        <f t="shared" si="372"/>
        <v>146.6267295801641</v>
      </c>
      <c r="JH161" s="48">
        <f t="shared" si="372"/>
        <v>62.944622987628371</v>
      </c>
      <c r="JI161" s="48">
        <f t="shared" si="372"/>
        <v>135.08695929276436</v>
      </c>
      <c r="JJ161" s="48">
        <f t="shared" si="372"/>
        <v>67.949176826294178</v>
      </c>
      <c r="JK161" s="48">
        <f t="shared" ref="JK161:KI161" si="373">JK37</f>
        <v>59.235223129206368</v>
      </c>
      <c r="JL161" s="48">
        <f t="shared" si="373"/>
        <v>115.93223142847305</v>
      </c>
      <c r="JM161" s="48">
        <f t="shared" si="373"/>
        <v>141.02327868839373</v>
      </c>
      <c r="JN161" s="48">
        <f t="shared" si="373"/>
        <v>53.939212277777692</v>
      </c>
      <c r="JO161" s="48">
        <f t="shared" si="373"/>
        <v>113.36278857519684</v>
      </c>
      <c r="JP161" s="48">
        <f t="shared" si="373"/>
        <v>44.555882524262003</v>
      </c>
      <c r="JQ161" s="48">
        <f t="shared" si="373"/>
        <v>95.026114482793332</v>
      </c>
      <c r="JR161" s="48">
        <f t="shared" si="373"/>
        <v>137.96703606308637</v>
      </c>
      <c r="JS161" s="48">
        <f t="shared" si="373"/>
        <v>66.397926108410815</v>
      </c>
      <c r="JT161" s="48">
        <f t="shared" si="373"/>
        <v>137.56252916697326</v>
      </c>
      <c r="JU161" s="48">
        <f t="shared" si="373"/>
        <v>135.31050430650578</v>
      </c>
      <c r="JV161" s="48">
        <f t="shared" si="373"/>
        <v>66.250805452564066</v>
      </c>
      <c r="JW161" s="48">
        <f t="shared" si="373"/>
        <v>136.0634010213179</v>
      </c>
      <c r="JX161" s="48">
        <f t="shared" si="373"/>
        <v>46.414234370747756</v>
      </c>
      <c r="JY161" s="48">
        <f t="shared" si="373"/>
        <v>136.19100850540255</v>
      </c>
      <c r="JZ161" s="48">
        <f t="shared" si="373"/>
        <v>97.98545260341136</v>
      </c>
      <c r="KA161" s="48">
        <f t="shared" si="373"/>
        <v>59.392114050733532</v>
      </c>
      <c r="KB161" s="48">
        <f t="shared" si="373"/>
        <v>60.968425801909568</v>
      </c>
      <c r="KC161" s="48">
        <f t="shared" si="373"/>
        <v>140.02274368570906</v>
      </c>
      <c r="KD161" s="48">
        <f t="shared" si="373"/>
        <v>143.10012706104536</v>
      </c>
      <c r="KE161" s="48">
        <f t="shared" si="373"/>
        <v>90.560701159405113</v>
      </c>
      <c r="KF161" s="48">
        <f t="shared" si="373"/>
        <v>133.39850611526501</v>
      </c>
      <c r="KG161" s="48">
        <f t="shared" si="373"/>
        <v>110.60724407916086</v>
      </c>
      <c r="KH161" s="48">
        <f t="shared" si="373"/>
        <v>78.079849115921604</v>
      </c>
      <c r="KI161" s="48">
        <f t="shared" si="373"/>
        <v>92.115723103773064</v>
      </c>
      <c r="KJ161" s="1"/>
    </row>
    <row r="162" spans="11:296" x14ac:dyDescent="0.35">
      <c r="M162" s="29" t="s">
        <v>211</v>
      </c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>
        <f>SUM(N161:Y161)*Y$132</f>
        <v>1160.0683956784419</v>
      </c>
      <c r="Z162" s="54">
        <f t="shared" ref="Z162:CK162" si="374">SUM(O161:Z161)*Z$132</f>
        <v>0</v>
      </c>
      <c r="AA162" s="54">
        <f t="shared" si="374"/>
        <v>0</v>
      </c>
      <c r="AB162" s="54">
        <f t="shared" si="374"/>
        <v>0</v>
      </c>
      <c r="AC162" s="54">
        <f t="shared" si="374"/>
        <v>0</v>
      </c>
      <c r="AD162" s="54">
        <f t="shared" si="374"/>
        <v>0</v>
      </c>
      <c r="AE162" s="54">
        <f t="shared" si="374"/>
        <v>1298.2969114573339</v>
      </c>
      <c r="AF162" s="54">
        <f t="shared" si="374"/>
        <v>0</v>
      </c>
      <c r="AG162" s="54">
        <f t="shared" si="374"/>
        <v>0</v>
      </c>
      <c r="AH162" s="54">
        <f t="shared" si="374"/>
        <v>0</v>
      </c>
      <c r="AI162" s="54">
        <f t="shared" si="374"/>
        <v>0</v>
      </c>
      <c r="AJ162" s="54">
        <f t="shared" si="374"/>
        <v>0</v>
      </c>
      <c r="AK162" s="54">
        <f t="shared" si="374"/>
        <v>1125.5975237191208</v>
      </c>
      <c r="AL162" s="54">
        <f t="shared" si="374"/>
        <v>0</v>
      </c>
      <c r="AM162" s="54">
        <f t="shared" si="374"/>
        <v>0</v>
      </c>
      <c r="AN162" s="54">
        <f t="shared" si="374"/>
        <v>0</v>
      </c>
      <c r="AO162" s="54">
        <f t="shared" si="374"/>
        <v>0</v>
      </c>
      <c r="AP162" s="54">
        <f t="shared" si="374"/>
        <v>0</v>
      </c>
      <c r="AQ162" s="54">
        <f t="shared" si="374"/>
        <v>948.55539173586328</v>
      </c>
      <c r="AR162" s="54">
        <f t="shared" si="374"/>
        <v>0</v>
      </c>
      <c r="AS162" s="54">
        <f t="shared" si="374"/>
        <v>0</v>
      </c>
      <c r="AT162" s="54">
        <f t="shared" si="374"/>
        <v>0</v>
      </c>
      <c r="AU162" s="54">
        <f t="shared" si="374"/>
        <v>0</v>
      </c>
      <c r="AV162" s="54">
        <f t="shared" si="374"/>
        <v>0</v>
      </c>
      <c r="AW162" s="54">
        <f t="shared" si="374"/>
        <v>990.47633904435884</v>
      </c>
      <c r="AX162" s="54">
        <f t="shared" si="374"/>
        <v>0</v>
      </c>
      <c r="AY162" s="54">
        <f t="shared" si="374"/>
        <v>0</v>
      </c>
      <c r="AZ162" s="54">
        <f t="shared" si="374"/>
        <v>0</v>
      </c>
      <c r="BA162" s="54">
        <f t="shared" si="374"/>
        <v>0</v>
      </c>
      <c r="BB162" s="54">
        <f t="shared" si="374"/>
        <v>0</v>
      </c>
      <c r="BC162" s="54">
        <f t="shared" si="374"/>
        <v>1218.7850354440902</v>
      </c>
      <c r="BD162" s="54">
        <f t="shared" si="374"/>
        <v>0</v>
      </c>
      <c r="BE162" s="54">
        <f t="shared" si="374"/>
        <v>0</v>
      </c>
      <c r="BF162" s="54">
        <f t="shared" si="374"/>
        <v>0</v>
      </c>
      <c r="BG162" s="54">
        <f t="shared" si="374"/>
        <v>0</v>
      </c>
      <c r="BH162" s="54">
        <f t="shared" si="374"/>
        <v>0</v>
      </c>
      <c r="BI162" s="54">
        <f t="shared" si="374"/>
        <v>1271.6821807960919</v>
      </c>
      <c r="BJ162" s="54">
        <f t="shared" si="374"/>
        <v>0</v>
      </c>
      <c r="BK162" s="54">
        <f t="shared" si="374"/>
        <v>0</v>
      </c>
      <c r="BL162" s="54">
        <f t="shared" si="374"/>
        <v>0</v>
      </c>
      <c r="BM162" s="54">
        <f t="shared" si="374"/>
        <v>0</v>
      </c>
      <c r="BN162" s="54">
        <f t="shared" si="374"/>
        <v>0</v>
      </c>
      <c r="BO162" s="54">
        <f t="shared" si="374"/>
        <v>1214.1627894412015</v>
      </c>
      <c r="BP162" s="54">
        <f t="shared" si="374"/>
        <v>0</v>
      </c>
      <c r="BQ162" s="54">
        <f t="shared" si="374"/>
        <v>0</v>
      </c>
      <c r="BR162" s="54">
        <f t="shared" si="374"/>
        <v>0</v>
      </c>
      <c r="BS162" s="54">
        <f t="shared" si="374"/>
        <v>0</v>
      </c>
      <c r="BT162" s="54">
        <f t="shared" si="374"/>
        <v>0</v>
      </c>
      <c r="BU162" s="54">
        <f t="shared" si="374"/>
        <v>1138.6678059486103</v>
      </c>
      <c r="BV162" s="54">
        <f t="shared" si="374"/>
        <v>0</v>
      </c>
      <c r="BW162" s="54">
        <f t="shared" si="374"/>
        <v>0</v>
      </c>
      <c r="BX162" s="54">
        <f t="shared" si="374"/>
        <v>0</v>
      </c>
      <c r="BY162" s="54">
        <f t="shared" si="374"/>
        <v>0</v>
      </c>
      <c r="BZ162" s="54">
        <f t="shared" si="374"/>
        <v>0</v>
      </c>
      <c r="CA162" s="54">
        <f t="shared" si="374"/>
        <v>1037.1685794061268</v>
      </c>
      <c r="CB162" s="54">
        <f t="shared" si="374"/>
        <v>0</v>
      </c>
      <c r="CC162" s="54">
        <f t="shared" si="374"/>
        <v>0</v>
      </c>
      <c r="CD162" s="54">
        <f t="shared" si="374"/>
        <v>0</v>
      </c>
      <c r="CE162" s="54">
        <f t="shared" si="374"/>
        <v>0</v>
      </c>
      <c r="CF162" s="54">
        <f t="shared" si="374"/>
        <v>0</v>
      </c>
      <c r="CG162" s="54">
        <f t="shared" si="374"/>
        <v>959.65779992811042</v>
      </c>
      <c r="CH162" s="54">
        <f t="shared" si="374"/>
        <v>0</v>
      </c>
      <c r="CI162" s="54">
        <f t="shared" si="374"/>
        <v>0</v>
      </c>
      <c r="CJ162" s="54">
        <f t="shared" si="374"/>
        <v>0</v>
      </c>
      <c r="CK162" s="54">
        <f t="shared" si="374"/>
        <v>0</v>
      </c>
      <c r="CL162" s="54">
        <f t="shared" ref="CL162:EW162" si="375">SUM(CA161:CL161)*CL$132</f>
        <v>0</v>
      </c>
      <c r="CM162" s="54">
        <f t="shared" si="375"/>
        <v>1047.2230137646568</v>
      </c>
      <c r="CN162" s="54">
        <f t="shared" si="375"/>
        <v>0</v>
      </c>
      <c r="CO162" s="54">
        <f t="shared" si="375"/>
        <v>0</v>
      </c>
      <c r="CP162" s="54">
        <f t="shared" si="375"/>
        <v>0</v>
      </c>
      <c r="CQ162" s="54">
        <f t="shared" si="375"/>
        <v>0</v>
      </c>
      <c r="CR162" s="54">
        <f t="shared" si="375"/>
        <v>0</v>
      </c>
      <c r="CS162" s="54">
        <f t="shared" si="375"/>
        <v>1320.3651523590961</v>
      </c>
      <c r="CT162" s="54">
        <f t="shared" si="375"/>
        <v>0</v>
      </c>
      <c r="CU162" s="54">
        <f t="shared" si="375"/>
        <v>0</v>
      </c>
      <c r="CV162" s="54">
        <f t="shared" si="375"/>
        <v>0</v>
      </c>
      <c r="CW162" s="54">
        <f t="shared" si="375"/>
        <v>0</v>
      </c>
      <c r="CX162" s="54">
        <f t="shared" si="375"/>
        <v>0</v>
      </c>
      <c r="CY162" s="54">
        <f t="shared" si="375"/>
        <v>1322.3822346603297</v>
      </c>
      <c r="CZ162" s="54">
        <f t="shared" si="375"/>
        <v>0</v>
      </c>
      <c r="DA162" s="54">
        <f t="shared" si="375"/>
        <v>0</v>
      </c>
      <c r="DB162" s="54">
        <f t="shared" si="375"/>
        <v>0</v>
      </c>
      <c r="DC162" s="54">
        <f t="shared" si="375"/>
        <v>0</v>
      </c>
      <c r="DD162" s="54">
        <f t="shared" si="375"/>
        <v>0</v>
      </c>
      <c r="DE162" s="54">
        <f t="shared" si="375"/>
        <v>1169.6074926846491</v>
      </c>
      <c r="DF162" s="54">
        <f t="shared" si="375"/>
        <v>0</v>
      </c>
      <c r="DG162" s="54">
        <f t="shared" si="375"/>
        <v>0</v>
      </c>
      <c r="DH162" s="54">
        <f t="shared" si="375"/>
        <v>0</v>
      </c>
      <c r="DI162" s="54">
        <f t="shared" si="375"/>
        <v>0</v>
      </c>
      <c r="DJ162" s="54">
        <f t="shared" si="375"/>
        <v>0</v>
      </c>
      <c r="DK162" s="54">
        <f t="shared" si="375"/>
        <v>1264.2677439472545</v>
      </c>
      <c r="DL162" s="54">
        <f t="shared" si="375"/>
        <v>0</v>
      </c>
      <c r="DM162" s="54">
        <f t="shared" si="375"/>
        <v>0</v>
      </c>
      <c r="DN162" s="54">
        <f t="shared" si="375"/>
        <v>0</v>
      </c>
      <c r="DO162" s="54">
        <f t="shared" si="375"/>
        <v>0</v>
      </c>
      <c r="DP162" s="54">
        <f t="shared" si="375"/>
        <v>0</v>
      </c>
      <c r="DQ162" s="54">
        <f t="shared" si="375"/>
        <v>1428.3794631733663</v>
      </c>
      <c r="DR162" s="54">
        <f t="shared" si="375"/>
        <v>0</v>
      </c>
      <c r="DS162" s="54">
        <f t="shared" si="375"/>
        <v>0</v>
      </c>
      <c r="DT162" s="54">
        <f t="shared" si="375"/>
        <v>0</v>
      </c>
      <c r="DU162" s="54">
        <f t="shared" si="375"/>
        <v>0</v>
      </c>
      <c r="DV162" s="54">
        <f t="shared" si="375"/>
        <v>0</v>
      </c>
      <c r="DW162" s="54">
        <f t="shared" si="375"/>
        <v>1339.0663606534918</v>
      </c>
      <c r="DX162" s="54">
        <f t="shared" si="375"/>
        <v>0</v>
      </c>
      <c r="DY162" s="54">
        <f t="shared" si="375"/>
        <v>0</v>
      </c>
      <c r="DZ162" s="54">
        <f t="shared" si="375"/>
        <v>0</v>
      </c>
      <c r="EA162" s="54">
        <f t="shared" si="375"/>
        <v>0</v>
      </c>
      <c r="EB162" s="54">
        <f t="shared" si="375"/>
        <v>0</v>
      </c>
      <c r="EC162" s="54">
        <f t="shared" si="375"/>
        <v>1287.0201572657495</v>
      </c>
      <c r="ED162" s="54">
        <f t="shared" si="375"/>
        <v>0</v>
      </c>
      <c r="EE162" s="54">
        <f t="shared" si="375"/>
        <v>0</v>
      </c>
      <c r="EF162" s="54">
        <f t="shared" si="375"/>
        <v>0</v>
      </c>
      <c r="EG162" s="54">
        <f t="shared" si="375"/>
        <v>0</v>
      </c>
      <c r="EH162" s="54">
        <f t="shared" si="375"/>
        <v>0</v>
      </c>
      <c r="EI162" s="54">
        <f t="shared" si="375"/>
        <v>1220.5375143215992</v>
      </c>
      <c r="EJ162" s="54">
        <f t="shared" si="375"/>
        <v>0</v>
      </c>
      <c r="EK162" s="54">
        <f t="shared" si="375"/>
        <v>0</v>
      </c>
      <c r="EL162" s="54">
        <f t="shared" si="375"/>
        <v>0</v>
      </c>
      <c r="EM162" s="54">
        <f t="shared" si="375"/>
        <v>0</v>
      </c>
      <c r="EN162" s="54">
        <f t="shared" si="375"/>
        <v>0</v>
      </c>
      <c r="EO162" s="54">
        <f t="shared" si="375"/>
        <v>1070.3127206491288</v>
      </c>
      <c r="EP162" s="54">
        <f t="shared" si="375"/>
        <v>0</v>
      </c>
      <c r="EQ162" s="54">
        <f t="shared" si="375"/>
        <v>0</v>
      </c>
      <c r="ER162" s="54">
        <f t="shared" si="375"/>
        <v>0</v>
      </c>
      <c r="ES162" s="54">
        <f t="shared" si="375"/>
        <v>0</v>
      </c>
      <c r="ET162" s="54">
        <f t="shared" si="375"/>
        <v>0</v>
      </c>
      <c r="EU162" s="54">
        <f t="shared" si="375"/>
        <v>1081.3290197506608</v>
      </c>
      <c r="EV162" s="54">
        <f t="shared" si="375"/>
        <v>0</v>
      </c>
      <c r="EW162" s="54">
        <f t="shared" si="375"/>
        <v>0</v>
      </c>
      <c r="EX162" s="54">
        <f t="shared" ref="EX162:HI162" si="376">SUM(EM161:EX161)*EX$132</f>
        <v>0</v>
      </c>
      <c r="EY162" s="54">
        <f t="shared" si="376"/>
        <v>0</v>
      </c>
      <c r="EZ162" s="54">
        <f t="shared" si="376"/>
        <v>0</v>
      </c>
      <c r="FA162" s="54">
        <f t="shared" si="376"/>
        <v>1293.3130778632813</v>
      </c>
      <c r="FB162" s="54">
        <f t="shared" si="376"/>
        <v>0</v>
      </c>
      <c r="FC162" s="54">
        <f t="shared" si="376"/>
        <v>0</v>
      </c>
      <c r="FD162" s="54">
        <f t="shared" si="376"/>
        <v>0</v>
      </c>
      <c r="FE162" s="54">
        <f t="shared" si="376"/>
        <v>0</v>
      </c>
      <c r="FF162" s="54">
        <f t="shared" si="376"/>
        <v>0</v>
      </c>
      <c r="FG162" s="54">
        <f t="shared" si="376"/>
        <v>1332.0493211576786</v>
      </c>
      <c r="FH162" s="54">
        <f t="shared" si="376"/>
        <v>0</v>
      </c>
      <c r="FI162" s="54">
        <f t="shared" si="376"/>
        <v>0</v>
      </c>
      <c r="FJ162" s="54">
        <f t="shared" si="376"/>
        <v>0</v>
      </c>
      <c r="FK162" s="54">
        <f t="shared" si="376"/>
        <v>0</v>
      </c>
      <c r="FL162" s="54">
        <f t="shared" si="376"/>
        <v>0</v>
      </c>
      <c r="FM162" s="54">
        <f t="shared" si="376"/>
        <v>1183.5189136363597</v>
      </c>
      <c r="FN162" s="54">
        <f t="shared" si="376"/>
        <v>0</v>
      </c>
      <c r="FO162" s="54">
        <f t="shared" si="376"/>
        <v>0</v>
      </c>
      <c r="FP162" s="54">
        <f t="shared" si="376"/>
        <v>0</v>
      </c>
      <c r="FQ162" s="54">
        <f t="shared" si="376"/>
        <v>0</v>
      </c>
      <c r="FR162" s="54">
        <f t="shared" si="376"/>
        <v>0</v>
      </c>
      <c r="FS162" s="54">
        <f t="shared" si="376"/>
        <v>1302.1836501543783</v>
      </c>
      <c r="FT162" s="54">
        <f t="shared" si="376"/>
        <v>0</v>
      </c>
      <c r="FU162" s="54">
        <f t="shared" si="376"/>
        <v>0</v>
      </c>
      <c r="FV162" s="54">
        <f t="shared" si="376"/>
        <v>0</v>
      </c>
      <c r="FW162" s="54">
        <f t="shared" si="376"/>
        <v>0</v>
      </c>
      <c r="FX162" s="54">
        <f t="shared" si="376"/>
        <v>0</v>
      </c>
      <c r="FY162" s="54">
        <f t="shared" si="376"/>
        <v>1499.7643472593936</v>
      </c>
      <c r="FZ162" s="54">
        <f t="shared" si="376"/>
        <v>0</v>
      </c>
      <c r="GA162" s="54">
        <f t="shared" si="376"/>
        <v>0</v>
      </c>
      <c r="GB162" s="54">
        <f t="shared" si="376"/>
        <v>0</v>
      </c>
      <c r="GC162" s="54">
        <f t="shared" si="376"/>
        <v>0</v>
      </c>
      <c r="GD162" s="54">
        <f t="shared" si="376"/>
        <v>0</v>
      </c>
      <c r="GE162" s="54">
        <f t="shared" si="376"/>
        <v>1260.089395135476</v>
      </c>
      <c r="GF162" s="54">
        <f t="shared" si="376"/>
        <v>0</v>
      </c>
      <c r="GG162" s="54">
        <f t="shared" si="376"/>
        <v>0</v>
      </c>
      <c r="GH162" s="54">
        <f t="shared" si="376"/>
        <v>0</v>
      </c>
      <c r="GI162" s="54">
        <f t="shared" si="376"/>
        <v>0</v>
      </c>
      <c r="GJ162" s="54">
        <f t="shared" si="376"/>
        <v>0</v>
      </c>
      <c r="GK162" s="54">
        <f t="shared" si="376"/>
        <v>1006.6696644313822</v>
      </c>
      <c r="GL162" s="54">
        <f t="shared" si="376"/>
        <v>0</v>
      </c>
      <c r="GM162" s="54">
        <f t="shared" si="376"/>
        <v>0</v>
      </c>
      <c r="GN162" s="54">
        <f t="shared" si="376"/>
        <v>0</v>
      </c>
      <c r="GO162" s="54">
        <f t="shared" si="376"/>
        <v>0</v>
      </c>
      <c r="GP162" s="54">
        <f t="shared" si="376"/>
        <v>0</v>
      </c>
      <c r="GQ162" s="54">
        <f t="shared" si="376"/>
        <v>1202.7480182939673</v>
      </c>
      <c r="GR162" s="54">
        <f t="shared" si="376"/>
        <v>0</v>
      </c>
      <c r="GS162" s="54">
        <f t="shared" si="376"/>
        <v>0</v>
      </c>
      <c r="GT162" s="54">
        <f t="shared" si="376"/>
        <v>0</v>
      </c>
      <c r="GU162" s="54">
        <f t="shared" si="376"/>
        <v>0</v>
      </c>
      <c r="GV162" s="54">
        <f t="shared" si="376"/>
        <v>0</v>
      </c>
      <c r="GW162" s="54">
        <f t="shared" si="376"/>
        <v>1208.1486190675014</v>
      </c>
      <c r="GX162" s="54">
        <f t="shared" si="376"/>
        <v>0</v>
      </c>
      <c r="GY162" s="54">
        <f t="shared" si="376"/>
        <v>0</v>
      </c>
      <c r="GZ162" s="54">
        <f t="shared" si="376"/>
        <v>0</v>
      </c>
      <c r="HA162" s="54">
        <f t="shared" si="376"/>
        <v>0</v>
      </c>
      <c r="HB162" s="54">
        <f t="shared" si="376"/>
        <v>0</v>
      </c>
      <c r="HC162" s="54">
        <f t="shared" si="376"/>
        <v>1014.5208593043309</v>
      </c>
      <c r="HD162" s="54">
        <f t="shared" si="376"/>
        <v>0</v>
      </c>
      <c r="HE162" s="54">
        <f t="shared" si="376"/>
        <v>0</v>
      </c>
      <c r="HF162" s="54">
        <f t="shared" si="376"/>
        <v>0</v>
      </c>
      <c r="HG162" s="54">
        <f t="shared" si="376"/>
        <v>0</v>
      </c>
      <c r="HH162" s="54">
        <f t="shared" si="376"/>
        <v>0</v>
      </c>
      <c r="HI162" s="54">
        <f t="shared" si="376"/>
        <v>1214.0141619648314</v>
      </c>
      <c r="HJ162" s="54">
        <f t="shared" ref="HJ162:JU162" si="377">SUM(GY161:HJ161)*HJ$132</f>
        <v>0</v>
      </c>
      <c r="HK162" s="54">
        <f t="shared" si="377"/>
        <v>0</v>
      </c>
      <c r="HL162" s="54">
        <f t="shared" si="377"/>
        <v>0</v>
      </c>
      <c r="HM162" s="54">
        <f t="shared" si="377"/>
        <v>0</v>
      </c>
      <c r="HN162" s="54">
        <f t="shared" si="377"/>
        <v>0</v>
      </c>
      <c r="HO162" s="54">
        <f t="shared" si="377"/>
        <v>1440.537637003355</v>
      </c>
      <c r="HP162" s="54">
        <f t="shared" si="377"/>
        <v>0</v>
      </c>
      <c r="HQ162" s="54">
        <f t="shared" si="377"/>
        <v>0</v>
      </c>
      <c r="HR162" s="54">
        <f t="shared" si="377"/>
        <v>0</v>
      </c>
      <c r="HS162" s="54">
        <f t="shared" si="377"/>
        <v>0</v>
      </c>
      <c r="HT162" s="54">
        <f t="shared" si="377"/>
        <v>0</v>
      </c>
      <c r="HU162" s="54">
        <f t="shared" si="377"/>
        <v>1249.8248911666419</v>
      </c>
      <c r="HV162" s="54">
        <f t="shared" si="377"/>
        <v>0</v>
      </c>
      <c r="HW162" s="54">
        <f t="shared" si="377"/>
        <v>0</v>
      </c>
      <c r="HX162" s="54">
        <f t="shared" si="377"/>
        <v>0</v>
      </c>
      <c r="HY162" s="54">
        <f t="shared" si="377"/>
        <v>0</v>
      </c>
      <c r="HZ162" s="54">
        <f t="shared" si="377"/>
        <v>0</v>
      </c>
      <c r="IA162" s="54">
        <f t="shared" si="377"/>
        <v>1188.5837776363442</v>
      </c>
      <c r="IB162" s="54">
        <f t="shared" si="377"/>
        <v>0</v>
      </c>
      <c r="IC162" s="54">
        <f t="shared" si="377"/>
        <v>0</v>
      </c>
      <c r="ID162" s="54">
        <f t="shared" si="377"/>
        <v>0</v>
      </c>
      <c r="IE162" s="54">
        <f t="shared" si="377"/>
        <v>0</v>
      </c>
      <c r="IF162" s="54">
        <f t="shared" si="377"/>
        <v>0</v>
      </c>
      <c r="IG162" s="54">
        <f t="shared" si="377"/>
        <v>1291.2175450505938</v>
      </c>
      <c r="IH162" s="54">
        <f t="shared" si="377"/>
        <v>0</v>
      </c>
      <c r="II162" s="54">
        <f t="shared" si="377"/>
        <v>0</v>
      </c>
      <c r="IJ162" s="54">
        <f t="shared" si="377"/>
        <v>0</v>
      </c>
      <c r="IK162" s="54">
        <f t="shared" si="377"/>
        <v>0</v>
      </c>
      <c r="IL162" s="54">
        <f t="shared" si="377"/>
        <v>0</v>
      </c>
      <c r="IM162" s="54">
        <f t="shared" si="377"/>
        <v>1324.2736637891128</v>
      </c>
      <c r="IN162" s="54">
        <f t="shared" si="377"/>
        <v>0</v>
      </c>
      <c r="IO162" s="54">
        <f t="shared" si="377"/>
        <v>0</v>
      </c>
      <c r="IP162" s="54">
        <f t="shared" si="377"/>
        <v>0</v>
      </c>
      <c r="IQ162" s="54">
        <f t="shared" si="377"/>
        <v>0</v>
      </c>
      <c r="IR162" s="54">
        <f t="shared" si="377"/>
        <v>0</v>
      </c>
      <c r="IS162" s="54">
        <f t="shared" si="377"/>
        <v>1341.5637931977235</v>
      </c>
      <c r="IT162" s="54">
        <f t="shared" si="377"/>
        <v>0</v>
      </c>
      <c r="IU162" s="54">
        <f t="shared" si="377"/>
        <v>0</v>
      </c>
      <c r="IV162" s="54">
        <f t="shared" si="377"/>
        <v>0</v>
      </c>
      <c r="IW162" s="54">
        <f t="shared" si="377"/>
        <v>0</v>
      </c>
      <c r="IX162" s="54">
        <f t="shared" si="377"/>
        <v>0</v>
      </c>
      <c r="IY162" s="54">
        <f t="shared" si="377"/>
        <v>1307.706585117958</v>
      </c>
      <c r="IZ162" s="54">
        <f t="shared" si="377"/>
        <v>0</v>
      </c>
      <c r="JA162" s="54">
        <f t="shared" si="377"/>
        <v>0</v>
      </c>
      <c r="JB162" s="54">
        <f t="shared" si="377"/>
        <v>0</v>
      </c>
      <c r="JC162" s="54">
        <f t="shared" si="377"/>
        <v>0</v>
      </c>
      <c r="JD162" s="54">
        <f t="shared" si="377"/>
        <v>0</v>
      </c>
      <c r="JE162" s="54">
        <f t="shared" si="377"/>
        <v>1212.2534883196695</v>
      </c>
      <c r="JF162" s="54">
        <f t="shared" si="377"/>
        <v>0</v>
      </c>
      <c r="JG162" s="54">
        <f t="shared" si="377"/>
        <v>0</v>
      </c>
      <c r="JH162" s="54">
        <f t="shared" si="377"/>
        <v>0</v>
      </c>
      <c r="JI162" s="54">
        <f t="shared" si="377"/>
        <v>0</v>
      </c>
      <c r="JJ162" s="54">
        <f t="shared" si="377"/>
        <v>0</v>
      </c>
      <c r="JK162" s="54">
        <f t="shared" si="377"/>
        <v>1115.3288206425982</v>
      </c>
      <c r="JL162" s="54">
        <f t="shared" si="377"/>
        <v>0</v>
      </c>
      <c r="JM162" s="54">
        <f t="shared" si="377"/>
        <v>0</v>
      </c>
      <c r="JN162" s="54">
        <f t="shared" si="377"/>
        <v>0</v>
      </c>
      <c r="JO162" s="54">
        <f t="shared" si="377"/>
        <v>0</v>
      </c>
      <c r="JP162" s="54">
        <f t="shared" si="377"/>
        <v>0</v>
      </c>
      <c r="JQ162" s="54">
        <f t="shared" si="377"/>
        <v>1121.7855392639717</v>
      </c>
      <c r="JR162" s="54">
        <f t="shared" si="377"/>
        <v>0</v>
      </c>
      <c r="JS162" s="54">
        <f t="shared" si="377"/>
        <v>0</v>
      </c>
      <c r="JT162" s="54">
        <f t="shared" si="377"/>
        <v>0</v>
      </c>
      <c r="JU162" s="54">
        <f t="shared" si="377"/>
        <v>0</v>
      </c>
      <c r="JV162" s="54">
        <f t="shared" ref="JV162:KI162" si="378">SUM(JK161:JV161)*JV$132</f>
        <v>0</v>
      </c>
      <c r="JW162" s="54">
        <f t="shared" si="378"/>
        <v>1243.3917100957549</v>
      </c>
      <c r="JX162" s="54">
        <f t="shared" si="378"/>
        <v>0</v>
      </c>
      <c r="JY162" s="54">
        <f t="shared" si="378"/>
        <v>0</v>
      </c>
      <c r="JZ162" s="54">
        <f t="shared" si="378"/>
        <v>0</v>
      </c>
      <c r="KA162" s="54">
        <f t="shared" si="378"/>
        <v>0</v>
      </c>
      <c r="KB162" s="54">
        <f t="shared" si="378"/>
        <v>0</v>
      </c>
      <c r="KC162" s="54">
        <f t="shared" si="378"/>
        <v>1220.5261811367718</v>
      </c>
      <c r="KD162" s="54">
        <f t="shared" si="378"/>
        <v>0</v>
      </c>
      <c r="KE162" s="54">
        <f t="shared" si="378"/>
        <v>0</v>
      </c>
      <c r="KF162" s="54">
        <f t="shared" si="378"/>
        <v>0</v>
      </c>
      <c r="KG162" s="54">
        <f t="shared" si="378"/>
        <v>0</v>
      </c>
      <c r="KH162" s="54">
        <f t="shared" si="378"/>
        <v>0</v>
      </c>
      <c r="KI162" s="54">
        <f t="shared" si="378"/>
        <v>1188.8361296524847</v>
      </c>
      <c r="KJ162" s="1"/>
    </row>
    <row r="163" spans="11:296" x14ac:dyDescent="0.35">
      <c r="KJ163" s="1"/>
    </row>
    <row r="164" spans="11:296" x14ac:dyDescent="0.35">
      <c r="L164" s="22" t="s">
        <v>134</v>
      </c>
      <c r="KJ164" s="1"/>
    </row>
    <row r="165" spans="11:296" x14ac:dyDescent="0.35">
      <c r="M165" s="29" t="s">
        <v>134</v>
      </c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>
        <f>-IFERROR(Y162/Y158,0)</f>
        <v>67.79386627397011</v>
      </c>
      <c r="Z165" s="54">
        <f t="shared" ref="Z165:CK165" si="379">-IFERROR(Z162/Z158,0)</f>
        <v>0</v>
      </c>
      <c r="AA165" s="54">
        <f t="shared" si="379"/>
        <v>0</v>
      </c>
      <c r="AB165" s="54">
        <f t="shared" si="379"/>
        <v>0</v>
      </c>
      <c r="AC165" s="54">
        <f t="shared" si="379"/>
        <v>0</v>
      </c>
      <c r="AD165" s="54">
        <f t="shared" si="379"/>
        <v>0</v>
      </c>
      <c r="AE165" s="54">
        <f t="shared" si="379"/>
        <v>86.736840878182278</v>
      </c>
      <c r="AF165" s="54">
        <f t="shared" si="379"/>
        <v>0</v>
      </c>
      <c r="AG165" s="54">
        <f t="shared" si="379"/>
        <v>0</v>
      </c>
      <c r="AH165" s="54">
        <f t="shared" si="379"/>
        <v>0</v>
      </c>
      <c r="AI165" s="54">
        <f t="shared" si="379"/>
        <v>0</v>
      </c>
      <c r="AJ165" s="54">
        <f t="shared" si="379"/>
        <v>0</v>
      </c>
      <c r="AK165" s="54">
        <f t="shared" si="379"/>
        <v>76.328766280384443</v>
      </c>
      <c r="AL165" s="54">
        <f t="shared" si="379"/>
        <v>0</v>
      </c>
      <c r="AM165" s="54">
        <f t="shared" si="379"/>
        <v>0</v>
      </c>
      <c r="AN165" s="54">
        <f t="shared" si="379"/>
        <v>0</v>
      </c>
      <c r="AO165" s="54">
        <f t="shared" si="379"/>
        <v>0</v>
      </c>
      <c r="AP165" s="54">
        <f t="shared" si="379"/>
        <v>0</v>
      </c>
      <c r="AQ165" s="54">
        <f t="shared" si="379"/>
        <v>73.56607812679006</v>
      </c>
      <c r="AR165" s="54">
        <f t="shared" si="379"/>
        <v>0</v>
      </c>
      <c r="AS165" s="54">
        <f t="shared" si="379"/>
        <v>0</v>
      </c>
      <c r="AT165" s="54">
        <f t="shared" si="379"/>
        <v>0</v>
      </c>
      <c r="AU165" s="54">
        <f t="shared" si="379"/>
        <v>0</v>
      </c>
      <c r="AV165" s="54">
        <f t="shared" si="379"/>
        <v>0</v>
      </c>
      <c r="AW165" s="54">
        <f t="shared" si="379"/>
        <v>89.789636489329425</v>
      </c>
      <c r="AX165" s="54">
        <f t="shared" si="379"/>
        <v>0</v>
      </c>
      <c r="AY165" s="54">
        <f t="shared" si="379"/>
        <v>0</v>
      </c>
      <c r="AZ165" s="54">
        <f t="shared" si="379"/>
        <v>0</v>
      </c>
      <c r="BA165" s="54">
        <f t="shared" si="379"/>
        <v>0</v>
      </c>
      <c r="BB165" s="54">
        <f t="shared" si="379"/>
        <v>0</v>
      </c>
      <c r="BC165" s="54">
        <f t="shared" si="379"/>
        <v>132.78986521190822</v>
      </c>
      <c r="BD165" s="54">
        <f t="shared" si="379"/>
        <v>0</v>
      </c>
      <c r="BE165" s="54">
        <f t="shared" si="379"/>
        <v>0</v>
      </c>
      <c r="BF165" s="54">
        <f t="shared" si="379"/>
        <v>0</v>
      </c>
      <c r="BG165" s="54">
        <f t="shared" si="379"/>
        <v>0</v>
      </c>
      <c r="BH165" s="54">
        <f t="shared" si="379"/>
        <v>0</v>
      </c>
      <c r="BI165" s="54">
        <f t="shared" si="379"/>
        <v>172.88322503211023</v>
      </c>
      <c r="BJ165" s="54">
        <f t="shared" si="379"/>
        <v>0</v>
      </c>
      <c r="BK165" s="54">
        <f t="shared" si="379"/>
        <v>0</v>
      </c>
      <c r="BL165" s="54">
        <f t="shared" si="379"/>
        <v>0</v>
      </c>
      <c r="BM165" s="54">
        <f t="shared" si="379"/>
        <v>0</v>
      </c>
      <c r="BN165" s="54">
        <f t="shared" si="379"/>
        <v>0</v>
      </c>
      <c r="BO165" s="54">
        <f t="shared" si="379"/>
        <v>220.6384726371995</v>
      </c>
      <c r="BP165" s="54">
        <f t="shared" si="379"/>
        <v>0</v>
      </c>
      <c r="BQ165" s="54">
        <f t="shared" si="379"/>
        <v>0</v>
      </c>
      <c r="BR165" s="54">
        <f t="shared" si="379"/>
        <v>0</v>
      </c>
      <c r="BS165" s="54">
        <f t="shared" si="379"/>
        <v>0</v>
      </c>
      <c r="BT165" s="54">
        <f t="shared" si="379"/>
        <v>0</v>
      </c>
      <c r="BU165" s="54">
        <f t="shared" si="379"/>
        <v>309.38848824303096</v>
      </c>
      <c r="BV165" s="54">
        <f t="shared" si="379"/>
        <v>0</v>
      </c>
      <c r="BW165" s="54">
        <f t="shared" si="379"/>
        <v>0</v>
      </c>
      <c r="BX165" s="54">
        <f t="shared" si="379"/>
        <v>0</v>
      </c>
      <c r="BY165" s="54">
        <f t="shared" si="379"/>
        <v>0</v>
      </c>
      <c r="BZ165" s="54">
        <f t="shared" si="379"/>
        <v>0</v>
      </c>
      <c r="CA165" s="54">
        <f t="shared" si="379"/>
        <v>567.50175903669731</v>
      </c>
      <c r="CB165" s="54">
        <f t="shared" si="379"/>
        <v>0</v>
      </c>
      <c r="CC165" s="54">
        <f t="shared" si="379"/>
        <v>0</v>
      </c>
      <c r="CD165" s="54">
        <f t="shared" si="379"/>
        <v>0</v>
      </c>
      <c r="CE165" s="54">
        <f t="shared" si="379"/>
        <v>0</v>
      </c>
      <c r="CF165" s="54">
        <f t="shared" si="379"/>
        <v>0</v>
      </c>
      <c r="CG165" s="54">
        <f t="shared" si="379"/>
        <v>2071.8249353770179</v>
      </c>
      <c r="CH165" s="54">
        <f t="shared" si="379"/>
        <v>0</v>
      </c>
      <c r="CI165" s="54">
        <f t="shared" si="379"/>
        <v>0</v>
      </c>
      <c r="CJ165" s="54">
        <f t="shared" si="379"/>
        <v>0</v>
      </c>
      <c r="CK165" s="54">
        <f t="shared" si="379"/>
        <v>0</v>
      </c>
      <c r="CL165" s="54">
        <f t="shared" ref="CL165:EW165" si="380">-IFERROR(CL162/CL158,0)</f>
        <v>0</v>
      </c>
      <c r="CM165" s="54">
        <f t="shared" si="380"/>
        <v>0</v>
      </c>
      <c r="CN165" s="54">
        <f t="shared" si="380"/>
        <v>0</v>
      </c>
      <c r="CO165" s="54">
        <f t="shared" si="380"/>
        <v>0</v>
      </c>
      <c r="CP165" s="54">
        <f t="shared" si="380"/>
        <v>0</v>
      </c>
      <c r="CQ165" s="54">
        <f t="shared" si="380"/>
        <v>0</v>
      </c>
      <c r="CR165" s="54">
        <f t="shared" si="380"/>
        <v>0</v>
      </c>
      <c r="CS165" s="54">
        <f t="shared" si="380"/>
        <v>0</v>
      </c>
      <c r="CT165" s="54">
        <f t="shared" si="380"/>
        <v>0</v>
      </c>
      <c r="CU165" s="54">
        <f t="shared" si="380"/>
        <v>0</v>
      </c>
      <c r="CV165" s="54">
        <f t="shared" si="380"/>
        <v>0</v>
      </c>
      <c r="CW165" s="54">
        <f t="shared" si="380"/>
        <v>0</v>
      </c>
      <c r="CX165" s="54">
        <f t="shared" si="380"/>
        <v>0</v>
      </c>
      <c r="CY165" s="54">
        <f t="shared" si="380"/>
        <v>0</v>
      </c>
      <c r="CZ165" s="54">
        <f t="shared" si="380"/>
        <v>0</v>
      </c>
      <c r="DA165" s="54">
        <f t="shared" si="380"/>
        <v>0</v>
      </c>
      <c r="DB165" s="54">
        <f t="shared" si="380"/>
        <v>0</v>
      </c>
      <c r="DC165" s="54">
        <f t="shared" si="380"/>
        <v>0</v>
      </c>
      <c r="DD165" s="54">
        <f t="shared" si="380"/>
        <v>0</v>
      </c>
      <c r="DE165" s="54">
        <f t="shared" si="380"/>
        <v>0</v>
      </c>
      <c r="DF165" s="54">
        <f t="shared" si="380"/>
        <v>0</v>
      </c>
      <c r="DG165" s="54">
        <f t="shared" si="380"/>
        <v>0</v>
      </c>
      <c r="DH165" s="54">
        <f t="shared" si="380"/>
        <v>0</v>
      </c>
      <c r="DI165" s="54">
        <f t="shared" si="380"/>
        <v>0</v>
      </c>
      <c r="DJ165" s="54">
        <f t="shared" si="380"/>
        <v>0</v>
      </c>
      <c r="DK165" s="54">
        <f t="shared" si="380"/>
        <v>0</v>
      </c>
      <c r="DL165" s="54">
        <f t="shared" si="380"/>
        <v>0</v>
      </c>
      <c r="DM165" s="54">
        <f t="shared" si="380"/>
        <v>0</v>
      </c>
      <c r="DN165" s="54">
        <f t="shared" si="380"/>
        <v>0</v>
      </c>
      <c r="DO165" s="54">
        <f t="shared" si="380"/>
        <v>0</v>
      </c>
      <c r="DP165" s="54">
        <f t="shared" si="380"/>
        <v>0</v>
      </c>
      <c r="DQ165" s="54">
        <f t="shared" si="380"/>
        <v>0</v>
      </c>
      <c r="DR165" s="54">
        <f t="shared" si="380"/>
        <v>0</v>
      </c>
      <c r="DS165" s="54">
        <f t="shared" si="380"/>
        <v>0</v>
      </c>
      <c r="DT165" s="54">
        <f t="shared" si="380"/>
        <v>0</v>
      </c>
      <c r="DU165" s="54">
        <f t="shared" si="380"/>
        <v>0</v>
      </c>
      <c r="DV165" s="54">
        <f t="shared" si="380"/>
        <v>0</v>
      </c>
      <c r="DW165" s="54">
        <f t="shared" si="380"/>
        <v>0</v>
      </c>
      <c r="DX165" s="54">
        <f t="shared" si="380"/>
        <v>0</v>
      </c>
      <c r="DY165" s="54">
        <f t="shared" si="380"/>
        <v>0</v>
      </c>
      <c r="DZ165" s="54">
        <f t="shared" si="380"/>
        <v>0</v>
      </c>
      <c r="EA165" s="54">
        <f t="shared" si="380"/>
        <v>0</v>
      </c>
      <c r="EB165" s="54">
        <f t="shared" si="380"/>
        <v>0</v>
      </c>
      <c r="EC165" s="54">
        <f t="shared" si="380"/>
        <v>0</v>
      </c>
      <c r="ED165" s="54">
        <f t="shared" si="380"/>
        <v>0</v>
      </c>
      <c r="EE165" s="54">
        <f t="shared" si="380"/>
        <v>0</v>
      </c>
      <c r="EF165" s="54">
        <f t="shared" si="380"/>
        <v>0</v>
      </c>
      <c r="EG165" s="54">
        <f t="shared" si="380"/>
        <v>0</v>
      </c>
      <c r="EH165" s="54">
        <f t="shared" si="380"/>
        <v>0</v>
      </c>
      <c r="EI165" s="54">
        <f t="shared" si="380"/>
        <v>0</v>
      </c>
      <c r="EJ165" s="54">
        <f t="shared" si="380"/>
        <v>0</v>
      </c>
      <c r="EK165" s="54">
        <f t="shared" si="380"/>
        <v>0</v>
      </c>
      <c r="EL165" s="54">
        <f t="shared" si="380"/>
        <v>0</v>
      </c>
      <c r="EM165" s="54">
        <f t="shared" si="380"/>
        <v>0</v>
      </c>
      <c r="EN165" s="54">
        <f t="shared" si="380"/>
        <v>0</v>
      </c>
      <c r="EO165" s="54">
        <f t="shared" si="380"/>
        <v>0</v>
      </c>
      <c r="EP165" s="54">
        <f t="shared" si="380"/>
        <v>0</v>
      </c>
      <c r="EQ165" s="54">
        <f t="shared" si="380"/>
        <v>0</v>
      </c>
      <c r="ER165" s="54">
        <f t="shared" si="380"/>
        <v>0</v>
      </c>
      <c r="ES165" s="54">
        <f t="shared" si="380"/>
        <v>0</v>
      </c>
      <c r="ET165" s="54">
        <f t="shared" si="380"/>
        <v>0</v>
      </c>
      <c r="EU165" s="54">
        <f t="shared" si="380"/>
        <v>0</v>
      </c>
      <c r="EV165" s="54">
        <f t="shared" si="380"/>
        <v>0</v>
      </c>
      <c r="EW165" s="54">
        <f t="shared" si="380"/>
        <v>0</v>
      </c>
      <c r="EX165" s="54">
        <f t="shared" ref="EX165:HI165" si="381">-IFERROR(EX162/EX158,0)</f>
        <v>0</v>
      </c>
      <c r="EY165" s="54">
        <f t="shared" si="381"/>
        <v>0</v>
      </c>
      <c r="EZ165" s="54">
        <f t="shared" si="381"/>
        <v>0</v>
      </c>
      <c r="FA165" s="54">
        <f t="shared" si="381"/>
        <v>0</v>
      </c>
      <c r="FB165" s="54">
        <f t="shared" si="381"/>
        <v>0</v>
      </c>
      <c r="FC165" s="54">
        <f t="shared" si="381"/>
        <v>0</v>
      </c>
      <c r="FD165" s="54">
        <f t="shared" si="381"/>
        <v>0</v>
      </c>
      <c r="FE165" s="54">
        <f t="shared" si="381"/>
        <v>0</v>
      </c>
      <c r="FF165" s="54">
        <f t="shared" si="381"/>
        <v>0</v>
      </c>
      <c r="FG165" s="54">
        <f t="shared" si="381"/>
        <v>0</v>
      </c>
      <c r="FH165" s="54">
        <f t="shared" si="381"/>
        <v>0</v>
      </c>
      <c r="FI165" s="54">
        <f t="shared" si="381"/>
        <v>0</v>
      </c>
      <c r="FJ165" s="54">
        <f t="shared" si="381"/>
        <v>0</v>
      </c>
      <c r="FK165" s="54">
        <f t="shared" si="381"/>
        <v>0</v>
      </c>
      <c r="FL165" s="54">
        <f t="shared" si="381"/>
        <v>0</v>
      </c>
      <c r="FM165" s="54">
        <f t="shared" si="381"/>
        <v>0</v>
      </c>
      <c r="FN165" s="54">
        <f t="shared" si="381"/>
        <v>0</v>
      </c>
      <c r="FO165" s="54">
        <f t="shared" si="381"/>
        <v>0</v>
      </c>
      <c r="FP165" s="54">
        <f t="shared" si="381"/>
        <v>0</v>
      </c>
      <c r="FQ165" s="54">
        <f t="shared" si="381"/>
        <v>0</v>
      </c>
      <c r="FR165" s="54">
        <f t="shared" si="381"/>
        <v>0</v>
      </c>
      <c r="FS165" s="54">
        <f t="shared" si="381"/>
        <v>0</v>
      </c>
      <c r="FT165" s="54">
        <f t="shared" si="381"/>
        <v>0</v>
      </c>
      <c r="FU165" s="54">
        <f t="shared" si="381"/>
        <v>0</v>
      </c>
      <c r="FV165" s="54">
        <f t="shared" si="381"/>
        <v>0</v>
      </c>
      <c r="FW165" s="54">
        <f t="shared" si="381"/>
        <v>0</v>
      </c>
      <c r="FX165" s="54">
        <f t="shared" si="381"/>
        <v>0</v>
      </c>
      <c r="FY165" s="54">
        <f t="shared" si="381"/>
        <v>0</v>
      </c>
      <c r="FZ165" s="54">
        <f t="shared" si="381"/>
        <v>0</v>
      </c>
      <c r="GA165" s="54">
        <f t="shared" si="381"/>
        <v>0</v>
      </c>
      <c r="GB165" s="54">
        <f t="shared" si="381"/>
        <v>0</v>
      </c>
      <c r="GC165" s="54">
        <f t="shared" si="381"/>
        <v>0</v>
      </c>
      <c r="GD165" s="54">
        <f t="shared" si="381"/>
        <v>0</v>
      </c>
      <c r="GE165" s="54">
        <f t="shared" si="381"/>
        <v>0</v>
      </c>
      <c r="GF165" s="54">
        <f t="shared" si="381"/>
        <v>0</v>
      </c>
      <c r="GG165" s="54">
        <f t="shared" si="381"/>
        <v>0</v>
      </c>
      <c r="GH165" s="54">
        <f t="shared" si="381"/>
        <v>0</v>
      </c>
      <c r="GI165" s="54">
        <f t="shared" si="381"/>
        <v>0</v>
      </c>
      <c r="GJ165" s="54">
        <f t="shared" si="381"/>
        <v>0</v>
      </c>
      <c r="GK165" s="54">
        <f t="shared" si="381"/>
        <v>0</v>
      </c>
      <c r="GL165" s="54">
        <f t="shared" si="381"/>
        <v>0</v>
      </c>
      <c r="GM165" s="54">
        <f t="shared" si="381"/>
        <v>0</v>
      </c>
      <c r="GN165" s="54">
        <f t="shared" si="381"/>
        <v>0</v>
      </c>
      <c r="GO165" s="54">
        <f t="shared" si="381"/>
        <v>0</v>
      </c>
      <c r="GP165" s="54">
        <f t="shared" si="381"/>
        <v>0</v>
      </c>
      <c r="GQ165" s="54">
        <f t="shared" si="381"/>
        <v>0</v>
      </c>
      <c r="GR165" s="54">
        <f t="shared" si="381"/>
        <v>0</v>
      </c>
      <c r="GS165" s="54">
        <f t="shared" si="381"/>
        <v>0</v>
      </c>
      <c r="GT165" s="54">
        <f t="shared" si="381"/>
        <v>0</v>
      </c>
      <c r="GU165" s="54">
        <f t="shared" si="381"/>
        <v>0</v>
      </c>
      <c r="GV165" s="54">
        <f t="shared" si="381"/>
        <v>0</v>
      </c>
      <c r="GW165" s="54">
        <f t="shared" si="381"/>
        <v>0</v>
      </c>
      <c r="GX165" s="54">
        <f t="shared" si="381"/>
        <v>0</v>
      </c>
      <c r="GY165" s="54">
        <f t="shared" si="381"/>
        <v>0</v>
      </c>
      <c r="GZ165" s="54">
        <f t="shared" si="381"/>
        <v>0</v>
      </c>
      <c r="HA165" s="54">
        <f t="shared" si="381"/>
        <v>0</v>
      </c>
      <c r="HB165" s="54">
        <f t="shared" si="381"/>
        <v>0</v>
      </c>
      <c r="HC165" s="54">
        <f t="shared" si="381"/>
        <v>0</v>
      </c>
      <c r="HD165" s="54">
        <f t="shared" si="381"/>
        <v>0</v>
      </c>
      <c r="HE165" s="54">
        <f t="shared" si="381"/>
        <v>0</v>
      </c>
      <c r="HF165" s="54">
        <f t="shared" si="381"/>
        <v>0</v>
      </c>
      <c r="HG165" s="54">
        <f t="shared" si="381"/>
        <v>0</v>
      </c>
      <c r="HH165" s="54">
        <f t="shared" si="381"/>
        <v>0</v>
      </c>
      <c r="HI165" s="54">
        <f t="shared" si="381"/>
        <v>0</v>
      </c>
      <c r="HJ165" s="54">
        <f t="shared" ref="HJ165:JU165" si="382">-IFERROR(HJ162/HJ158,0)</f>
        <v>0</v>
      </c>
      <c r="HK165" s="54">
        <f t="shared" si="382"/>
        <v>0</v>
      </c>
      <c r="HL165" s="54">
        <f t="shared" si="382"/>
        <v>0</v>
      </c>
      <c r="HM165" s="54">
        <f t="shared" si="382"/>
        <v>0</v>
      </c>
      <c r="HN165" s="54">
        <f t="shared" si="382"/>
        <v>0</v>
      </c>
      <c r="HO165" s="54">
        <f t="shared" si="382"/>
        <v>0</v>
      </c>
      <c r="HP165" s="54">
        <f t="shared" si="382"/>
        <v>0</v>
      </c>
      <c r="HQ165" s="54">
        <f t="shared" si="382"/>
        <v>0</v>
      </c>
      <c r="HR165" s="54">
        <f t="shared" si="382"/>
        <v>0</v>
      </c>
      <c r="HS165" s="54">
        <f t="shared" si="382"/>
        <v>0</v>
      </c>
      <c r="HT165" s="54">
        <f t="shared" si="382"/>
        <v>0</v>
      </c>
      <c r="HU165" s="54">
        <f t="shared" si="382"/>
        <v>0</v>
      </c>
      <c r="HV165" s="54">
        <f t="shared" si="382"/>
        <v>0</v>
      </c>
      <c r="HW165" s="54">
        <f t="shared" si="382"/>
        <v>0</v>
      </c>
      <c r="HX165" s="54">
        <f t="shared" si="382"/>
        <v>0</v>
      </c>
      <c r="HY165" s="54">
        <f t="shared" si="382"/>
        <v>0</v>
      </c>
      <c r="HZ165" s="54">
        <f t="shared" si="382"/>
        <v>0</v>
      </c>
      <c r="IA165" s="54">
        <f t="shared" si="382"/>
        <v>0</v>
      </c>
      <c r="IB165" s="54">
        <f t="shared" si="382"/>
        <v>0</v>
      </c>
      <c r="IC165" s="54">
        <f t="shared" si="382"/>
        <v>0</v>
      </c>
      <c r="ID165" s="54">
        <f t="shared" si="382"/>
        <v>0</v>
      </c>
      <c r="IE165" s="54">
        <f t="shared" si="382"/>
        <v>0</v>
      </c>
      <c r="IF165" s="54">
        <f t="shared" si="382"/>
        <v>0</v>
      </c>
      <c r="IG165" s="54">
        <f t="shared" si="382"/>
        <v>0</v>
      </c>
      <c r="IH165" s="54">
        <f t="shared" si="382"/>
        <v>0</v>
      </c>
      <c r="II165" s="54">
        <f t="shared" si="382"/>
        <v>0</v>
      </c>
      <c r="IJ165" s="54">
        <f t="shared" si="382"/>
        <v>0</v>
      </c>
      <c r="IK165" s="54">
        <f t="shared" si="382"/>
        <v>0</v>
      </c>
      <c r="IL165" s="54">
        <f t="shared" si="382"/>
        <v>0</v>
      </c>
      <c r="IM165" s="54">
        <f t="shared" si="382"/>
        <v>0</v>
      </c>
      <c r="IN165" s="54">
        <f t="shared" si="382"/>
        <v>0</v>
      </c>
      <c r="IO165" s="54">
        <f t="shared" si="382"/>
        <v>0</v>
      </c>
      <c r="IP165" s="54">
        <f t="shared" si="382"/>
        <v>0</v>
      </c>
      <c r="IQ165" s="54">
        <f t="shared" si="382"/>
        <v>0</v>
      </c>
      <c r="IR165" s="54">
        <f t="shared" si="382"/>
        <v>0</v>
      </c>
      <c r="IS165" s="54">
        <f t="shared" si="382"/>
        <v>0</v>
      </c>
      <c r="IT165" s="54">
        <f t="shared" si="382"/>
        <v>0</v>
      </c>
      <c r="IU165" s="54">
        <f t="shared" si="382"/>
        <v>0</v>
      </c>
      <c r="IV165" s="54">
        <f t="shared" si="382"/>
        <v>0</v>
      </c>
      <c r="IW165" s="54">
        <f t="shared" si="382"/>
        <v>0</v>
      </c>
      <c r="IX165" s="54">
        <f t="shared" si="382"/>
        <v>0</v>
      </c>
      <c r="IY165" s="54">
        <f t="shared" si="382"/>
        <v>0</v>
      </c>
      <c r="IZ165" s="54">
        <f t="shared" si="382"/>
        <v>0</v>
      </c>
      <c r="JA165" s="54">
        <f t="shared" si="382"/>
        <v>0</v>
      </c>
      <c r="JB165" s="54">
        <f t="shared" si="382"/>
        <v>0</v>
      </c>
      <c r="JC165" s="54">
        <f t="shared" si="382"/>
        <v>0</v>
      </c>
      <c r="JD165" s="54">
        <f t="shared" si="382"/>
        <v>0</v>
      </c>
      <c r="JE165" s="54">
        <f t="shared" si="382"/>
        <v>0</v>
      </c>
      <c r="JF165" s="54">
        <f t="shared" si="382"/>
        <v>0</v>
      </c>
      <c r="JG165" s="54">
        <f t="shared" si="382"/>
        <v>0</v>
      </c>
      <c r="JH165" s="54">
        <f t="shared" si="382"/>
        <v>0</v>
      </c>
      <c r="JI165" s="54">
        <f t="shared" si="382"/>
        <v>0</v>
      </c>
      <c r="JJ165" s="54">
        <f t="shared" si="382"/>
        <v>0</v>
      </c>
      <c r="JK165" s="54">
        <f t="shared" si="382"/>
        <v>0</v>
      </c>
      <c r="JL165" s="54">
        <f t="shared" si="382"/>
        <v>0</v>
      </c>
      <c r="JM165" s="54">
        <f t="shared" si="382"/>
        <v>0</v>
      </c>
      <c r="JN165" s="54">
        <f t="shared" si="382"/>
        <v>0</v>
      </c>
      <c r="JO165" s="54">
        <f t="shared" si="382"/>
        <v>0</v>
      </c>
      <c r="JP165" s="54">
        <f t="shared" si="382"/>
        <v>0</v>
      </c>
      <c r="JQ165" s="54">
        <f t="shared" si="382"/>
        <v>0</v>
      </c>
      <c r="JR165" s="54">
        <f t="shared" si="382"/>
        <v>0</v>
      </c>
      <c r="JS165" s="54">
        <f t="shared" si="382"/>
        <v>0</v>
      </c>
      <c r="JT165" s="54">
        <f t="shared" si="382"/>
        <v>0</v>
      </c>
      <c r="JU165" s="54">
        <f t="shared" si="382"/>
        <v>0</v>
      </c>
      <c r="JV165" s="54">
        <f t="shared" ref="JV165:KI165" si="383">-IFERROR(JV162/JV158,0)</f>
        <v>0</v>
      </c>
      <c r="JW165" s="54">
        <f t="shared" si="383"/>
        <v>0</v>
      </c>
      <c r="JX165" s="54">
        <f t="shared" si="383"/>
        <v>0</v>
      </c>
      <c r="JY165" s="54">
        <f t="shared" si="383"/>
        <v>0</v>
      </c>
      <c r="JZ165" s="54">
        <f t="shared" si="383"/>
        <v>0</v>
      </c>
      <c r="KA165" s="54">
        <f t="shared" si="383"/>
        <v>0</v>
      </c>
      <c r="KB165" s="54">
        <f t="shared" si="383"/>
        <v>0</v>
      </c>
      <c r="KC165" s="54">
        <f t="shared" si="383"/>
        <v>0</v>
      </c>
      <c r="KD165" s="54">
        <f t="shared" si="383"/>
        <v>0</v>
      </c>
      <c r="KE165" s="54">
        <f t="shared" si="383"/>
        <v>0</v>
      </c>
      <c r="KF165" s="54">
        <f t="shared" si="383"/>
        <v>0</v>
      </c>
      <c r="KG165" s="54">
        <f t="shared" si="383"/>
        <v>0</v>
      </c>
      <c r="KH165" s="54">
        <f t="shared" si="383"/>
        <v>0</v>
      </c>
      <c r="KI165" s="54">
        <f t="shared" si="383"/>
        <v>0</v>
      </c>
      <c r="KJ165" s="1"/>
    </row>
    <row r="166" spans="11:296" x14ac:dyDescent="0.35">
      <c r="KJ166" s="1"/>
    </row>
    <row r="167" spans="11:296" x14ac:dyDescent="0.35">
      <c r="K167" s="19" t="s">
        <v>133</v>
      </c>
      <c r="L167" s="19"/>
      <c r="M167" s="16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  <c r="BJ167" s="17"/>
      <c r="BK167" s="17"/>
      <c r="BL167" s="17"/>
      <c r="BM167" s="17"/>
      <c r="BN167" s="17"/>
      <c r="BO167" s="17"/>
      <c r="BP167" s="17"/>
      <c r="BQ167" s="17"/>
      <c r="BR167" s="17"/>
      <c r="BS167" s="17"/>
      <c r="BT167" s="17"/>
      <c r="BU167" s="17"/>
      <c r="BV167" s="17"/>
      <c r="BW167" s="17"/>
      <c r="BX167" s="17"/>
      <c r="BY167" s="17"/>
      <c r="BZ167" s="17"/>
      <c r="CA167" s="17"/>
      <c r="CB167" s="17"/>
      <c r="CC167" s="17"/>
      <c r="CD167" s="17"/>
      <c r="CE167" s="17"/>
      <c r="CF167" s="17"/>
      <c r="CG167" s="17"/>
      <c r="CH167" s="17"/>
      <c r="CI167" s="17"/>
      <c r="CJ167" s="17"/>
      <c r="CK167" s="17"/>
      <c r="CL167" s="17"/>
      <c r="CM167" s="17"/>
      <c r="CN167" s="17"/>
      <c r="CO167" s="17"/>
      <c r="CP167" s="17"/>
      <c r="CQ167" s="17"/>
      <c r="CR167" s="17"/>
      <c r="CS167" s="17"/>
      <c r="CT167" s="17"/>
      <c r="CU167" s="17"/>
      <c r="CV167" s="17"/>
      <c r="CW167" s="17"/>
      <c r="CX167" s="17"/>
      <c r="CY167" s="17"/>
      <c r="CZ167" s="17"/>
      <c r="DA167" s="17"/>
      <c r="DB167" s="17"/>
      <c r="DC167" s="17"/>
      <c r="DD167" s="17"/>
      <c r="DE167" s="17"/>
      <c r="DF167" s="17"/>
      <c r="DG167" s="17"/>
      <c r="DH167" s="17"/>
      <c r="DI167" s="17"/>
      <c r="DJ167" s="17"/>
      <c r="DK167" s="17"/>
      <c r="DL167" s="17"/>
      <c r="DM167" s="17"/>
      <c r="DN167" s="17"/>
      <c r="DO167" s="17"/>
      <c r="DP167" s="17"/>
      <c r="DQ167" s="17"/>
      <c r="DR167" s="17"/>
      <c r="DS167" s="17"/>
      <c r="DT167" s="17"/>
      <c r="DU167" s="17"/>
      <c r="DV167" s="17"/>
      <c r="DW167" s="17"/>
      <c r="DX167" s="17"/>
      <c r="DY167" s="17"/>
      <c r="DZ167" s="17"/>
      <c r="EA167" s="17"/>
      <c r="EB167" s="17"/>
      <c r="EC167" s="17"/>
      <c r="ED167" s="17"/>
      <c r="EE167" s="17"/>
      <c r="EF167" s="17"/>
      <c r="EG167" s="17"/>
      <c r="EH167" s="17"/>
      <c r="EI167" s="17"/>
      <c r="EJ167" s="17"/>
      <c r="EK167" s="17"/>
      <c r="EL167" s="17"/>
      <c r="EM167" s="17"/>
      <c r="EN167" s="17"/>
      <c r="EO167" s="17"/>
      <c r="EP167" s="17"/>
      <c r="EQ167" s="17"/>
      <c r="ER167" s="17"/>
      <c r="ES167" s="17"/>
      <c r="ET167" s="17"/>
      <c r="EU167" s="17"/>
      <c r="EV167" s="17"/>
      <c r="EW167" s="17"/>
      <c r="EX167" s="17"/>
      <c r="EY167" s="17"/>
      <c r="EZ167" s="17"/>
      <c r="FA167" s="17"/>
      <c r="FB167" s="17"/>
      <c r="FC167" s="17"/>
      <c r="FD167" s="17"/>
      <c r="FE167" s="17"/>
      <c r="FF167" s="17"/>
      <c r="FG167" s="17"/>
      <c r="FH167" s="17"/>
      <c r="FI167" s="17"/>
      <c r="FJ167" s="17"/>
      <c r="FK167" s="17"/>
      <c r="FL167" s="17"/>
      <c r="FM167" s="17"/>
      <c r="FN167" s="17"/>
      <c r="FO167" s="17"/>
      <c r="FP167" s="17"/>
      <c r="FQ167" s="17"/>
      <c r="FR167" s="17"/>
      <c r="FS167" s="17"/>
      <c r="FT167" s="17"/>
      <c r="FU167" s="17"/>
      <c r="FV167" s="17"/>
      <c r="FW167" s="17"/>
      <c r="FX167" s="17"/>
      <c r="FY167" s="17"/>
      <c r="FZ167" s="17"/>
      <c r="GA167" s="17"/>
      <c r="GB167" s="17"/>
      <c r="GC167" s="17"/>
      <c r="GD167" s="17"/>
      <c r="GE167" s="17"/>
      <c r="GF167" s="17"/>
      <c r="GG167" s="17"/>
      <c r="GH167" s="17"/>
      <c r="GI167" s="17"/>
      <c r="GJ167" s="17"/>
      <c r="GK167" s="17"/>
      <c r="GL167" s="17"/>
      <c r="GM167" s="17"/>
      <c r="GN167" s="17"/>
      <c r="GO167" s="17"/>
      <c r="GP167" s="17"/>
      <c r="GQ167" s="17"/>
      <c r="GR167" s="17"/>
      <c r="GS167" s="17"/>
      <c r="GT167" s="17"/>
      <c r="GU167" s="17"/>
      <c r="GV167" s="17"/>
      <c r="GW167" s="17"/>
      <c r="GX167" s="17"/>
      <c r="GY167" s="17"/>
      <c r="GZ167" s="17"/>
      <c r="HA167" s="17"/>
      <c r="HB167" s="17"/>
      <c r="HC167" s="17"/>
      <c r="HD167" s="17"/>
      <c r="HE167" s="17"/>
      <c r="HF167" s="17"/>
      <c r="HG167" s="17"/>
      <c r="HH167" s="17"/>
      <c r="HI167" s="17"/>
      <c r="HJ167" s="17"/>
      <c r="HK167" s="17"/>
      <c r="HL167" s="17"/>
      <c r="HM167" s="17"/>
      <c r="HN167" s="17"/>
      <c r="HO167" s="17"/>
      <c r="HP167" s="17"/>
      <c r="HQ167" s="17"/>
      <c r="HR167" s="17"/>
      <c r="HS167" s="17"/>
      <c r="HT167" s="17"/>
      <c r="HU167" s="17"/>
      <c r="HV167" s="17"/>
      <c r="HW167" s="17"/>
      <c r="HX167" s="17"/>
      <c r="HY167" s="17"/>
      <c r="HZ167" s="17"/>
      <c r="IA167" s="17"/>
      <c r="IB167" s="17"/>
      <c r="IC167" s="17"/>
      <c r="ID167" s="17"/>
      <c r="IE167" s="17"/>
      <c r="IF167" s="17"/>
      <c r="IG167" s="17"/>
      <c r="IH167" s="17"/>
      <c r="II167" s="17"/>
      <c r="IJ167" s="17"/>
      <c r="IK167" s="17"/>
      <c r="IL167" s="17"/>
      <c r="IM167" s="17"/>
      <c r="IN167" s="17"/>
      <c r="IO167" s="17"/>
      <c r="IP167" s="17"/>
      <c r="IQ167" s="17"/>
      <c r="IR167" s="17"/>
      <c r="IS167" s="17"/>
      <c r="IT167" s="17"/>
      <c r="IU167" s="17"/>
      <c r="IV167" s="17"/>
      <c r="IW167" s="17"/>
      <c r="IX167" s="17"/>
      <c r="IY167" s="17"/>
      <c r="IZ167" s="17"/>
      <c r="JA167" s="17"/>
      <c r="JB167" s="17"/>
      <c r="JC167" s="17"/>
      <c r="JD167" s="17"/>
      <c r="JE167" s="17"/>
      <c r="JF167" s="17"/>
      <c r="JG167" s="17"/>
      <c r="JH167" s="17"/>
      <c r="JI167" s="17"/>
      <c r="JJ167" s="17"/>
      <c r="JK167" s="17"/>
      <c r="JL167" s="17"/>
      <c r="JM167" s="17"/>
      <c r="JN167" s="17"/>
      <c r="JO167" s="17"/>
      <c r="JP167" s="17"/>
      <c r="JQ167" s="17"/>
      <c r="JR167" s="17"/>
      <c r="JS167" s="17"/>
      <c r="JT167" s="17"/>
      <c r="JU167" s="17"/>
      <c r="JV167" s="17"/>
      <c r="JW167" s="17"/>
      <c r="JX167" s="17"/>
      <c r="JY167" s="17"/>
      <c r="JZ167" s="17"/>
      <c r="KA167" s="17"/>
      <c r="KB167" s="17"/>
      <c r="KC167" s="17"/>
      <c r="KD167" s="17"/>
      <c r="KE167" s="17"/>
      <c r="KF167" s="17"/>
      <c r="KG167" s="17"/>
      <c r="KH167" s="17"/>
      <c r="KI167" s="17"/>
      <c r="KJ167" s="1"/>
    </row>
    <row r="168" spans="11:296" x14ac:dyDescent="0.35">
      <c r="KJ168" s="1"/>
    </row>
    <row r="169" spans="11:296" x14ac:dyDescent="0.35">
      <c r="L169" s="22" t="s">
        <v>132</v>
      </c>
      <c r="KJ169" s="1"/>
    </row>
    <row r="170" spans="11:296" x14ac:dyDescent="0.35">
      <c r="M170" s="15" t="s">
        <v>46</v>
      </c>
      <c r="N170" s="48">
        <f>N83</f>
        <v>245</v>
      </c>
      <c r="O170" s="48">
        <f t="shared" ref="O170:BZ170" si="384">O83</f>
        <v>245</v>
      </c>
      <c r="P170" s="48">
        <f t="shared" si="384"/>
        <v>245</v>
      </c>
      <c r="Q170" s="48">
        <f t="shared" si="384"/>
        <v>245</v>
      </c>
      <c r="R170" s="48">
        <f t="shared" si="384"/>
        <v>245</v>
      </c>
      <c r="S170" s="48">
        <f t="shared" si="384"/>
        <v>210</v>
      </c>
      <c r="T170" s="48">
        <f t="shared" si="384"/>
        <v>0</v>
      </c>
      <c r="U170" s="48">
        <f t="shared" si="384"/>
        <v>0</v>
      </c>
      <c r="V170" s="48">
        <f t="shared" si="384"/>
        <v>0</v>
      </c>
      <c r="W170" s="48">
        <f t="shared" si="384"/>
        <v>0</v>
      </c>
      <c r="X170" s="48">
        <f t="shared" si="384"/>
        <v>0</v>
      </c>
      <c r="Y170" s="48">
        <f t="shared" si="384"/>
        <v>0</v>
      </c>
      <c r="Z170" s="48">
        <f t="shared" si="384"/>
        <v>0</v>
      </c>
      <c r="AA170" s="48">
        <f t="shared" si="384"/>
        <v>0</v>
      </c>
      <c r="AB170" s="48">
        <f t="shared" si="384"/>
        <v>0</v>
      </c>
      <c r="AC170" s="48">
        <f t="shared" si="384"/>
        <v>0</v>
      </c>
      <c r="AD170" s="48">
        <f t="shared" si="384"/>
        <v>0</v>
      </c>
      <c r="AE170" s="48">
        <f t="shared" si="384"/>
        <v>0</v>
      </c>
      <c r="AF170" s="48">
        <f t="shared" si="384"/>
        <v>0</v>
      </c>
      <c r="AG170" s="48">
        <f t="shared" si="384"/>
        <v>0</v>
      </c>
      <c r="AH170" s="48">
        <f t="shared" si="384"/>
        <v>0</v>
      </c>
      <c r="AI170" s="48">
        <f t="shared" si="384"/>
        <v>0</v>
      </c>
      <c r="AJ170" s="48">
        <f t="shared" si="384"/>
        <v>0</v>
      </c>
      <c r="AK170" s="48">
        <f t="shared" si="384"/>
        <v>0</v>
      </c>
      <c r="AL170" s="48">
        <f t="shared" si="384"/>
        <v>0</v>
      </c>
      <c r="AM170" s="48">
        <f t="shared" si="384"/>
        <v>0</v>
      </c>
      <c r="AN170" s="48">
        <f t="shared" si="384"/>
        <v>0</v>
      </c>
      <c r="AO170" s="48">
        <f t="shared" si="384"/>
        <v>0</v>
      </c>
      <c r="AP170" s="48">
        <f t="shared" si="384"/>
        <v>0</v>
      </c>
      <c r="AQ170" s="48">
        <f t="shared" si="384"/>
        <v>0</v>
      </c>
      <c r="AR170" s="48">
        <f t="shared" si="384"/>
        <v>0</v>
      </c>
      <c r="AS170" s="48">
        <f t="shared" si="384"/>
        <v>0</v>
      </c>
      <c r="AT170" s="48">
        <f t="shared" si="384"/>
        <v>0</v>
      </c>
      <c r="AU170" s="48">
        <f t="shared" si="384"/>
        <v>0</v>
      </c>
      <c r="AV170" s="48">
        <f t="shared" si="384"/>
        <v>0</v>
      </c>
      <c r="AW170" s="48">
        <f t="shared" si="384"/>
        <v>0</v>
      </c>
      <c r="AX170" s="48">
        <f t="shared" si="384"/>
        <v>0</v>
      </c>
      <c r="AY170" s="48">
        <f t="shared" si="384"/>
        <v>0</v>
      </c>
      <c r="AZ170" s="48">
        <f t="shared" si="384"/>
        <v>0</v>
      </c>
      <c r="BA170" s="48">
        <f t="shared" si="384"/>
        <v>0</v>
      </c>
      <c r="BB170" s="48">
        <f t="shared" si="384"/>
        <v>0</v>
      </c>
      <c r="BC170" s="48">
        <f t="shared" si="384"/>
        <v>0</v>
      </c>
      <c r="BD170" s="48">
        <f t="shared" si="384"/>
        <v>0</v>
      </c>
      <c r="BE170" s="48">
        <f t="shared" si="384"/>
        <v>0</v>
      </c>
      <c r="BF170" s="48">
        <f t="shared" si="384"/>
        <v>0</v>
      </c>
      <c r="BG170" s="48">
        <f t="shared" si="384"/>
        <v>0</v>
      </c>
      <c r="BH170" s="48">
        <f t="shared" si="384"/>
        <v>0</v>
      </c>
      <c r="BI170" s="48">
        <f t="shared" si="384"/>
        <v>0</v>
      </c>
      <c r="BJ170" s="48">
        <f t="shared" si="384"/>
        <v>0</v>
      </c>
      <c r="BK170" s="48">
        <f t="shared" si="384"/>
        <v>0</v>
      </c>
      <c r="BL170" s="48">
        <f t="shared" si="384"/>
        <v>0</v>
      </c>
      <c r="BM170" s="48">
        <f t="shared" si="384"/>
        <v>0</v>
      </c>
      <c r="BN170" s="48">
        <f t="shared" si="384"/>
        <v>0</v>
      </c>
      <c r="BO170" s="48">
        <f t="shared" si="384"/>
        <v>0</v>
      </c>
      <c r="BP170" s="48">
        <f t="shared" si="384"/>
        <v>0</v>
      </c>
      <c r="BQ170" s="48">
        <f t="shared" si="384"/>
        <v>0</v>
      </c>
      <c r="BR170" s="48">
        <f t="shared" si="384"/>
        <v>0</v>
      </c>
      <c r="BS170" s="48">
        <f t="shared" si="384"/>
        <v>0</v>
      </c>
      <c r="BT170" s="48">
        <f t="shared" si="384"/>
        <v>0</v>
      </c>
      <c r="BU170" s="48">
        <f t="shared" si="384"/>
        <v>0</v>
      </c>
      <c r="BV170" s="48">
        <f t="shared" si="384"/>
        <v>0</v>
      </c>
      <c r="BW170" s="48">
        <f t="shared" si="384"/>
        <v>0</v>
      </c>
      <c r="BX170" s="48">
        <f t="shared" si="384"/>
        <v>0</v>
      </c>
      <c r="BY170" s="48">
        <f t="shared" si="384"/>
        <v>0</v>
      </c>
      <c r="BZ170" s="48">
        <f t="shared" si="384"/>
        <v>0</v>
      </c>
      <c r="CA170" s="48">
        <f t="shared" ref="CA170:EL170" si="385">CA83</f>
        <v>0</v>
      </c>
      <c r="CB170" s="48">
        <f t="shared" si="385"/>
        <v>0</v>
      </c>
      <c r="CC170" s="48">
        <f t="shared" si="385"/>
        <v>0</v>
      </c>
      <c r="CD170" s="48">
        <f t="shared" si="385"/>
        <v>0</v>
      </c>
      <c r="CE170" s="48">
        <f t="shared" si="385"/>
        <v>0</v>
      </c>
      <c r="CF170" s="48">
        <f t="shared" si="385"/>
        <v>0</v>
      </c>
      <c r="CG170" s="48">
        <f t="shared" si="385"/>
        <v>0</v>
      </c>
      <c r="CH170" s="48">
        <f t="shared" si="385"/>
        <v>0</v>
      </c>
      <c r="CI170" s="48">
        <f t="shared" si="385"/>
        <v>0</v>
      </c>
      <c r="CJ170" s="48">
        <f t="shared" si="385"/>
        <v>0</v>
      </c>
      <c r="CK170" s="48">
        <f t="shared" si="385"/>
        <v>0</v>
      </c>
      <c r="CL170" s="48">
        <f t="shared" si="385"/>
        <v>0</v>
      </c>
      <c r="CM170" s="48">
        <f t="shared" si="385"/>
        <v>0</v>
      </c>
      <c r="CN170" s="48">
        <f t="shared" si="385"/>
        <v>0</v>
      </c>
      <c r="CO170" s="48">
        <f t="shared" si="385"/>
        <v>0</v>
      </c>
      <c r="CP170" s="48">
        <f t="shared" si="385"/>
        <v>0</v>
      </c>
      <c r="CQ170" s="48">
        <f t="shared" si="385"/>
        <v>0</v>
      </c>
      <c r="CR170" s="48">
        <f t="shared" si="385"/>
        <v>0</v>
      </c>
      <c r="CS170" s="48">
        <f t="shared" si="385"/>
        <v>0</v>
      </c>
      <c r="CT170" s="48">
        <f t="shared" si="385"/>
        <v>0</v>
      </c>
      <c r="CU170" s="48">
        <f t="shared" si="385"/>
        <v>0</v>
      </c>
      <c r="CV170" s="48">
        <f t="shared" si="385"/>
        <v>0</v>
      </c>
      <c r="CW170" s="48">
        <f t="shared" si="385"/>
        <v>0</v>
      </c>
      <c r="CX170" s="48">
        <f t="shared" si="385"/>
        <v>0</v>
      </c>
      <c r="CY170" s="48">
        <f t="shared" si="385"/>
        <v>0</v>
      </c>
      <c r="CZ170" s="48">
        <f t="shared" si="385"/>
        <v>0</v>
      </c>
      <c r="DA170" s="48">
        <f t="shared" si="385"/>
        <v>0</v>
      </c>
      <c r="DB170" s="48">
        <f t="shared" si="385"/>
        <v>0</v>
      </c>
      <c r="DC170" s="48">
        <f t="shared" si="385"/>
        <v>0</v>
      </c>
      <c r="DD170" s="48">
        <f t="shared" si="385"/>
        <v>0</v>
      </c>
      <c r="DE170" s="48">
        <f t="shared" si="385"/>
        <v>0</v>
      </c>
      <c r="DF170" s="48">
        <f t="shared" si="385"/>
        <v>0</v>
      </c>
      <c r="DG170" s="48">
        <f t="shared" si="385"/>
        <v>0</v>
      </c>
      <c r="DH170" s="48">
        <f t="shared" si="385"/>
        <v>0</v>
      </c>
      <c r="DI170" s="48">
        <f t="shared" si="385"/>
        <v>0</v>
      </c>
      <c r="DJ170" s="48">
        <f t="shared" si="385"/>
        <v>0</v>
      </c>
      <c r="DK170" s="48">
        <f t="shared" si="385"/>
        <v>0</v>
      </c>
      <c r="DL170" s="48">
        <f t="shared" si="385"/>
        <v>0</v>
      </c>
      <c r="DM170" s="48">
        <f t="shared" si="385"/>
        <v>0</v>
      </c>
      <c r="DN170" s="48">
        <f t="shared" si="385"/>
        <v>0</v>
      </c>
      <c r="DO170" s="48">
        <f t="shared" si="385"/>
        <v>0</v>
      </c>
      <c r="DP170" s="48">
        <f t="shared" si="385"/>
        <v>0</v>
      </c>
      <c r="DQ170" s="48">
        <f t="shared" si="385"/>
        <v>0</v>
      </c>
      <c r="DR170" s="48">
        <f t="shared" si="385"/>
        <v>0</v>
      </c>
      <c r="DS170" s="48">
        <f t="shared" si="385"/>
        <v>0</v>
      </c>
      <c r="DT170" s="48">
        <f t="shared" si="385"/>
        <v>0</v>
      </c>
      <c r="DU170" s="48">
        <f t="shared" si="385"/>
        <v>0</v>
      </c>
      <c r="DV170" s="48">
        <f t="shared" si="385"/>
        <v>0</v>
      </c>
      <c r="DW170" s="48">
        <f t="shared" si="385"/>
        <v>0</v>
      </c>
      <c r="DX170" s="48">
        <f t="shared" si="385"/>
        <v>0</v>
      </c>
      <c r="DY170" s="48">
        <f t="shared" si="385"/>
        <v>0</v>
      </c>
      <c r="DZ170" s="48">
        <f t="shared" si="385"/>
        <v>0</v>
      </c>
      <c r="EA170" s="48">
        <f t="shared" si="385"/>
        <v>0</v>
      </c>
      <c r="EB170" s="48">
        <f t="shared" si="385"/>
        <v>0</v>
      </c>
      <c r="EC170" s="48">
        <f t="shared" si="385"/>
        <v>0</v>
      </c>
      <c r="ED170" s="48">
        <f t="shared" si="385"/>
        <v>0</v>
      </c>
      <c r="EE170" s="48">
        <f t="shared" si="385"/>
        <v>0</v>
      </c>
      <c r="EF170" s="48">
        <f t="shared" si="385"/>
        <v>0</v>
      </c>
      <c r="EG170" s="48">
        <f t="shared" si="385"/>
        <v>0</v>
      </c>
      <c r="EH170" s="48">
        <f t="shared" si="385"/>
        <v>0</v>
      </c>
      <c r="EI170" s="48">
        <f t="shared" si="385"/>
        <v>0</v>
      </c>
      <c r="EJ170" s="48">
        <f t="shared" si="385"/>
        <v>0</v>
      </c>
      <c r="EK170" s="48">
        <f t="shared" si="385"/>
        <v>0</v>
      </c>
      <c r="EL170" s="48">
        <f t="shared" si="385"/>
        <v>0</v>
      </c>
      <c r="EM170" s="48">
        <f t="shared" ref="EM170:GX170" si="386">EM83</f>
        <v>0</v>
      </c>
      <c r="EN170" s="48">
        <f t="shared" si="386"/>
        <v>0</v>
      </c>
      <c r="EO170" s="48">
        <f t="shared" si="386"/>
        <v>0</v>
      </c>
      <c r="EP170" s="48">
        <f t="shared" si="386"/>
        <v>0</v>
      </c>
      <c r="EQ170" s="48">
        <f t="shared" si="386"/>
        <v>0</v>
      </c>
      <c r="ER170" s="48">
        <f t="shared" si="386"/>
        <v>0</v>
      </c>
      <c r="ES170" s="48">
        <f t="shared" si="386"/>
        <v>0</v>
      </c>
      <c r="ET170" s="48">
        <f t="shared" si="386"/>
        <v>0</v>
      </c>
      <c r="EU170" s="48">
        <f t="shared" si="386"/>
        <v>0</v>
      </c>
      <c r="EV170" s="48">
        <f t="shared" si="386"/>
        <v>0</v>
      </c>
      <c r="EW170" s="48">
        <f t="shared" si="386"/>
        <v>0</v>
      </c>
      <c r="EX170" s="48">
        <f t="shared" si="386"/>
        <v>0</v>
      </c>
      <c r="EY170" s="48">
        <f t="shared" si="386"/>
        <v>0</v>
      </c>
      <c r="EZ170" s="48">
        <f t="shared" si="386"/>
        <v>0</v>
      </c>
      <c r="FA170" s="48">
        <f t="shared" si="386"/>
        <v>0</v>
      </c>
      <c r="FB170" s="48">
        <f t="shared" si="386"/>
        <v>0</v>
      </c>
      <c r="FC170" s="48">
        <f t="shared" si="386"/>
        <v>0</v>
      </c>
      <c r="FD170" s="48">
        <f t="shared" si="386"/>
        <v>0</v>
      </c>
      <c r="FE170" s="48">
        <f t="shared" si="386"/>
        <v>0</v>
      </c>
      <c r="FF170" s="48">
        <f t="shared" si="386"/>
        <v>0</v>
      </c>
      <c r="FG170" s="48">
        <f t="shared" si="386"/>
        <v>0</v>
      </c>
      <c r="FH170" s="48">
        <f t="shared" si="386"/>
        <v>0</v>
      </c>
      <c r="FI170" s="48">
        <f t="shared" si="386"/>
        <v>0</v>
      </c>
      <c r="FJ170" s="48">
        <f t="shared" si="386"/>
        <v>0</v>
      </c>
      <c r="FK170" s="48">
        <f t="shared" si="386"/>
        <v>0</v>
      </c>
      <c r="FL170" s="48">
        <f t="shared" si="386"/>
        <v>0</v>
      </c>
      <c r="FM170" s="48">
        <f t="shared" si="386"/>
        <v>0</v>
      </c>
      <c r="FN170" s="48">
        <f t="shared" si="386"/>
        <v>0</v>
      </c>
      <c r="FO170" s="48">
        <f t="shared" si="386"/>
        <v>0</v>
      </c>
      <c r="FP170" s="48">
        <f t="shared" si="386"/>
        <v>0</v>
      </c>
      <c r="FQ170" s="48">
        <f t="shared" si="386"/>
        <v>0</v>
      </c>
      <c r="FR170" s="48">
        <f t="shared" si="386"/>
        <v>0</v>
      </c>
      <c r="FS170" s="48">
        <f t="shared" si="386"/>
        <v>0</v>
      </c>
      <c r="FT170" s="48">
        <f t="shared" si="386"/>
        <v>0</v>
      </c>
      <c r="FU170" s="48">
        <f t="shared" si="386"/>
        <v>0</v>
      </c>
      <c r="FV170" s="48">
        <f t="shared" si="386"/>
        <v>0</v>
      </c>
      <c r="FW170" s="48">
        <f t="shared" si="386"/>
        <v>0</v>
      </c>
      <c r="FX170" s="48">
        <f t="shared" si="386"/>
        <v>0</v>
      </c>
      <c r="FY170" s="48">
        <f t="shared" si="386"/>
        <v>0</v>
      </c>
      <c r="FZ170" s="48">
        <f t="shared" si="386"/>
        <v>0</v>
      </c>
      <c r="GA170" s="48">
        <f t="shared" si="386"/>
        <v>0</v>
      </c>
      <c r="GB170" s="48">
        <f t="shared" si="386"/>
        <v>0</v>
      </c>
      <c r="GC170" s="48">
        <f t="shared" si="386"/>
        <v>0</v>
      </c>
      <c r="GD170" s="48">
        <f t="shared" si="386"/>
        <v>0</v>
      </c>
      <c r="GE170" s="48">
        <f t="shared" si="386"/>
        <v>0</v>
      </c>
      <c r="GF170" s="48">
        <f t="shared" si="386"/>
        <v>0</v>
      </c>
      <c r="GG170" s="48">
        <f t="shared" si="386"/>
        <v>0</v>
      </c>
      <c r="GH170" s="48">
        <f t="shared" si="386"/>
        <v>0</v>
      </c>
      <c r="GI170" s="48">
        <f t="shared" si="386"/>
        <v>0</v>
      </c>
      <c r="GJ170" s="48">
        <f t="shared" si="386"/>
        <v>0</v>
      </c>
      <c r="GK170" s="48">
        <f t="shared" si="386"/>
        <v>0</v>
      </c>
      <c r="GL170" s="48">
        <f t="shared" si="386"/>
        <v>0</v>
      </c>
      <c r="GM170" s="48">
        <f t="shared" si="386"/>
        <v>0</v>
      </c>
      <c r="GN170" s="48">
        <f t="shared" si="386"/>
        <v>0</v>
      </c>
      <c r="GO170" s="48">
        <f t="shared" si="386"/>
        <v>0</v>
      </c>
      <c r="GP170" s="48">
        <f t="shared" si="386"/>
        <v>0</v>
      </c>
      <c r="GQ170" s="48">
        <f t="shared" si="386"/>
        <v>0</v>
      </c>
      <c r="GR170" s="48">
        <f t="shared" si="386"/>
        <v>0</v>
      </c>
      <c r="GS170" s="48">
        <f t="shared" si="386"/>
        <v>0</v>
      </c>
      <c r="GT170" s="48">
        <f t="shared" si="386"/>
        <v>0</v>
      </c>
      <c r="GU170" s="48">
        <f t="shared" si="386"/>
        <v>0</v>
      </c>
      <c r="GV170" s="48">
        <f t="shared" si="386"/>
        <v>0</v>
      </c>
      <c r="GW170" s="48">
        <f t="shared" si="386"/>
        <v>0</v>
      </c>
      <c r="GX170" s="48">
        <f t="shared" si="386"/>
        <v>0</v>
      </c>
      <c r="GY170" s="48">
        <f t="shared" ref="GY170:JJ170" si="387">GY83</f>
        <v>0</v>
      </c>
      <c r="GZ170" s="48">
        <f t="shared" si="387"/>
        <v>0</v>
      </c>
      <c r="HA170" s="48">
        <f t="shared" si="387"/>
        <v>0</v>
      </c>
      <c r="HB170" s="48">
        <f t="shared" si="387"/>
        <v>0</v>
      </c>
      <c r="HC170" s="48">
        <f t="shared" si="387"/>
        <v>0</v>
      </c>
      <c r="HD170" s="48">
        <f t="shared" si="387"/>
        <v>0</v>
      </c>
      <c r="HE170" s="48">
        <f t="shared" si="387"/>
        <v>0</v>
      </c>
      <c r="HF170" s="48">
        <f t="shared" si="387"/>
        <v>0</v>
      </c>
      <c r="HG170" s="48">
        <f t="shared" si="387"/>
        <v>0</v>
      </c>
      <c r="HH170" s="48">
        <f t="shared" si="387"/>
        <v>0</v>
      </c>
      <c r="HI170" s="48">
        <f t="shared" si="387"/>
        <v>0</v>
      </c>
      <c r="HJ170" s="48">
        <f t="shared" si="387"/>
        <v>0</v>
      </c>
      <c r="HK170" s="48">
        <f t="shared" si="387"/>
        <v>0</v>
      </c>
      <c r="HL170" s="48">
        <f t="shared" si="387"/>
        <v>0</v>
      </c>
      <c r="HM170" s="48">
        <f t="shared" si="387"/>
        <v>0</v>
      </c>
      <c r="HN170" s="48">
        <f t="shared" si="387"/>
        <v>0</v>
      </c>
      <c r="HO170" s="48">
        <f t="shared" si="387"/>
        <v>0</v>
      </c>
      <c r="HP170" s="48">
        <f t="shared" si="387"/>
        <v>0</v>
      </c>
      <c r="HQ170" s="48">
        <f t="shared" si="387"/>
        <v>0</v>
      </c>
      <c r="HR170" s="48">
        <f t="shared" si="387"/>
        <v>0</v>
      </c>
      <c r="HS170" s="48">
        <f t="shared" si="387"/>
        <v>0</v>
      </c>
      <c r="HT170" s="48">
        <f t="shared" si="387"/>
        <v>0</v>
      </c>
      <c r="HU170" s="48">
        <f t="shared" si="387"/>
        <v>0</v>
      </c>
      <c r="HV170" s="48">
        <f t="shared" si="387"/>
        <v>0</v>
      </c>
      <c r="HW170" s="48">
        <f t="shared" si="387"/>
        <v>0</v>
      </c>
      <c r="HX170" s="48">
        <f t="shared" si="387"/>
        <v>0</v>
      </c>
      <c r="HY170" s="48">
        <f t="shared" si="387"/>
        <v>0</v>
      </c>
      <c r="HZ170" s="48">
        <f t="shared" si="387"/>
        <v>0</v>
      </c>
      <c r="IA170" s="48">
        <f t="shared" si="387"/>
        <v>0</v>
      </c>
      <c r="IB170" s="48">
        <f t="shared" si="387"/>
        <v>0</v>
      </c>
      <c r="IC170" s="48">
        <f t="shared" si="387"/>
        <v>0</v>
      </c>
      <c r="ID170" s="48">
        <f t="shared" si="387"/>
        <v>0</v>
      </c>
      <c r="IE170" s="48">
        <f t="shared" si="387"/>
        <v>0</v>
      </c>
      <c r="IF170" s="48">
        <f t="shared" si="387"/>
        <v>0</v>
      </c>
      <c r="IG170" s="48">
        <f t="shared" si="387"/>
        <v>0</v>
      </c>
      <c r="IH170" s="48">
        <f t="shared" si="387"/>
        <v>0</v>
      </c>
      <c r="II170" s="48">
        <f t="shared" si="387"/>
        <v>0</v>
      </c>
      <c r="IJ170" s="48">
        <f t="shared" si="387"/>
        <v>0</v>
      </c>
      <c r="IK170" s="48">
        <f t="shared" si="387"/>
        <v>0</v>
      </c>
      <c r="IL170" s="48">
        <f t="shared" si="387"/>
        <v>0</v>
      </c>
      <c r="IM170" s="48">
        <f t="shared" si="387"/>
        <v>0</v>
      </c>
      <c r="IN170" s="48">
        <f t="shared" si="387"/>
        <v>0</v>
      </c>
      <c r="IO170" s="48">
        <f t="shared" si="387"/>
        <v>0</v>
      </c>
      <c r="IP170" s="48">
        <f t="shared" si="387"/>
        <v>0</v>
      </c>
      <c r="IQ170" s="48">
        <f t="shared" si="387"/>
        <v>0</v>
      </c>
      <c r="IR170" s="48">
        <f t="shared" si="387"/>
        <v>0</v>
      </c>
      <c r="IS170" s="48">
        <f t="shared" si="387"/>
        <v>0</v>
      </c>
      <c r="IT170" s="48">
        <f t="shared" si="387"/>
        <v>0</v>
      </c>
      <c r="IU170" s="48">
        <f t="shared" si="387"/>
        <v>0</v>
      </c>
      <c r="IV170" s="48">
        <f t="shared" si="387"/>
        <v>0</v>
      </c>
      <c r="IW170" s="48">
        <f t="shared" si="387"/>
        <v>0</v>
      </c>
      <c r="IX170" s="48">
        <f t="shared" si="387"/>
        <v>0</v>
      </c>
      <c r="IY170" s="48">
        <f t="shared" si="387"/>
        <v>0</v>
      </c>
      <c r="IZ170" s="48">
        <f t="shared" si="387"/>
        <v>0</v>
      </c>
      <c r="JA170" s="48">
        <f t="shared" si="387"/>
        <v>0</v>
      </c>
      <c r="JB170" s="48">
        <f t="shared" si="387"/>
        <v>0</v>
      </c>
      <c r="JC170" s="48">
        <f t="shared" si="387"/>
        <v>0</v>
      </c>
      <c r="JD170" s="48">
        <f t="shared" si="387"/>
        <v>0</v>
      </c>
      <c r="JE170" s="48">
        <f t="shared" si="387"/>
        <v>0</v>
      </c>
      <c r="JF170" s="48">
        <f t="shared" si="387"/>
        <v>0</v>
      </c>
      <c r="JG170" s="48">
        <f t="shared" si="387"/>
        <v>0</v>
      </c>
      <c r="JH170" s="48">
        <f t="shared" si="387"/>
        <v>0</v>
      </c>
      <c r="JI170" s="48">
        <f t="shared" si="387"/>
        <v>0</v>
      </c>
      <c r="JJ170" s="48">
        <f t="shared" si="387"/>
        <v>0</v>
      </c>
      <c r="JK170" s="48">
        <f t="shared" ref="JK170:KI170" si="388">JK83</f>
        <v>0</v>
      </c>
      <c r="JL170" s="48">
        <f t="shared" si="388"/>
        <v>0</v>
      </c>
      <c r="JM170" s="48">
        <f t="shared" si="388"/>
        <v>0</v>
      </c>
      <c r="JN170" s="48">
        <f t="shared" si="388"/>
        <v>0</v>
      </c>
      <c r="JO170" s="48">
        <f t="shared" si="388"/>
        <v>0</v>
      </c>
      <c r="JP170" s="48">
        <f t="shared" si="388"/>
        <v>0</v>
      </c>
      <c r="JQ170" s="48">
        <f t="shared" si="388"/>
        <v>0</v>
      </c>
      <c r="JR170" s="48">
        <f t="shared" si="388"/>
        <v>0</v>
      </c>
      <c r="JS170" s="48">
        <f t="shared" si="388"/>
        <v>0</v>
      </c>
      <c r="JT170" s="48">
        <f t="shared" si="388"/>
        <v>0</v>
      </c>
      <c r="JU170" s="48">
        <f t="shared" si="388"/>
        <v>0</v>
      </c>
      <c r="JV170" s="48">
        <f t="shared" si="388"/>
        <v>0</v>
      </c>
      <c r="JW170" s="48">
        <f t="shared" si="388"/>
        <v>0</v>
      </c>
      <c r="JX170" s="48">
        <f t="shared" si="388"/>
        <v>0</v>
      </c>
      <c r="JY170" s="48">
        <f t="shared" si="388"/>
        <v>0</v>
      </c>
      <c r="JZ170" s="48">
        <f t="shared" si="388"/>
        <v>0</v>
      </c>
      <c r="KA170" s="48">
        <f t="shared" si="388"/>
        <v>0</v>
      </c>
      <c r="KB170" s="48">
        <f t="shared" si="388"/>
        <v>0</v>
      </c>
      <c r="KC170" s="48">
        <f t="shared" si="388"/>
        <v>0</v>
      </c>
      <c r="KD170" s="48">
        <f t="shared" si="388"/>
        <v>0</v>
      </c>
      <c r="KE170" s="48">
        <f t="shared" si="388"/>
        <v>0</v>
      </c>
      <c r="KF170" s="48">
        <f t="shared" si="388"/>
        <v>0</v>
      </c>
      <c r="KG170" s="48">
        <f t="shared" si="388"/>
        <v>0</v>
      </c>
      <c r="KH170" s="48">
        <f t="shared" si="388"/>
        <v>0</v>
      </c>
      <c r="KI170" s="48">
        <f t="shared" si="388"/>
        <v>0</v>
      </c>
      <c r="KJ170" s="1"/>
    </row>
    <row r="171" spans="11:296" x14ac:dyDescent="0.35">
      <c r="M171" s="15" t="s">
        <v>62</v>
      </c>
      <c r="N171" s="48">
        <f>N113</f>
        <v>0</v>
      </c>
      <c r="O171" s="48">
        <f t="shared" ref="O171:BZ171" si="389">O113</f>
        <v>0</v>
      </c>
      <c r="P171" s="48">
        <f t="shared" si="389"/>
        <v>0</v>
      </c>
      <c r="Q171" s="48">
        <f t="shared" si="389"/>
        <v>0</v>
      </c>
      <c r="R171" s="48">
        <f t="shared" si="389"/>
        <v>0</v>
      </c>
      <c r="S171" s="48">
        <f t="shared" si="389"/>
        <v>0</v>
      </c>
      <c r="T171" s="48">
        <f t="shared" si="389"/>
        <v>250</v>
      </c>
      <c r="U171" s="48">
        <f t="shared" si="389"/>
        <v>250</v>
      </c>
      <c r="V171" s="48">
        <f t="shared" si="389"/>
        <v>225</v>
      </c>
      <c r="W171" s="48">
        <f t="shared" si="389"/>
        <v>225</v>
      </c>
      <c r="X171" s="48">
        <f t="shared" si="389"/>
        <v>225</v>
      </c>
      <c r="Y171" s="48">
        <f t="shared" si="389"/>
        <v>225</v>
      </c>
      <c r="Z171" s="48">
        <f t="shared" si="389"/>
        <v>225</v>
      </c>
      <c r="AA171" s="48">
        <f t="shared" si="389"/>
        <v>225</v>
      </c>
      <c r="AB171" s="48">
        <f t="shared" si="389"/>
        <v>200</v>
      </c>
      <c r="AC171" s="48">
        <f t="shared" si="389"/>
        <v>200</v>
      </c>
      <c r="AD171" s="48">
        <f t="shared" si="389"/>
        <v>200</v>
      </c>
      <c r="AE171" s="48">
        <f t="shared" si="389"/>
        <v>200</v>
      </c>
      <c r="AF171" s="48">
        <f t="shared" si="389"/>
        <v>200</v>
      </c>
      <c r="AG171" s="48">
        <f t="shared" si="389"/>
        <v>200</v>
      </c>
      <c r="AH171" s="48">
        <f t="shared" si="389"/>
        <v>175</v>
      </c>
      <c r="AI171" s="48">
        <f t="shared" si="389"/>
        <v>175</v>
      </c>
      <c r="AJ171" s="48">
        <f t="shared" si="389"/>
        <v>175</v>
      </c>
      <c r="AK171" s="48">
        <f t="shared" si="389"/>
        <v>175</v>
      </c>
      <c r="AL171" s="48">
        <f t="shared" si="389"/>
        <v>175</v>
      </c>
      <c r="AM171" s="48">
        <f t="shared" si="389"/>
        <v>175</v>
      </c>
      <c r="AN171" s="48">
        <f t="shared" si="389"/>
        <v>150</v>
      </c>
      <c r="AO171" s="48">
        <f t="shared" si="389"/>
        <v>150</v>
      </c>
      <c r="AP171" s="48">
        <f t="shared" si="389"/>
        <v>150</v>
      </c>
      <c r="AQ171" s="48">
        <f t="shared" si="389"/>
        <v>150</v>
      </c>
      <c r="AR171" s="48">
        <f t="shared" si="389"/>
        <v>150</v>
      </c>
      <c r="AS171" s="48">
        <f t="shared" si="389"/>
        <v>150</v>
      </c>
      <c r="AT171" s="48">
        <f t="shared" si="389"/>
        <v>125</v>
      </c>
      <c r="AU171" s="48">
        <f t="shared" si="389"/>
        <v>125</v>
      </c>
      <c r="AV171" s="48">
        <f t="shared" si="389"/>
        <v>125</v>
      </c>
      <c r="AW171" s="48">
        <f t="shared" si="389"/>
        <v>125</v>
      </c>
      <c r="AX171" s="48">
        <f t="shared" si="389"/>
        <v>125</v>
      </c>
      <c r="AY171" s="48">
        <f t="shared" si="389"/>
        <v>125</v>
      </c>
      <c r="AZ171" s="48">
        <f t="shared" si="389"/>
        <v>100</v>
      </c>
      <c r="BA171" s="48">
        <f t="shared" si="389"/>
        <v>100</v>
      </c>
      <c r="BB171" s="48">
        <f t="shared" si="389"/>
        <v>100</v>
      </c>
      <c r="BC171" s="48">
        <f t="shared" si="389"/>
        <v>100</v>
      </c>
      <c r="BD171" s="48">
        <f t="shared" si="389"/>
        <v>100</v>
      </c>
      <c r="BE171" s="48">
        <f t="shared" si="389"/>
        <v>100</v>
      </c>
      <c r="BF171" s="48">
        <f t="shared" si="389"/>
        <v>75</v>
      </c>
      <c r="BG171" s="48">
        <f t="shared" si="389"/>
        <v>75</v>
      </c>
      <c r="BH171" s="48">
        <f t="shared" si="389"/>
        <v>75</v>
      </c>
      <c r="BI171" s="48">
        <f t="shared" si="389"/>
        <v>75</v>
      </c>
      <c r="BJ171" s="48">
        <f t="shared" si="389"/>
        <v>75</v>
      </c>
      <c r="BK171" s="48">
        <f t="shared" si="389"/>
        <v>75</v>
      </c>
      <c r="BL171" s="48">
        <f t="shared" si="389"/>
        <v>50</v>
      </c>
      <c r="BM171" s="48">
        <f t="shared" si="389"/>
        <v>50</v>
      </c>
      <c r="BN171" s="48">
        <f t="shared" si="389"/>
        <v>50</v>
      </c>
      <c r="BO171" s="48">
        <f t="shared" si="389"/>
        <v>50</v>
      </c>
      <c r="BP171" s="48">
        <f t="shared" si="389"/>
        <v>50</v>
      </c>
      <c r="BQ171" s="48">
        <f t="shared" si="389"/>
        <v>50</v>
      </c>
      <c r="BR171" s="48">
        <f t="shared" si="389"/>
        <v>25</v>
      </c>
      <c r="BS171" s="48">
        <f t="shared" si="389"/>
        <v>25</v>
      </c>
      <c r="BT171" s="48">
        <f t="shared" si="389"/>
        <v>25</v>
      </c>
      <c r="BU171" s="48">
        <f t="shared" si="389"/>
        <v>25</v>
      </c>
      <c r="BV171" s="48">
        <f t="shared" si="389"/>
        <v>25</v>
      </c>
      <c r="BW171" s="48">
        <f t="shared" si="389"/>
        <v>25</v>
      </c>
      <c r="BX171" s="48">
        <f t="shared" si="389"/>
        <v>0</v>
      </c>
      <c r="BY171" s="48">
        <f t="shared" si="389"/>
        <v>0</v>
      </c>
      <c r="BZ171" s="48">
        <f t="shared" si="389"/>
        <v>0</v>
      </c>
      <c r="CA171" s="48">
        <f t="shared" ref="CA171:EL171" si="390">CA113</f>
        <v>0</v>
      </c>
      <c r="CB171" s="48">
        <f t="shared" si="390"/>
        <v>0</v>
      </c>
      <c r="CC171" s="48">
        <f t="shared" si="390"/>
        <v>0</v>
      </c>
      <c r="CD171" s="48">
        <f t="shared" si="390"/>
        <v>0</v>
      </c>
      <c r="CE171" s="48">
        <f t="shared" si="390"/>
        <v>0</v>
      </c>
      <c r="CF171" s="48">
        <f t="shared" si="390"/>
        <v>0</v>
      </c>
      <c r="CG171" s="48">
        <f t="shared" si="390"/>
        <v>0</v>
      </c>
      <c r="CH171" s="48">
        <f t="shared" si="390"/>
        <v>0</v>
      </c>
      <c r="CI171" s="48">
        <f t="shared" si="390"/>
        <v>0</v>
      </c>
      <c r="CJ171" s="48">
        <f t="shared" si="390"/>
        <v>0</v>
      </c>
      <c r="CK171" s="48">
        <f t="shared" si="390"/>
        <v>0</v>
      </c>
      <c r="CL171" s="48">
        <f t="shared" si="390"/>
        <v>0</v>
      </c>
      <c r="CM171" s="48">
        <f t="shared" si="390"/>
        <v>0</v>
      </c>
      <c r="CN171" s="48">
        <f t="shared" si="390"/>
        <v>0</v>
      </c>
      <c r="CO171" s="48">
        <f t="shared" si="390"/>
        <v>0</v>
      </c>
      <c r="CP171" s="48">
        <f t="shared" si="390"/>
        <v>0</v>
      </c>
      <c r="CQ171" s="48">
        <f t="shared" si="390"/>
        <v>0</v>
      </c>
      <c r="CR171" s="48">
        <f t="shared" si="390"/>
        <v>0</v>
      </c>
      <c r="CS171" s="48">
        <f t="shared" si="390"/>
        <v>0</v>
      </c>
      <c r="CT171" s="48">
        <f t="shared" si="390"/>
        <v>0</v>
      </c>
      <c r="CU171" s="48">
        <f t="shared" si="390"/>
        <v>0</v>
      </c>
      <c r="CV171" s="48">
        <f t="shared" si="390"/>
        <v>0</v>
      </c>
      <c r="CW171" s="48">
        <f t="shared" si="390"/>
        <v>0</v>
      </c>
      <c r="CX171" s="48">
        <f t="shared" si="390"/>
        <v>0</v>
      </c>
      <c r="CY171" s="48">
        <f t="shared" si="390"/>
        <v>0</v>
      </c>
      <c r="CZ171" s="48">
        <f t="shared" si="390"/>
        <v>0</v>
      </c>
      <c r="DA171" s="48">
        <f t="shared" si="390"/>
        <v>0</v>
      </c>
      <c r="DB171" s="48">
        <f t="shared" si="390"/>
        <v>0</v>
      </c>
      <c r="DC171" s="48">
        <f t="shared" si="390"/>
        <v>0</v>
      </c>
      <c r="DD171" s="48">
        <f t="shared" si="390"/>
        <v>0</v>
      </c>
      <c r="DE171" s="48">
        <f t="shared" si="390"/>
        <v>0</v>
      </c>
      <c r="DF171" s="48">
        <f t="shared" si="390"/>
        <v>0</v>
      </c>
      <c r="DG171" s="48">
        <f t="shared" si="390"/>
        <v>0</v>
      </c>
      <c r="DH171" s="48">
        <f t="shared" si="390"/>
        <v>0</v>
      </c>
      <c r="DI171" s="48">
        <f t="shared" si="390"/>
        <v>0</v>
      </c>
      <c r="DJ171" s="48">
        <f t="shared" si="390"/>
        <v>0</v>
      </c>
      <c r="DK171" s="48">
        <f t="shared" si="390"/>
        <v>0</v>
      </c>
      <c r="DL171" s="48">
        <f t="shared" si="390"/>
        <v>0</v>
      </c>
      <c r="DM171" s="48">
        <f t="shared" si="390"/>
        <v>0</v>
      </c>
      <c r="DN171" s="48">
        <f t="shared" si="390"/>
        <v>0</v>
      </c>
      <c r="DO171" s="48">
        <f t="shared" si="390"/>
        <v>0</v>
      </c>
      <c r="DP171" s="48">
        <f t="shared" si="390"/>
        <v>0</v>
      </c>
      <c r="DQ171" s="48">
        <f t="shared" si="390"/>
        <v>0</v>
      </c>
      <c r="DR171" s="48">
        <f t="shared" si="390"/>
        <v>0</v>
      </c>
      <c r="DS171" s="48">
        <f t="shared" si="390"/>
        <v>0</v>
      </c>
      <c r="DT171" s="48">
        <f t="shared" si="390"/>
        <v>0</v>
      </c>
      <c r="DU171" s="48">
        <f t="shared" si="390"/>
        <v>0</v>
      </c>
      <c r="DV171" s="48">
        <f t="shared" si="390"/>
        <v>0</v>
      </c>
      <c r="DW171" s="48">
        <f t="shared" si="390"/>
        <v>0</v>
      </c>
      <c r="DX171" s="48">
        <f t="shared" si="390"/>
        <v>0</v>
      </c>
      <c r="DY171" s="48">
        <f t="shared" si="390"/>
        <v>0</v>
      </c>
      <c r="DZ171" s="48">
        <f t="shared" si="390"/>
        <v>0</v>
      </c>
      <c r="EA171" s="48">
        <f t="shared" si="390"/>
        <v>0</v>
      </c>
      <c r="EB171" s="48">
        <f t="shared" si="390"/>
        <v>0</v>
      </c>
      <c r="EC171" s="48">
        <f t="shared" si="390"/>
        <v>0</v>
      </c>
      <c r="ED171" s="48">
        <f t="shared" si="390"/>
        <v>0</v>
      </c>
      <c r="EE171" s="48">
        <f t="shared" si="390"/>
        <v>0</v>
      </c>
      <c r="EF171" s="48">
        <f t="shared" si="390"/>
        <v>0</v>
      </c>
      <c r="EG171" s="48">
        <f t="shared" si="390"/>
        <v>0</v>
      </c>
      <c r="EH171" s="48">
        <f t="shared" si="390"/>
        <v>0</v>
      </c>
      <c r="EI171" s="48">
        <f t="shared" si="390"/>
        <v>0</v>
      </c>
      <c r="EJ171" s="48">
        <f t="shared" si="390"/>
        <v>0</v>
      </c>
      <c r="EK171" s="48">
        <f t="shared" si="390"/>
        <v>0</v>
      </c>
      <c r="EL171" s="48">
        <f t="shared" si="390"/>
        <v>0</v>
      </c>
      <c r="EM171" s="48">
        <f t="shared" ref="EM171:GX171" si="391">EM113</f>
        <v>0</v>
      </c>
      <c r="EN171" s="48">
        <f t="shared" si="391"/>
        <v>0</v>
      </c>
      <c r="EO171" s="48">
        <f t="shared" si="391"/>
        <v>0</v>
      </c>
      <c r="EP171" s="48">
        <f t="shared" si="391"/>
        <v>0</v>
      </c>
      <c r="EQ171" s="48">
        <f t="shared" si="391"/>
        <v>0</v>
      </c>
      <c r="ER171" s="48">
        <f t="shared" si="391"/>
        <v>0</v>
      </c>
      <c r="ES171" s="48">
        <f t="shared" si="391"/>
        <v>0</v>
      </c>
      <c r="ET171" s="48">
        <f t="shared" si="391"/>
        <v>0</v>
      </c>
      <c r="EU171" s="48">
        <f t="shared" si="391"/>
        <v>0</v>
      </c>
      <c r="EV171" s="48">
        <f t="shared" si="391"/>
        <v>0</v>
      </c>
      <c r="EW171" s="48">
        <f t="shared" si="391"/>
        <v>0</v>
      </c>
      <c r="EX171" s="48">
        <f t="shared" si="391"/>
        <v>0</v>
      </c>
      <c r="EY171" s="48">
        <f t="shared" si="391"/>
        <v>0</v>
      </c>
      <c r="EZ171" s="48">
        <f t="shared" si="391"/>
        <v>0</v>
      </c>
      <c r="FA171" s="48">
        <f t="shared" si="391"/>
        <v>0</v>
      </c>
      <c r="FB171" s="48">
        <f t="shared" si="391"/>
        <v>0</v>
      </c>
      <c r="FC171" s="48">
        <f t="shared" si="391"/>
        <v>0</v>
      </c>
      <c r="FD171" s="48">
        <f t="shared" si="391"/>
        <v>0</v>
      </c>
      <c r="FE171" s="48">
        <f t="shared" si="391"/>
        <v>0</v>
      </c>
      <c r="FF171" s="48">
        <f t="shared" si="391"/>
        <v>0</v>
      </c>
      <c r="FG171" s="48">
        <f t="shared" si="391"/>
        <v>0</v>
      </c>
      <c r="FH171" s="48">
        <f t="shared" si="391"/>
        <v>0</v>
      </c>
      <c r="FI171" s="48">
        <f t="shared" si="391"/>
        <v>0</v>
      </c>
      <c r="FJ171" s="48">
        <f t="shared" si="391"/>
        <v>0</v>
      </c>
      <c r="FK171" s="48">
        <f t="shared" si="391"/>
        <v>0</v>
      </c>
      <c r="FL171" s="48">
        <f t="shared" si="391"/>
        <v>0</v>
      </c>
      <c r="FM171" s="48">
        <f t="shared" si="391"/>
        <v>0</v>
      </c>
      <c r="FN171" s="48">
        <f t="shared" si="391"/>
        <v>0</v>
      </c>
      <c r="FO171" s="48">
        <f t="shared" si="391"/>
        <v>0</v>
      </c>
      <c r="FP171" s="48">
        <f t="shared" si="391"/>
        <v>0</v>
      </c>
      <c r="FQ171" s="48">
        <f t="shared" si="391"/>
        <v>0</v>
      </c>
      <c r="FR171" s="48">
        <f t="shared" si="391"/>
        <v>0</v>
      </c>
      <c r="FS171" s="48">
        <f t="shared" si="391"/>
        <v>0</v>
      </c>
      <c r="FT171" s="48">
        <f t="shared" si="391"/>
        <v>0</v>
      </c>
      <c r="FU171" s="48">
        <f t="shared" si="391"/>
        <v>0</v>
      </c>
      <c r="FV171" s="48">
        <f t="shared" si="391"/>
        <v>0</v>
      </c>
      <c r="FW171" s="48">
        <f t="shared" si="391"/>
        <v>0</v>
      </c>
      <c r="FX171" s="48">
        <f t="shared" si="391"/>
        <v>0</v>
      </c>
      <c r="FY171" s="48">
        <f t="shared" si="391"/>
        <v>0</v>
      </c>
      <c r="FZ171" s="48">
        <f t="shared" si="391"/>
        <v>0</v>
      </c>
      <c r="GA171" s="48">
        <f t="shared" si="391"/>
        <v>0</v>
      </c>
      <c r="GB171" s="48">
        <f t="shared" si="391"/>
        <v>0</v>
      </c>
      <c r="GC171" s="48">
        <f t="shared" si="391"/>
        <v>0</v>
      </c>
      <c r="GD171" s="48">
        <f t="shared" si="391"/>
        <v>0</v>
      </c>
      <c r="GE171" s="48">
        <f t="shared" si="391"/>
        <v>0</v>
      </c>
      <c r="GF171" s="48">
        <f t="shared" si="391"/>
        <v>0</v>
      </c>
      <c r="GG171" s="48">
        <f t="shared" si="391"/>
        <v>0</v>
      </c>
      <c r="GH171" s="48">
        <f t="shared" si="391"/>
        <v>0</v>
      </c>
      <c r="GI171" s="48">
        <f t="shared" si="391"/>
        <v>0</v>
      </c>
      <c r="GJ171" s="48">
        <f t="shared" si="391"/>
        <v>0</v>
      </c>
      <c r="GK171" s="48">
        <f t="shared" si="391"/>
        <v>0</v>
      </c>
      <c r="GL171" s="48">
        <f t="shared" si="391"/>
        <v>0</v>
      </c>
      <c r="GM171" s="48">
        <f t="shared" si="391"/>
        <v>0</v>
      </c>
      <c r="GN171" s="48">
        <f t="shared" si="391"/>
        <v>0</v>
      </c>
      <c r="GO171" s="48">
        <f t="shared" si="391"/>
        <v>0</v>
      </c>
      <c r="GP171" s="48">
        <f t="shared" si="391"/>
        <v>0</v>
      </c>
      <c r="GQ171" s="48">
        <f t="shared" si="391"/>
        <v>0</v>
      </c>
      <c r="GR171" s="48">
        <f t="shared" si="391"/>
        <v>0</v>
      </c>
      <c r="GS171" s="48">
        <f t="shared" si="391"/>
        <v>0</v>
      </c>
      <c r="GT171" s="48">
        <f t="shared" si="391"/>
        <v>0</v>
      </c>
      <c r="GU171" s="48">
        <f t="shared" si="391"/>
        <v>0</v>
      </c>
      <c r="GV171" s="48">
        <f t="shared" si="391"/>
        <v>0</v>
      </c>
      <c r="GW171" s="48">
        <f t="shared" si="391"/>
        <v>0</v>
      </c>
      <c r="GX171" s="48">
        <f t="shared" si="391"/>
        <v>0</v>
      </c>
      <c r="GY171" s="48">
        <f t="shared" ref="GY171:JJ171" si="392">GY113</f>
        <v>0</v>
      </c>
      <c r="GZ171" s="48">
        <f t="shared" si="392"/>
        <v>0</v>
      </c>
      <c r="HA171" s="48">
        <f t="shared" si="392"/>
        <v>0</v>
      </c>
      <c r="HB171" s="48">
        <f t="shared" si="392"/>
        <v>0</v>
      </c>
      <c r="HC171" s="48">
        <f t="shared" si="392"/>
        <v>0</v>
      </c>
      <c r="HD171" s="48">
        <f t="shared" si="392"/>
        <v>0</v>
      </c>
      <c r="HE171" s="48">
        <f t="shared" si="392"/>
        <v>0</v>
      </c>
      <c r="HF171" s="48">
        <f t="shared" si="392"/>
        <v>0</v>
      </c>
      <c r="HG171" s="48">
        <f t="shared" si="392"/>
        <v>0</v>
      </c>
      <c r="HH171" s="48">
        <f t="shared" si="392"/>
        <v>0</v>
      </c>
      <c r="HI171" s="48">
        <f t="shared" si="392"/>
        <v>0</v>
      </c>
      <c r="HJ171" s="48">
        <f t="shared" si="392"/>
        <v>0</v>
      </c>
      <c r="HK171" s="48">
        <f t="shared" si="392"/>
        <v>0</v>
      </c>
      <c r="HL171" s="48">
        <f t="shared" si="392"/>
        <v>0</v>
      </c>
      <c r="HM171" s="48">
        <f t="shared" si="392"/>
        <v>0</v>
      </c>
      <c r="HN171" s="48">
        <f t="shared" si="392"/>
        <v>0</v>
      </c>
      <c r="HO171" s="48">
        <f t="shared" si="392"/>
        <v>0</v>
      </c>
      <c r="HP171" s="48">
        <f t="shared" si="392"/>
        <v>0</v>
      </c>
      <c r="HQ171" s="48">
        <f t="shared" si="392"/>
        <v>0</v>
      </c>
      <c r="HR171" s="48">
        <f t="shared" si="392"/>
        <v>0</v>
      </c>
      <c r="HS171" s="48">
        <f t="shared" si="392"/>
        <v>0</v>
      </c>
      <c r="HT171" s="48">
        <f t="shared" si="392"/>
        <v>0</v>
      </c>
      <c r="HU171" s="48">
        <f t="shared" si="392"/>
        <v>0</v>
      </c>
      <c r="HV171" s="48">
        <f t="shared" si="392"/>
        <v>0</v>
      </c>
      <c r="HW171" s="48">
        <f t="shared" si="392"/>
        <v>0</v>
      </c>
      <c r="HX171" s="48">
        <f t="shared" si="392"/>
        <v>0</v>
      </c>
      <c r="HY171" s="48">
        <f t="shared" si="392"/>
        <v>0</v>
      </c>
      <c r="HZ171" s="48">
        <f t="shared" si="392"/>
        <v>0</v>
      </c>
      <c r="IA171" s="48">
        <f t="shared" si="392"/>
        <v>0</v>
      </c>
      <c r="IB171" s="48">
        <f t="shared" si="392"/>
        <v>0</v>
      </c>
      <c r="IC171" s="48">
        <f t="shared" si="392"/>
        <v>0</v>
      </c>
      <c r="ID171" s="48">
        <f t="shared" si="392"/>
        <v>0</v>
      </c>
      <c r="IE171" s="48">
        <f t="shared" si="392"/>
        <v>0</v>
      </c>
      <c r="IF171" s="48">
        <f t="shared" si="392"/>
        <v>0</v>
      </c>
      <c r="IG171" s="48">
        <f t="shared" si="392"/>
        <v>0</v>
      </c>
      <c r="IH171" s="48">
        <f t="shared" si="392"/>
        <v>0</v>
      </c>
      <c r="II171" s="48">
        <f t="shared" si="392"/>
        <v>0</v>
      </c>
      <c r="IJ171" s="48">
        <f t="shared" si="392"/>
        <v>0</v>
      </c>
      <c r="IK171" s="48">
        <f t="shared" si="392"/>
        <v>0</v>
      </c>
      <c r="IL171" s="48">
        <f t="shared" si="392"/>
        <v>0</v>
      </c>
      <c r="IM171" s="48">
        <f t="shared" si="392"/>
        <v>0</v>
      </c>
      <c r="IN171" s="48">
        <f t="shared" si="392"/>
        <v>0</v>
      </c>
      <c r="IO171" s="48">
        <f t="shared" si="392"/>
        <v>0</v>
      </c>
      <c r="IP171" s="48">
        <f t="shared" si="392"/>
        <v>0</v>
      </c>
      <c r="IQ171" s="48">
        <f t="shared" si="392"/>
        <v>0</v>
      </c>
      <c r="IR171" s="48">
        <f t="shared" si="392"/>
        <v>0</v>
      </c>
      <c r="IS171" s="48">
        <f t="shared" si="392"/>
        <v>0</v>
      </c>
      <c r="IT171" s="48">
        <f t="shared" si="392"/>
        <v>0</v>
      </c>
      <c r="IU171" s="48">
        <f t="shared" si="392"/>
        <v>0</v>
      </c>
      <c r="IV171" s="48">
        <f t="shared" si="392"/>
        <v>0</v>
      </c>
      <c r="IW171" s="48">
        <f t="shared" si="392"/>
        <v>0</v>
      </c>
      <c r="IX171" s="48">
        <f t="shared" si="392"/>
        <v>0</v>
      </c>
      <c r="IY171" s="48">
        <f t="shared" si="392"/>
        <v>0</v>
      </c>
      <c r="IZ171" s="48">
        <f t="shared" si="392"/>
        <v>0</v>
      </c>
      <c r="JA171" s="48">
        <f t="shared" si="392"/>
        <v>0</v>
      </c>
      <c r="JB171" s="48">
        <f t="shared" si="392"/>
        <v>0</v>
      </c>
      <c r="JC171" s="48">
        <f t="shared" si="392"/>
        <v>0</v>
      </c>
      <c r="JD171" s="48">
        <f t="shared" si="392"/>
        <v>0</v>
      </c>
      <c r="JE171" s="48">
        <f t="shared" si="392"/>
        <v>0</v>
      </c>
      <c r="JF171" s="48">
        <f t="shared" si="392"/>
        <v>0</v>
      </c>
      <c r="JG171" s="48">
        <f t="shared" si="392"/>
        <v>0</v>
      </c>
      <c r="JH171" s="48">
        <f t="shared" si="392"/>
        <v>0</v>
      </c>
      <c r="JI171" s="48">
        <f t="shared" si="392"/>
        <v>0</v>
      </c>
      <c r="JJ171" s="48">
        <f t="shared" si="392"/>
        <v>0</v>
      </c>
      <c r="JK171" s="48">
        <f t="shared" ref="JK171:KI171" si="393">JK113</f>
        <v>0</v>
      </c>
      <c r="JL171" s="48">
        <f t="shared" si="393"/>
        <v>0</v>
      </c>
      <c r="JM171" s="48">
        <f t="shared" si="393"/>
        <v>0</v>
      </c>
      <c r="JN171" s="48">
        <f t="shared" si="393"/>
        <v>0</v>
      </c>
      <c r="JO171" s="48">
        <f t="shared" si="393"/>
        <v>0</v>
      </c>
      <c r="JP171" s="48">
        <f t="shared" si="393"/>
        <v>0</v>
      </c>
      <c r="JQ171" s="48">
        <f t="shared" si="393"/>
        <v>0</v>
      </c>
      <c r="JR171" s="48">
        <f t="shared" si="393"/>
        <v>0</v>
      </c>
      <c r="JS171" s="48">
        <f t="shared" si="393"/>
        <v>0</v>
      </c>
      <c r="JT171" s="48">
        <f t="shared" si="393"/>
        <v>0</v>
      </c>
      <c r="JU171" s="48">
        <f t="shared" si="393"/>
        <v>0</v>
      </c>
      <c r="JV171" s="48">
        <f t="shared" si="393"/>
        <v>0</v>
      </c>
      <c r="JW171" s="48">
        <f t="shared" si="393"/>
        <v>0</v>
      </c>
      <c r="JX171" s="48">
        <f t="shared" si="393"/>
        <v>0</v>
      </c>
      <c r="JY171" s="48">
        <f t="shared" si="393"/>
        <v>0</v>
      </c>
      <c r="JZ171" s="48">
        <f t="shared" si="393"/>
        <v>0</v>
      </c>
      <c r="KA171" s="48">
        <f t="shared" si="393"/>
        <v>0</v>
      </c>
      <c r="KB171" s="48">
        <f t="shared" si="393"/>
        <v>0</v>
      </c>
      <c r="KC171" s="48">
        <f t="shared" si="393"/>
        <v>0</v>
      </c>
      <c r="KD171" s="48">
        <f t="shared" si="393"/>
        <v>0</v>
      </c>
      <c r="KE171" s="48">
        <f t="shared" si="393"/>
        <v>0</v>
      </c>
      <c r="KF171" s="48">
        <f t="shared" si="393"/>
        <v>0</v>
      </c>
      <c r="KG171" s="48">
        <f t="shared" si="393"/>
        <v>0</v>
      </c>
      <c r="KH171" s="48">
        <f t="shared" si="393"/>
        <v>0</v>
      </c>
      <c r="KI171" s="48">
        <f t="shared" si="393"/>
        <v>0</v>
      </c>
      <c r="KJ171" s="1"/>
    </row>
    <row r="172" spans="11:296" x14ac:dyDescent="0.35">
      <c r="M172" s="15" t="s">
        <v>212</v>
      </c>
      <c r="N172" s="48">
        <f>-N50</f>
        <v>-212</v>
      </c>
      <c r="O172" s="48">
        <f t="shared" ref="O172:BZ172" si="394">-O50</f>
        <v>-258.97379750835881</v>
      </c>
      <c r="P172" s="48">
        <f t="shared" si="394"/>
        <v>-322.89528659498819</v>
      </c>
      <c r="Q172" s="48">
        <f t="shared" si="394"/>
        <v>-410.66762249185945</v>
      </c>
      <c r="R172" s="48">
        <f t="shared" si="394"/>
        <v>-456.35171951584039</v>
      </c>
      <c r="S172" s="48">
        <f t="shared" si="394"/>
        <v>-463.09441685782957</v>
      </c>
      <c r="T172" s="48">
        <f t="shared" si="394"/>
        <v>-556.17371571484614</v>
      </c>
      <c r="U172" s="48">
        <f t="shared" si="394"/>
        <v>-615.03752176678199</v>
      </c>
      <c r="V172" s="48">
        <f t="shared" si="394"/>
        <v>-681.71405698326907</v>
      </c>
      <c r="W172" s="48">
        <f t="shared" si="394"/>
        <v>-776.04512609552319</v>
      </c>
      <c r="X172" s="48">
        <f t="shared" si="394"/>
        <v>-858.257587484748</v>
      </c>
      <c r="Y172" s="48">
        <f t="shared" si="394"/>
        <v>-927.95102466137928</v>
      </c>
      <c r="Z172" s="48">
        <f t="shared" si="394"/>
        <v>-958.01388701479345</v>
      </c>
      <c r="AA172" s="48">
        <f t="shared" si="394"/>
        <v>-1047.2535619860118</v>
      </c>
      <c r="AB172" s="48">
        <f t="shared" si="394"/>
        <v>-1114.3671309480296</v>
      </c>
      <c r="AC172" s="48">
        <f t="shared" si="394"/>
        <v>-1204.7431897694262</v>
      </c>
      <c r="AD172" s="48">
        <f t="shared" si="394"/>
        <v>-1282.9570489090779</v>
      </c>
      <c r="AE172" s="48">
        <f t="shared" si="394"/>
        <v>-1337.9022548779633</v>
      </c>
      <c r="AF172" s="48">
        <f t="shared" si="394"/>
        <v>-1382.2380028935988</v>
      </c>
      <c r="AG172" s="48">
        <f t="shared" si="394"/>
        <v>-1455.6823200995946</v>
      </c>
      <c r="AH172" s="48">
        <f t="shared" si="394"/>
        <v>-1461.1710944085648</v>
      </c>
      <c r="AI172" s="48">
        <f t="shared" si="394"/>
        <v>-1535.6748360524471</v>
      </c>
      <c r="AJ172" s="48">
        <f t="shared" si="394"/>
        <v>-1570.1615773328665</v>
      </c>
      <c r="AK172" s="48">
        <f t="shared" si="394"/>
        <v>-1641.8692912647641</v>
      </c>
      <c r="AL172" s="48">
        <f t="shared" si="394"/>
        <v>-1678.7907295792374</v>
      </c>
      <c r="AM172" s="48">
        <f t="shared" si="394"/>
        <v>-1753.1717394017783</v>
      </c>
      <c r="AN172" s="48">
        <f t="shared" si="394"/>
        <v>-1800.7938022032124</v>
      </c>
      <c r="AO172" s="48">
        <f t="shared" si="394"/>
        <v>-1841.6182717877905</v>
      </c>
      <c r="AP172" s="48">
        <f t="shared" si="394"/>
        <v>-1885.986042972143</v>
      </c>
      <c r="AQ172" s="48">
        <f t="shared" si="394"/>
        <v>-1927.891029093068</v>
      </c>
      <c r="AR172" s="48">
        <f t="shared" si="394"/>
        <v>-1958.4430254919032</v>
      </c>
      <c r="AS172" s="48">
        <f t="shared" si="394"/>
        <v>-2032.0176109450733</v>
      </c>
      <c r="AT172" s="48">
        <f t="shared" si="394"/>
        <v>-2063.089076829282</v>
      </c>
      <c r="AU172" s="48">
        <f t="shared" si="394"/>
        <v>-2124.4473737432704</v>
      </c>
      <c r="AV172" s="48">
        <f t="shared" si="394"/>
        <v>-2183.8717641745798</v>
      </c>
      <c r="AW172" s="48">
        <f t="shared" si="394"/>
        <v>-2261.2027285958156</v>
      </c>
      <c r="AX172" s="48">
        <f t="shared" si="394"/>
        <v>-2349.265007890062</v>
      </c>
      <c r="AY172" s="48">
        <f t="shared" si="394"/>
        <v>-2418.0460416374249</v>
      </c>
      <c r="AZ172" s="48">
        <f t="shared" si="394"/>
        <v>-2477.319131675386</v>
      </c>
      <c r="BA172" s="48">
        <f t="shared" si="394"/>
        <v>-2550.9067172961836</v>
      </c>
      <c r="BB172" s="48">
        <f t="shared" si="394"/>
        <v>-2643.4579150228142</v>
      </c>
      <c r="BC172" s="48">
        <f t="shared" si="394"/>
        <v>-2707.0405539039311</v>
      </c>
      <c r="BD172" s="48">
        <f t="shared" si="394"/>
        <v>-2737.6122937282653</v>
      </c>
      <c r="BE172" s="48">
        <f t="shared" si="394"/>
        <v>-2816.6851239963862</v>
      </c>
      <c r="BF172" s="48">
        <f t="shared" si="394"/>
        <v>-2889.3645910459804</v>
      </c>
      <c r="BG172" s="48">
        <f t="shared" si="394"/>
        <v>-2943.1547489489644</v>
      </c>
      <c r="BH172" s="48">
        <f t="shared" si="394"/>
        <v>-3013.8656748687827</v>
      </c>
      <c r="BI172" s="48">
        <f t="shared" si="394"/>
        <v>-3077.3802551530803</v>
      </c>
      <c r="BJ172" s="48">
        <f t="shared" si="394"/>
        <v>-3161.7188250881582</v>
      </c>
      <c r="BK172" s="48">
        <f t="shared" si="394"/>
        <v>-3261.3147374678865</v>
      </c>
      <c r="BL172" s="48">
        <f t="shared" si="394"/>
        <v>-3313.4118778891616</v>
      </c>
      <c r="BM172" s="48">
        <f t="shared" si="394"/>
        <v>-3358.9968336674842</v>
      </c>
      <c r="BN172" s="48">
        <f t="shared" si="394"/>
        <v>-3417.2610697566706</v>
      </c>
      <c r="BO172" s="48">
        <f t="shared" si="394"/>
        <v>-3482.9545065127722</v>
      </c>
      <c r="BP172" s="48">
        <f t="shared" si="394"/>
        <v>-3539.0462653720369</v>
      </c>
      <c r="BQ172" s="48">
        <f t="shared" si="394"/>
        <v>-3611.5578486399008</v>
      </c>
      <c r="BR172" s="48">
        <f t="shared" si="394"/>
        <v>-3667.1467732825681</v>
      </c>
      <c r="BS172" s="48">
        <f t="shared" si="394"/>
        <v>-3710.3887652185936</v>
      </c>
      <c r="BT172" s="48">
        <f t="shared" si="394"/>
        <v>-3752.4434723883537</v>
      </c>
      <c r="BU172" s="48">
        <f t="shared" si="394"/>
        <v>-3800.4477193171074</v>
      </c>
      <c r="BV172" s="48">
        <f t="shared" si="394"/>
        <v>-3850.737025607933</v>
      </c>
      <c r="BW172" s="48">
        <f t="shared" si="394"/>
        <v>-3896.2711396326067</v>
      </c>
      <c r="BX172" s="48">
        <f t="shared" si="394"/>
        <v>-3926.231759890878</v>
      </c>
      <c r="BY172" s="48">
        <f t="shared" si="394"/>
        <v>-4014.2323101333186</v>
      </c>
      <c r="BZ172" s="48">
        <f t="shared" si="394"/>
        <v>-4085.7911711765519</v>
      </c>
      <c r="CA172" s="48">
        <f t="shared" ref="CA172:EL172" si="395">-CA50</f>
        <v>-4134.9725120970616</v>
      </c>
      <c r="CB172" s="48">
        <f t="shared" si="395"/>
        <v>-4193.27574324955</v>
      </c>
      <c r="CC172" s="48">
        <f t="shared" si="395"/>
        <v>-4241.1889047460872</v>
      </c>
      <c r="CD172" s="48">
        <f t="shared" si="395"/>
        <v>-4278.2332828711105</v>
      </c>
      <c r="CE172" s="48">
        <f t="shared" si="395"/>
        <v>-4315.238224702488</v>
      </c>
      <c r="CF172" s="48">
        <f t="shared" si="395"/>
        <v>-4349.729234554733</v>
      </c>
      <c r="CG172" s="48">
        <f t="shared" si="395"/>
        <v>-4423.208179266785</v>
      </c>
      <c r="CH172" s="48">
        <f t="shared" si="395"/>
        <v>-4468.8448102391403</v>
      </c>
      <c r="CI172" s="48">
        <f t="shared" si="395"/>
        <v>-4531.4242136468974</v>
      </c>
      <c r="CJ172" s="48">
        <f t="shared" si="395"/>
        <v>-4627.4506250422728</v>
      </c>
      <c r="CK172" s="48">
        <f t="shared" si="395"/>
        <v>-4699.9117766321506</v>
      </c>
      <c r="CL172" s="48">
        <f t="shared" si="395"/>
        <v>-4772.4432837119493</v>
      </c>
      <c r="CM172" s="48">
        <f t="shared" si="395"/>
        <v>-4844.028621732321</v>
      </c>
      <c r="CN172" s="48">
        <f t="shared" si="395"/>
        <v>-4923.9744347764363</v>
      </c>
      <c r="CO172" s="48">
        <f t="shared" si="395"/>
        <v>-4969.5286575998871</v>
      </c>
      <c r="CP172" s="48">
        <f t="shared" si="395"/>
        <v>-5053.5716043603888</v>
      </c>
      <c r="CQ172" s="48">
        <f t="shared" si="395"/>
        <v>-5147.4823705526469</v>
      </c>
      <c r="CR172" s="48">
        <f t="shared" si="395"/>
        <v>-5248.131173608951</v>
      </c>
      <c r="CS172" s="48">
        <f t="shared" si="395"/>
        <v>-5323.4637859181521</v>
      </c>
      <c r="CT172" s="48">
        <f t="shared" si="395"/>
        <v>-5407.62623044053</v>
      </c>
      <c r="CU172" s="48">
        <f t="shared" si="395"/>
        <v>-5501.5664566239657</v>
      </c>
      <c r="CV172" s="48">
        <f t="shared" si="395"/>
        <v>-5593.5121806158604</v>
      </c>
      <c r="CW172" s="48">
        <f t="shared" si="395"/>
        <v>-5629.2836835908529</v>
      </c>
      <c r="CX172" s="48">
        <f t="shared" si="395"/>
        <v>-5700.0522409042978</v>
      </c>
      <c r="CY172" s="48">
        <f t="shared" si="395"/>
        <v>-5745.6961859945523</v>
      </c>
      <c r="CZ172" s="48">
        <f t="shared" si="395"/>
        <v>-5829.8187270197122</v>
      </c>
      <c r="DA172" s="48">
        <f t="shared" si="395"/>
        <v>-5879.0032540004031</v>
      </c>
      <c r="DB172" s="48">
        <f t="shared" si="395"/>
        <v>-5908.1946660220174</v>
      </c>
      <c r="DC172" s="48">
        <f t="shared" si="395"/>
        <v>-6000.1983520307485</v>
      </c>
      <c r="DD172" s="48">
        <f t="shared" si="395"/>
        <v>-6029.353614848902</v>
      </c>
      <c r="DE172" s="48">
        <f t="shared" si="395"/>
        <v>-6118.1890307974063</v>
      </c>
      <c r="DF172" s="48">
        <f t="shared" si="395"/>
        <v>-6211.3966862820625</v>
      </c>
      <c r="DG172" s="48">
        <f t="shared" si="395"/>
        <v>-6282.8953784625292</v>
      </c>
      <c r="DH172" s="48">
        <f t="shared" si="395"/>
        <v>-6341.1968929068762</v>
      </c>
      <c r="DI172" s="48">
        <f t="shared" si="395"/>
        <v>-6428.3941710504323</v>
      </c>
      <c r="DJ172" s="48">
        <f t="shared" si="395"/>
        <v>-6522.5684320164128</v>
      </c>
      <c r="DK172" s="48">
        <f t="shared" si="395"/>
        <v>-6606.6836067576296</v>
      </c>
      <c r="DL172" s="48">
        <f t="shared" si="395"/>
        <v>-6673.2539687385643</v>
      </c>
      <c r="DM172" s="48">
        <f t="shared" si="395"/>
        <v>-6736.8602872129068</v>
      </c>
      <c r="DN172" s="48">
        <f t="shared" si="395"/>
        <v>-6817.6167881013216</v>
      </c>
      <c r="DO172" s="48">
        <f t="shared" si="395"/>
        <v>-6913.1346852231618</v>
      </c>
      <c r="DP172" s="48">
        <f t="shared" si="395"/>
        <v>-7010.670459790078</v>
      </c>
      <c r="DQ172" s="48">
        <f t="shared" si="395"/>
        <v>-7094.0546550187619</v>
      </c>
      <c r="DR172" s="48">
        <f t="shared" si="395"/>
        <v>-7164.6627446090952</v>
      </c>
      <c r="DS172" s="48">
        <f t="shared" si="395"/>
        <v>-7265.1935710776652</v>
      </c>
      <c r="DT172" s="48">
        <f t="shared" si="395"/>
        <v>-7339.799755934222</v>
      </c>
      <c r="DU172" s="48">
        <f t="shared" si="395"/>
        <v>-7384.1447050536926</v>
      </c>
      <c r="DV172" s="48">
        <f t="shared" si="395"/>
        <v>-7430.9588810379501</v>
      </c>
      <c r="DW172" s="48">
        <f t="shared" si="395"/>
        <v>-7520.0300592150734</v>
      </c>
      <c r="DX172" s="48">
        <f t="shared" si="395"/>
        <v>-7620.2125057230824</v>
      </c>
      <c r="DY172" s="48">
        <f t="shared" si="395"/>
        <v>-7672.7855477995281</v>
      </c>
      <c r="DZ172" s="48">
        <f t="shared" si="395"/>
        <v>-7733.3060438291832</v>
      </c>
      <c r="EA172" s="48">
        <f t="shared" si="395"/>
        <v>-7794.7653304736341</v>
      </c>
      <c r="EB172" s="48">
        <f t="shared" si="395"/>
        <v>-7886.7131895904813</v>
      </c>
      <c r="EC172" s="48">
        <f t="shared" si="395"/>
        <v>-7970.9687651047852</v>
      </c>
      <c r="ED172" s="48">
        <f t="shared" si="395"/>
        <v>-8040.6625148534022</v>
      </c>
      <c r="EE172" s="48">
        <f t="shared" si="395"/>
        <v>-8127.3179455426516</v>
      </c>
      <c r="EF172" s="48">
        <f t="shared" si="395"/>
        <v>-8175.3113178570602</v>
      </c>
      <c r="EG172" s="48">
        <f t="shared" si="395"/>
        <v>-8223.4126139547407</v>
      </c>
      <c r="EH172" s="48">
        <f t="shared" si="395"/>
        <v>-8297.7701792609496</v>
      </c>
      <c r="EI172" s="48">
        <f t="shared" si="395"/>
        <v>-8350.4063192401918</v>
      </c>
      <c r="EJ172" s="48">
        <f t="shared" si="395"/>
        <v>-8387.3823530535465</v>
      </c>
      <c r="EK172" s="48">
        <f t="shared" si="395"/>
        <v>-8437.672194329778</v>
      </c>
      <c r="EL172" s="48">
        <f t="shared" si="395"/>
        <v>-8508.235368517071</v>
      </c>
      <c r="EM172" s="48">
        <f t="shared" ref="EM172:GX172" si="396">-EM50</f>
        <v>-8546.4858470192576</v>
      </c>
      <c r="EN172" s="48">
        <f t="shared" si="396"/>
        <v>-8625.4455901634465</v>
      </c>
      <c r="EO172" s="48">
        <f t="shared" si="396"/>
        <v>-8696.1876695591764</v>
      </c>
      <c r="EP172" s="48">
        <f t="shared" si="396"/>
        <v>-8730.6682769551626</v>
      </c>
      <c r="EQ172" s="48">
        <f t="shared" si="396"/>
        <v>-8763.7604189312369</v>
      </c>
      <c r="ER172" s="48">
        <f t="shared" si="396"/>
        <v>-8838.0692090827579</v>
      </c>
      <c r="ES172" s="48">
        <f t="shared" si="396"/>
        <v>-8893.0450841351903</v>
      </c>
      <c r="ET172" s="48">
        <f t="shared" si="396"/>
        <v>-8986.9681675348602</v>
      </c>
      <c r="EU172" s="48">
        <f t="shared" si="396"/>
        <v>-9083.3366330656554</v>
      </c>
      <c r="EV172" s="48">
        <f t="shared" si="396"/>
        <v>-9178.3321216934764</v>
      </c>
      <c r="EW172" s="48">
        <f t="shared" si="396"/>
        <v>-9278.7550350930051</v>
      </c>
      <c r="EX172" s="48">
        <f t="shared" si="396"/>
        <v>-9336.9410285310259</v>
      </c>
      <c r="EY172" s="48">
        <f t="shared" si="396"/>
        <v>-9414.32011202188</v>
      </c>
      <c r="EZ172" s="48">
        <f t="shared" si="396"/>
        <v>-9479.8417103949978</v>
      </c>
      <c r="FA172" s="48">
        <f t="shared" si="396"/>
        <v>-9577.5068240634755</v>
      </c>
      <c r="FB172" s="48">
        <f t="shared" si="396"/>
        <v>-9614.4900743188646</v>
      </c>
      <c r="FC172" s="48">
        <f t="shared" si="396"/>
        <v>-9652.7600261457155</v>
      </c>
      <c r="FD172" s="48">
        <f t="shared" si="396"/>
        <v>-9750.7011535433976</v>
      </c>
      <c r="FE172" s="48">
        <f t="shared" si="396"/>
        <v>-9844.234257498174</v>
      </c>
      <c r="FF172" s="48">
        <f t="shared" si="396"/>
        <v>-9932.5314792948157</v>
      </c>
      <c r="FG172" s="48">
        <f t="shared" si="396"/>
        <v>-9991.7711578760318</v>
      </c>
      <c r="FH172" s="48">
        <f t="shared" si="396"/>
        <v>-10031.258798745544</v>
      </c>
      <c r="FI172" s="48">
        <f t="shared" si="396"/>
        <v>-10079.204612877022</v>
      </c>
      <c r="FJ172" s="48">
        <f t="shared" si="396"/>
        <v>-10170.580016954123</v>
      </c>
      <c r="FK172" s="48">
        <f t="shared" si="396"/>
        <v>-10263.850180770803</v>
      </c>
      <c r="FL172" s="48">
        <f t="shared" si="396"/>
        <v>-10302.168783290273</v>
      </c>
      <c r="FM172" s="48">
        <f t="shared" si="396"/>
        <v>-10381.970063608929</v>
      </c>
      <c r="FN172" s="48">
        <f t="shared" si="396"/>
        <v>-10476.011487230429</v>
      </c>
      <c r="FO172" s="48">
        <f t="shared" si="396"/>
        <v>-10545.588933788607</v>
      </c>
      <c r="FP172" s="48">
        <f t="shared" si="396"/>
        <v>-10644.20584933482</v>
      </c>
      <c r="FQ172" s="48">
        <f t="shared" si="396"/>
        <v>-10720.5310491174</v>
      </c>
      <c r="FR172" s="48">
        <f t="shared" si="396"/>
        <v>-10788.187403954584</v>
      </c>
      <c r="FS172" s="48">
        <f t="shared" si="396"/>
        <v>-10879.299712984097</v>
      </c>
      <c r="FT172" s="48">
        <f t="shared" si="396"/>
        <v>-10978.237907829542</v>
      </c>
      <c r="FU172" s="48">
        <f t="shared" si="396"/>
        <v>-11054.458516426974</v>
      </c>
      <c r="FV172" s="48">
        <f t="shared" si="396"/>
        <v>-11140.92804428833</v>
      </c>
      <c r="FW172" s="48">
        <f t="shared" si="396"/>
        <v>-11219.105214064</v>
      </c>
      <c r="FX172" s="48">
        <f t="shared" si="396"/>
        <v>-11315.840613769966</v>
      </c>
      <c r="FY172" s="48">
        <f t="shared" si="396"/>
        <v>-11407.805106690501</v>
      </c>
      <c r="FZ172" s="48">
        <f t="shared" si="396"/>
        <v>-11470.203197080671</v>
      </c>
      <c r="GA172" s="48">
        <f t="shared" si="396"/>
        <v>-11558.985569387689</v>
      </c>
      <c r="GB172" s="48">
        <f t="shared" si="396"/>
        <v>-11625.674414656562</v>
      </c>
      <c r="GC172" s="48">
        <f t="shared" si="396"/>
        <v>-11673.686538359105</v>
      </c>
      <c r="GD172" s="48">
        <f t="shared" si="396"/>
        <v>-11706.80635933158</v>
      </c>
      <c r="GE172" s="48">
        <f t="shared" si="396"/>
        <v>-11737.362289578929</v>
      </c>
      <c r="GF172" s="48">
        <f t="shared" si="396"/>
        <v>-11770.544151403807</v>
      </c>
      <c r="GG172" s="48">
        <f t="shared" si="396"/>
        <v>-11862.457364633159</v>
      </c>
      <c r="GH172" s="48">
        <f t="shared" si="396"/>
        <v>-11904.412814654608</v>
      </c>
      <c r="GI172" s="48">
        <f t="shared" si="396"/>
        <v>-11982.496055636078</v>
      </c>
      <c r="GJ172" s="48">
        <f t="shared" si="396"/>
        <v>-12028.034187465048</v>
      </c>
      <c r="GK172" s="48">
        <f t="shared" si="396"/>
        <v>-12088.47387179247</v>
      </c>
      <c r="GL172" s="48">
        <f t="shared" si="396"/>
        <v>-12150.907165468216</v>
      </c>
      <c r="GM172" s="48">
        <f t="shared" si="396"/>
        <v>-12197.661797568149</v>
      </c>
      <c r="GN172" s="48">
        <f t="shared" si="396"/>
        <v>-12284.287741176042</v>
      </c>
      <c r="GO172" s="48">
        <f t="shared" si="396"/>
        <v>-12384.789785581539</v>
      </c>
      <c r="GP172" s="48">
        <f t="shared" si="396"/>
        <v>-12466.446605074161</v>
      </c>
      <c r="GQ172" s="48">
        <f t="shared" si="396"/>
        <v>-12555.285902384707</v>
      </c>
      <c r="GR172" s="48">
        <f t="shared" si="396"/>
        <v>-12604.434340857162</v>
      </c>
      <c r="GS172" s="48">
        <f t="shared" si="396"/>
        <v>-12664.737555473617</v>
      </c>
      <c r="GT172" s="48">
        <f t="shared" si="396"/>
        <v>-12716.219464301397</v>
      </c>
      <c r="GU172" s="48">
        <f t="shared" si="396"/>
        <v>-12776.71679492616</v>
      </c>
      <c r="GV172" s="48">
        <f t="shared" si="396"/>
        <v>-12856.493706014486</v>
      </c>
      <c r="GW172" s="48">
        <f t="shared" si="396"/>
        <v>-12910.177905139719</v>
      </c>
      <c r="GX172" s="48">
        <f t="shared" si="396"/>
        <v>-12983.620804175018</v>
      </c>
      <c r="GY172" s="48">
        <f t="shared" ref="GY172:JJ172" si="397">-GY50</f>
        <v>-13024.432149812992</v>
      </c>
      <c r="GZ172" s="48">
        <f t="shared" si="397"/>
        <v>-13063.97930474749</v>
      </c>
      <c r="HA172" s="48">
        <f t="shared" si="397"/>
        <v>-13118.924542913925</v>
      </c>
      <c r="HB172" s="48">
        <f t="shared" si="397"/>
        <v>-13210.971014575629</v>
      </c>
      <c r="HC172" s="48">
        <f t="shared" si="397"/>
        <v>-13241.450503897735</v>
      </c>
      <c r="HD172" s="48">
        <f t="shared" si="397"/>
        <v>-13330.248826134286</v>
      </c>
      <c r="HE172" s="48">
        <f t="shared" si="397"/>
        <v>-13422.829728130648</v>
      </c>
      <c r="HF172" s="48">
        <f t="shared" si="397"/>
        <v>-13507.744344027384</v>
      </c>
      <c r="HG172" s="48">
        <f t="shared" si="397"/>
        <v>-13603.371513574271</v>
      </c>
      <c r="HH172" s="48">
        <f t="shared" si="397"/>
        <v>-13689.180150195865</v>
      </c>
      <c r="HI172" s="48">
        <f t="shared" si="397"/>
        <v>-13735.987818515101</v>
      </c>
      <c r="HJ172" s="48">
        <f t="shared" si="397"/>
        <v>-13822.66936499943</v>
      </c>
      <c r="HK172" s="48">
        <f t="shared" si="397"/>
        <v>-13864.664177654986</v>
      </c>
      <c r="HL172" s="48">
        <f t="shared" si="397"/>
        <v>-13961.516829983748</v>
      </c>
      <c r="HM172" s="48">
        <f t="shared" si="397"/>
        <v>-14052.79265659444</v>
      </c>
      <c r="HN172" s="48">
        <f t="shared" si="397"/>
        <v>-14139.368827599385</v>
      </c>
      <c r="HO172" s="48">
        <f t="shared" si="397"/>
        <v>-14225.826849800083</v>
      </c>
      <c r="HP172" s="48">
        <f t="shared" si="397"/>
        <v>-14268.97792283647</v>
      </c>
      <c r="HQ172" s="48">
        <f t="shared" si="397"/>
        <v>-14361.108368300756</v>
      </c>
      <c r="HR172" s="48">
        <f t="shared" si="397"/>
        <v>-14413.722706369515</v>
      </c>
      <c r="HS172" s="48">
        <f t="shared" si="397"/>
        <v>-14448.121839847874</v>
      </c>
      <c r="HT172" s="48">
        <f t="shared" si="397"/>
        <v>-14544.812765118813</v>
      </c>
      <c r="HU172" s="48">
        <f t="shared" si="397"/>
        <v>-14586.865242331749</v>
      </c>
      <c r="HV172" s="48">
        <f t="shared" si="397"/>
        <v>-14686.903669285215</v>
      </c>
      <c r="HW172" s="48">
        <f t="shared" si="397"/>
        <v>-14783.853512480589</v>
      </c>
      <c r="HX172" s="48">
        <f t="shared" si="397"/>
        <v>-14859.08757977636</v>
      </c>
      <c r="HY172" s="48">
        <f t="shared" si="397"/>
        <v>-14957.40490605884</v>
      </c>
      <c r="HZ172" s="48">
        <f t="shared" si="397"/>
        <v>-14991.813532665754</v>
      </c>
      <c r="IA172" s="48">
        <f t="shared" si="397"/>
        <v>-15033.835494145522</v>
      </c>
      <c r="IB172" s="48">
        <f t="shared" si="397"/>
        <v>-15101.365249020237</v>
      </c>
      <c r="IC172" s="48">
        <f t="shared" si="397"/>
        <v>-15152.896157158348</v>
      </c>
      <c r="ID172" s="48">
        <f t="shared" si="397"/>
        <v>-15251.841516542809</v>
      </c>
      <c r="IE172" s="48">
        <f t="shared" si="397"/>
        <v>-15317.421421596782</v>
      </c>
      <c r="IF172" s="48">
        <f t="shared" si="397"/>
        <v>-15409.511671083674</v>
      </c>
      <c r="IG172" s="48">
        <f t="shared" si="397"/>
        <v>-15466.717523867163</v>
      </c>
      <c r="IH172" s="48">
        <f t="shared" si="397"/>
        <v>-15560.293540562188</v>
      </c>
      <c r="II172" s="48">
        <f t="shared" si="397"/>
        <v>-15641.065021253626</v>
      </c>
      <c r="IJ172" s="48">
        <f t="shared" si="397"/>
        <v>-15721.998270710872</v>
      </c>
      <c r="IK172" s="48">
        <f t="shared" si="397"/>
        <v>-15774.554327271673</v>
      </c>
      <c r="IL172" s="48">
        <f t="shared" si="397"/>
        <v>-15853.408618454267</v>
      </c>
      <c r="IM172" s="48">
        <f t="shared" si="397"/>
        <v>-15936.827058797899</v>
      </c>
      <c r="IN172" s="48">
        <f t="shared" si="397"/>
        <v>-16020.153637902395</v>
      </c>
      <c r="IO172" s="48">
        <f t="shared" si="397"/>
        <v>-16115.430245985444</v>
      </c>
      <c r="IP172" s="48">
        <f t="shared" si="397"/>
        <v>-16191.65550775102</v>
      </c>
      <c r="IQ172" s="48">
        <f t="shared" si="397"/>
        <v>-16250.888177565877</v>
      </c>
      <c r="IR172" s="48">
        <f t="shared" si="397"/>
        <v>-16321.470352197324</v>
      </c>
      <c r="IS172" s="48">
        <f t="shared" si="397"/>
        <v>-16381.812179105567</v>
      </c>
      <c r="IT172" s="48">
        <f t="shared" si="397"/>
        <v>-16448.511549557868</v>
      </c>
      <c r="IU172" s="48">
        <f t="shared" si="397"/>
        <v>-16495.380957210564</v>
      </c>
      <c r="IV172" s="48">
        <f t="shared" si="397"/>
        <v>-16569.893864414924</v>
      </c>
      <c r="IW172" s="48">
        <f t="shared" si="397"/>
        <v>-16670.43232153896</v>
      </c>
      <c r="IX172" s="48">
        <f t="shared" si="397"/>
        <v>-16736.152629446304</v>
      </c>
      <c r="IY172" s="48">
        <f t="shared" si="397"/>
        <v>-16828.221668380469</v>
      </c>
      <c r="IZ172" s="48">
        <f t="shared" si="397"/>
        <v>-16897.946981940742</v>
      </c>
      <c r="JA172" s="48">
        <f t="shared" si="397"/>
        <v>-16969.459293347631</v>
      </c>
      <c r="JB172" s="48">
        <f t="shared" si="397"/>
        <v>-17005.097316657724</v>
      </c>
      <c r="JC172" s="48">
        <f t="shared" si="397"/>
        <v>-17096.495583540142</v>
      </c>
      <c r="JD172" s="48">
        <f t="shared" si="397"/>
        <v>-17151.519159816398</v>
      </c>
      <c r="JE172" s="48">
        <f t="shared" si="397"/>
        <v>-17206.389620929334</v>
      </c>
      <c r="JF172" s="48">
        <f t="shared" si="397"/>
        <v>-17264.661944559048</v>
      </c>
      <c r="JG172" s="48">
        <f t="shared" si="397"/>
        <v>-17365.300655265164</v>
      </c>
      <c r="JH172" s="48">
        <f t="shared" si="397"/>
        <v>-17407.361891356504</v>
      </c>
      <c r="JI172" s="48">
        <f t="shared" si="397"/>
        <v>-17499.922762861439</v>
      </c>
      <c r="JJ172" s="48">
        <f t="shared" si="397"/>
        <v>-17545.487186639846</v>
      </c>
      <c r="JK172" s="48">
        <f t="shared" ref="JK172:KI172" si="398">-JK50</f>
        <v>-17584.951842830291</v>
      </c>
      <c r="JL172" s="48">
        <f t="shared" si="398"/>
        <v>-17664.104404830221</v>
      </c>
      <c r="JM172" s="48">
        <f t="shared" si="398"/>
        <v>-17760.820699912096</v>
      </c>
      <c r="JN172" s="48">
        <f t="shared" si="398"/>
        <v>-17796.578148506542</v>
      </c>
      <c r="JO172" s="48">
        <f t="shared" si="398"/>
        <v>-17873.932100509181</v>
      </c>
      <c r="JP172" s="48">
        <f t="shared" si="398"/>
        <v>-17903.121218276163</v>
      </c>
      <c r="JQ172" s="48">
        <f t="shared" si="398"/>
        <v>-17967.639498414119</v>
      </c>
      <c r="JR172" s="48">
        <f t="shared" si="398"/>
        <v>-18062.216423658279</v>
      </c>
      <c r="JS172" s="48">
        <f t="shared" si="398"/>
        <v>-18106.694971934168</v>
      </c>
      <c r="JT172" s="48">
        <f t="shared" si="398"/>
        <v>-18200.988742351048</v>
      </c>
      <c r="JU172" s="48">
        <f t="shared" si="398"/>
        <v>-18293.706095365604</v>
      </c>
      <c r="JV172" s="48">
        <f t="shared" si="398"/>
        <v>-18338.081659182397</v>
      </c>
      <c r="JW172" s="48">
        <f t="shared" si="398"/>
        <v>-18431.326039897318</v>
      </c>
      <c r="JX172" s="48">
        <f t="shared" si="398"/>
        <v>-18461.816003956843</v>
      </c>
      <c r="JY172" s="48">
        <f t="shared" si="398"/>
        <v>-18555.149709910624</v>
      </c>
      <c r="JZ172" s="48">
        <f t="shared" si="398"/>
        <v>-18621.73952673301</v>
      </c>
      <c r="KA172" s="48">
        <f t="shared" si="398"/>
        <v>-18661.314006568522</v>
      </c>
      <c r="KB172" s="48">
        <f t="shared" si="398"/>
        <v>-18701.99190462986</v>
      </c>
      <c r="KC172" s="48">
        <f t="shared" si="398"/>
        <v>-18798.007825209857</v>
      </c>
      <c r="KD172" s="48">
        <f t="shared" si="398"/>
        <v>-18896.177914152588</v>
      </c>
      <c r="KE172" s="48">
        <f t="shared" si="398"/>
        <v>-18957.570404964172</v>
      </c>
      <c r="KF172" s="48">
        <f t="shared" si="398"/>
        <v>-19048.949359244856</v>
      </c>
      <c r="KG172" s="48">
        <f t="shared" si="398"/>
        <v>-19124.37443010027</v>
      </c>
      <c r="KH172" s="48">
        <f t="shared" si="398"/>
        <v>-19177.030324481417</v>
      </c>
      <c r="KI172" s="48">
        <f t="shared" si="398"/>
        <v>-19239.511330654059</v>
      </c>
      <c r="KJ172" s="1"/>
    </row>
    <row r="173" spans="11:296" x14ac:dyDescent="0.35">
      <c r="M173" s="29" t="s">
        <v>132</v>
      </c>
      <c r="N173" s="69">
        <f>MAX(SUM(N170:N172),0)</f>
        <v>33</v>
      </c>
      <c r="O173" s="69">
        <f t="shared" ref="O173:BZ173" si="399">MAX(SUM(O170:O172),0)</f>
        <v>0</v>
      </c>
      <c r="P173" s="69">
        <f t="shared" si="399"/>
        <v>0</v>
      </c>
      <c r="Q173" s="69">
        <f t="shared" si="399"/>
        <v>0</v>
      </c>
      <c r="R173" s="69">
        <f t="shared" si="399"/>
        <v>0</v>
      </c>
      <c r="S173" s="69">
        <f t="shared" si="399"/>
        <v>0</v>
      </c>
      <c r="T173" s="69">
        <f t="shared" si="399"/>
        <v>0</v>
      </c>
      <c r="U173" s="69">
        <f t="shared" si="399"/>
        <v>0</v>
      </c>
      <c r="V173" s="69">
        <f t="shared" si="399"/>
        <v>0</v>
      </c>
      <c r="W173" s="69">
        <f t="shared" si="399"/>
        <v>0</v>
      </c>
      <c r="X173" s="69">
        <f t="shared" si="399"/>
        <v>0</v>
      </c>
      <c r="Y173" s="69">
        <f t="shared" si="399"/>
        <v>0</v>
      </c>
      <c r="Z173" s="69">
        <f t="shared" si="399"/>
        <v>0</v>
      </c>
      <c r="AA173" s="69">
        <f t="shared" si="399"/>
        <v>0</v>
      </c>
      <c r="AB173" s="69">
        <f t="shared" si="399"/>
        <v>0</v>
      </c>
      <c r="AC173" s="69">
        <f t="shared" si="399"/>
        <v>0</v>
      </c>
      <c r="AD173" s="69">
        <f t="shared" si="399"/>
        <v>0</v>
      </c>
      <c r="AE173" s="69">
        <f t="shared" si="399"/>
        <v>0</v>
      </c>
      <c r="AF173" s="69">
        <f t="shared" si="399"/>
        <v>0</v>
      </c>
      <c r="AG173" s="69">
        <f t="shared" si="399"/>
        <v>0</v>
      </c>
      <c r="AH173" s="69">
        <f t="shared" si="399"/>
        <v>0</v>
      </c>
      <c r="AI173" s="69">
        <f t="shared" si="399"/>
        <v>0</v>
      </c>
      <c r="AJ173" s="69">
        <f t="shared" si="399"/>
        <v>0</v>
      </c>
      <c r="AK173" s="69">
        <f t="shared" si="399"/>
        <v>0</v>
      </c>
      <c r="AL173" s="69">
        <f t="shared" si="399"/>
        <v>0</v>
      </c>
      <c r="AM173" s="69">
        <f t="shared" si="399"/>
        <v>0</v>
      </c>
      <c r="AN173" s="69">
        <f t="shared" si="399"/>
        <v>0</v>
      </c>
      <c r="AO173" s="69">
        <f t="shared" si="399"/>
        <v>0</v>
      </c>
      <c r="AP173" s="69">
        <f t="shared" si="399"/>
        <v>0</v>
      </c>
      <c r="AQ173" s="69">
        <f t="shared" si="399"/>
        <v>0</v>
      </c>
      <c r="AR173" s="69">
        <f t="shared" si="399"/>
        <v>0</v>
      </c>
      <c r="AS173" s="69">
        <f t="shared" si="399"/>
        <v>0</v>
      </c>
      <c r="AT173" s="69">
        <f t="shared" si="399"/>
        <v>0</v>
      </c>
      <c r="AU173" s="69">
        <f t="shared" si="399"/>
        <v>0</v>
      </c>
      <c r="AV173" s="69">
        <f t="shared" si="399"/>
        <v>0</v>
      </c>
      <c r="AW173" s="69">
        <f t="shared" si="399"/>
        <v>0</v>
      </c>
      <c r="AX173" s="69">
        <f t="shared" si="399"/>
        <v>0</v>
      </c>
      <c r="AY173" s="69">
        <f t="shared" si="399"/>
        <v>0</v>
      </c>
      <c r="AZ173" s="69">
        <f t="shared" si="399"/>
        <v>0</v>
      </c>
      <c r="BA173" s="69">
        <f t="shared" si="399"/>
        <v>0</v>
      </c>
      <c r="BB173" s="69">
        <f t="shared" si="399"/>
        <v>0</v>
      </c>
      <c r="BC173" s="69">
        <f t="shared" si="399"/>
        <v>0</v>
      </c>
      <c r="BD173" s="69">
        <f t="shared" si="399"/>
        <v>0</v>
      </c>
      <c r="BE173" s="69">
        <f t="shared" si="399"/>
        <v>0</v>
      </c>
      <c r="BF173" s="69">
        <f t="shared" si="399"/>
        <v>0</v>
      </c>
      <c r="BG173" s="69">
        <f t="shared" si="399"/>
        <v>0</v>
      </c>
      <c r="BH173" s="69">
        <f t="shared" si="399"/>
        <v>0</v>
      </c>
      <c r="BI173" s="69">
        <f t="shared" si="399"/>
        <v>0</v>
      </c>
      <c r="BJ173" s="69">
        <f t="shared" si="399"/>
        <v>0</v>
      </c>
      <c r="BK173" s="69">
        <f t="shared" si="399"/>
        <v>0</v>
      </c>
      <c r="BL173" s="69">
        <f t="shared" si="399"/>
        <v>0</v>
      </c>
      <c r="BM173" s="69">
        <f t="shared" si="399"/>
        <v>0</v>
      </c>
      <c r="BN173" s="69">
        <f t="shared" si="399"/>
        <v>0</v>
      </c>
      <c r="BO173" s="69">
        <f t="shared" si="399"/>
        <v>0</v>
      </c>
      <c r="BP173" s="69">
        <f t="shared" si="399"/>
        <v>0</v>
      </c>
      <c r="BQ173" s="69">
        <f t="shared" si="399"/>
        <v>0</v>
      </c>
      <c r="BR173" s="69">
        <f t="shared" si="399"/>
        <v>0</v>
      </c>
      <c r="BS173" s="69">
        <f t="shared" si="399"/>
        <v>0</v>
      </c>
      <c r="BT173" s="69">
        <f t="shared" si="399"/>
        <v>0</v>
      </c>
      <c r="BU173" s="69">
        <f t="shared" si="399"/>
        <v>0</v>
      </c>
      <c r="BV173" s="69">
        <f t="shared" si="399"/>
        <v>0</v>
      </c>
      <c r="BW173" s="69">
        <f t="shared" si="399"/>
        <v>0</v>
      </c>
      <c r="BX173" s="69">
        <f t="shared" si="399"/>
        <v>0</v>
      </c>
      <c r="BY173" s="69">
        <f t="shared" si="399"/>
        <v>0</v>
      </c>
      <c r="BZ173" s="69">
        <f t="shared" si="399"/>
        <v>0</v>
      </c>
      <c r="CA173" s="69">
        <f t="shared" ref="CA173:EL173" si="400">MAX(SUM(CA170:CA172),0)</f>
        <v>0</v>
      </c>
      <c r="CB173" s="69">
        <f t="shared" si="400"/>
        <v>0</v>
      </c>
      <c r="CC173" s="69">
        <f t="shared" si="400"/>
        <v>0</v>
      </c>
      <c r="CD173" s="69">
        <f t="shared" si="400"/>
        <v>0</v>
      </c>
      <c r="CE173" s="69">
        <f t="shared" si="400"/>
        <v>0</v>
      </c>
      <c r="CF173" s="69">
        <f t="shared" si="400"/>
        <v>0</v>
      </c>
      <c r="CG173" s="69">
        <f t="shared" si="400"/>
        <v>0</v>
      </c>
      <c r="CH173" s="69">
        <f t="shared" si="400"/>
        <v>0</v>
      </c>
      <c r="CI173" s="69">
        <f t="shared" si="400"/>
        <v>0</v>
      </c>
      <c r="CJ173" s="69">
        <f t="shared" si="400"/>
        <v>0</v>
      </c>
      <c r="CK173" s="69">
        <f t="shared" si="400"/>
        <v>0</v>
      </c>
      <c r="CL173" s="69">
        <f t="shared" si="400"/>
        <v>0</v>
      </c>
      <c r="CM173" s="69">
        <f t="shared" si="400"/>
        <v>0</v>
      </c>
      <c r="CN173" s="69">
        <f t="shared" si="400"/>
        <v>0</v>
      </c>
      <c r="CO173" s="69">
        <f t="shared" si="400"/>
        <v>0</v>
      </c>
      <c r="CP173" s="69">
        <f t="shared" si="400"/>
        <v>0</v>
      </c>
      <c r="CQ173" s="69">
        <f t="shared" si="400"/>
        <v>0</v>
      </c>
      <c r="CR173" s="69">
        <f t="shared" si="400"/>
        <v>0</v>
      </c>
      <c r="CS173" s="69">
        <f t="shared" si="400"/>
        <v>0</v>
      </c>
      <c r="CT173" s="69">
        <f t="shared" si="400"/>
        <v>0</v>
      </c>
      <c r="CU173" s="69">
        <f t="shared" si="400"/>
        <v>0</v>
      </c>
      <c r="CV173" s="69">
        <f t="shared" si="400"/>
        <v>0</v>
      </c>
      <c r="CW173" s="69">
        <f t="shared" si="400"/>
        <v>0</v>
      </c>
      <c r="CX173" s="69">
        <f t="shared" si="400"/>
        <v>0</v>
      </c>
      <c r="CY173" s="69">
        <f t="shared" si="400"/>
        <v>0</v>
      </c>
      <c r="CZ173" s="69">
        <f t="shared" si="400"/>
        <v>0</v>
      </c>
      <c r="DA173" s="69">
        <f t="shared" si="400"/>
        <v>0</v>
      </c>
      <c r="DB173" s="69">
        <f t="shared" si="400"/>
        <v>0</v>
      </c>
      <c r="DC173" s="69">
        <f t="shared" si="400"/>
        <v>0</v>
      </c>
      <c r="DD173" s="69">
        <f t="shared" si="400"/>
        <v>0</v>
      </c>
      <c r="DE173" s="69">
        <f t="shared" si="400"/>
        <v>0</v>
      </c>
      <c r="DF173" s="69">
        <f t="shared" si="400"/>
        <v>0</v>
      </c>
      <c r="DG173" s="69">
        <f t="shared" si="400"/>
        <v>0</v>
      </c>
      <c r="DH173" s="69">
        <f t="shared" si="400"/>
        <v>0</v>
      </c>
      <c r="DI173" s="69">
        <f t="shared" si="400"/>
        <v>0</v>
      </c>
      <c r="DJ173" s="69">
        <f t="shared" si="400"/>
        <v>0</v>
      </c>
      <c r="DK173" s="69">
        <f t="shared" si="400"/>
        <v>0</v>
      </c>
      <c r="DL173" s="69">
        <f t="shared" si="400"/>
        <v>0</v>
      </c>
      <c r="DM173" s="69">
        <f t="shared" si="400"/>
        <v>0</v>
      </c>
      <c r="DN173" s="69">
        <f t="shared" si="400"/>
        <v>0</v>
      </c>
      <c r="DO173" s="69">
        <f t="shared" si="400"/>
        <v>0</v>
      </c>
      <c r="DP173" s="69">
        <f t="shared" si="400"/>
        <v>0</v>
      </c>
      <c r="DQ173" s="69">
        <f t="shared" si="400"/>
        <v>0</v>
      </c>
      <c r="DR173" s="69">
        <f t="shared" si="400"/>
        <v>0</v>
      </c>
      <c r="DS173" s="69">
        <f t="shared" si="400"/>
        <v>0</v>
      </c>
      <c r="DT173" s="69">
        <f t="shared" si="400"/>
        <v>0</v>
      </c>
      <c r="DU173" s="69">
        <f t="shared" si="400"/>
        <v>0</v>
      </c>
      <c r="DV173" s="69">
        <f t="shared" si="400"/>
        <v>0</v>
      </c>
      <c r="DW173" s="69">
        <f t="shared" si="400"/>
        <v>0</v>
      </c>
      <c r="DX173" s="69">
        <f t="shared" si="400"/>
        <v>0</v>
      </c>
      <c r="DY173" s="69">
        <f t="shared" si="400"/>
        <v>0</v>
      </c>
      <c r="DZ173" s="69">
        <f t="shared" si="400"/>
        <v>0</v>
      </c>
      <c r="EA173" s="69">
        <f t="shared" si="400"/>
        <v>0</v>
      </c>
      <c r="EB173" s="69">
        <f t="shared" si="400"/>
        <v>0</v>
      </c>
      <c r="EC173" s="69">
        <f t="shared" si="400"/>
        <v>0</v>
      </c>
      <c r="ED173" s="69">
        <f t="shared" si="400"/>
        <v>0</v>
      </c>
      <c r="EE173" s="69">
        <f t="shared" si="400"/>
        <v>0</v>
      </c>
      <c r="EF173" s="69">
        <f t="shared" si="400"/>
        <v>0</v>
      </c>
      <c r="EG173" s="69">
        <f t="shared" si="400"/>
        <v>0</v>
      </c>
      <c r="EH173" s="69">
        <f t="shared" si="400"/>
        <v>0</v>
      </c>
      <c r="EI173" s="69">
        <f t="shared" si="400"/>
        <v>0</v>
      </c>
      <c r="EJ173" s="69">
        <f t="shared" si="400"/>
        <v>0</v>
      </c>
      <c r="EK173" s="69">
        <f t="shared" si="400"/>
        <v>0</v>
      </c>
      <c r="EL173" s="69">
        <f t="shared" si="400"/>
        <v>0</v>
      </c>
      <c r="EM173" s="69">
        <f t="shared" ref="EM173:GX173" si="401">MAX(SUM(EM170:EM172),0)</f>
        <v>0</v>
      </c>
      <c r="EN173" s="69">
        <f t="shared" si="401"/>
        <v>0</v>
      </c>
      <c r="EO173" s="69">
        <f t="shared" si="401"/>
        <v>0</v>
      </c>
      <c r="EP173" s="69">
        <f t="shared" si="401"/>
        <v>0</v>
      </c>
      <c r="EQ173" s="69">
        <f t="shared" si="401"/>
        <v>0</v>
      </c>
      <c r="ER173" s="69">
        <f t="shared" si="401"/>
        <v>0</v>
      </c>
      <c r="ES173" s="69">
        <f t="shared" si="401"/>
        <v>0</v>
      </c>
      <c r="ET173" s="69">
        <f t="shared" si="401"/>
        <v>0</v>
      </c>
      <c r="EU173" s="69">
        <f t="shared" si="401"/>
        <v>0</v>
      </c>
      <c r="EV173" s="69">
        <f t="shared" si="401"/>
        <v>0</v>
      </c>
      <c r="EW173" s="69">
        <f t="shared" si="401"/>
        <v>0</v>
      </c>
      <c r="EX173" s="69">
        <f t="shared" si="401"/>
        <v>0</v>
      </c>
      <c r="EY173" s="69">
        <f t="shared" si="401"/>
        <v>0</v>
      </c>
      <c r="EZ173" s="69">
        <f t="shared" si="401"/>
        <v>0</v>
      </c>
      <c r="FA173" s="69">
        <f t="shared" si="401"/>
        <v>0</v>
      </c>
      <c r="FB173" s="69">
        <f t="shared" si="401"/>
        <v>0</v>
      </c>
      <c r="FC173" s="69">
        <f t="shared" si="401"/>
        <v>0</v>
      </c>
      <c r="FD173" s="69">
        <f t="shared" si="401"/>
        <v>0</v>
      </c>
      <c r="FE173" s="69">
        <f t="shared" si="401"/>
        <v>0</v>
      </c>
      <c r="FF173" s="69">
        <f t="shared" si="401"/>
        <v>0</v>
      </c>
      <c r="FG173" s="69">
        <f t="shared" si="401"/>
        <v>0</v>
      </c>
      <c r="FH173" s="69">
        <f t="shared" si="401"/>
        <v>0</v>
      </c>
      <c r="FI173" s="69">
        <f t="shared" si="401"/>
        <v>0</v>
      </c>
      <c r="FJ173" s="69">
        <f t="shared" si="401"/>
        <v>0</v>
      </c>
      <c r="FK173" s="69">
        <f t="shared" si="401"/>
        <v>0</v>
      </c>
      <c r="FL173" s="69">
        <f t="shared" si="401"/>
        <v>0</v>
      </c>
      <c r="FM173" s="69">
        <f t="shared" si="401"/>
        <v>0</v>
      </c>
      <c r="FN173" s="69">
        <f t="shared" si="401"/>
        <v>0</v>
      </c>
      <c r="FO173" s="69">
        <f t="shared" si="401"/>
        <v>0</v>
      </c>
      <c r="FP173" s="69">
        <f t="shared" si="401"/>
        <v>0</v>
      </c>
      <c r="FQ173" s="69">
        <f t="shared" si="401"/>
        <v>0</v>
      </c>
      <c r="FR173" s="69">
        <f t="shared" si="401"/>
        <v>0</v>
      </c>
      <c r="FS173" s="69">
        <f t="shared" si="401"/>
        <v>0</v>
      </c>
      <c r="FT173" s="69">
        <f t="shared" si="401"/>
        <v>0</v>
      </c>
      <c r="FU173" s="69">
        <f t="shared" si="401"/>
        <v>0</v>
      </c>
      <c r="FV173" s="69">
        <f t="shared" si="401"/>
        <v>0</v>
      </c>
      <c r="FW173" s="69">
        <f t="shared" si="401"/>
        <v>0</v>
      </c>
      <c r="FX173" s="69">
        <f t="shared" si="401"/>
        <v>0</v>
      </c>
      <c r="FY173" s="69">
        <f t="shared" si="401"/>
        <v>0</v>
      </c>
      <c r="FZ173" s="69">
        <f t="shared" si="401"/>
        <v>0</v>
      </c>
      <c r="GA173" s="69">
        <f t="shared" si="401"/>
        <v>0</v>
      </c>
      <c r="GB173" s="69">
        <f t="shared" si="401"/>
        <v>0</v>
      </c>
      <c r="GC173" s="69">
        <f t="shared" si="401"/>
        <v>0</v>
      </c>
      <c r="GD173" s="69">
        <f t="shared" si="401"/>
        <v>0</v>
      </c>
      <c r="GE173" s="69">
        <f t="shared" si="401"/>
        <v>0</v>
      </c>
      <c r="GF173" s="69">
        <f t="shared" si="401"/>
        <v>0</v>
      </c>
      <c r="GG173" s="69">
        <f t="shared" si="401"/>
        <v>0</v>
      </c>
      <c r="GH173" s="69">
        <f t="shared" si="401"/>
        <v>0</v>
      </c>
      <c r="GI173" s="69">
        <f t="shared" si="401"/>
        <v>0</v>
      </c>
      <c r="GJ173" s="69">
        <f t="shared" si="401"/>
        <v>0</v>
      </c>
      <c r="GK173" s="69">
        <f t="shared" si="401"/>
        <v>0</v>
      </c>
      <c r="GL173" s="69">
        <f t="shared" si="401"/>
        <v>0</v>
      </c>
      <c r="GM173" s="69">
        <f t="shared" si="401"/>
        <v>0</v>
      </c>
      <c r="GN173" s="69">
        <f t="shared" si="401"/>
        <v>0</v>
      </c>
      <c r="GO173" s="69">
        <f t="shared" si="401"/>
        <v>0</v>
      </c>
      <c r="GP173" s="69">
        <f t="shared" si="401"/>
        <v>0</v>
      </c>
      <c r="GQ173" s="69">
        <f t="shared" si="401"/>
        <v>0</v>
      </c>
      <c r="GR173" s="69">
        <f t="shared" si="401"/>
        <v>0</v>
      </c>
      <c r="GS173" s="69">
        <f t="shared" si="401"/>
        <v>0</v>
      </c>
      <c r="GT173" s="69">
        <f t="shared" si="401"/>
        <v>0</v>
      </c>
      <c r="GU173" s="69">
        <f t="shared" si="401"/>
        <v>0</v>
      </c>
      <c r="GV173" s="69">
        <f t="shared" si="401"/>
        <v>0</v>
      </c>
      <c r="GW173" s="69">
        <f t="shared" si="401"/>
        <v>0</v>
      </c>
      <c r="GX173" s="69">
        <f t="shared" si="401"/>
        <v>0</v>
      </c>
      <c r="GY173" s="69">
        <f t="shared" ref="GY173:JJ173" si="402">MAX(SUM(GY170:GY172),0)</f>
        <v>0</v>
      </c>
      <c r="GZ173" s="69">
        <f t="shared" si="402"/>
        <v>0</v>
      </c>
      <c r="HA173" s="69">
        <f t="shared" si="402"/>
        <v>0</v>
      </c>
      <c r="HB173" s="69">
        <f t="shared" si="402"/>
        <v>0</v>
      </c>
      <c r="HC173" s="69">
        <f t="shared" si="402"/>
        <v>0</v>
      </c>
      <c r="HD173" s="69">
        <f t="shared" si="402"/>
        <v>0</v>
      </c>
      <c r="HE173" s="69">
        <f t="shared" si="402"/>
        <v>0</v>
      </c>
      <c r="HF173" s="69">
        <f t="shared" si="402"/>
        <v>0</v>
      </c>
      <c r="HG173" s="69">
        <f t="shared" si="402"/>
        <v>0</v>
      </c>
      <c r="HH173" s="69">
        <f t="shared" si="402"/>
        <v>0</v>
      </c>
      <c r="HI173" s="69">
        <f t="shared" si="402"/>
        <v>0</v>
      </c>
      <c r="HJ173" s="69">
        <f t="shared" si="402"/>
        <v>0</v>
      </c>
      <c r="HK173" s="69">
        <f t="shared" si="402"/>
        <v>0</v>
      </c>
      <c r="HL173" s="69">
        <f t="shared" si="402"/>
        <v>0</v>
      </c>
      <c r="HM173" s="69">
        <f t="shared" si="402"/>
        <v>0</v>
      </c>
      <c r="HN173" s="69">
        <f t="shared" si="402"/>
        <v>0</v>
      </c>
      <c r="HO173" s="69">
        <f t="shared" si="402"/>
        <v>0</v>
      </c>
      <c r="HP173" s="69">
        <f t="shared" si="402"/>
        <v>0</v>
      </c>
      <c r="HQ173" s="69">
        <f t="shared" si="402"/>
        <v>0</v>
      </c>
      <c r="HR173" s="69">
        <f t="shared" si="402"/>
        <v>0</v>
      </c>
      <c r="HS173" s="69">
        <f t="shared" si="402"/>
        <v>0</v>
      </c>
      <c r="HT173" s="69">
        <f t="shared" si="402"/>
        <v>0</v>
      </c>
      <c r="HU173" s="69">
        <f t="shared" si="402"/>
        <v>0</v>
      </c>
      <c r="HV173" s="69">
        <f t="shared" si="402"/>
        <v>0</v>
      </c>
      <c r="HW173" s="69">
        <f t="shared" si="402"/>
        <v>0</v>
      </c>
      <c r="HX173" s="69">
        <f t="shared" si="402"/>
        <v>0</v>
      </c>
      <c r="HY173" s="69">
        <f t="shared" si="402"/>
        <v>0</v>
      </c>
      <c r="HZ173" s="69">
        <f t="shared" si="402"/>
        <v>0</v>
      </c>
      <c r="IA173" s="69">
        <f t="shared" si="402"/>
        <v>0</v>
      </c>
      <c r="IB173" s="69">
        <f t="shared" si="402"/>
        <v>0</v>
      </c>
      <c r="IC173" s="69">
        <f t="shared" si="402"/>
        <v>0</v>
      </c>
      <c r="ID173" s="69">
        <f t="shared" si="402"/>
        <v>0</v>
      </c>
      <c r="IE173" s="69">
        <f t="shared" si="402"/>
        <v>0</v>
      </c>
      <c r="IF173" s="69">
        <f t="shared" si="402"/>
        <v>0</v>
      </c>
      <c r="IG173" s="69">
        <f t="shared" si="402"/>
        <v>0</v>
      </c>
      <c r="IH173" s="69">
        <f t="shared" si="402"/>
        <v>0</v>
      </c>
      <c r="II173" s="69">
        <f t="shared" si="402"/>
        <v>0</v>
      </c>
      <c r="IJ173" s="69">
        <f t="shared" si="402"/>
        <v>0</v>
      </c>
      <c r="IK173" s="69">
        <f t="shared" si="402"/>
        <v>0</v>
      </c>
      <c r="IL173" s="69">
        <f t="shared" si="402"/>
        <v>0</v>
      </c>
      <c r="IM173" s="69">
        <f t="shared" si="402"/>
        <v>0</v>
      </c>
      <c r="IN173" s="69">
        <f t="shared" si="402"/>
        <v>0</v>
      </c>
      <c r="IO173" s="69">
        <f t="shared" si="402"/>
        <v>0</v>
      </c>
      <c r="IP173" s="69">
        <f t="shared" si="402"/>
        <v>0</v>
      </c>
      <c r="IQ173" s="69">
        <f t="shared" si="402"/>
        <v>0</v>
      </c>
      <c r="IR173" s="69">
        <f t="shared" si="402"/>
        <v>0</v>
      </c>
      <c r="IS173" s="69">
        <f t="shared" si="402"/>
        <v>0</v>
      </c>
      <c r="IT173" s="69">
        <f t="shared" si="402"/>
        <v>0</v>
      </c>
      <c r="IU173" s="69">
        <f t="shared" si="402"/>
        <v>0</v>
      </c>
      <c r="IV173" s="69">
        <f t="shared" si="402"/>
        <v>0</v>
      </c>
      <c r="IW173" s="69">
        <f t="shared" si="402"/>
        <v>0</v>
      </c>
      <c r="IX173" s="69">
        <f t="shared" si="402"/>
        <v>0</v>
      </c>
      <c r="IY173" s="69">
        <f t="shared" si="402"/>
        <v>0</v>
      </c>
      <c r="IZ173" s="69">
        <f t="shared" si="402"/>
        <v>0</v>
      </c>
      <c r="JA173" s="69">
        <f t="shared" si="402"/>
        <v>0</v>
      </c>
      <c r="JB173" s="69">
        <f t="shared" si="402"/>
        <v>0</v>
      </c>
      <c r="JC173" s="69">
        <f t="shared" si="402"/>
        <v>0</v>
      </c>
      <c r="JD173" s="69">
        <f t="shared" si="402"/>
        <v>0</v>
      </c>
      <c r="JE173" s="69">
        <f t="shared" si="402"/>
        <v>0</v>
      </c>
      <c r="JF173" s="69">
        <f t="shared" si="402"/>
        <v>0</v>
      </c>
      <c r="JG173" s="69">
        <f t="shared" si="402"/>
        <v>0</v>
      </c>
      <c r="JH173" s="69">
        <f t="shared" si="402"/>
        <v>0</v>
      </c>
      <c r="JI173" s="69">
        <f t="shared" si="402"/>
        <v>0</v>
      </c>
      <c r="JJ173" s="69">
        <f t="shared" si="402"/>
        <v>0</v>
      </c>
      <c r="JK173" s="69">
        <f t="shared" ref="JK173:KI173" si="403">MAX(SUM(JK170:JK172),0)</f>
        <v>0</v>
      </c>
      <c r="JL173" s="69">
        <f t="shared" si="403"/>
        <v>0</v>
      </c>
      <c r="JM173" s="69">
        <f t="shared" si="403"/>
        <v>0</v>
      </c>
      <c r="JN173" s="69">
        <f t="shared" si="403"/>
        <v>0</v>
      </c>
      <c r="JO173" s="69">
        <f t="shared" si="403"/>
        <v>0</v>
      </c>
      <c r="JP173" s="69">
        <f t="shared" si="403"/>
        <v>0</v>
      </c>
      <c r="JQ173" s="69">
        <f t="shared" si="403"/>
        <v>0</v>
      </c>
      <c r="JR173" s="69">
        <f t="shared" si="403"/>
        <v>0</v>
      </c>
      <c r="JS173" s="69">
        <f t="shared" si="403"/>
        <v>0</v>
      </c>
      <c r="JT173" s="69">
        <f t="shared" si="403"/>
        <v>0</v>
      </c>
      <c r="JU173" s="69">
        <f t="shared" si="403"/>
        <v>0</v>
      </c>
      <c r="JV173" s="69">
        <f t="shared" si="403"/>
        <v>0</v>
      </c>
      <c r="JW173" s="69">
        <f t="shared" si="403"/>
        <v>0</v>
      </c>
      <c r="JX173" s="69">
        <f t="shared" si="403"/>
        <v>0</v>
      </c>
      <c r="JY173" s="69">
        <f t="shared" si="403"/>
        <v>0</v>
      </c>
      <c r="JZ173" s="69">
        <f t="shared" si="403"/>
        <v>0</v>
      </c>
      <c r="KA173" s="69">
        <f t="shared" si="403"/>
        <v>0</v>
      </c>
      <c r="KB173" s="69">
        <f t="shared" si="403"/>
        <v>0</v>
      </c>
      <c r="KC173" s="69">
        <f t="shared" si="403"/>
        <v>0</v>
      </c>
      <c r="KD173" s="69">
        <f t="shared" si="403"/>
        <v>0</v>
      </c>
      <c r="KE173" s="69">
        <f t="shared" si="403"/>
        <v>0</v>
      </c>
      <c r="KF173" s="69">
        <f t="shared" si="403"/>
        <v>0</v>
      </c>
      <c r="KG173" s="69">
        <f t="shared" si="403"/>
        <v>0</v>
      </c>
      <c r="KH173" s="69">
        <f t="shared" si="403"/>
        <v>0</v>
      </c>
      <c r="KI173" s="69">
        <f t="shared" si="403"/>
        <v>0</v>
      </c>
      <c r="KJ173" s="1"/>
    </row>
    <row r="174" spans="11:296" x14ac:dyDescent="0.35">
      <c r="KJ174" s="1"/>
    </row>
    <row r="175" spans="11:296" x14ac:dyDescent="0.35">
      <c r="L175" s="22" t="s">
        <v>131</v>
      </c>
      <c r="KJ175" s="1"/>
    </row>
    <row r="176" spans="11:296" x14ac:dyDescent="0.35">
      <c r="M176" s="29" t="str">
        <f>M64</f>
        <v>Total Equity</v>
      </c>
      <c r="N176" s="69">
        <f t="shared" ref="N176:BY176" si="404">N64</f>
        <v>1299</v>
      </c>
      <c r="O176" s="69">
        <f t="shared" si="404"/>
        <v>1346.9737975083588</v>
      </c>
      <c r="P176" s="69">
        <f t="shared" si="404"/>
        <v>1411.8952865949882</v>
      </c>
      <c r="Q176" s="69">
        <f t="shared" si="404"/>
        <v>1500.6676224918594</v>
      </c>
      <c r="R176" s="69">
        <f t="shared" si="404"/>
        <v>1547.3517195158404</v>
      </c>
      <c r="S176" s="69">
        <f t="shared" si="404"/>
        <v>1590.0944168578296</v>
      </c>
      <c r="T176" s="69">
        <f t="shared" si="404"/>
        <v>1644.1737157148461</v>
      </c>
      <c r="U176" s="69">
        <f t="shared" si="404"/>
        <v>1704.037521766782</v>
      </c>
      <c r="V176" s="69">
        <f t="shared" si="404"/>
        <v>1796.7140569832691</v>
      </c>
      <c r="W176" s="69">
        <f t="shared" si="404"/>
        <v>1892.0451260955231</v>
      </c>
      <c r="X176" s="69">
        <f t="shared" si="404"/>
        <v>1975.2575874847478</v>
      </c>
      <c r="Y176" s="69">
        <f t="shared" si="404"/>
        <v>2045.9510246613791</v>
      </c>
      <c r="Z176" s="69">
        <f t="shared" si="404"/>
        <v>2077.013887014793</v>
      </c>
      <c r="AA176" s="69">
        <f t="shared" si="404"/>
        <v>2167.2535619860118</v>
      </c>
      <c r="AB176" s="69">
        <f t="shared" si="404"/>
        <v>2260.3671309480296</v>
      </c>
      <c r="AC176" s="69">
        <f t="shared" si="404"/>
        <v>2351.743189769426</v>
      </c>
      <c r="AD176" s="69">
        <f t="shared" si="404"/>
        <v>2430.9570489090775</v>
      </c>
      <c r="AE176" s="69">
        <f t="shared" si="404"/>
        <v>2486.9022548779631</v>
      </c>
      <c r="AF176" s="69">
        <f t="shared" si="404"/>
        <v>2532.2380028935986</v>
      </c>
      <c r="AG176" s="69">
        <f t="shared" si="404"/>
        <v>2606.6823200995941</v>
      </c>
      <c r="AH176" s="69">
        <f t="shared" si="404"/>
        <v>2638.1710944085644</v>
      </c>
      <c r="AI176" s="69">
        <f t="shared" si="404"/>
        <v>2713.6748360524471</v>
      </c>
      <c r="AJ176" s="69">
        <f t="shared" si="404"/>
        <v>2749.1615773328663</v>
      </c>
      <c r="AK176" s="69">
        <f t="shared" si="404"/>
        <v>2821.8692912647639</v>
      </c>
      <c r="AL176" s="69">
        <f t="shared" si="404"/>
        <v>2859.790729579237</v>
      </c>
      <c r="AM176" s="69">
        <f t="shared" si="404"/>
        <v>2935.1717394017778</v>
      </c>
      <c r="AN176" s="69">
        <f t="shared" si="404"/>
        <v>3008.7938022032117</v>
      </c>
      <c r="AO176" s="69">
        <f t="shared" si="404"/>
        <v>3050.6182717877896</v>
      </c>
      <c r="AP176" s="69">
        <f t="shared" si="404"/>
        <v>3095.9860429721421</v>
      </c>
      <c r="AQ176" s="69">
        <f t="shared" si="404"/>
        <v>3138.8910290930671</v>
      </c>
      <c r="AR176" s="69">
        <f t="shared" si="404"/>
        <v>3170.4430254919025</v>
      </c>
      <c r="AS176" s="69">
        <f t="shared" si="404"/>
        <v>3245.0176109450726</v>
      </c>
      <c r="AT176" s="69">
        <f t="shared" si="404"/>
        <v>3302.0890768292811</v>
      </c>
      <c r="AU176" s="69">
        <f t="shared" si="404"/>
        <v>3364.4473737432695</v>
      </c>
      <c r="AV176" s="69">
        <f t="shared" si="404"/>
        <v>3424.8717641745789</v>
      </c>
      <c r="AW176" s="69">
        <f t="shared" si="404"/>
        <v>3503.2027285958147</v>
      </c>
      <c r="AX176" s="69">
        <f t="shared" si="404"/>
        <v>3592.265007890061</v>
      </c>
      <c r="AY176" s="69">
        <f t="shared" si="404"/>
        <v>3662.046041637424</v>
      </c>
      <c r="AZ176" s="69">
        <f t="shared" si="404"/>
        <v>3747.3191316753851</v>
      </c>
      <c r="BA176" s="69">
        <f t="shared" si="404"/>
        <v>3821.9067172961827</v>
      </c>
      <c r="BB176" s="69">
        <f t="shared" si="404"/>
        <v>3915.4579150228133</v>
      </c>
      <c r="BC176" s="69">
        <f t="shared" si="404"/>
        <v>3980.0405539039302</v>
      </c>
      <c r="BD176" s="69">
        <f t="shared" si="404"/>
        <v>4011.6122937282644</v>
      </c>
      <c r="BE176" s="69">
        <f t="shared" si="404"/>
        <v>4091.6851239963853</v>
      </c>
      <c r="BF176" s="69">
        <f t="shared" si="404"/>
        <v>4190.36459104598</v>
      </c>
      <c r="BG176" s="69">
        <f t="shared" si="404"/>
        <v>4245.154748948964</v>
      </c>
      <c r="BH176" s="69">
        <f t="shared" si="404"/>
        <v>4316.8656748687818</v>
      </c>
      <c r="BI176" s="69">
        <f t="shared" si="404"/>
        <v>4381.3802551530789</v>
      </c>
      <c r="BJ176" s="69">
        <f t="shared" si="404"/>
        <v>4466.7188250881572</v>
      </c>
      <c r="BK176" s="69">
        <f t="shared" si="404"/>
        <v>4567.3147374678856</v>
      </c>
      <c r="BL176" s="69">
        <f t="shared" si="404"/>
        <v>4645.4118778891607</v>
      </c>
      <c r="BM176" s="69">
        <f t="shared" si="404"/>
        <v>4691.9968336674829</v>
      </c>
      <c r="BN176" s="69">
        <f t="shared" si="404"/>
        <v>4751.2610697566697</v>
      </c>
      <c r="BO176" s="69">
        <f t="shared" si="404"/>
        <v>4817.9545065127713</v>
      </c>
      <c r="BP176" s="69">
        <f t="shared" si="404"/>
        <v>4875.046265372036</v>
      </c>
      <c r="BQ176" s="69">
        <f t="shared" si="404"/>
        <v>4948.5578486398999</v>
      </c>
      <c r="BR176" s="69">
        <f t="shared" si="404"/>
        <v>5030.1467732825668</v>
      </c>
      <c r="BS176" s="69">
        <f t="shared" si="404"/>
        <v>5074.3887652185922</v>
      </c>
      <c r="BT176" s="69">
        <f t="shared" si="404"/>
        <v>5117.4434723883523</v>
      </c>
      <c r="BU176" s="69">
        <f t="shared" si="404"/>
        <v>5166.447719317106</v>
      </c>
      <c r="BV176" s="69">
        <f t="shared" si="404"/>
        <v>5217.7370256079312</v>
      </c>
      <c r="BW176" s="69">
        <f t="shared" si="404"/>
        <v>5264.2711396326049</v>
      </c>
      <c r="BX176" s="69">
        <f t="shared" si="404"/>
        <v>5320.2317598908758</v>
      </c>
      <c r="BY176" s="69">
        <f t="shared" si="404"/>
        <v>5409.2323101333168</v>
      </c>
      <c r="BZ176" s="69">
        <f t="shared" ref="BZ176:EK176" si="405">BZ64</f>
        <v>5481.7911711765501</v>
      </c>
      <c r="CA176" s="69">
        <f t="shared" si="405"/>
        <v>5531.9725120970597</v>
      </c>
      <c r="CB176" s="69">
        <f t="shared" si="405"/>
        <v>5591.2757432495482</v>
      </c>
      <c r="CC176" s="69">
        <f t="shared" si="405"/>
        <v>5640.1889047460854</v>
      </c>
      <c r="CD176" s="69">
        <f t="shared" si="405"/>
        <v>5678.2332828711087</v>
      </c>
      <c r="CE176" s="69">
        <f t="shared" si="405"/>
        <v>5716.2382247024861</v>
      </c>
      <c r="CF176" s="69">
        <f t="shared" si="405"/>
        <v>5751.7292345547312</v>
      </c>
      <c r="CG176" s="69">
        <f t="shared" si="405"/>
        <v>5826.2081792667832</v>
      </c>
      <c r="CH176" s="69">
        <f t="shared" si="405"/>
        <v>5872.8448102391385</v>
      </c>
      <c r="CI176" s="69">
        <f t="shared" si="405"/>
        <v>5936.4242136468956</v>
      </c>
      <c r="CJ176" s="69">
        <f t="shared" si="405"/>
        <v>6033.450625042271</v>
      </c>
      <c r="CK176" s="69">
        <f t="shared" si="405"/>
        <v>6106.9117766321488</v>
      </c>
      <c r="CL176" s="69">
        <f t="shared" si="405"/>
        <v>6180.4432837119475</v>
      </c>
      <c r="CM176" s="69">
        <f t="shared" si="405"/>
        <v>6253.0286217323192</v>
      </c>
      <c r="CN176" s="69">
        <f t="shared" si="405"/>
        <v>6333.9744347764345</v>
      </c>
      <c r="CO176" s="69">
        <f t="shared" si="405"/>
        <v>6380.5286575998853</v>
      </c>
      <c r="CP176" s="69">
        <f t="shared" si="405"/>
        <v>6465.571604360387</v>
      </c>
      <c r="CQ176" s="69">
        <f t="shared" si="405"/>
        <v>6560.4823705526451</v>
      </c>
      <c r="CR176" s="69">
        <f t="shared" si="405"/>
        <v>6662.1311736089492</v>
      </c>
      <c r="CS176" s="69">
        <f t="shared" si="405"/>
        <v>6738.4637859181503</v>
      </c>
      <c r="CT176" s="69">
        <f t="shared" si="405"/>
        <v>6823.6262304405282</v>
      </c>
      <c r="CU176" s="69">
        <f t="shared" si="405"/>
        <v>6918.5664566239639</v>
      </c>
      <c r="CV176" s="69">
        <f t="shared" si="405"/>
        <v>7011.5121806158586</v>
      </c>
      <c r="CW176" s="69">
        <f t="shared" si="405"/>
        <v>7048.2836835908511</v>
      </c>
      <c r="CX176" s="69">
        <f t="shared" si="405"/>
        <v>7120.052240904296</v>
      </c>
      <c r="CY176" s="69">
        <f t="shared" si="405"/>
        <v>7166.6961859945504</v>
      </c>
      <c r="CZ176" s="69">
        <f t="shared" si="405"/>
        <v>7251.8187270197104</v>
      </c>
      <c r="DA176" s="69">
        <f t="shared" si="405"/>
        <v>7302.0032540004013</v>
      </c>
      <c r="DB176" s="69">
        <f t="shared" si="405"/>
        <v>7332.1946660220156</v>
      </c>
      <c r="DC176" s="69">
        <f t="shared" si="405"/>
        <v>7425.1983520307467</v>
      </c>
      <c r="DD176" s="69">
        <f t="shared" si="405"/>
        <v>7455.3536148489002</v>
      </c>
      <c r="DE176" s="69">
        <f t="shared" si="405"/>
        <v>7545.1890307974045</v>
      </c>
      <c r="DF176" s="69">
        <f t="shared" si="405"/>
        <v>7639.3966862820607</v>
      </c>
      <c r="DG176" s="69">
        <f t="shared" si="405"/>
        <v>7711.8953784625273</v>
      </c>
      <c r="DH176" s="69">
        <f t="shared" si="405"/>
        <v>7771.1968929068744</v>
      </c>
      <c r="DI176" s="69">
        <f t="shared" si="405"/>
        <v>7859.3941710504305</v>
      </c>
      <c r="DJ176" s="69">
        <f t="shared" si="405"/>
        <v>7954.568432016411</v>
      </c>
      <c r="DK176" s="69">
        <f t="shared" si="405"/>
        <v>8039.6836067576278</v>
      </c>
      <c r="DL176" s="69">
        <f t="shared" si="405"/>
        <v>8107.2539687385624</v>
      </c>
      <c r="DM176" s="69">
        <f t="shared" si="405"/>
        <v>8171.860287212905</v>
      </c>
      <c r="DN176" s="69">
        <f t="shared" si="405"/>
        <v>8253.6167881013207</v>
      </c>
      <c r="DO176" s="69">
        <f t="shared" si="405"/>
        <v>8350.13468522316</v>
      </c>
      <c r="DP176" s="69">
        <f t="shared" si="405"/>
        <v>8448.6704597900753</v>
      </c>
      <c r="DQ176" s="69">
        <f t="shared" si="405"/>
        <v>8533.054655018761</v>
      </c>
      <c r="DR176" s="69">
        <f t="shared" si="405"/>
        <v>8604.6627446090934</v>
      </c>
      <c r="DS176" s="69">
        <f t="shared" si="405"/>
        <v>8706.1935710776634</v>
      </c>
      <c r="DT176" s="69">
        <f t="shared" si="405"/>
        <v>8781.7997559342202</v>
      </c>
      <c r="DU176" s="69">
        <f t="shared" si="405"/>
        <v>8827.1447050536917</v>
      </c>
      <c r="DV176" s="69">
        <f t="shared" si="405"/>
        <v>8874.9588810379482</v>
      </c>
      <c r="DW176" s="69">
        <f t="shared" si="405"/>
        <v>8965.0300592150725</v>
      </c>
      <c r="DX176" s="69">
        <f t="shared" si="405"/>
        <v>9066.2125057230824</v>
      </c>
      <c r="DY176" s="69">
        <f t="shared" si="405"/>
        <v>9119.785547799529</v>
      </c>
      <c r="DZ176" s="69">
        <f t="shared" si="405"/>
        <v>9181.306043829185</v>
      </c>
      <c r="EA176" s="69">
        <f t="shared" si="405"/>
        <v>9243.7653304736359</v>
      </c>
      <c r="EB176" s="69">
        <f t="shared" si="405"/>
        <v>9336.713189590484</v>
      </c>
      <c r="EC176" s="69">
        <f t="shared" si="405"/>
        <v>9421.968765104788</v>
      </c>
      <c r="ED176" s="69">
        <f t="shared" si="405"/>
        <v>9492.6625148534058</v>
      </c>
      <c r="EE176" s="69">
        <f t="shared" si="405"/>
        <v>9580.3179455426562</v>
      </c>
      <c r="EF176" s="69">
        <f t="shared" si="405"/>
        <v>9629.3113178570657</v>
      </c>
      <c r="EG176" s="69">
        <f t="shared" si="405"/>
        <v>9678.4126139547461</v>
      </c>
      <c r="EH176" s="69">
        <f t="shared" si="405"/>
        <v>9753.770179260955</v>
      </c>
      <c r="EI176" s="69">
        <f t="shared" si="405"/>
        <v>9807.4063192401973</v>
      </c>
      <c r="EJ176" s="69">
        <f t="shared" si="405"/>
        <v>9845.3823530535519</v>
      </c>
      <c r="EK176" s="69">
        <f t="shared" si="405"/>
        <v>9896.6721943297835</v>
      </c>
      <c r="EL176" s="69">
        <f t="shared" ref="EL176:GW176" si="406">EL64</f>
        <v>9968.2353685170765</v>
      </c>
      <c r="EM176" s="69">
        <f t="shared" si="406"/>
        <v>10007.485847019263</v>
      </c>
      <c r="EN176" s="69">
        <f t="shared" si="406"/>
        <v>10087.445590163452</v>
      </c>
      <c r="EO176" s="69">
        <f t="shared" si="406"/>
        <v>10159.187669559182</v>
      </c>
      <c r="EP176" s="69">
        <f t="shared" si="406"/>
        <v>10194.668276955168</v>
      </c>
      <c r="EQ176" s="69">
        <f t="shared" si="406"/>
        <v>10228.760418931242</v>
      </c>
      <c r="ER176" s="69">
        <f t="shared" si="406"/>
        <v>10304.069209082763</v>
      </c>
      <c r="ES176" s="69">
        <f t="shared" si="406"/>
        <v>10360.045084135196</v>
      </c>
      <c r="ET176" s="69">
        <f t="shared" si="406"/>
        <v>10454.968167534866</v>
      </c>
      <c r="EU176" s="69">
        <f t="shared" si="406"/>
        <v>10552.336633065661</v>
      </c>
      <c r="EV176" s="69">
        <f t="shared" si="406"/>
        <v>10648.332121693482</v>
      </c>
      <c r="EW176" s="69">
        <f t="shared" si="406"/>
        <v>10749.755035093011</v>
      </c>
      <c r="EX176" s="69">
        <f t="shared" si="406"/>
        <v>10808.941028531031</v>
      </c>
      <c r="EY176" s="69">
        <f t="shared" si="406"/>
        <v>10887.320112021886</v>
      </c>
      <c r="EZ176" s="69">
        <f t="shared" si="406"/>
        <v>10953.841710395003</v>
      </c>
      <c r="FA176" s="69">
        <f t="shared" si="406"/>
        <v>11052.506824063481</v>
      </c>
      <c r="FB176" s="69">
        <f t="shared" si="406"/>
        <v>11090.49007431887</v>
      </c>
      <c r="FC176" s="69">
        <f t="shared" si="406"/>
        <v>11129.760026145721</v>
      </c>
      <c r="FD176" s="69">
        <f t="shared" si="406"/>
        <v>11228.701153543403</v>
      </c>
      <c r="FE176" s="69">
        <f t="shared" si="406"/>
        <v>11323.234257498179</v>
      </c>
      <c r="FF176" s="69">
        <f t="shared" si="406"/>
        <v>11412.531479294821</v>
      </c>
      <c r="FG176" s="69">
        <f t="shared" si="406"/>
        <v>11472.771157876037</v>
      </c>
      <c r="FH176" s="69">
        <f t="shared" si="406"/>
        <v>11513.25879874555</v>
      </c>
      <c r="FI176" s="69">
        <f t="shared" si="406"/>
        <v>11562.204612877027</v>
      </c>
      <c r="FJ176" s="69">
        <f t="shared" si="406"/>
        <v>11654.580016954129</v>
      </c>
      <c r="FK176" s="69">
        <f t="shared" si="406"/>
        <v>11748.850180770809</v>
      </c>
      <c r="FL176" s="69">
        <f t="shared" si="406"/>
        <v>11788.168783290279</v>
      </c>
      <c r="FM176" s="69">
        <f t="shared" si="406"/>
        <v>11868.970063608935</v>
      </c>
      <c r="FN176" s="69">
        <f t="shared" si="406"/>
        <v>11964.011487230435</v>
      </c>
      <c r="FO176" s="69">
        <f t="shared" si="406"/>
        <v>12034.588933788613</v>
      </c>
      <c r="FP176" s="69">
        <f t="shared" si="406"/>
        <v>12134.205849334825</v>
      </c>
      <c r="FQ176" s="69">
        <f t="shared" si="406"/>
        <v>12211.531049117406</v>
      </c>
      <c r="FR176" s="69">
        <f t="shared" si="406"/>
        <v>12280.187403954589</v>
      </c>
      <c r="FS176" s="69">
        <f t="shared" si="406"/>
        <v>12372.299712984102</v>
      </c>
      <c r="FT176" s="69">
        <f t="shared" si="406"/>
        <v>12472.237907829547</v>
      </c>
      <c r="FU176" s="69">
        <f t="shared" si="406"/>
        <v>12549.458516426979</v>
      </c>
      <c r="FV176" s="69">
        <f t="shared" si="406"/>
        <v>12636.928044288336</v>
      </c>
      <c r="FW176" s="69">
        <f t="shared" si="406"/>
        <v>12716.105214064006</v>
      </c>
      <c r="FX176" s="69">
        <f t="shared" si="406"/>
        <v>12813.840613769971</v>
      </c>
      <c r="FY176" s="69">
        <f t="shared" si="406"/>
        <v>12906.805106690506</v>
      </c>
      <c r="FZ176" s="69">
        <f t="shared" si="406"/>
        <v>12970.203197080677</v>
      </c>
      <c r="GA176" s="69">
        <f t="shared" si="406"/>
        <v>13059.985569387694</v>
      </c>
      <c r="GB176" s="69">
        <f t="shared" si="406"/>
        <v>13127.674414656567</v>
      </c>
      <c r="GC176" s="69">
        <f t="shared" si="406"/>
        <v>13176.68653835911</v>
      </c>
      <c r="GD176" s="69">
        <f t="shared" si="406"/>
        <v>13210.806359331586</v>
      </c>
      <c r="GE176" s="69">
        <f t="shared" si="406"/>
        <v>13242.362289578934</v>
      </c>
      <c r="GF176" s="69">
        <f t="shared" si="406"/>
        <v>13276.544151403812</v>
      </c>
      <c r="GG176" s="69">
        <f t="shared" si="406"/>
        <v>13369.457364633165</v>
      </c>
      <c r="GH176" s="69">
        <f t="shared" si="406"/>
        <v>13412.412814654614</v>
      </c>
      <c r="GI176" s="69">
        <f t="shared" si="406"/>
        <v>13491.496055636084</v>
      </c>
      <c r="GJ176" s="69">
        <f t="shared" si="406"/>
        <v>13538.034187465053</v>
      </c>
      <c r="GK176" s="69">
        <f t="shared" si="406"/>
        <v>13599.473871792476</v>
      </c>
      <c r="GL176" s="69">
        <f t="shared" si="406"/>
        <v>13662.907165468221</v>
      </c>
      <c r="GM176" s="69">
        <f t="shared" si="406"/>
        <v>13710.661797568155</v>
      </c>
      <c r="GN176" s="69">
        <f t="shared" si="406"/>
        <v>13798.287741176047</v>
      </c>
      <c r="GO176" s="69">
        <f t="shared" si="406"/>
        <v>13899.789785581544</v>
      </c>
      <c r="GP176" s="69">
        <f t="shared" si="406"/>
        <v>13982.446605074167</v>
      </c>
      <c r="GQ176" s="69">
        <f t="shared" si="406"/>
        <v>14072.285902384712</v>
      </c>
      <c r="GR176" s="69">
        <f t="shared" si="406"/>
        <v>14122.434340857168</v>
      </c>
      <c r="GS176" s="69">
        <f t="shared" si="406"/>
        <v>14183.737555473623</v>
      </c>
      <c r="GT176" s="69">
        <f t="shared" si="406"/>
        <v>14236.219464301403</v>
      </c>
      <c r="GU176" s="69">
        <f t="shared" si="406"/>
        <v>14297.716794926166</v>
      </c>
      <c r="GV176" s="69">
        <f t="shared" si="406"/>
        <v>14378.493706014491</v>
      </c>
      <c r="GW176" s="69">
        <f t="shared" si="406"/>
        <v>14433.177905139724</v>
      </c>
      <c r="GX176" s="69">
        <f t="shared" ref="GX176:JI176" si="407">GX64</f>
        <v>14507.620804175023</v>
      </c>
      <c r="GY176" s="69">
        <f t="shared" si="407"/>
        <v>14549.432149812998</v>
      </c>
      <c r="GZ176" s="69">
        <f t="shared" si="407"/>
        <v>14589.979304747496</v>
      </c>
      <c r="HA176" s="69">
        <f t="shared" si="407"/>
        <v>14645.92454291393</v>
      </c>
      <c r="HB176" s="69">
        <f t="shared" si="407"/>
        <v>14738.971014575634</v>
      </c>
      <c r="HC176" s="69">
        <f t="shared" si="407"/>
        <v>14770.45050389774</v>
      </c>
      <c r="HD176" s="69">
        <f t="shared" si="407"/>
        <v>14860.248826134291</v>
      </c>
      <c r="HE176" s="69">
        <f t="shared" si="407"/>
        <v>14953.829728130653</v>
      </c>
      <c r="HF176" s="69">
        <f t="shared" si="407"/>
        <v>15039.744344027389</v>
      </c>
      <c r="HG176" s="69">
        <f t="shared" si="407"/>
        <v>15136.371513574277</v>
      </c>
      <c r="HH176" s="69">
        <f t="shared" si="407"/>
        <v>15223.180150195871</v>
      </c>
      <c r="HI176" s="69">
        <f t="shared" si="407"/>
        <v>15270.987818515106</v>
      </c>
      <c r="HJ176" s="69">
        <f t="shared" si="407"/>
        <v>15358.669364999436</v>
      </c>
      <c r="HK176" s="69">
        <f t="shared" si="407"/>
        <v>15401.664177654991</v>
      </c>
      <c r="HL176" s="69">
        <f t="shared" si="407"/>
        <v>15499.516829983753</v>
      </c>
      <c r="HM176" s="69">
        <f t="shared" si="407"/>
        <v>15591.792656594445</v>
      </c>
      <c r="HN176" s="69">
        <f t="shared" si="407"/>
        <v>15679.36882759939</v>
      </c>
      <c r="HO176" s="69">
        <f t="shared" si="407"/>
        <v>15766.826849800089</v>
      </c>
      <c r="HP176" s="69">
        <f t="shared" si="407"/>
        <v>15810.977922836475</v>
      </c>
      <c r="HQ176" s="69">
        <f t="shared" si="407"/>
        <v>15904.108368300762</v>
      </c>
      <c r="HR176" s="69">
        <f t="shared" si="407"/>
        <v>15957.722706369521</v>
      </c>
      <c r="HS176" s="69">
        <f t="shared" si="407"/>
        <v>15993.12183984788</v>
      </c>
      <c r="HT176" s="69">
        <f t="shared" si="407"/>
        <v>16090.812765118819</v>
      </c>
      <c r="HU176" s="69">
        <f t="shared" si="407"/>
        <v>16133.865242331754</v>
      </c>
      <c r="HV176" s="69">
        <f t="shared" si="407"/>
        <v>16234.903669285221</v>
      </c>
      <c r="HW176" s="69">
        <f t="shared" si="407"/>
        <v>16332.853512480595</v>
      </c>
      <c r="HX176" s="69">
        <f t="shared" si="407"/>
        <v>16409.087579776366</v>
      </c>
      <c r="HY176" s="69">
        <f t="shared" si="407"/>
        <v>16508.404906058844</v>
      </c>
      <c r="HZ176" s="69">
        <f t="shared" si="407"/>
        <v>16543.813532665758</v>
      </c>
      <c r="IA176" s="69">
        <f t="shared" si="407"/>
        <v>16586.835494145525</v>
      </c>
      <c r="IB176" s="69">
        <f t="shared" si="407"/>
        <v>16655.365249020244</v>
      </c>
      <c r="IC176" s="69">
        <f t="shared" si="407"/>
        <v>16707.896157158353</v>
      </c>
      <c r="ID176" s="69">
        <f t="shared" si="407"/>
        <v>16807.841516542816</v>
      </c>
      <c r="IE176" s="69">
        <f t="shared" si="407"/>
        <v>16874.421421596788</v>
      </c>
      <c r="IF176" s="69">
        <f t="shared" si="407"/>
        <v>16967.511671083681</v>
      </c>
      <c r="IG176" s="69">
        <f t="shared" si="407"/>
        <v>17025.71752386717</v>
      </c>
      <c r="IH176" s="69">
        <f t="shared" si="407"/>
        <v>17120.293540562194</v>
      </c>
      <c r="II176" s="69">
        <f t="shared" si="407"/>
        <v>17202.065021253631</v>
      </c>
      <c r="IJ176" s="69">
        <f t="shared" si="407"/>
        <v>17283.998270710879</v>
      </c>
      <c r="IK176" s="69">
        <f t="shared" si="407"/>
        <v>17337.554327271682</v>
      </c>
      <c r="IL176" s="69">
        <f t="shared" si="407"/>
        <v>17417.408618454276</v>
      </c>
      <c r="IM176" s="69">
        <f t="shared" si="407"/>
        <v>17501.82705879791</v>
      </c>
      <c r="IN176" s="69">
        <f t="shared" si="407"/>
        <v>17586.153637902404</v>
      </c>
      <c r="IO176" s="69">
        <f t="shared" si="407"/>
        <v>17682.430245985452</v>
      </c>
      <c r="IP176" s="69">
        <f t="shared" si="407"/>
        <v>17759.655507751027</v>
      </c>
      <c r="IQ176" s="69">
        <f t="shared" si="407"/>
        <v>17819.888177565885</v>
      </c>
      <c r="IR176" s="69">
        <f t="shared" si="407"/>
        <v>17891.470352197332</v>
      </c>
      <c r="IS176" s="69">
        <f t="shared" si="407"/>
        <v>17952.812179105575</v>
      </c>
      <c r="IT176" s="69">
        <f t="shared" si="407"/>
        <v>18020.511549557876</v>
      </c>
      <c r="IU176" s="69">
        <f t="shared" si="407"/>
        <v>18068.380957210571</v>
      </c>
      <c r="IV176" s="69">
        <f t="shared" si="407"/>
        <v>18143.893864414931</v>
      </c>
      <c r="IW176" s="69">
        <f t="shared" si="407"/>
        <v>18245.432321538967</v>
      </c>
      <c r="IX176" s="69">
        <f t="shared" si="407"/>
        <v>18312.152629446311</v>
      </c>
      <c r="IY176" s="69">
        <f t="shared" si="407"/>
        <v>18405.221668380476</v>
      </c>
      <c r="IZ176" s="69">
        <f t="shared" si="407"/>
        <v>18475.94698194075</v>
      </c>
      <c r="JA176" s="69">
        <f t="shared" si="407"/>
        <v>18548.459293347638</v>
      </c>
      <c r="JB176" s="69">
        <f t="shared" si="407"/>
        <v>18585.097316657731</v>
      </c>
      <c r="JC176" s="69">
        <f t="shared" si="407"/>
        <v>18677.495583540149</v>
      </c>
      <c r="JD176" s="69">
        <f t="shared" si="407"/>
        <v>18733.519159816406</v>
      </c>
      <c r="JE176" s="69">
        <f t="shared" si="407"/>
        <v>18789.389620929342</v>
      </c>
      <c r="JF176" s="69">
        <f t="shared" si="407"/>
        <v>18848.661944559055</v>
      </c>
      <c r="JG176" s="69">
        <f t="shared" si="407"/>
        <v>18950.300655265171</v>
      </c>
      <c r="JH176" s="69">
        <f t="shared" si="407"/>
        <v>18993.361891356511</v>
      </c>
      <c r="JI176" s="69">
        <f t="shared" si="407"/>
        <v>19086.922762861446</v>
      </c>
      <c r="JJ176" s="69">
        <f t="shared" ref="JJ176:KI176" si="408">JJ64</f>
        <v>19133.487186639853</v>
      </c>
      <c r="JK176" s="69">
        <f t="shared" si="408"/>
        <v>19173.951842830298</v>
      </c>
      <c r="JL176" s="69">
        <f t="shared" si="408"/>
        <v>19254.104404830228</v>
      </c>
      <c r="JM176" s="69">
        <f t="shared" si="408"/>
        <v>19351.820699912103</v>
      </c>
      <c r="JN176" s="69">
        <f t="shared" si="408"/>
        <v>19388.578148506549</v>
      </c>
      <c r="JO176" s="69">
        <f t="shared" si="408"/>
        <v>19466.932100509188</v>
      </c>
      <c r="JP176" s="69">
        <f t="shared" si="408"/>
        <v>19497.12121827617</v>
      </c>
      <c r="JQ176" s="69">
        <f t="shared" si="408"/>
        <v>19562.639498414126</v>
      </c>
      <c r="JR176" s="69">
        <f t="shared" si="408"/>
        <v>19658.216423658287</v>
      </c>
      <c r="JS176" s="69">
        <f t="shared" si="408"/>
        <v>19703.694971934176</v>
      </c>
      <c r="JT176" s="69">
        <f t="shared" si="408"/>
        <v>19798.988742351055</v>
      </c>
      <c r="JU176" s="69">
        <f t="shared" si="408"/>
        <v>19892.706095365611</v>
      </c>
      <c r="JV176" s="69">
        <f t="shared" si="408"/>
        <v>19938.081659182404</v>
      </c>
      <c r="JW176" s="69">
        <f t="shared" si="408"/>
        <v>20032.326039897325</v>
      </c>
      <c r="JX176" s="69">
        <f t="shared" si="408"/>
        <v>20063.81600395685</v>
      </c>
      <c r="JY176" s="69">
        <f t="shared" si="408"/>
        <v>20158.149709910631</v>
      </c>
      <c r="JZ176" s="69">
        <f t="shared" si="408"/>
        <v>20225.739526733018</v>
      </c>
      <c r="KA176" s="69">
        <f t="shared" si="408"/>
        <v>20266.314006568529</v>
      </c>
      <c r="KB176" s="69">
        <f t="shared" si="408"/>
        <v>20307.991904629867</v>
      </c>
      <c r="KC176" s="69">
        <f t="shared" si="408"/>
        <v>20405.007825209865</v>
      </c>
      <c r="KD176" s="69">
        <f t="shared" si="408"/>
        <v>20504.177914152595</v>
      </c>
      <c r="KE176" s="69">
        <f t="shared" si="408"/>
        <v>20566.570404964179</v>
      </c>
      <c r="KF176" s="69">
        <f t="shared" si="408"/>
        <v>20658.949359244863</v>
      </c>
      <c r="KG176" s="69">
        <f t="shared" si="408"/>
        <v>20735.374430100277</v>
      </c>
      <c r="KH176" s="69">
        <f t="shared" si="408"/>
        <v>20789.030324481424</v>
      </c>
      <c r="KI176" s="69">
        <f t="shared" si="408"/>
        <v>20852.511330654066</v>
      </c>
      <c r="KJ176" s="1"/>
    </row>
    <row r="177" spans="7:296" x14ac:dyDescent="0.35">
      <c r="KJ177" s="1"/>
    </row>
    <row r="178" spans="7:296" x14ac:dyDescent="0.35">
      <c r="L178" s="22" t="s">
        <v>133</v>
      </c>
      <c r="KJ178" s="1"/>
    </row>
    <row r="179" spans="7:296" x14ac:dyDescent="0.35">
      <c r="M179" s="29" t="s">
        <v>133</v>
      </c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>
        <f>Y173/Y176*Y132</f>
        <v>0</v>
      </c>
      <c r="Z179" s="69">
        <f t="shared" ref="Z179:CK179" si="409">Z173/Z176*Z132</f>
        <v>0</v>
      </c>
      <c r="AA179" s="69">
        <f t="shared" si="409"/>
        <v>0</v>
      </c>
      <c r="AB179" s="69">
        <f t="shared" si="409"/>
        <v>0</v>
      </c>
      <c r="AC179" s="69">
        <f t="shared" si="409"/>
        <v>0</v>
      </c>
      <c r="AD179" s="69">
        <f t="shared" si="409"/>
        <v>0</v>
      </c>
      <c r="AE179" s="69">
        <f t="shared" si="409"/>
        <v>0</v>
      </c>
      <c r="AF179" s="69">
        <f t="shared" si="409"/>
        <v>0</v>
      </c>
      <c r="AG179" s="69">
        <f t="shared" si="409"/>
        <v>0</v>
      </c>
      <c r="AH179" s="69">
        <f t="shared" si="409"/>
        <v>0</v>
      </c>
      <c r="AI179" s="69">
        <f t="shared" si="409"/>
        <v>0</v>
      </c>
      <c r="AJ179" s="69">
        <f t="shared" si="409"/>
        <v>0</v>
      </c>
      <c r="AK179" s="69">
        <f t="shared" si="409"/>
        <v>0</v>
      </c>
      <c r="AL179" s="69">
        <f t="shared" si="409"/>
        <v>0</v>
      </c>
      <c r="AM179" s="69">
        <f t="shared" si="409"/>
        <v>0</v>
      </c>
      <c r="AN179" s="69">
        <f t="shared" si="409"/>
        <v>0</v>
      </c>
      <c r="AO179" s="69">
        <f t="shared" si="409"/>
        <v>0</v>
      </c>
      <c r="AP179" s="69">
        <f t="shared" si="409"/>
        <v>0</v>
      </c>
      <c r="AQ179" s="69">
        <f t="shared" si="409"/>
        <v>0</v>
      </c>
      <c r="AR179" s="69">
        <f t="shared" si="409"/>
        <v>0</v>
      </c>
      <c r="AS179" s="69">
        <f t="shared" si="409"/>
        <v>0</v>
      </c>
      <c r="AT179" s="69">
        <f t="shared" si="409"/>
        <v>0</v>
      </c>
      <c r="AU179" s="69">
        <f t="shared" si="409"/>
        <v>0</v>
      </c>
      <c r="AV179" s="69">
        <f t="shared" si="409"/>
        <v>0</v>
      </c>
      <c r="AW179" s="69">
        <f t="shared" si="409"/>
        <v>0</v>
      </c>
      <c r="AX179" s="69">
        <f t="shared" si="409"/>
        <v>0</v>
      </c>
      <c r="AY179" s="69">
        <f t="shared" si="409"/>
        <v>0</v>
      </c>
      <c r="AZ179" s="69">
        <f t="shared" si="409"/>
        <v>0</v>
      </c>
      <c r="BA179" s="69">
        <f t="shared" si="409"/>
        <v>0</v>
      </c>
      <c r="BB179" s="69">
        <f t="shared" si="409"/>
        <v>0</v>
      </c>
      <c r="BC179" s="69">
        <f t="shared" si="409"/>
        <v>0</v>
      </c>
      <c r="BD179" s="69">
        <f t="shared" si="409"/>
        <v>0</v>
      </c>
      <c r="BE179" s="69">
        <f t="shared" si="409"/>
        <v>0</v>
      </c>
      <c r="BF179" s="69">
        <f t="shared" si="409"/>
        <v>0</v>
      </c>
      <c r="BG179" s="69">
        <f t="shared" si="409"/>
        <v>0</v>
      </c>
      <c r="BH179" s="69">
        <f t="shared" si="409"/>
        <v>0</v>
      </c>
      <c r="BI179" s="69">
        <f t="shared" si="409"/>
        <v>0</v>
      </c>
      <c r="BJ179" s="69">
        <f t="shared" si="409"/>
        <v>0</v>
      </c>
      <c r="BK179" s="69">
        <f t="shared" si="409"/>
        <v>0</v>
      </c>
      <c r="BL179" s="69">
        <f t="shared" si="409"/>
        <v>0</v>
      </c>
      <c r="BM179" s="69">
        <f t="shared" si="409"/>
        <v>0</v>
      </c>
      <c r="BN179" s="69">
        <f t="shared" si="409"/>
        <v>0</v>
      </c>
      <c r="BO179" s="69">
        <f t="shared" si="409"/>
        <v>0</v>
      </c>
      <c r="BP179" s="69">
        <f t="shared" si="409"/>
        <v>0</v>
      </c>
      <c r="BQ179" s="69">
        <f t="shared" si="409"/>
        <v>0</v>
      </c>
      <c r="BR179" s="69">
        <f t="shared" si="409"/>
        <v>0</v>
      </c>
      <c r="BS179" s="69">
        <f t="shared" si="409"/>
        <v>0</v>
      </c>
      <c r="BT179" s="69">
        <f t="shared" si="409"/>
        <v>0</v>
      </c>
      <c r="BU179" s="69">
        <f t="shared" si="409"/>
        <v>0</v>
      </c>
      <c r="BV179" s="69">
        <f t="shared" si="409"/>
        <v>0</v>
      </c>
      <c r="BW179" s="69">
        <f t="shared" si="409"/>
        <v>0</v>
      </c>
      <c r="BX179" s="69">
        <f t="shared" si="409"/>
        <v>0</v>
      </c>
      <c r="BY179" s="69">
        <f t="shared" si="409"/>
        <v>0</v>
      </c>
      <c r="BZ179" s="69">
        <f t="shared" si="409"/>
        <v>0</v>
      </c>
      <c r="CA179" s="69">
        <f t="shared" si="409"/>
        <v>0</v>
      </c>
      <c r="CB179" s="69">
        <f t="shared" si="409"/>
        <v>0</v>
      </c>
      <c r="CC179" s="69">
        <f t="shared" si="409"/>
        <v>0</v>
      </c>
      <c r="CD179" s="69">
        <f t="shared" si="409"/>
        <v>0</v>
      </c>
      <c r="CE179" s="69">
        <f t="shared" si="409"/>
        <v>0</v>
      </c>
      <c r="CF179" s="69">
        <f t="shared" si="409"/>
        <v>0</v>
      </c>
      <c r="CG179" s="69">
        <f t="shared" si="409"/>
        <v>0</v>
      </c>
      <c r="CH179" s="69">
        <f t="shared" si="409"/>
        <v>0</v>
      </c>
      <c r="CI179" s="69">
        <f t="shared" si="409"/>
        <v>0</v>
      </c>
      <c r="CJ179" s="69">
        <f t="shared" si="409"/>
        <v>0</v>
      </c>
      <c r="CK179" s="69">
        <f t="shared" si="409"/>
        <v>0</v>
      </c>
      <c r="CL179" s="69">
        <f t="shared" ref="CL179:EW179" si="410">CL173/CL176*CL132</f>
        <v>0</v>
      </c>
      <c r="CM179" s="69">
        <f t="shared" si="410"/>
        <v>0</v>
      </c>
      <c r="CN179" s="69">
        <f t="shared" si="410"/>
        <v>0</v>
      </c>
      <c r="CO179" s="69">
        <f t="shared" si="410"/>
        <v>0</v>
      </c>
      <c r="CP179" s="69">
        <f t="shared" si="410"/>
        <v>0</v>
      </c>
      <c r="CQ179" s="69">
        <f t="shared" si="410"/>
        <v>0</v>
      </c>
      <c r="CR179" s="69">
        <f t="shared" si="410"/>
        <v>0</v>
      </c>
      <c r="CS179" s="69">
        <f t="shared" si="410"/>
        <v>0</v>
      </c>
      <c r="CT179" s="69">
        <f t="shared" si="410"/>
        <v>0</v>
      </c>
      <c r="CU179" s="69">
        <f t="shared" si="410"/>
        <v>0</v>
      </c>
      <c r="CV179" s="69">
        <f t="shared" si="410"/>
        <v>0</v>
      </c>
      <c r="CW179" s="69">
        <f t="shared" si="410"/>
        <v>0</v>
      </c>
      <c r="CX179" s="69">
        <f t="shared" si="410"/>
        <v>0</v>
      </c>
      <c r="CY179" s="69">
        <f t="shared" si="410"/>
        <v>0</v>
      </c>
      <c r="CZ179" s="69">
        <f t="shared" si="410"/>
        <v>0</v>
      </c>
      <c r="DA179" s="69">
        <f t="shared" si="410"/>
        <v>0</v>
      </c>
      <c r="DB179" s="69">
        <f t="shared" si="410"/>
        <v>0</v>
      </c>
      <c r="DC179" s="69">
        <f t="shared" si="410"/>
        <v>0</v>
      </c>
      <c r="DD179" s="69">
        <f t="shared" si="410"/>
        <v>0</v>
      </c>
      <c r="DE179" s="69">
        <f t="shared" si="410"/>
        <v>0</v>
      </c>
      <c r="DF179" s="69">
        <f t="shared" si="410"/>
        <v>0</v>
      </c>
      <c r="DG179" s="69">
        <f t="shared" si="410"/>
        <v>0</v>
      </c>
      <c r="DH179" s="69">
        <f t="shared" si="410"/>
        <v>0</v>
      </c>
      <c r="DI179" s="69">
        <f t="shared" si="410"/>
        <v>0</v>
      </c>
      <c r="DJ179" s="69">
        <f t="shared" si="410"/>
        <v>0</v>
      </c>
      <c r="DK179" s="69">
        <f t="shared" si="410"/>
        <v>0</v>
      </c>
      <c r="DL179" s="69">
        <f t="shared" si="410"/>
        <v>0</v>
      </c>
      <c r="DM179" s="69">
        <f t="shared" si="410"/>
        <v>0</v>
      </c>
      <c r="DN179" s="69">
        <f t="shared" si="410"/>
        <v>0</v>
      </c>
      <c r="DO179" s="69">
        <f t="shared" si="410"/>
        <v>0</v>
      </c>
      <c r="DP179" s="69">
        <f t="shared" si="410"/>
        <v>0</v>
      </c>
      <c r="DQ179" s="69">
        <f t="shared" si="410"/>
        <v>0</v>
      </c>
      <c r="DR179" s="69">
        <f t="shared" si="410"/>
        <v>0</v>
      </c>
      <c r="DS179" s="69">
        <f t="shared" si="410"/>
        <v>0</v>
      </c>
      <c r="DT179" s="69">
        <f t="shared" si="410"/>
        <v>0</v>
      </c>
      <c r="DU179" s="69">
        <f t="shared" si="410"/>
        <v>0</v>
      </c>
      <c r="DV179" s="69">
        <f t="shared" si="410"/>
        <v>0</v>
      </c>
      <c r="DW179" s="69">
        <f t="shared" si="410"/>
        <v>0</v>
      </c>
      <c r="DX179" s="69">
        <f t="shared" si="410"/>
        <v>0</v>
      </c>
      <c r="DY179" s="69">
        <f t="shared" si="410"/>
        <v>0</v>
      </c>
      <c r="DZ179" s="69">
        <f t="shared" si="410"/>
        <v>0</v>
      </c>
      <c r="EA179" s="69">
        <f t="shared" si="410"/>
        <v>0</v>
      </c>
      <c r="EB179" s="69">
        <f t="shared" si="410"/>
        <v>0</v>
      </c>
      <c r="EC179" s="69">
        <f t="shared" si="410"/>
        <v>0</v>
      </c>
      <c r="ED179" s="69">
        <f t="shared" si="410"/>
        <v>0</v>
      </c>
      <c r="EE179" s="69">
        <f t="shared" si="410"/>
        <v>0</v>
      </c>
      <c r="EF179" s="69">
        <f t="shared" si="410"/>
        <v>0</v>
      </c>
      <c r="EG179" s="69">
        <f t="shared" si="410"/>
        <v>0</v>
      </c>
      <c r="EH179" s="69">
        <f t="shared" si="410"/>
        <v>0</v>
      </c>
      <c r="EI179" s="69">
        <f t="shared" si="410"/>
        <v>0</v>
      </c>
      <c r="EJ179" s="69">
        <f t="shared" si="410"/>
        <v>0</v>
      </c>
      <c r="EK179" s="69">
        <f t="shared" si="410"/>
        <v>0</v>
      </c>
      <c r="EL179" s="69">
        <f t="shared" si="410"/>
        <v>0</v>
      </c>
      <c r="EM179" s="69">
        <f t="shared" si="410"/>
        <v>0</v>
      </c>
      <c r="EN179" s="69">
        <f t="shared" si="410"/>
        <v>0</v>
      </c>
      <c r="EO179" s="69">
        <f t="shared" si="410"/>
        <v>0</v>
      </c>
      <c r="EP179" s="69">
        <f t="shared" si="410"/>
        <v>0</v>
      </c>
      <c r="EQ179" s="69">
        <f t="shared" si="410"/>
        <v>0</v>
      </c>
      <c r="ER179" s="69">
        <f t="shared" si="410"/>
        <v>0</v>
      </c>
      <c r="ES179" s="69">
        <f t="shared" si="410"/>
        <v>0</v>
      </c>
      <c r="ET179" s="69">
        <f t="shared" si="410"/>
        <v>0</v>
      </c>
      <c r="EU179" s="69">
        <f t="shared" si="410"/>
        <v>0</v>
      </c>
      <c r="EV179" s="69">
        <f t="shared" si="410"/>
        <v>0</v>
      </c>
      <c r="EW179" s="69">
        <f t="shared" si="410"/>
        <v>0</v>
      </c>
      <c r="EX179" s="69">
        <f t="shared" ref="EX179:HI179" si="411">EX173/EX176*EX132</f>
        <v>0</v>
      </c>
      <c r="EY179" s="69">
        <f t="shared" si="411"/>
        <v>0</v>
      </c>
      <c r="EZ179" s="69">
        <f t="shared" si="411"/>
        <v>0</v>
      </c>
      <c r="FA179" s="69">
        <f t="shared" si="411"/>
        <v>0</v>
      </c>
      <c r="FB179" s="69">
        <f t="shared" si="411"/>
        <v>0</v>
      </c>
      <c r="FC179" s="69">
        <f t="shared" si="411"/>
        <v>0</v>
      </c>
      <c r="FD179" s="69">
        <f t="shared" si="411"/>
        <v>0</v>
      </c>
      <c r="FE179" s="69">
        <f t="shared" si="411"/>
        <v>0</v>
      </c>
      <c r="FF179" s="69">
        <f t="shared" si="411"/>
        <v>0</v>
      </c>
      <c r="FG179" s="69">
        <f t="shared" si="411"/>
        <v>0</v>
      </c>
      <c r="FH179" s="69">
        <f t="shared" si="411"/>
        <v>0</v>
      </c>
      <c r="FI179" s="69">
        <f t="shared" si="411"/>
        <v>0</v>
      </c>
      <c r="FJ179" s="69">
        <f t="shared" si="411"/>
        <v>0</v>
      </c>
      <c r="FK179" s="69">
        <f t="shared" si="411"/>
        <v>0</v>
      </c>
      <c r="FL179" s="69">
        <f t="shared" si="411"/>
        <v>0</v>
      </c>
      <c r="FM179" s="69">
        <f t="shared" si="411"/>
        <v>0</v>
      </c>
      <c r="FN179" s="69">
        <f t="shared" si="411"/>
        <v>0</v>
      </c>
      <c r="FO179" s="69">
        <f t="shared" si="411"/>
        <v>0</v>
      </c>
      <c r="FP179" s="69">
        <f t="shared" si="411"/>
        <v>0</v>
      </c>
      <c r="FQ179" s="69">
        <f t="shared" si="411"/>
        <v>0</v>
      </c>
      <c r="FR179" s="69">
        <f t="shared" si="411"/>
        <v>0</v>
      </c>
      <c r="FS179" s="69">
        <f t="shared" si="411"/>
        <v>0</v>
      </c>
      <c r="FT179" s="69">
        <f t="shared" si="411"/>
        <v>0</v>
      </c>
      <c r="FU179" s="69">
        <f t="shared" si="411"/>
        <v>0</v>
      </c>
      <c r="FV179" s="69">
        <f t="shared" si="411"/>
        <v>0</v>
      </c>
      <c r="FW179" s="69">
        <f t="shared" si="411"/>
        <v>0</v>
      </c>
      <c r="FX179" s="69">
        <f t="shared" si="411"/>
        <v>0</v>
      </c>
      <c r="FY179" s="69">
        <f t="shared" si="411"/>
        <v>0</v>
      </c>
      <c r="FZ179" s="69">
        <f t="shared" si="411"/>
        <v>0</v>
      </c>
      <c r="GA179" s="69">
        <f t="shared" si="411"/>
        <v>0</v>
      </c>
      <c r="GB179" s="69">
        <f t="shared" si="411"/>
        <v>0</v>
      </c>
      <c r="GC179" s="69">
        <f t="shared" si="411"/>
        <v>0</v>
      </c>
      <c r="GD179" s="69">
        <f t="shared" si="411"/>
        <v>0</v>
      </c>
      <c r="GE179" s="69">
        <f t="shared" si="411"/>
        <v>0</v>
      </c>
      <c r="GF179" s="69">
        <f t="shared" si="411"/>
        <v>0</v>
      </c>
      <c r="GG179" s="69">
        <f t="shared" si="411"/>
        <v>0</v>
      </c>
      <c r="GH179" s="69">
        <f t="shared" si="411"/>
        <v>0</v>
      </c>
      <c r="GI179" s="69">
        <f t="shared" si="411"/>
        <v>0</v>
      </c>
      <c r="GJ179" s="69">
        <f t="shared" si="411"/>
        <v>0</v>
      </c>
      <c r="GK179" s="69">
        <f t="shared" si="411"/>
        <v>0</v>
      </c>
      <c r="GL179" s="69">
        <f t="shared" si="411"/>
        <v>0</v>
      </c>
      <c r="GM179" s="69">
        <f t="shared" si="411"/>
        <v>0</v>
      </c>
      <c r="GN179" s="69">
        <f t="shared" si="411"/>
        <v>0</v>
      </c>
      <c r="GO179" s="69">
        <f t="shared" si="411"/>
        <v>0</v>
      </c>
      <c r="GP179" s="69">
        <f t="shared" si="411"/>
        <v>0</v>
      </c>
      <c r="GQ179" s="69">
        <f t="shared" si="411"/>
        <v>0</v>
      </c>
      <c r="GR179" s="69">
        <f t="shared" si="411"/>
        <v>0</v>
      </c>
      <c r="GS179" s="69">
        <f t="shared" si="411"/>
        <v>0</v>
      </c>
      <c r="GT179" s="69">
        <f t="shared" si="411"/>
        <v>0</v>
      </c>
      <c r="GU179" s="69">
        <f t="shared" si="411"/>
        <v>0</v>
      </c>
      <c r="GV179" s="69">
        <f t="shared" si="411"/>
        <v>0</v>
      </c>
      <c r="GW179" s="69">
        <f t="shared" si="411"/>
        <v>0</v>
      </c>
      <c r="GX179" s="69">
        <f t="shared" si="411"/>
        <v>0</v>
      </c>
      <c r="GY179" s="69">
        <f t="shared" si="411"/>
        <v>0</v>
      </c>
      <c r="GZ179" s="69">
        <f t="shared" si="411"/>
        <v>0</v>
      </c>
      <c r="HA179" s="69">
        <f t="shared" si="411"/>
        <v>0</v>
      </c>
      <c r="HB179" s="69">
        <f t="shared" si="411"/>
        <v>0</v>
      </c>
      <c r="HC179" s="69">
        <f t="shared" si="411"/>
        <v>0</v>
      </c>
      <c r="HD179" s="69">
        <f t="shared" si="411"/>
        <v>0</v>
      </c>
      <c r="HE179" s="69">
        <f t="shared" si="411"/>
        <v>0</v>
      </c>
      <c r="HF179" s="69">
        <f t="shared" si="411"/>
        <v>0</v>
      </c>
      <c r="HG179" s="69">
        <f t="shared" si="411"/>
        <v>0</v>
      </c>
      <c r="HH179" s="69">
        <f t="shared" si="411"/>
        <v>0</v>
      </c>
      <c r="HI179" s="69">
        <f t="shared" si="411"/>
        <v>0</v>
      </c>
      <c r="HJ179" s="69">
        <f t="shared" ref="HJ179:JU179" si="412">HJ173/HJ176*HJ132</f>
        <v>0</v>
      </c>
      <c r="HK179" s="69">
        <f t="shared" si="412"/>
        <v>0</v>
      </c>
      <c r="HL179" s="69">
        <f t="shared" si="412"/>
        <v>0</v>
      </c>
      <c r="HM179" s="69">
        <f t="shared" si="412"/>
        <v>0</v>
      </c>
      <c r="HN179" s="69">
        <f t="shared" si="412"/>
        <v>0</v>
      </c>
      <c r="HO179" s="69">
        <f t="shared" si="412"/>
        <v>0</v>
      </c>
      <c r="HP179" s="69">
        <f t="shared" si="412"/>
        <v>0</v>
      </c>
      <c r="HQ179" s="69">
        <f t="shared" si="412"/>
        <v>0</v>
      </c>
      <c r="HR179" s="69">
        <f t="shared" si="412"/>
        <v>0</v>
      </c>
      <c r="HS179" s="69">
        <f t="shared" si="412"/>
        <v>0</v>
      </c>
      <c r="HT179" s="69">
        <f t="shared" si="412"/>
        <v>0</v>
      </c>
      <c r="HU179" s="69">
        <f t="shared" si="412"/>
        <v>0</v>
      </c>
      <c r="HV179" s="69">
        <f t="shared" si="412"/>
        <v>0</v>
      </c>
      <c r="HW179" s="69">
        <f t="shared" si="412"/>
        <v>0</v>
      </c>
      <c r="HX179" s="69">
        <f t="shared" si="412"/>
        <v>0</v>
      </c>
      <c r="HY179" s="69">
        <f t="shared" si="412"/>
        <v>0</v>
      </c>
      <c r="HZ179" s="69">
        <f t="shared" si="412"/>
        <v>0</v>
      </c>
      <c r="IA179" s="69">
        <f t="shared" si="412"/>
        <v>0</v>
      </c>
      <c r="IB179" s="69">
        <f t="shared" si="412"/>
        <v>0</v>
      </c>
      <c r="IC179" s="69">
        <f t="shared" si="412"/>
        <v>0</v>
      </c>
      <c r="ID179" s="69">
        <f t="shared" si="412"/>
        <v>0</v>
      </c>
      <c r="IE179" s="69">
        <f t="shared" si="412"/>
        <v>0</v>
      </c>
      <c r="IF179" s="69">
        <f t="shared" si="412"/>
        <v>0</v>
      </c>
      <c r="IG179" s="69">
        <f t="shared" si="412"/>
        <v>0</v>
      </c>
      <c r="IH179" s="69">
        <f t="shared" si="412"/>
        <v>0</v>
      </c>
      <c r="II179" s="69">
        <f t="shared" si="412"/>
        <v>0</v>
      </c>
      <c r="IJ179" s="69">
        <f t="shared" si="412"/>
        <v>0</v>
      </c>
      <c r="IK179" s="69">
        <f t="shared" si="412"/>
        <v>0</v>
      </c>
      <c r="IL179" s="69">
        <f t="shared" si="412"/>
        <v>0</v>
      </c>
      <c r="IM179" s="69">
        <f t="shared" si="412"/>
        <v>0</v>
      </c>
      <c r="IN179" s="69">
        <f t="shared" si="412"/>
        <v>0</v>
      </c>
      <c r="IO179" s="69">
        <f t="shared" si="412"/>
        <v>0</v>
      </c>
      <c r="IP179" s="69">
        <f t="shared" si="412"/>
        <v>0</v>
      </c>
      <c r="IQ179" s="69">
        <f t="shared" si="412"/>
        <v>0</v>
      </c>
      <c r="IR179" s="69">
        <f t="shared" si="412"/>
        <v>0</v>
      </c>
      <c r="IS179" s="69">
        <f t="shared" si="412"/>
        <v>0</v>
      </c>
      <c r="IT179" s="69">
        <f t="shared" si="412"/>
        <v>0</v>
      </c>
      <c r="IU179" s="69">
        <f t="shared" si="412"/>
        <v>0</v>
      </c>
      <c r="IV179" s="69">
        <f t="shared" si="412"/>
        <v>0</v>
      </c>
      <c r="IW179" s="69">
        <f t="shared" si="412"/>
        <v>0</v>
      </c>
      <c r="IX179" s="69">
        <f t="shared" si="412"/>
        <v>0</v>
      </c>
      <c r="IY179" s="69">
        <f t="shared" si="412"/>
        <v>0</v>
      </c>
      <c r="IZ179" s="69">
        <f t="shared" si="412"/>
        <v>0</v>
      </c>
      <c r="JA179" s="69">
        <f t="shared" si="412"/>
        <v>0</v>
      </c>
      <c r="JB179" s="69">
        <f t="shared" si="412"/>
        <v>0</v>
      </c>
      <c r="JC179" s="69">
        <f t="shared" si="412"/>
        <v>0</v>
      </c>
      <c r="JD179" s="69">
        <f t="shared" si="412"/>
        <v>0</v>
      </c>
      <c r="JE179" s="69">
        <f t="shared" si="412"/>
        <v>0</v>
      </c>
      <c r="JF179" s="69">
        <f t="shared" si="412"/>
        <v>0</v>
      </c>
      <c r="JG179" s="69">
        <f t="shared" si="412"/>
        <v>0</v>
      </c>
      <c r="JH179" s="69">
        <f t="shared" si="412"/>
        <v>0</v>
      </c>
      <c r="JI179" s="69">
        <f t="shared" si="412"/>
        <v>0</v>
      </c>
      <c r="JJ179" s="69">
        <f t="shared" si="412"/>
        <v>0</v>
      </c>
      <c r="JK179" s="69">
        <f t="shared" si="412"/>
        <v>0</v>
      </c>
      <c r="JL179" s="69">
        <f t="shared" si="412"/>
        <v>0</v>
      </c>
      <c r="JM179" s="69">
        <f t="shared" si="412"/>
        <v>0</v>
      </c>
      <c r="JN179" s="69">
        <f t="shared" si="412"/>
        <v>0</v>
      </c>
      <c r="JO179" s="69">
        <f t="shared" si="412"/>
        <v>0</v>
      </c>
      <c r="JP179" s="69">
        <f t="shared" si="412"/>
        <v>0</v>
      </c>
      <c r="JQ179" s="69">
        <f t="shared" si="412"/>
        <v>0</v>
      </c>
      <c r="JR179" s="69">
        <f t="shared" si="412"/>
        <v>0</v>
      </c>
      <c r="JS179" s="69">
        <f t="shared" si="412"/>
        <v>0</v>
      </c>
      <c r="JT179" s="69">
        <f t="shared" si="412"/>
        <v>0</v>
      </c>
      <c r="JU179" s="69">
        <f t="shared" si="412"/>
        <v>0</v>
      </c>
      <c r="JV179" s="69">
        <f t="shared" ref="JV179:KI179" si="413">JV173/JV176*JV132</f>
        <v>0</v>
      </c>
      <c r="JW179" s="69">
        <f t="shared" si="413"/>
        <v>0</v>
      </c>
      <c r="JX179" s="69">
        <f t="shared" si="413"/>
        <v>0</v>
      </c>
      <c r="JY179" s="69">
        <f t="shared" si="413"/>
        <v>0</v>
      </c>
      <c r="JZ179" s="69">
        <f t="shared" si="413"/>
        <v>0</v>
      </c>
      <c r="KA179" s="69">
        <f t="shared" si="413"/>
        <v>0</v>
      </c>
      <c r="KB179" s="69">
        <f t="shared" si="413"/>
        <v>0</v>
      </c>
      <c r="KC179" s="69">
        <f t="shared" si="413"/>
        <v>0</v>
      </c>
      <c r="KD179" s="69">
        <f t="shared" si="413"/>
        <v>0</v>
      </c>
      <c r="KE179" s="69">
        <f t="shared" si="413"/>
        <v>0</v>
      </c>
      <c r="KF179" s="69">
        <f t="shared" si="413"/>
        <v>0</v>
      </c>
      <c r="KG179" s="69">
        <f t="shared" si="413"/>
        <v>0</v>
      </c>
      <c r="KH179" s="69">
        <f t="shared" si="413"/>
        <v>0</v>
      </c>
      <c r="KI179" s="69">
        <f t="shared" si="413"/>
        <v>0</v>
      </c>
      <c r="KJ179" s="1"/>
    </row>
    <row r="180" spans="7:296" x14ac:dyDescent="0.35">
      <c r="KJ180" s="1"/>
    </row>
    <row r="181" spans="7:296" x14ac:dyDescent="0.35">
      <c r="KJ181" s="1"/>
    </row>
    <row r="182" spans="7:296" x14ac:dyDescent="0.35">
      <c r="KJ182" s="1"/>
    </row>
    <row r="183" spans="7:296" x14ac:dyDescent="0.35">
      <c r="K183" s="19" t="s">
        <v>195</v>
      </c>
      <c r="L183" s="19"/>
      <c r="M183" s="16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  <c r="FN183" s="17"/>
      <c r="FO183" s="17"/>
      <c r="FP183" s="17"/>
      <c r="FQ183" s="17"/>
      <c r="FR183" s="17"/>
      <c r="FS183" s="17"/>
      <c r="FT183" s="17"/>
      <c r="FU183" s="17"/>
      <c r="FV183" s="17"/>
      <c r="FW183" s="17"/>
      <c r="FX183" s="17"/>
      <c r="FY183" s="17"/>
      <c r="FZ183" s="17"/>
      <c r="GA183" s="17"/>
      <c r="GB183" s="17"/>
      <c r="GC183" s="17"/>
      <c r="GD183" s="17"/>
      <c r="GE183" s="17"/>
      <c r="GF183" s="17"/>
      <c r="GG183" s="17"/>
      <c r="GH183" s="17"/>
      <c r="GI183" s="17"/>
      <c r="GJ183" s="17"/>
      <c r="GK183" s="17"/>
      <c r="GL183" s="17"/>
      <c r="GM183" s="17"/>
      <c r="GN183" s="17"/>
      <c r="GO183" s="17"/>
      <c r="GP183" s="17"/>
      <c r="GQ183" s="17"/>
      <c r="GR183" s="17"/>
      <c r="GS183" s="17"/>
      <c r="GT183" s="17"/>
      <c r="GU183" s="17"/>
      <c r="GV183" s="17"/>
      <c r="GW183" s="17"/>
      <c r="GX183" s="17"/>
      <c r="GY183" s="17"/>
      <c r="GZ183" s="17"/>
      <c r="HA183" s="17"/>
      <c r="HB183" s="17"/>
      <c r="HC183" s="17"/>
      <c r="HD183" s="17"/>
      <c r="HE183" s="17"/>
      <c r="HF183" s="17"/>
      <c r="HG183" s="17"/>
      <c r="HH183" s="17"/>
      <c r="HI183" s="17"/>
      <c r="HJ183" s="17"/>
      <c r="HK183" s="17"/>
      <c r="HL183" s="17"/>
      <c r="HM183" s="17"/>
      <c r="HN183" s="17"/>
      <c r="HO183" s="17"/>
      <c r="HP183" s="17"/>
      <c r="HQ183" s="17"/>
      <c r="HR183" s="17"/>
      <c r="HS183" s="17"/>
      <c r="HT183" s="17"/>
      <c r="HU183" s="17"/>
      <c r="HV183" s="17"/>
      <c r="HW183" s="17"/>
      <c r="HX183" s="17"/>
      <c r="HY183" s="17"/>
      <c r="HZ183" s="17"/>
      <c r="IA183" s="17"/>
      <c r="IB183" s="17"/>
      <c r="IC183" s="17"/>
      <c r="ID183" s="17"/>
      <c r="IE183" s="17"/>
      <c r="IF183" s="17"/>
      <c r="IG183" s="17"/>
      <c r="IH183" s="17"/>
      <c r="II183" s="17"/>
      <c r="IJ183" s="17"/>
      <c r="IK183" s="17"/>
      <c r="IL183" s="17"/>
      <c r="IM183" s="17"/>
      <c r="IN183" s="17"/>
      <c r="IO183" s="17"/>
      <c r="IP183" s="17"/>
      <c r="IQ183" s="17"/>
      <c r="IR183" s="17"/>
      <c r="IS183" s="17"/>
      <c r="IT183" s="17"/>
      <c r="IU183" s="17"/>
      <c r="IV183" s="17"/>
      <c r="IW183" s="17"/>
      <c r="IX183" s="17"/>
      <c r="IY183" s="17"/>
      <c r="IZ183" s="17"/>
      <c r="JA183" s="17"/>
      <c r="JB183" s="17"/>
      <c r="JC183" s="17"/>
      <c r="JD183" s="17"/>
      <c r="JE183" s="17"/>
      <c r="JF183" s="17"/>
      <c r="JG183" s="17"/>
      <c r="JH183" s="17"/>
      <c r="JI183" s="17"/>
      <c r="JJ183" s="17"/>
      <c r="JK183" s="17"/>
      <c r="JL183" s="17"/>
      <c r="JM183" s="17"/>
      <c r="JN183" s="17"/>
      <c r="JO183" s="17"/>
      <c r="JP183" s="17"/>
      <c r="JQ183" s="17"/>
      <c r="JR183" s="17"/>
      <c r="JS183" s="17"/>
      <c r="JT183" s="17"/>
      <c r="JU183" s="17"/>
      <c r="JV183" s="17"/>
      <c r="JW183" s="17"/>
      <c r="JX183" s="17"/>
      <c r="JY183" s="17"/>
      <c r="JZ183" s="17"/>
      <c r="KA183" s="17"/>
      <c r="KB183" s="17"/>
      <c r="KC183" s="17"/>
      <c r="KD183" s="17"/>
      <c r="KE183" s="17"/>
      <c r="KF183" s="17"/>
      <c r="KG183" s="17"/>
      <c r="KH183" s="17"/>
      <c r="KI183" s="17"/>
      <c r="KJ183" s="1"/>
    </row>
    <row r="184" spans="7:296" x14ac:dyDescent="0.35">
      <c r="KJ184" s="1"/>
    </row>
    <row r="185" spans="7:296" x14ac:dyDescent="0.35">
      <c r="L185" s="22" t="s">
        <v>195</v>
      </c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</row>
    <row r="186" spans="7:296" x14ac:dyDescent="0.35">
      <c r="H186" s="13" t="s">
        <v>49</v>
      </c>
      <c r="M186" s="15" t="str">
        <f t="shared" ref="M186:BX186" si="414">M40</f>
        <v>CFADS</v>
      </c>
      <c r="N186" s="24">
        <f t="shared" si="414"/>
        <v>53.096852313530164</v>
      </c>
      <c r="O186" s="24">
        <f t="shared" si="414"/>
        <v>47.973797508358814</v>
      </c>
      <c r="P186" s="24">
        <f t="shared" si="414"/>
        <v>64.921489086629379</v>
      </c>
      <c r="Q186" s="24">
        <f t="shared" si="414"/>
        <v>88.772335896871226</v>
      </c>
      <c r="R186" s="24">
        <f t="shared" si="414"/>
        <v>46.684097023980925</v>
      </c>
      <c r="S186" s="24">
        <f t="shared" si="414"/>
        <v>42.742697341989199</v>
      </c>
      <c r="T186" s="24">
        <f t="shared" si="414"/>
        <v>54.079298857016568</v>
      </c>
      <c r="U186" s="24">
        <f t="shared" si="414"/>
        <v>59.863806051935839</v>
      </c>
      <c r="V186" s="24">
        <f t="shared" si="414"/>
        <v>92.676535216487082</v>
      </c>
      <c r="W186" s="24">
        <f t="shared" si="414"/>
        <v>95.33106911225407</v>
      </c>
      <c r="X186" s="24">
        <f t="shared" si="414"/>
        <v>83.212461389224785</v>
      </c>
      <c r="Y186" s="24">
        <f t="shared" si="414"/>
        <v>70.693437176631278</v>
      </c>
      <c r="Z186" s="24">
        <f t="shared" si="414"/>
        <v>31.062862353414125</v>
      </c>
      <c r="AA186" s="24">
        <f t="shared" si="414"/>
        <v>90.23967497121842</v>
      </c>
      <c r="AB186" s="24">
        <f t="shared" si="414"/>
        <v>93.113568962017695</v>
      </c>
      <c r="AC186" s="24">
        <f t="shared" si="414"/>
        <v>91.376058821396597</v>
      </c>
      <c r="AD186" s="24">
        <f t="shared" si="414"/>
        <v>79.213859139651817</v>
      </c>
      <c r="AE186" s="24">
        <f t="shared" si="414"/>
        <v>55.945205968885332</v>
      </c>
      <c r="AF186" s="24">
        <f t="shared" si="414"/>
        <v>45.335748015635559</v>
      </c>
      <c r="AG186" s="24">
        <f t="shared" si="414"/>
        <v>74.444317205995645</v>
      </c>
      <c r="AH186" s="24">
        <f t="shared" si="414"/>
        <v>31.488774308970321</v>
      </c>
      <c r="AI186" s="24">
        <f t="shared" si="414"/>
        <v>75.503741643882194</v>
      </c>
      <c r="AJ186" s="24">
        <f t="shared" si="414"/>
        <v>35.486741280419395</v>
      </c>
      <c r="AK186" s="24">
        <f t="shared" si="414"/>
        <v>72.707713931897516</v>
      </c>
      <c r="AL186" s="24">
        <f t="shared" si="414"/>
        <v>37.921438314473235</v>
      </c>
      <c r="AM186" s="24">
        <f t="shared" si="414"/>
        <v>75.381009822540818</v>
      </c>
      <c r="AN186" s="24">
        <f t="shared" si="414"/>
        <v>73.622062801434041</v>
      </c>
      <c r="AO186" s="24">
        <f t="shared" si="414"/>
        <v>41.824469584577997</v>
      </c>
      <c r="AP186" s="24">
        <f t="shared" si="414"/>
        <v>45.367771184352506</v>
      </c>
      <c r="AQ186" s="24">
        <f t="shared" si="414"/>
        <v>42.904986120925088</v>
      </c>
      <c r="AR186" s="24">
        <f t="shared" si="414"/>
        <v>31.551996398835207</v>
      </c>
      <c r="AS186" s="24">
        <f t="shared" si="414"/>
        <v>74.574585453170101</v>
      </c>
      <c r="AT186" s="24">
        <f t="shared" si="414"/>
        <v>57.071465884208621</v>
      </c>
      <c r="AU186" s="24">
        <f t="shared" si="414"/>
        <v>62.35829691398839</v>
      </c>
      <c r="AV186" s="24">
        <f t="shared" si="414"/>
        <v>60.424390431309121</v>
      </c>
      <c r="AW186" s="24">
        <f t="shared" si="414"/>
        <v>78.330964421236047</v>
      </c>
      <c r="AX186" s="24">
        <f t="shared" si="414"/>
        <v>89.062279294246508</v>
      </c>
      <c r="AY186" s="24">
        <f t="shared" si="414"/>
        <v>69.78103374736294</v>
      </c>
      <c r="AZ186" s="24">
        <f t="shared" si="414"/>
        <v>85.273090037961083</v>
      </c>
      <c r="BA186" s="24">
        <f t="shared" si="414"/>
        <v>74.587585620797455</v>
      </c>
      <c r="BB186" s="24">
        <f t="shared" si="414"/>
        <v>93.551197726630548</v>
      </c>
      <c r="BC186" s="24">
        <f t="shared" si="414"/>
        <v>64.582638881117092</v>
      </c>
      <c r="BD186" s="24">
        <f t="shared" si="414"/>
        <v>31.571739824334184</v>
      </c>
      <c r="BE186" s="24">
        <f t="shared" si="414"/>
        <v>80.072830268120839</v>
      </c>
      <c r="BF186" s="24">
        <f t="shared" si="414"/>
        <v>98.679467049594038</v>
      </c>
      <c r="BG186" s="24">
        <f t="shared" si="414"/>
        <v>54.790157902984049</v>
      </c>
      <c r="BH186" s="24">
        <f t="shared" si="414"/>
        <v>71.710925919818038</v>
      </c>
      <c r="BI186" s="24">
        <f t="shared" si="414"/>
        <v>64.514580284297438</v>
      </c>
      <c r="BJ186" s="24">
        <f t="shared" si="414"/>
        <v>85.338569935077956</v>
      </c>
      <c r="BK186" s="24">
        <f t="shared" si="414"/>
        <v>100.59591237972856</v>
      </c>
      <c r="BL186" s="24">
        <f t="shared" si="414"/>
        <v>78.097140421275071</v>
      </c>
      <c r="BM186" s="24">
        <f t="shared" si="414"/>
        <v>46.584955778322723</v>
      </c>
      <c r="BN186" s="24">
        <f t="shared" si="414"/>
        <v>59.264236089186511</v>
      </c>
      <c r="BO186" s="24">
        <f t="shared" si="414"/>
        <v>66.693436756101718</v>
      </c>
      <c r="BP186" s="24">
        <f t="shared" si="414"/>
        <v>57.091758859264516</v>
      </c>
      <c r="BQ186" s="24">
        <f t="shared" si="414"/>
        <v>73.511583267863912</v>
      </c>
      <c r="BR186" s="24">
        <f t="shared" si="414"/>
        <v>81.588924642667109</v>
      </c>
      <c r="BS186" s="24">
        <f t="shared" si="414"/>
        <v>44.241991936025407</v>
      </c>
      <c r="BT186" s="24">
        <f t="shared" si="414"/>
        <v>43.054707169760121</v>
      </c>
      <c r="BU186" s="24">
        <f t="shared" si="414"/>
        <v>49.004246928753673</v>
      </c>
      <c r="BV186" s="24">
        <f t="shared" si="414"/>
        <v>51.289306290825422</v>
      </c>
      <c r="BW186" s="24">
        <f t="shared" si="414"/>
        <v>46.534114024673585</v>
      </c>
      <c r="BX186" s="24">
        <f t="shared" si="414"/>
        <v>55.960620258271206</v>
      </c>
      <c r="BY186" s="24">
        <f t="shared" ref="BY186:EJ186" si="415">BY40</f>
        <v>89.00055024244071</v>
      </c>
      <c r="BZ186" s="24">
        <f t="shared" si="415"/>
        <v>72.558861043233492</v>
      </c>
      <c r="CA186" s="24">
        <f t="shared" si="415"/>
        <v>50.181340920509641</v>
      </c>
      <c r="CB186" s="24">
        <f t="shared" si="415"/>
        <v>59.303231152488536</v>
      </c>
      <c r="CC186" s="24">
        <f t="shared" si="415"/>
        <v>48.913161496537555</v>
      </c>
      <c r="CD186" s="24">
        <f t="shared" si="415"/>
        <v>38.044378125022909</v>
      </c>
      <c r="CE186" s="24">
        <f t="shared" si="415"/>
        <v>38.004941831377408</v>
      </c>
      <c r="CF186" s="24">
        <f t="shared" si="415"/>
        <v>35.491009852245</v>
      </c>
      <c r="CG186" s="24">
        <f t="shared" si="415"/>
        <v>74.478944712051998</v>
      </c>
      <c r="CH186" s="24">
        <f t="shared" si="415"/>
        <v>46.636630972355356</v>
      </c>
      <c r="CI186" s="24">
        <f t="shared" si="415"/>
        <v>63.579403407757141</v>
      </c>
      <c r="CJ186" s="24">
        <f t="shared" si="415"/>
        <v>97.026411395375646</v>
      </c>
      <c r="CK186" s="24">
        <f t="shared" si="415"/>
        <v>73.461151589878043</v>
      </c>
      <c r="CL186" s="24">
        <f t="shared" si="415"/>
        <v>73.531507079798445</v>
      </c>
      <c r="CM186" s="24">
        <f t="shared" si="415"/>
        <v>72.585338020371637</v>
      </c>
      <c r="CN186" s="24">
        <f t="shared" si="415"/>
        <v>80.945813044115226</v>
      </c>
      <c r="CO186" s="24">
        <f t="shared" si="415"/>
        <v>46.554222823451141</v>
      </c>
      <c r="CP186" s="24">
        <f t="shared" si="415"/>
        <v>85.04294676050182</v>
      </c>
      <c r="CQ186" s="24">
        <f t="shared" si="415"/>
        <v>94.910766192257739</v>
      </c>
      <c r="CR186" s="24">
        <f t="shared" si="415"/>
        <v>101.64880305630392</v>
      </c>
      <c r="CS186" s="24">
        <f t="shared" si="415"/>
        <v>76.332612309201238</v>
      </c>
      <c r="CT186" s="24">
        <f t="shared" si="415"/>
        <v>85.162444522377513</v>
      </c>
      <c r="CU186" s="24">
        <f t="shared" si="415"/>
        <v>94.940226183435641</v>
      </c>
      <c r="CV186" s="24">
        <f t="shared" si="415"/>
        <v>92.945723991894283</v>
      </c>
      <c r="CW186" s="24">
        <f t="shared" si="415"/>
        <v>36.771502974992522</v>
      </c>
      <c r="CX186" s="24">
        <f t="shared" si="415"/>
        <v>71.768557313445143</v>
      </c>
      <c r="CY186" s="24">
        <f t="shared" si="415"/>
        <v>46.643945090254562</v>
      </c>
      <c r="CZ186" s="24">
        <f t="shared" si="415"/>
        <v>85.12254102516043</v>
      </c>
      <c r="DA186" s="24">
        <f t="shared" si="415"/>
        <v>50.184526980691075</v>
      </c>
      <c r="DB186" s="24">
        <f t="shared" si="415"/>
        <v>30.19141202161402</v>
      </c>
      <c r="DC186" s="24">
        <f t="shared" si="415"/>
        <v>93.003686008731478</v>
      </c>
      <c r="DD186" s="24">
        <f t="shared" si="415"/>
        <v>30.155262818153552</v>
      </c>
      <c r="DE186" s="24">
        <f t="shared" si="415"/>
        <v>89.835415948503993</v>
      </c>
      <c r="DF186" s="24">
        <f t="shared" si="415"/>
        <v>94.207655484656584</v>
      </c>
      <c r="DG186" s="24">
        <f t="shared" si="415"/>
        <v>72.498692180466179</v>
      </c>
      <c r="DH186" s="24">
        <f t="shared" si="415"/>
        <v>59.301514444346878</v>
      </c>
      <c r="DI186" s="24">
        <f t="shared" si="415"/>
        <v>88.197278143556417</v>
      </c>
      <c r="DJ186" s="24">
        <f t="shared" si="415"/>
        <v>95.174260965980807</v>
      </c>
      <c r="DK186" s="24">
        <f t="shared" si="415"/>
        <v>85.115174741216805</v>
      </c>
      <c r="DL186" s="24">
        <f t="shared" si="415"/>
        <v>67.570361980934962</v>
      </c>
      <c r="DM186" s="24">
        <f t="shared" si="415"/>
        <v>64.606318474342601</v>
      </c>
      <c r="DN186" s="24">
        <f t="shared" si="415"/>
        <v>81.756500888414962</v>
      </c>
      <c r="DO186" s="24">
        <f t="shared" si="415"/>
        <v>96.517897121840264</v>
      </c>
      <c r="DP186" s="24">
        <f t="shared" si="415"/>
        <v>98.535774566915876</v>
      </c>
      <c r="DQ186" s="24">
        <f t="shared" si="415"/>
        <v>84.38419522868422</v>
      </c>
      <c r="DR186" s="24">
        <f t="shared" si="415"/>
        <v>71.60808959033308</v>
      </c>
      <c r="DS186" s="24">
        <f t="shared" si="415"/>
        <v>101.53082646856981</v>
      </c>
      <c r="DT186" s="24">
        <f t="shared" si="415"/>
        <v>75.606184856556993</v>
      </c>
      <c r="DU186" s="24">
        <f t="shared" si="415"/>
        <v>45.344949119470769</v>
      </c>
      <c r="DV186" s="24">
        <f t="shared" si="415"/>
        <v>47.814175984257091</v>
      </c>
      <c r="DW186" s="24">
        <f t="shared" si="415"/>
        <v>90.0711781771235</v>
      </c>
      <c r="DX186" s="24">
        <f t="shared" si="415"/>
        <v>101.18244650800943</v>
      </c>
      <c r="DY186" s="24">
        <f t="shared" si="415"/>
        <v>53.57304207644583</v>
      </c>
      <c r="DZ186" s="24">
        <f t="shared" si="415"/>
        <v>61.520496029655433</v>
      </c>
      <c r="EA186" s="24">
        <f t="shared" si="415"/>
        <v>62.459286644450991</v>
      </c>
      <c r="EB186" s="24">
        <f t="shared" si="415"/>
        <v>92.947859116847468</v>
      </c>
      <c r="EC186" s="24">
        <f t="shared" si="415"/>
        <v>85.255575514304212</v>
      </c>
      <c r="ED186" s="24">
        <f t="shared" si="415"/>
        <v>70.693749748617179</v>
      </c>
      <c r="EE186" s="24">
        <f t="shared" si="415"/>
        <v>87.655430689249869</v>
      </c>
      <c r="EF186" s="24">
        <f t="shared" si="415"/>
        <v>48.993372314408617</v>
      </c>
      <c r="EG186" s="24">
        <f t="shared" si="415"/>
        <v>49.101296097679921</v>
      </c>
      <c r="EH186" s="24">
        <f t="shared" si="415"/>
        <v>75.357565306208286</v>
      </c>
      <c r="EI186" s="24">
        <f t="shared" si="415"/>
        <v>53.636139979242159</v>
      </c>
      <c r="EJ186" s="24">
        <f t="shared" si="415"/>
        <v>37.976033813354789</v>
      </c>
      <c r="EK186" s="24">
        <f t="shared" ref="EK186:GV186" si="416">EK40</f>
        <v>51.289841276231776</v>
      </c>
      <c r="EL186" s="24">
        <f t="shared" si="416"/>
        <v>71.563174187292191</v>
      </c>
      <c r="EM186" s="24">
        <f t="shared" si="416"/>
        <v>39.250478502186922</v>
      </c>
      <c r="EN186" s="24">
        <f t="shared" si="416"/>
        <v>79.959743144188025</v>
      </c>
      <c r="EO186" s="24">
        <f t="shared" si="416"/>
        <v>71.742079395730443</v>
      </c>
      <c r="EP186" s="24">
        <f t="shared" si="416"/>
        <v>35.480607395985892</v>
      </c>
      <c r="EQ186" s="24">
        <f t="shared" si="416"/>
        <v>34.092141976074586</v>
      </c>
      <c r="ER186" s="24">
        <f t="shared" si="416"/>
        <v>75.308790151520071</v>
      </c>
      <c r="ES186" s="24">
        <f t="shared" si="416"/>
        <v>55.975875052433096</v>
      </c>
      <c r="ET186" s="24">
        <f t="shared" si="416"/>
        <v>94.923083399669451</v>
      </c>
      <c r="EU186" s="24">
        <f t="shared" si="416"/>
        <v>97.368465530795277</v>
      </c>
      <c r="EV186" s="24">
        <f t="shared" si="416"/>
        <v>95.995488627820919</v>
      </c>
      <c r="EW186" s="24">
        <f t="shared" si="416"/>
        <v>101.42291339952777</v>
      </c>
      <c r="EX186" s="24">
        <f t="shared" si="416"/>
        <v>59.185993438021441</v>
      </c>
      <c r="EY186" s="24">
        <f t="shared" si="416"/>
        <v>78.379083490853674</v>
      </c>
      <c r="EZ186" s="24">
        <f t="shared" si="416"/>
        <v>66.521598373117158</v>
      </c>
      <c r="FA186" s="24">
        <f t="shared" si="416"/>
        <v>98.665113668477517</v>
      </c>
      <c r="FB186" s="24">
        <f t="shared" si="416"/>
        <v>37.983250255389336</v>
      </c>
      <c r="FC186" s="24">
        <f t="shared" si="416"/>
        <v>39.269951826850374</v>
      </c>
      <c r="FD186" s="24">
        <f t="shared" si="416"/>
        <v>98.941127397682664</v>
      </c>
      <c r="FE186" s="24">
        <f t="shared" si="416"/>
        <v>94.533103954776522</v>
      </c>
      <c r="FF186" s="24">
        <f t="shared" si="416"/>
        <v>89.29722179664131</v>
      </c>
      <c r="FG186" s="24">
        <f t="shared" si="416"/>
        <v>60.239678581216452</v>
      </c>
      <c r="FH186" s="24">
        <f t="shared" si="416"/>
        <v>40.487640869512077</v>
      </c>
      <c r="FI186" s="24">
        <f t="shared" si="416"/>
        <v>48.945814131476894</v>
      </c>
      <c r="FJ186" s="24">
        <f t="shared" si="416"/>
        <v>92.375404077101166</v>
      </c>
      <c r="FK186" s="24">
        <f t="shared" si="416"/>
        <v>94.270163816679315</v>
      </c>
      <c r="FL186" s="24">
        <f t="shared" si="416"/>
        <v>39.318602519470161</v>
      </c>
      <c r="FM186" s="24">
        <f t="shared" si="416"/>
        <v>80.801280318655358</v>
      </c>
      <c r="FN186" s="24">
        <f t="shared" si="416"/>
        <v>95.041423621500599</v>
      </c>
      <c r="FO186" s="24">
        <f t="shared" si="416"/>
        <v>70.577446558178593</v>
      </c>
      <c r="FP186" s="24">
        <f t="shared" si="416"/>
        <v>99.616915546211658</v>
      </c>
      <c r="FQ186" s="24">
        <f t="shared" si="416"/>
        <v>77.325199782581507</v>
      </c>
      <c r="FR186" s="24">
        <f t="shared" si="416"/>
        <v>68.656354837184125</v>
      </c>
      <c r="FS186" s="24">
        <f t="shared" si="416"/>
        <v>92.112309029513114</v>
      </c>
      <c r="FT186" s="24">
        <f t="shared" si="416"/>
        <v>99.938194845444855</v>
      </c>
      <c r="FU186" s="24">
        <f t="shared" si="416"/>
        <v>77.220608597432701</v>
      </c>
      <c r="FV186" s="24">
        <f t="shared" si="416"/>
        <v>87.46952786135563</v>
      </c>
      <c r="FW186" s="24">
        <f t="shared" si="416"/>
        <v>79.177169775670961</v>
      </c>
      <c r="FX186" s="24">
        <f t="shared" si="416"/>
        <v>97.735399705965932</v>
      </c>
      <c r="FY186" s="24">
        <f t="shared" si="416"/>
        <v>92.964492920535974</v>
      </c>
      <c r="FZ186" s="24">
        <f t="shared" si="416"/>
        <v>63.398090390170509</v>
      </c>
      <c r="GA186" s="24">
        <f t="shared" si="416"/>
        <v>89.782372307017155</v>
      </c>
      <c r="GB186" s="24">
        <f t="shared" si="416"/>
        <v>67.688845268872413</v>
      </c>
      <c r="GC186" s="24">
        <f t="shared" si="416"/>
        <v>49.012123702543157</v>
      </c>
      <c r="GD186" s="24">
        <f t="shared" si="416"/>
        <v>34.119820972474869</v>
      </c>
      <c r="GE186" s="24">
        <f t="shared" si="416"/>
        <v>31.555930247349032</v>
      </c>
      <c r="GF186" s="24">
        <f t="shared" si="416"/>
        <v>34.181861824877345</v>
      </c>
      <c r="GG186" s="24">
        <f t="shared" si="416"/>
        <v>92.913213229352493</v>
      </c>
      <c r="GH186" s="24">
        <f t="shared" si="416"/>
        <v>42.955450021449579</v>
      </c>
      <c r="GI186" s="24">
        <f t="shared" si="416"/>
        <v>79.083240981469572</v>
      </c>
      <c r="GJ186" s="24">
        <f t="shared" si="416"/>
        <v>46.538131828969419</v>
      </c>
      <c r="GK186" s="24">
        <f t="shared" si="416"/>
        <v>61.439684327421944</v>
      </c>
      <c r="GL186" s="24">
        <f t="shared" si="416"/>
        <v>63.433293675745858</v>
      </c>
      <c r="GM186" s="24">
        <f t="shared" si="416"/>
        <v>47.754632099932863</v>
      </c>
      <c r="GN186" s="24">
        <f t="shared" si="416"/>
        <v>87.625943607892992</v>
      </c>
      <c r="GO186" s="24">
        <f t="shared" si="416"/>
        <v>101.50204440549658</v>
      </c>
      <c r="GP186" s="24">
        <f t="shared" si="416"/>
        <v>82.656819492622446</v>
      </c>
      <c r="GQ186" s="24">
        <f t="shared" si="416"/>
        <v>89.839297310545916</v>
      </c>
      <c r="GR186" s="24">
        <f t="shared" si="416"/>
        <v>50.148438472456078</v>
      </c>
      <c r="GS186" s="24">
        <f t="shared" si="416"/>
        <v>61.303214616455378</v>
      </c>
      <c r="GT186" s="24">
        <f t="shared" si="416"/>
        <v>52.481908827780117</v>
      </c>
      <c r="GU186" s="24">
        <f t="shared" si="416"/>
        <v>61.497330624762611</v>
      </c>
      <c r="GV186" s="24">
        <f t="shared" si="416"/>
        <v>80.776911088326386</v>
      </c>
      <c r="GW186" s="24">
        <f t="shared" ref="GW186:JH186" si="417">GW40</f>
        <v>54.684199125233818</v>
      </c>
      <c r="GX186" s="24">
        <f t="shared" si="417"/>
        <v>74.442899035299305</v>
      </c>
      <c r="GY186" s="24">
        <f t="shared" si="417"/>
        <v>41.811345637974313</v>
      </c>
      <c r="GZ186" s="24">
        <f t="shared" si="417"/>
        <v>40.54715493449882</v>
      </c>
      <c r="HA186" s="24">
        <f t="shared" si="417"/>
        <v>55.945238166433725</v>
      </c>
      <c r="HB186" s="24">
        <f t="shared" si="417"/>
        <v>93.046471661704246</v>
      </c>
      <c r="HC186" s="24">
        <f t="shared" si="417"/>
        <v>31.479489322106765</v>
      </c>
      <c r="HD186" s="24">
        <f t="shared" si="417"/>
        <v>89.79832223655032</v>
      </c>
      <c r="HE186" s="24">
        <f t="shared" si="417"/>
        <v>93.580901996361746</v>
      </c>
      <c r="HF186" s="24">
        <f t="shared" si="417"/>
        <v>85.914615896736095</v>
      </c>
      <c r="HG186" s="24">
        <f t="shared" si="417"/>
        <v>96.627169546887302</v>
      </c>
      <c r="HH186" s="24">
        <f t="shared" si="417"/>
        <v>86.808636621594246</v>
      </c>
      <c r="HI186" s="24">
        <f t="shared" si="417"/>
        <v>47.807668319235177</v>
      </c>
      <c r="HJ186" s="24">
        <f t="shared" si="417"/>
        <v>87.681546484329772</v>
      </c>
      <c r="HK186" s="24">
        <f t="shared" si="417"/>
        <v>42.994812655555222</v>
      </c>
      <c r="HL186" s="24">
        <f t="shared" si="417"/>
        <v>97.852652328761934</v>
      </c>
      <c r="HM186" s="24">
        <f t="shared" si="417"/>
        <v>92.275826610692533</v>
      </c>
      <c r="HN186" s="24">
        <f t="shared" si="417"/>
        <v>87.576171004944456</v>
      </c>
      <c r="HO186" s="24">
        <f t="shared" si="417"/>
        <v>87.458022200699602</v>
      </c>
      <c r="HP186" s="24">
        <f t="shared" si="417"/>
        <v>44.151073036385604</v>
      </c>
      <c r="HQ186" s="24">
        <f t="shared" si="417"/>
        <v>93.130445464287448</v>
      </c>
      <c r="HR186" s="24">
        <f t="shared" si="417"/>
        <v>53.614338068759835</v>
      </c>
      <c r="HS186" s="24">
        <f t="shared" si="417"/>
        <v>35.399133478358991</v>
      </c>
      <c r="HT186" s="24">
        <f t="shared" si="417"/>
        <v>97.690925270938465</v>
      </c>
      <c r="HU186" s="24">
        <f t="shared" si="417"/>
        <v>43.052477212935635</v>
      </c>
      <c r="HV186" s="24">
        <f t="shared" si="417"/>
        <v>101.0384269534659</v>
      </c>
      <c r="HW186" s="24">
        <f t="shared" si="417"/>
        <v>97.949843195374797</v>
      </c>
      <c r="HX186" s="24">
        <f t="shared" si="417"/>
        <v>76.234067295771496</v>
      </c>
      <c r="HY186" s="24">
        <f t="shared" si="417"/>
        <v>99.317326282480593</v>
      </c>
      <c r="HZ186" s="24">
        <f t="shared" si="417"/>
        <v>35.408626606914311</v>
      </c>
      <c r="IA186" s="24">
        <f t="shared" si="417"/>
        <v>43.021961479768038</v>
      </c>
      <c r="IB186" s="24">
        <f t="shared" si="417"/>
        <v>68.529754874714627</v>
      </c>
      <c r="IC186" s="24">
        <f t="shared" si="417"/>
        <v>52.530908138110831</v>
      </c>
      <c r="ID186" s="24">
        <f t="shared" si="417"/>
        <v>99.945359384460431</v>
      </c>
      <c r="IE186" s="24">
        <f t="shared" si="417"/>
        <v>66.579905053973363</v>
      </c>
      <c r="IF186" s="24">
        <f t="shared" si="417"/>
        <v>93.090249486891935</v>
      </c>
      <c r="IG186" s="24">
        <f t="shared" si="417"/>
        <v>58.205852783489277</v>
      </c>
      <c r="IH186" s="24">
        <f t="shared" si="417"/>
        <v>94.576016695025629</v>
      </c>
      <c r="II186" s="24">
        <f t="shared" si="417"/>
        <v>81.771480691438185</v>
      </c>
      <c r="IJ186" s="24">
        <f t="shared" si="417"/>
        <v>81.933249457246845</v>
      </c>
      <c r="IK186" s="24">
        <f t="shared" si="417"/>
        <v>53.556056560801281</v>
      </c>
      <c r="IL186" s="24">
        <f t="shared" si="417"/>
        <v>79.85429118259367</v>
      </c>
      <c r="IM186" s="24">
        <f t="shared" si="417"/>
        <v>84.418440343632895</v>
      </c>
      <c r="IN186" s="24">
        <f t="shared" si="417"/>
        <v>84.326579104495934</v>
      </c>
      <c r="IO186" s="24">
        <f t="shared" si="417"/>
        <v>96.276608083048885</v>
      </c>
      <c r="IP186" s="24">
        <f t="shared" si="417"/>
        <v>77.225261765575937</v>
      </c>
      <c r="IQ186" s="24">
        <f t="shared" si="417"/>
        <v>60.232669814858113</v>
      </c>
      <c r="IR186" s="24">
        <f t="shared" si="417"/>
        <v>71.582174631445923</v>
      </c>
      <c r="IS186" s="24">
        <f t="shared" si="417"/>
        <v>61.341826908243277</v>
      </c>
      <c r="IT186" s="24">
        <f t="shared" si="417"/>
        <v>67.699370452302375</v>
      </c>
      <c r="IU186" s="24">
        <f t="shared" si="417"/>
        <v>47.869407652696253</v>
      </c>
      <c r="IV186" s="24">
        <f t="shared" si="417"/>
        <v>75.512907204359493</v>
      </c>
      <c r="IW186" s="24">
        <f t="shared" si="417"/>
        <v>101.53845712403481</v>
      </c>
      <c r="IX186" s="24">
        <f t="shared" si="417"/>
        <v>66.720307907345912</v>
      </c>
      <c r="IY186" s="24">
        <f t="shared" si="417"/>
        <v>93.069038934163544</v>
      </c>
      <c r="IZ186" s="24">
        <f t="shared" si="417"/>
        <v>70.725313560272667</v>
      </c>
      <c r="JA186" s="24">
        <f t="shared" si="417"/>
        <v>72.512311406887932</v>
      </c>
      <c r="JB186" s="24">
        <f t="shared" si="417"/>
        <v>36.638023310094667</v>
      </c>
      <c r="JC186" s="24">
        <f t="shared" si="417"/>
        <v>92.398266882417772</v>
      </c>
      <c r="JD186" s="24">
        <f t="shared" si="417"/>
        <v>56.023576276255469</v>
      </c>
      <c r="JE186" s="24">
        <f t="shared" si="417"/>
        <v>55.870461112937747</v>
      </c>
      <c r="JF186" s="24">
        <f t="shared" si="417"/>
        <v>59.27232362971229</v>
      </c>
      <c r="JG186" s="24">
        <f t="shared" si="417"/>
        <v>101.63871070611486</v>
      </c>
      <c r="JH186" s="24">
        <f t="shared" si="417"/>
        <v>43.061236091339865</v>
      </c>
      <c r="JI186" s="24">
        <f t="shared" ref="JI186:KI186" si="418">JI40</f>
        <v>93.560871504935051</v>
      </c>
      <c r="JJ186" s="24">
        <f t="shared" si="418"/>
        <v>46.564423778405924</v>
      </c>
      <c r="JK186" s="24">
        <f t="shared" si="418"/>
        <v>40.464656190444458</v>
      </c>
      <c r="JL186" s="24">
        <f t="shared" si="418"/>
        <v>80.152561999931123</v>
      </c>
      <c r="JM186" s="24">
        <f t="shared" si="418"/>
        <v>97.716295081875614</v>
      </c>
      <c r="JN186" s="24">
        <f t="shared" si="418"/>
        <v>36.757448594444384</v>
      </c>
      <c r="JO186" s="24">
        <f t="shared" si="418"/>
        <v>78.353952002637783</v>
      </c>
      <c r="JP186" s="24">
        <f t="shared" si="418"/>
        <v>30.189117766983401</v>
      </c>
      <c r="JQ186" s="24">
        <f t="shared" si="418"/>
        <v>65.51828013795533</v>
      </c>
      <c r="JR186" s="24">
        <f t="shared" si="418"/>
        <v>95.576925244160464</v>
      </c>
      <c r="JS186" s="24">
        <f t="shared" si="418"/>
        <v>45.478548275887576</v>
      </c>
      <c r="JT186" s="24">
        <f t="shared" si="418"/>
        <v>95.293770416881287</v>
      </c>
      <c r="JU186" s="24">
        <f t="shared" si="418"/>
        <v>93.71735301455405</v>
      </c>
      <c r="JV186" s="24">
        <f t="shared" si="418"/>
        <v>45.375563816794852</v>
      </c>
      <c r="JW186" s="24">
        <f t="shared" si="418"/>
        <v>94.244380714922528</v>
      </c>
      <c r="JX186" s="24">
        <f t="shared" si="418"/>
        <v>31.48996405952343</v>
      </c>
      <c r="JY186" s="24">
        <f t="shared" si="418"/>
        <v>94.333705953781788</v>
      </c>
      <c r="JZ186" s="24">
        <f t="shared" si="418"/>
        <v>67.589816822387945</v>
      </c>
      <c r="KA186" s="24">
        <f t="shared" si="418"/>
        <v>40.574479835513472</v>
      </c>
      <c r="KB186" s="24">
        <f t="shared" si="418"/>
        <v>41.677898061336698</v>
      </c>
      <c r="KC186" s="24">
        <f t="shared" si="418"/>
        <v>97.015920579996333</v>
      </c>
      <c r="KD186" s="24">
        <f t="shared" si="418"/>
        <v>99.170088942731752</v>
      </c>
      <c r="KE186" s="24">
        <f t="shared" si="418"/>
        <v>62.392490811583585</v>
      </c>
      <c r="KF186" s="24">
        <f t="shared" si="418"/>
        <v>92.378954280685505</v>
      </c>
      <c r="KG186" s="24">
        <f t="shared" si="418"/>
        <v>76.425070855412599</v>
      </c>
      <c r="KH186" s="24">
        <f t="shared" si="418"/>
        <v>53.655894381145124</v>
      </c>
      <c r="KI186" s="24">
        <f t="shared" si="418"/>
        <v>63.481006172641145</v>
      </c>
      <c r="KJ186" s="1"/>
    </row>
    <row r="187" spans="7:296" x14ac:dyDescent="0.35">
      <c r="G187" s="20">
        <v>0.1</v>
      </c>
      <c r="H187" s="13" t="s">
        <v>49</v>
      </c>
      <c r="M187" s="15" t="s">
        <v>196</v>
      </c>
      <c r="N187" s="24">
        <f>XNPV($G$187,N$186:$KI$186,N$12:$KI$12)</f>
        <v>7685.7970299218414</v>
      </c>
      <c r="O187" s="24">
        <f>XNPV($G$187,O$186:$KI$186,O$12:$KI$12)</f>
        <v>7694.7363906291639</v>
      </c>
      <c r="P187" s="24">
        <f>XNPV($G$187,P$186:$KI$186,P$12:$KI$12)</f>
        <v>7706.9003833458837</v>
      </c>
      <c r="Q187" s="24">
        <f>XNPV($G$187,Q$186:$KI$186,Q$12:$KI$12)</f>
        <v>7704.0905218030575</v>
      </c>
      <c r="R187" s="24">
        <f>XNPV($G$187,R$186:$KI$186,R$12:$KI$12)</f>
        <v>7675.2086823070067</v>
      </c>
      <c r="S187" s="24">
        <f>XNPV($G$187,S$186:$KI$186,S$12:$KI$12)</f>
        <v>7690.5268603882096</v>
      </c>
      <c r="T187" s="24">
        <f>XNPV($G$187,T$186:$KI$186,T$12:$KI$12)</f>
        <v>7709.9429740090882</v>
      </c>
      <c r="U187" s="24">
        <f>XNPV($G$187,U$186:$KI$186,U$12:$KI$12)</f>
        <v>7712.0443923742359</v>
      </c>
      <c r="V187" s="24">
        <f>XNPV($G$187,V$186:$KI$186,V$12:$KI$12)</f>
        <v>7714.375130046119</v>
      </c>
      <c r="W187" s="24">
        <f>XNPV($G$187,W$186:$KI$186,W$12:$KI$12)</f>
        <v>7681.6392698110994</v>
      </c>
      <c r="X187" s="24">
        <f>XNPV($G$187,X$186:$KI$186,X$12:$KI$12)</f>
        <v>7647.9673541608117</v>
      </c>
      <c r="Y187" s="24">
        <f>XNPV($G$187,Y$186:$KI$186,Y$12:$KI$12)</f>
        <v>7624.2477353053655</v>
      </c>
      <c r="Z187" s="24">
        <f>XNPV($G$187,Z$186:$KI$186,Z$12:$KI$12)</f>
        <v>7614.9472380581601</v>
      </c>
      <c r="AA187" s="24">
        <f>XNPV($G$187,AA$186:$KI$186,AA$12:$KI$12)</f>
        <v>7645.5238290710577</v>
      </c>
      <c r="AB187" s="24">
        <f>XNPV($G$187,AB$186:$KI$186,AB$12:$KI$12)</f>
        <v>7614.7025142250714</v>
      </c>
      <c r="AC187" s="24">
        <f>XNPV($G$187,AC$186:$KI$186,AC$12:$KI$12)</f>
        <v>7582.7220807466692</v>
      </c>
      <c r="AD187" s="24">
        <f>XNPV($G$187,AD$186:$KI$186,AD$12:$KI$12)</f>
        <v>7550.261542066477</v>
      </c>
      <c r="AE187" s="24">
        <f>XNPV($G$187,AE$186:$KI$186,AE$12:$KI$12)</f>
        <v>7531.7700347501959</v>
      </c>
      <c r="AF187" s="24">
        <f>XNPV($G$187,AF$186:$KI$186,AF$12:$KI$12)</f>
        <v>7536.5860077603238</v>
      </c>
      <c r="AG187" s="24">
        <f>XNPV($G$187,AG$186:$KI$186,AG$12:$KI$12)</f>
        <v>7548.1937565168028</v>
      </c>
      <c r="AH187" s="24">
        <f>XNPV($G$187,AH$186:$KI$186,AH$12:$KI$12)</f>
        <v>7534.4937501697277</v>
      </c>
      <c r="AI187" s="24">
        <f>XNPV($G$187,AI$186:$KI$186,AI$12:$KI$12)</f>
        <v>7562.012187579604</v>
      </c>
      <c r="AJ187" s="24">
        <f>XNPV($G$187,AJ$186:$KI$186,AJ$12:$KI$12)</f>
        <v>7547.3564580320126</v>
      </c>
      <c r="AK187" s="24">
        <f>XNPV($G$187,AK$186:$KI$186,AK$12:$KI$12)</f>
        <v>7570.9466450232494</v>
      </c>
      <c r="AL187" s="24">
        <f>XNPV($G$187,AL$186:$KI$186,AL$12:$KI$12)</f>
        <v>7559.1822849224136</v>
      </c>
      <c r="AM187" s="24">
        <f>XNPV($G$187,AM$186:$KI$186,AM$12:$KI$12)</f>
        <v>7582.39131540775</v>
      </c>
      <c r="AN187" s="24">
        <f>XNPV($G$187,AN$186:$KI$186,AN$12:$KI$12)</f>
        <v>7566.0490171284218</v>
      </c>
      <c r="AO187" s="24">
        <f>XNPV($G$187,AO$186:$KI$186,AO$12:$KI$12)</f>
        <v>7553.3230702186356</v>
      </c>
      <c r="AP187" s="24">
        <f>XNPV($G$187,AP$186:$KI$186,AP$12:$KI$12)</f>
        <v>7570.5726102714589</v>
      </c>
      <c r="AQ187" s="24">
        <f>XNPV($G$187,AQ$186:$KI$186,AQ$12:$KI$12)</f>
        <v>7586.3673634310671</v>
      </c>
      <c r="AR187" s="24">
        <f>XNPV($G$187,AR$186:$KI$186,AR$12:$KI$12)</f>
        <v>7604.773293246084</v>
      </c>
      <c r="AS187" s="24">
        <f>XNPV($G$187,AS$186:$KI$186,AS$12:$KI$12)</f>
        <v>7628.7955628206582</v>
      </c>
      <c r="AT187" s="24">
        <f>XNPV($G$187,AT$186:$KI$186,AT$12:$KI$12)</f>
        <v>7615.6193358584133</v>
      </c>
      <c r="AU187" s="24">
        <f>XNPV($G$187,AU$186:$KI$186,AU$12:$KI$12)</f>
        <v>7617.9918975185783</v>
      </c>
      <c r="AV187" s="24">
        <f>XNPV($G$187,AV$186:$KI$186,AV$12:$KI$12)</f>
        <v>7617.0434404578145</v>
      </c>
      <c r="AW187" s="24">
        <f>XNPV($G$187,AW$186:$KI$186,AW$12:$KI$12)</f>
        <v>7616.0479084103354</v>
      </c>
      <c r="AX187" s="24">
        <f>XNPV($G$187,AX$186:$KI$186,AX$12:$KI$12)</f>
        <v>7598.9811628300222</v>
      </c>
      <c r="AY187" s="24">
        <f>XNPV($G$187,AY$186:$KI$186,AY$12:$KI$12)</f>
        <v>7570.9571683874592</v>
      </c>
      <c r="AZ187" s="24">
        <f>XNPV($G$187,AZ$186:$KI$186,AZ$12:$KI$12)</f>
        <v>7560.1689634788227</v>
      </c>
      <c r="BA187" s="24">
        <f>XNPV($G$187,BA$186:$KI$186,BA$12:$KI$12)</f>
        <v>7535.6495021598084</v>
      </c>
      <c r="BB187" s="24">
        <f>XNPV($G$187,BB$186:$KI$186,BB$12:$KI$12)</f>
        <v>7519.7392680232506</v>
      </c>
      <c r="BC187" s="24">
        <f>XNPV($G$187,BC$186:$KI$186,BC$12:$KI$12)</f>
        <v>7486.5458171413584</v>
      </c>
      <c r="BD187" s="24">
        <f>XNPV($G$187,BD$186:$KI$186,BD$12:$KI$12)</f>
        <v>7482.2865864965897</v>
      </c>
      <c r="BE187" s="24">
        <f>XNPV($G$187,BE$186:$KI$186,BE$12:$KI$12)</f>
        <v>7505.390128477804</v>
      </c>
      <c r="BF187" s="24">
        <f>XNPV($G$187,BF$186:$KI$186,BF$12:$KI$12)</f>
        <v>7485.6679676897338</v>
      </c>
      <c r="BG187" s="24">
        <f>XNPV($G$187,BG$186:$KI$186,BG$12:$KI$12)</f>
        <v>7445.083303432396</v>
      </c>
      <c r="BH187" s="24">
        <f>XNPV($G$187,BH$186:$KI$186,BH$12:$KI$12)</f>
        <v>7450.359149590151</v>
      </c>
      <c r="BI187" s="24">
        <f>XNPV($G$187,BI$186:$KI$186,BI$12:$KI$12)</f>
        <v>7436.6774345443491</v>
      </c>
      <c r="BJ187" s="24">
        <f>XNPV($G$187,BJ$186:$KI$186,BJ$12:$KI$12)</f>
        <v>7432.0815009524676</v>
      </c>
      <c r="BK187" s="24">
        <f>XNPV($G$187,BK$186:$KI$186,BK$12:$KI$12)</f>
        <v>7406.4549724801391</v>
      </c>
      <c r="BL187" s="24">
        <f>XNPV($G$187,BL$186:$KI$186,BL$12:$KI$12)</f>
        <v>7363.3158222556185</v>
      </c>
      <c r="BM187" s="24">
        <f>XNPV($G$187,BM$186:$KI$186,BM$12:$KI$12)</f>
        <v>7344.4306733358089</v>
      </c>
      <c r="BN187" s="24">
        <f>XNPV($G$187,BN$186:$KI$186,BN$12:$KI$12)</f>
        <v>7355.2394589628029</v>
      </c>
      <c r="BO187" s="24">
        <f>XNPV($G$187,BO$186:$KI$186,BO$12:$KI$12)</f>
        <v>7355.2746401950089</v>
      </c>
      <c r="BP187" s="24">
        <f>XNPV($G$187,BP$186:$KI$186,BP$12:$KI$12)</f>
        <v>7347.8205244701185</v>
      </c>
      <c r="BQ187" s="24">
        <f>XNPV($G$187,BQ$186:$KI$186,BQ$12:$KI$12)</f>
        <v>7344.2300279770661</v>
      </c>
      <c r="BR187" s="24">
        <f>XNPV($G$187,BR$186:$KI$186,BR$12:$KI$12)</f>
        <v>7329.8125827933663</v>
      </c>
      <c r="BS187" s="24">
        <f>XNPV($G$187,BS$186:$KI$186,BS$12:$KI$12)</f>
        <v>7305.2271480001718</v>
      </c>
      <c r="BT187" s="24">
        <f>XNPV($G$187,BT$186:$KI$186,BT$12:$KI$12)</f>
        <v>7320.000185005586</v>
      </c>
      <c r="BU187" s="24">
        <f>XNPV($G$187,BU$186:$KI$186,BU$12:$KI$12)</f>
        <v>7334.1748497819526</v>
      </c>
      <c r="BV187" s="24">
        <f>XNPV($G$187,BV$186:$KI$186,BV$12:$KI$12)</f>
        <v>7344.3822035836511</v>
      </c>
      <c r="BW187" s="24">
        <f>XNPV($G$187,BW$186:$KI$186,BW$12:$KI$12)</f>
        <v>7352.3688879683959</v>
      </c>
      <c r="BX187" s="24">
        <f>XNPV($G$187,BX$186:$KI$186,BX$12:$KI$12)</f>
        <v>7363.2913451010118</v>
      </c>
      <c r="BY187" s="24">
        <f>XNPV($G$187,BY$186:$KI$186,BY$12:$KI$12)</f>
        <v>7366.7224361521949</v>
      </c>
      <c r="BZ187" s="24">
        <f>XNPV($G$187,BZ$186:$KI$186,BZ$12:$KI$12)</f>
        <v>7334.957363899488</v>
      </c>
      <c r="CA187" s="24">
        <f>XNPV($G$187,CA$186:$KI$186,CA$12:$KI$12)</f>
        <v>7321.4250190408166</v>
      </c>
      <c r="CB187" s="24">
        <f>XNPV($G$187,CB$186:$KI$186,CB$12:$KI$12)</f>
        <v>7330.3420851382707</v>
      </c>
      <c r="CC187" s="24">
        <f>XNPV($G$187,CC$186:$KI$186,CC$12:$KI$12)</f>
        <v>7326.3084502688971</v>
      </c>
      <c r="CD187" s="24">
        <f>XNPV($G$187,CD$186:$KI$186,CD$12:$KI$12)</f>
        <v>7336.5436941683556</v>
      </c>
      <c r="CE187" s="24">
        <f>XNPV($G$187,CE$186:$KI$186,CE$12:$KI$12)</f>
        <v>7355.8981976590512</v>
      </c>
      <c r="CF187" s="24">
        <f>XNPV($G$187,CF$186:$KI$186,CF$12:$KI$12)</f>
        <v>7377.3708161036857</v>
      </c>
      <c r="CG187" s="24">
        <f>XNPV($G$187,CG$186:$KI$186,CG$12:$KI$12)</f>
        <v>7399.6198527442284</v>
      </c>
      <c r="CH187" s="24">
        <f>XNPV($G$187,CH$186:$KI$186,CH$12:$KI$12)</f>
        <v>7384.6773749710401</v>
      </c>
      <c r="CI187" s="24">
        <f>XNPV($G$187,CI$186:$KI$186,CI$12:$KI$12)</f>
        <v>7397.6820567920013</v>
      </c>
      <c r="CJ187" s="24">
        <f>XNPV($G$187,CJ$186:$KI$186,CJ$12:$KI$12)</f>
        <v>7391.7815366354707</v>
      </c>
      <c r="CK187" s="24">
        <f>XNPV($G$187,CK$186:$KI$186,CK$12:$KI$12)</f>
        <v>7354.0446259874088</v>
      </c>
      <c r="CL187" s="24">
        <f>XNPV($G$187,CL$186:$KI$186,CL$12:$KI$12)</f>
        <v>7337.8414572847478</v>
      </c>
      <c r="CM187" s="24">
        <f>XNPV($G$187,CM$186:$KI$186,CM$12:$KI$12)</f>
        <v>7323.3520020390324</v>
      </c>
      <c r="CN187" s="24">
        <f>XNPV($G$187,CN$186:$KI$186,CN$12:$KI$12)</f>
        <v>7309.6986402350358</v>
      </c>
      <c r="CO187" s="24">
        <f>XNPV($G$187,CO$186:$KI$186,CO$12:$KI$12)</f>
        <v>7281.7992940149625</v>
      </c>
      <c r="CP187" s="24">
        <f>XNPV($G$187,CP$186:$KI$186,CP$12:$KI$12)</f>
        <v>7294.0508927291175</v>
      </c>
      <c r="CQ187" s="24">
        <f>XNPV($G$187,CQ$186:$KI$186,CQ$12:$KI$12)</f>
        <v>7265.7030247429448</v>
      </c>
      <c r="CR187" s="24">
        <f>XNPV($G$187,CR$186:$KI$186,CR$12:$KI$12)</f>
        <v>7229.0742276741166</v>
      </c>
      <c r="CS187" s="24">
        <f>XNPV($G$187,CS$186:$KI$186,CS$12:$KI$12)</f>
        <v>7183.4788995113786</v>
      </c>
      <c r="CT187" s="24">
        <f>XNPV($G$187,CT$186:$KI$186,CT$12:$KI$12)</f>
        <v>7164.9109616664809</v>
      </c>
      <c r="CU187" s="24">
        <f>XNPV($G$187,CU$186:$KI$186,CU$12:$KI$12)</f>
        <v>7137.2905110549991</v>
      </c>
      <c r="CV187" s="24">
        <f>XNPV($G$187,CV$186:$KI$186,CV$12:$KI$12)</f>
        <v>7097.7346882665597</v>
      </c>
      <c r="CW187" s="24">
        <f>XNPV($G$187,CW$186:$KI$186,CW$12:$KI$12)</f>
        <v>7061.7217102547384</v>
      </c>
      <c r="CX187" s="24">
        <f>XNPV($G$187,CX$186:$KI$186,CX$12:$KI$12)</f>
        <v>7080.1977681608796</v>
      </c>
      <c r="CY187" s="24">
        <f>XNPV($G$187,CY$186:$KI$186,CY$12:$KI$12)</f>
        <v>7065.3915436194166</v>
      </c>
      <c r="CZ187" s="24">
        <f>XNPV($G$187,CZ$186:$KI$186,CZ$12:$KI$12)</f>
        <v>7075.7937959468645</v>
      </c>
      <c r="DA187" s="24">
        <f>XNPV($G$187,DA$186:$KI$186,DA$12:$KI$12)</f>
        <v>7041.9706172967808</v>
      </c>
      <c r="DB187" s="24">
        <f>XNPV($G$187,DB$186:$KI$186,DB$12:$KI$12)</f>
        <v>7048.6131529809518</v>
      </c>
      <c r="DC187" s="24">
        <f>XNPV($G$187,DC$186:$KI$186,DC$12:$KI$12)</f>
        <v>7073.6179588658097</v>
      </c>
      <c r="DD187" s="24">
        <f>XNPV($G$187,DD$186:$KI$186,DD$12:$KI$12)</f>
        <v>7037.3505344644391</v>
      </c>
      <c r="DE187" s="24">
        <f>XNPV($G$187,DE$186:$KI$186,DE$12:$KI$12)</f>
        <v>7062.3031992405786</v>
      </c>
      <c r="DF187" s="24">
        <f>XNPV($G$187,DF$186:$KI$186,DF$12:$KI$12)</f>
        <v>7029.137832766085</v>
      </c>
      <c r="DG187" s="24">
        <f>XNPV($G$187,DG$186:$KI$186,DG$12:$KI$12)</f>
        <v>6991.2951327692153</v>
      </c>
      <c r="DH187" s="24">
        <f>XNPV($G$187,DH$186:$KI$186,DH$12:$KI$12)</f>
        <v>6973.209157589863</v>
      </c>
      <c r="DI187" s="24">
        <f>XNPV($G$187,DI$186:$KI$186,DI$12:$KI$12)</f>
        <v>6970.1017340145545</v>
      </c>
      <c r="DJ187" s="24">
        <f>XNPV($G$187,DJ$186:$KI$186,DJ$12:$KI$12)</f>
        <v>6936.0270366986679</v>
      </c>
      <c r="DK187" s="24">
        <f>XNPV($G$187,DK$186:$KI$186,DK$12:$KI$12)</f>
        <v>6896.4530993618864</v>
      </c>
      <c r="DL187" s="24">
        <f>XNPV($G$187,DL$186:$KI$186,DL$12:$KI$12)</f>
        <v>6866.6983607201309</v>
      </c>
      <c r="DM187" s="24">
        <f>XNPV($G$187,DM$186:$KI$186,DM$12:$KI$12)</f>
        <v>6849.0217669229414</v>
      </c>
      <c r="DN187" s="24">
        <f>XNPV($G$187,DN$186:$KI$186,DN$12:$KI$12)</f>
        <v>6839.5570670355119</v>
      </c>
      <c r="DO187" s="24">
        <f>XNPV($G$187,DO$186:$KI$186,DO$12:$KI$12)</f>
        <v>6810.9471347610452</v>
      </c>
      <c r="DP187" s="24">
        <f>XNPV($G$187,DP$186:$KI$186,DP$12:$KI$12)</f>
        <v>6769.0020300726919</v>
      </c>
      <c r="DQ187" s="24">
        <f>XNPV($G$187,DQ$186:$KI$186,DQ$12:$KI$12)</f>
        <v>6722.9259854231095</v>
      </c>
      <c r="DR187" s="24">
        <f>XNPV($G$187,DR$186:$KI$186,DR$12:$KI$12)</f>
        <v>6692.4977930585819</v>
      </c>
      <c r="DS187" s="24">
        <f>XNPV($G$187,DS$186:$KI$186,DS$12:$KI$12)</f>
        <v>6674.7022356618891</v>
      </c>
      <c r="DT187" s="24">
        <f>XNPV($G$187,DT$186:$KI$186,DT$12:$KI$12)</f>
        <v>6624.865966008133</v>
      </c>
      <c r="DU187" s="24">
        <f>XNPV($G$187,DU$186:$KI$186,DU$12:$KI$12)</f>
        <v>6602.4901276159053</v>
      </c>
      <c r="DV187" s="24">
        <f>XNPV($G$187,DV$186:$KI$186,DV$12:$KI$12)</f>
        <v>6608.7136973850093</v>
      </c>
      <c r="DW187" s="24">
        <f>XNPV($G$187,DW$186:$KI$186,DW$12:$KI$12)</f>
        <v>6614.2244720534791</v>
      </c>
      <c r="DX187" s="24">
        <f>XNPV($G$187,DX$186:$KI$186,DX$12:$KI$12)</f>
        <v>6577.1795826210619</v>
      </c>
      <c r="DY187" s="24">
        <f>XNPV($G$187,DY$186:$KI$186,DY$12:$KI$12)</f>
        <v>6525.2233545986528</v>
      </c>
      <c r="DZ187" s="24">
        <f>XNPV($G$187,DZ$186:$KI$186,DZ$12:$KI$12)</f>
        <v>6524.2498733646244</v>
      </c>
      <c r="EA187" s="24">
        <f>XNPV($G$187,EA$186:$KI$186,EA$12:$KI$12)</f>
        <v>6513.5553653060488</v>
      </c>
      <c r="EB187" s="24">
        <f>XNPV($G$187,EB$186:$KI$186,EB$12:$KI$12)</f>
        <v>6503.5285810842461</v>
      </c>
      <c r="EC187" s="24">
        <f>XNPV($G$187,EC$186:$KI$186,EC$12:$KI$12)</f>
        <v>6460.9965880262553</v>
      </c>
      <c r="ED187" s="24">
        <f>XNPV($G$187,ED$186:$KI$186,ED$12:$KI$12)</f>
        <v>6427.5610523948599</v>
      </c>
      <c r="EE187" s="24">
        <f>XNPV($G$187,EE$186:$KI$186,EE$12:$KI$12)</f>
        <v>6408.5339428857187</v>
      </c>
      <c r="EF187" s="24">
        <f>XNPV($G$187,EF$186:$KI$186,EF$12:$KI$12)</f>
        <v>6370.5889172699335</v>
      </c>
      <c r="EG187" s="24">
        <f>XNPV($G$187,EG$186:$KI$186,EG$12:$KI$12)</f>
        <v>6372.9755073191709</v>
      </c>
      <c r="EH187" s="24">
        <f>XNPV($G$187,EH$186:$KI$186,EH$12:$KI$12)</f>
        <v>6373.6081759017052</v>
      </c>
      <c r="EI187" s="24">
        <f>XNPV($G$187,EI$186:$KI$186,EI$12:$KI$12)</f>
        <v>6349.4408325937175</v>
      </c>
      <c r="EJ187" s="24">
        <f>XNPV($G$187,EJ$186:$KI$186,EJ$12:$KI$12)</f>
        <v>6346.9750349521037</v>
      </c>
      <c r="EK187" s="24">
        <f>XNPV($G$187,EK$186:$KI$186,EK$12:$KI$12)</f>
        <v>6355.2960753654297</v>
      </c>
      <c r="EL187" s="24">
        <f>XNPV($G$187,EL$186:$KI$186,EL$12:$KI$12)</f>
        <v>6355.2432360049852</v>
      </c>
      <c r="EM187" s="24">
        <f>XNPV($G$187,EM$186:$KI$186,EM$12:$KI$12)</f>
        <v>6333.0979205255144</v>
      </c>
      <c r="EN187" s="24">
        <f>XNPV($G$187,EN$186:$KI$186,EN$12:$KI$12)</f>
        <v>6345.0018764369224</v>
      </c>
      <c r="EO187" s="24">
        <f>XNPV($G$187,EO$186:$KI$186,EO$12:$KI$12)</f>
        <v>6314.3134144362348</v>
      </c>
      <c r="EP187" s="24">
        <f>XNPV($G$187,EP$186:$KI$186,EP$12:$KI$12)</f>
        <v>6293.309013205112</v>
      </c>
      <c r="EQ187" s="24">
        <f>XNPV($G$187,EQ$186:$KI$186,EQ$12:$KI$12)</f>
        <v>6308.6900886994827</v>
      </c>
      <c r="ER187" s="24">
        <f>XNPV($G$187,ER$186:$KI$186,ER$12:$KI$12)</f>
        <v>6323.9443793439568</v>
      </c>
      <c r="ES187" s="24">
        <f>XNPV($G$187,ES$186:$KI$186,ES$12:$KI$12)</f>
        <v>6299.4225557286063</v>
      </c>
      <c r="ET187" s="24">
        <f>XNPV($G$187,ET$186:$KI$186,ET$12:$KI$12)</f>
        <v>6292.5481248744991</v>
      </c>
      <c r="EU187" s="24">
        <f>XNPV($G$187,EU$186:$KI$186,EU$12:$KI$12)</f>
        <v>6247.9974101451244</v>
      </c>
      <c r="EV187" s="24">
        <f>XNPV($G$187,EV$186:$KI$186,EV$12:$KI$12)</f>
        <v>6200.6193436266894</v>
      </c>
      <c r="EW187" s="24">
        <f>XNPV($G$187,EW$186:$KI$186,EW$12:$KI$12)</f>
        <v>6149.4211712910101</v>
      </c>
      <c r="EX187" s="24">
        <f>XNPV($G$187,EX$186:$KI$186,EX$12:$KI$12)</f>
        <v>6097.1545066037033</v>
      </c>
      <c r="EY187" s="24">
        <f>XNPV($G$187,EY$186:$KI$186,EY$12:$KI$12)</f>
        <v>6085.4539789962873</v>
      </c>
      <c r="EZ187" s="24">
        <f>XNPV($G$187,EZ$186:$KI$186,EZ$12:$KI$12)</f>
        <v>6055.8985318566965</v>
      </c>
      <c r="FA187" s="24">
        <f>XNPV($G$187,FA$186:$KI$186,FA$12:$KI$12)</f>
        <v>6036.4802519426621</v>
      </c>
      <c r="FB187" s="24">
        <f>XNPV($G$187,FB$186:$KI$186,FB$12:$KI$12)</f>
        <v>5986.0758528607539</v>
      </c>
      <c r="FC187" s="24">
        <f>XNPV($G$187,FC$186:$KI$186,FC$12:$KI$12)</f>
        <v>5996.436849225387</v>
      </c>
      <c r="FD187" s="24">
        <f>XNPV($G$187,FD$186:$KI$186,FD$12:$KI$12)</f>
        <v>6004.0169007625491</v>
      </c>
      <c r="FE187" s="24">
        <f>XNPV($G$187,FE$186:$KI$186,FE$12:$KI$12)</f>
        <v>5953.0703925764838</v>
      </c>
      <c r="FF187" s="24">
        <f>XNPV($G$187,FF$186:$KI$186,FF$12:$KI$12)</f>
        <v>5904.6116216742166</v>
      </c>
      <c r="FG187" s="24">
        <f>XNPV($G$187,FG$186:$KI$186,FG$12:$KI$12)</f>
        <v>5862.5794665642525</v>
      </c>
      <c r="FH187" s="24">
        <f>XNPV($G$187,FH$186:$KI$186,FH$12:$KI$12)</f>
        <v>5849.4994010597602</v>
      </c>
      <c r="FI187" s="24">
        <f>XNPV($G$187,FI$186:$KI$186,FI$12:$KI$12)</f>
        <v>5851.6397981082509</v>
      </c>
      <c r="FJ187" s="24">
        <f>XNPV($G$187,FJ$186:$KI$186,FJ$12:$KI$12)</f>
        <v>5849.8564758483753</v>
      </c>
      <c r="FK187" s="24">
        <f>XNPV($G$187,FK$186:$KI$186,FK$12:$KI$12)</f>
        <v>5802.7606505083631</v>
      </c>
      <c r="FL187" s="24">
        <f>XNPV($G$187,FL$186:$KI$186,FL$12:$KI$12)</f>
        <v>5754.8873218377603</v>
      </c>
      <c r="FM187" s="24">
        <f>XNPV($G$187,FM$186:$KI$186,FM$12:$KI$12)</f>
        <v>5760.5186793142484</v>
      </c>
      <c r="FN187" s="24">
        <f>XNPV($G$187,FN$186:$KI$186,FN$12:$KI$12)</f>
        <v>5725.8803754342598</v>
      </c>
      <c r="FO187" s="24">
        <f>XNPV($G$187,FO$186:$KI$186,FO$12:$KI$12)</f>
        <v>5676.6046594355339</v>
      </c>
      <c r="FP187" s="24">
        <f>XNPV($G$187,FP$186:$KI$186,FP$12:$KI$12)</f>
        <v>5650.1156861911995</v>
      </c>
      <c r="FQ187" s="24">
        <f>XNPV($G$187,FQ$186:$KI$186,FQ$12:$KI$12)</f>
        <v>5595.6114982636946</v>
      </c>
      <c r="FR187" s="24">
        <f>XNPV($G$187,FR$186:$KI$186,FR$12:$KI$12)</f>
        <v>5561.6847353723733</v>
      </c>
      <c r="FS187" s="24">
        <f>XNPV($G$187,FS$186:$KI$186,FS$12:$KI$12)</f>
        <v>5537.6740066982866</v>
      </c>
      <c r="FT187" s="24">
        <f>XNPV($G$187,FT$186:$KI$186,FT$12:$KI$12)</f>
        <v>5489.8215293972371</v>
      </c>
      <c r="FU187" s="24">
        <f>XNPV($G$187,FU$186:$KI$186,FU$12:$KI$12)</f>
        <v>5430.8536390565569</v>
      </c>
      <c r="FV187" s="24">
        <f>XNPV($G$187,FV$186:$KI$186,FV$12:$KI$12)</f>
        <v>5397.1456945733689</v>
      </c>
      <c r="FW187" s="24">
        <f>XNPV($G$187,FW$186:$KI$186,FW$12:$KI$12)</f>
        <v>5351.4339939739839</v>
      </c>
      <c r="FX187" s="24">
        <f>XNPV($G$187,FX$186:$KI$186,FX$12:$KI$12)</f>
        <v>5315.1080878187686</v>
      </c>
      <c r="FY187" s="24">
        <f>XNPV($G$187,FY$186:$KI$186,FY$12:$KI$12)</f>
        <v>5258.4045967699467</v>
      </c>
      <c r="FZ187" s="24">
        <f>XNPV($G$187,FZ$186:$KI$186,FZ$12:$KI$12)</f>
        <v>5207.4231943904133</v>
      </c>
      <c r="GA187" s="24">
        <f>XNPV($G$187,GA$186:$KI$186,GA$12:$KI$12)</f>
        <v>5185.8341400832414</v>
      </c>
      <c r="GB187" s="24">
        <f>XNPV($G$187,GB$186:$KI$186,GB$12:$KI$12)</f>
        <v>5136.1295508189951</v>
      </c>
      <c r="GC187" s="24">
        <f>XNPV($G$187,GC$186:$KI$186,GC$12:$KI$12)</f>
        <v>5109.6354151517771</v>
      </c>
      <c r="GD187" s="24">
        <f>XNPV($G$187,GD$186:$KI$186,GD$12:$KI$12)</f>
        <v>5100.4224480469711</v>
      </c>
      <c r="GE187" s="24">
        <f>XNPV($G$187,GE$186:$KI$186,GE$12:$KI$12)</f>
        <v>5107.4799590393113</v>
      </c>
      <c r="GF187" s="24">
        <f>XNPV($G$187,GF$186:$KI$186,GF$12:$KI$12)</f>
        <v>5117.1795605173656</v>
      </c>
      <c r="GG187" s="24">
        <f>XNPV($G$187,GG$186:$KI$186,GG$12:$KI$12)</f>
        <v>5120.2980567537188</v>
      </c>
      <c r="GH187" s="24">
        <f>XNPV($G$187,GH$186:$KI$186,GH$12:$KI$12)</f>
        <v>5068.2458638492062</v>
      </c>
      <c r="GI187" s="24">
        <f>XNPV($G$187,GI$186:$KI$186,GI$12:$KI$12)</f>
        <v>5064.8116958143009</v>
      </c>
      <c r="GJ187" s="24">
        <f>XNPV($G$187,GJ$186:$KI$186,GJ$12:$KI$12)</f>
        <v>5026.2509049869032</v>
      </c>
      <c r="GK187" s="24">
        <f>XNPV($G$187,GK$186:$KI$186,GK$12:$KI$12)</f>
        <v>5018.8756108276611</v>
      </c>
      <c r="GL187" s="24">
        <f>XNPV($G$187,GL$186:$KI$186,GL$12:$KI$12)</f>
        <v>4997.7284237839413</v>
      </c>
      <c r="GM187" s="24">
        <f>XNPV($G$187,GM$186:$KI$186,GM$12:$KI$12)</f>
        <v>4974.3995461963759</v>
      </c>
      <c r="GN187" s="24">
        <f>XNPV($G$187,GN$186:$KI$186,GN$12:$KI$12)</f>
        <v>4965.3904007974324</v>
      </c>
      <c r="GO187" s="24">
        <f>XNPV($G$187,GO$186:$KI$186,GO$12:$KI$12)</f>
        <v>4917.4094095511527</v>
      </c>
      <c r="GP187" s="24">
        <f>XNPV($G$187,GP$186:$KI$186,GP$12:$KI$12)</f>
        <v>4853.7819589154533</v>
      </c>
      <c r="GQ187" s="24">
        <f>XNPV($G$187,GQ$186:$KI$186,GQ$12:$KI$12)</f>
        <v>4809.9033605779987</v>
      </c>
      <c r="GR187" s="24">
        <f>XNPV($G$187,GR$186:$KI$186,GR$12:$KI$12)</f>
        <v>4758.4272758773168</v>
      </c>
      <c r="GS187" s="24">
        <f>XNPV($G$187,GS$186:$KI$186,GS$12:$KI$12)</f>
        <v>4742.8294110815887</v>
      </c>
      <c r="GT187" s="24">
        <f>XNPV($G$187,GT$186:$KI$186,GT$12:$KI$12)</f>
        <v>4719.5761852801807</v>
      </c>
      <c r="GU187" s="24">
        <f>XNPV($G$187,GU$186:$KI$186,GU$12:$KI$12)</f>
        <v>4703.7985330760412</v>
      </c>
      <c r="GV187" s="24">
        <f>XNPV($G$187,GV$186:$KI$186,GV$12:$KI$12)</f>
        <v>4680.0323827152524</v>
      </c>
      <c r="GW187" s="24">
        <f>XNPV($G$187,GW$186:$KI$186,GW$12:$KI$12)</f>
        <v>4635.4262115153451</v>
      </c>
      <c r="GX187" s="24">
        <f>XNPV($G$187,GX$186:$KI$186,GX$12:$KI$12)</f>
        <v>4617.9728587042191</v>
      </c>
      <c r="GY187" s="24">
        <f>XNPV($G$187,GY$186:$KI$186,GY$12:$KI$12)</f>
        <v>4580.4583579926893</v>
      </c>
      <c r="GZ187" s="24">
        <f>XNPV($G$187,GZ$186:$KI$186,GZ$12:$KI$12)</f>
        <v>4574.3410983958101</v>
      </c>
      <c r="HA187" s="24">
        <f>XNPV($G$187,HA$186:$KI$186,HA$12:$KI$12)</f>
        <v>4570.6432104735695</v>
      </c>
      <c r="HB187" s="24">
        <f>XNPV($G$187,HB$186:$KI$186,HB$12:$KI$12)</f>
        <v>4550.2037116683214</v>
      </c>
      <c r="HC187" s="24">
        <f>XNPV($G$187,HC$186:$KI$186,HC$12:$KI$12)</f>
        <v>4493.3836277297514</v>
      </c>
      <c r="HD187" s="24">
        <f>XNPV($G$187,HD$186:$KI$186,HD$12:$KI$12)</f>
        <v>4498.1691074445416</v>
      </c>
      <c r="HE187" s="24">
        <f>XNPV($G$187,HE$186:$KI$186,HE$12:$KI$12)</f>
        <v>4440.7205556588451</v>
      </c>
      <c r="HF187" s="24">
        <f>XNPV($G$187,HF$186:$KI$186,HF$12:$KI$12)</f>
        <v>4382.4718526629313</v>
      </c>
      <c r="HG187" s="24">
        <f>XNPV($G$187,HG$186:$KI$186,HG$12:$KI$12)</f>
        <v>4330.3474132818274</v>
      </c>
      <c r="HH187" s="24">
        <f>XNPV($G$187,HH$186:$KI$186,HH$12:$KI$12)</f>
        <v>4268.1306050486892</v>
      </c>
      <c r="HI187" s="24">
        <f>XNPV($G$187,HI$186:$KI$186,HI$12:$KI$12)</f>
        <v>4214.2058797998652</v>
      </c>
      <c r="HJ187" s="24">
        <f>XNPV($G$187,HJ$186:$KI$186,HJ$12:$KI$12)</f>
        <v>4200.2614002556011</v>
      </c>
      <c r="HK187" s="24">
        <f>XNPV($G$187,HK$186:$KI$186,HK$12:$KI$12)</f>
        <v>4146.0056236740729</v>
      </c>
      <c r="HL187" s="24">
        <f>XNPV($G$187,HL$186:$KI$186,HL$12:$KI$12)</f>
        <v>4135.2788460777256</v>
      </c>
      <c r="HM187" s="24">
        <f>XNPV($G$187,HM$186:$KI$186,HM$12:$KI$12)</f>
        <v>4070.2411380783865</v>
      </c>
      <c r="HN187" s="24">
        <f>XNPV($G$187,HN$186:$KI$186,HN$12:$KI$12)</f>
        <v>4009.2499290441401</v>
      </c>
      <c r="HO187" s="24">
        <f>XNPV($G$187,HO$186:$KI$186,HO$12:$KI$12)</f>
        <v>3953.5479025740146</v>
      </c>
      <c r="HP187" s="24">
        <f>XNPV($G$187,HP$186:$KI$186,HP$12:$KI$12)</f>
        <v>3897.5122564388898</v>
      </c>
      <c r="HQ187" s="24">
        <f>XNPV($G$187,HQ$186:$KI$186,HQ$12:$KI$12)</f>
        <v>3882.6518695364307</v>
      </c>
      <c r="HR187" s="24">
        <f>XNPV($G$187,HR$186:$KI$186,HR$12:$KI$12)</f>
        <v>3820.3214755402309</v>
      </c>
      <c r="HS187" s="24">
        <f>XNPV($G$187,HS$186:$KI$186,HS$12:$KI$12)</f>
        <v>3796.3303199508582</v>
      </c>
      <c r="HT187" s="24">
        <f>XNPV($G$187,HT$186:$KI$186,HT$12:$KI$12)</f>
        <v>3791.4988653818891</v>
      </c>
      <c r="HU187" s="24">
        <f>XNPV($G$187,HU$186:$KI$186,HU$12:$KI$12)</f>
        <v>3722.8578085132945</v>
      </c>
      <c r="HV187" s="24">
        <f>XNPV($G$187,HV$186:$KI$186,HV$12:$KI$12)</f>
        <v>3709.7136444917392</v>
      </c>
      <c r="HW187" s="24">
        <f>XNPV($G$187,HW$186:$KI$186,HW$12:$KI$12)</f>
        <v>3638.0054072888183</v>
      </c>
      <c r="HX187" s="24">
        <f>XNPV($G$187,HX$186:$KI$186,HX$12:$KI$12)</f>
        <v>3567.8962504369815</v>
      </c>
      <c r="HY187" s="24">
        <f>XNPV($G$187,HY$186:$KI$186,HY$12:$KI$12)</f>
        <v>3520.0413273431063</v>
      </c>
      <c r="HZ187" s="24">
        <f>XNPV($G$187,HZ$186:$KI$186,HZ$12:$KI$12)</f>
        <v>3447.626207044993</v>
      </c>
      <c r="IA187" s="24">
        <f>XNPV($G$187,IA$186:$KI$186,IA$12:$KI$12)</f>
        <v>3439.9510236191099</v>
      </c>
      <c r="IB187" s="24">
        <f>XNPV($G$187,IB$186:$KI$186,IB$12:$KI$12)</f>
        <v>3424.5382449988774</v>
      </c>
      <c r="IC187" s="24">
        <f>XNPV($G$187,IC$186:$KI$186,IC$12:$KI$12)</f>
        <v>3380.6357525701724</v>
      </c>
      <c r="ID187" s="24">
        <f>XNPV($G$187,ID$186:$KI$186,ID$12:$KI$12)</f>
        <v>3355.1546454566851</v>
      </c>
      <c r="IE187" s="24">
        <f>XNPV($G$187,IE$186:$KI$186,IE$12:$KI$12)</f>
        <v>3280.8098053508884</v>
      </c>
      <c r="IF187" s="24">
        <f>XNPV($G$187,IF$186:$KI$186,IF$12:$KI$12)</f>
        <v>3240.3541611944884</v>
      </c>
      <c r="IG187" s="24">
        <f>XNPV($G$187,IG$186:$KI$186,IG$12:$KI$12)</f>
        <v>3172.0154970484978</v>
      </c>
      <c r="IH187" s="24">
        <f>XNPV($G$187,IH$186:$KI$186,IH$12:$KI$12)</f>
        <v>3139.1177205555841</v>
      </c>
      <c r="II187" s="24">
        <f>XNPV($G$187,II$186:$KI$186,II$12:$KI$12)</f>
        <v>3069.2867918761517</v>
      </c>
      <c r="IJ187" s="24">
        <f>XNPV($G$187,IJ$186:$KI$186,IJ$12:$KI$12)</f>
        <v>3011.0105572957759</v>
      </c>
      <c r="IK187" s="24">
        <f>XNPV($G$187,IK$186:$KI$186,IK$12:$KI$12)</f>
        <v>2952.8839371565118</v>
      </c>
      <c r="IL187" s="24">
        <f>XNPV($G$187,IL$186:$KI$186,IL$12:$KI$12)</f>
        <v>2922.1295786677611</v>
      </c>
      <c r="IM187" s="24">
        <f>XNPV($G$187,IM$186:$KI$186,IM$12:$KI$12)</f>
        <v>2865.3764169800215</v>
      </c>
      <c r="IN187" s="24">
        <f>XNPV($G$187,IN$186:$KI$186,IN$12:$KI$12)</f>
        <v>2803.5607381003815</v>
      </c>
      <c r="IO187" s="24">
        <f>XNPV($G$187,IO$186:$KI$186,IO$12:$KI$12)</f>
        <v>2739.1886059178205</v>
      </c>
      <c r="IP187" s="24">
        <f>XNPV($G$187,IP$186:$KI$186,IP$12:$KI$12)</f>
        <v>2664.3927645199396</v>
      </c>
      <c r="IQ187" s="24">
        <f>XNPV($G$187,IQ$186:$KI$186,IQ$12:$KI$12)</f>
        <v>2607.514222645701</v>
      </c>
      <c r="IR187" s="24">
        <f>XNPV($G$187,IR$186:$KI$186,IR$12:$KI$12)</f>
        <v>2567.9850650032568</v>
      </c>
      <c r="IS187" s="24">
        <f>XNPV($G$187,IS$186:$KI$186,IS$12:$KI$12)</f>
        <v>2516.0357940366262</v>
      </c>
      <c r="IT187" s="24">
        <f>XNPV($G$187,IT$186:$KI$186,IT$12:$KI$12)</f>
        <v>2474.6449562020161</v>
      </c>
      <c r="IU187" s="24">
        <f>XNPV($G$187,IU$186:$KI$186,IU$12:$KI$12)</f>
        <v>2426.508490830829</v>
      </c>
      <c r="IV187" s="24">
        <f>XNPV($G$187,IV$186:$KI$186,IV$12:$KI$12)</f>
        <v>2397.3458360638606</v>
      </c>
      <c r="IW187" s="24">
        <f>XNPV($G$187,IW$186:$KI$186,IW$12:$KI$12)</f>
        <v>2340.7040647382705</v>
      </c>
      <c r="IX187" s="24">
        <f>XNPV($G$187,IX$186:$KI$186,IX$12:$KI$12)</f>
        <v>2256.775474528511</v>
      </c>
      <c r="IY187" s="24">
        <f>XNPV($G$187,IY$186:$KI$186,IY$12:$KI$12)</f>
        <v>2207.8552538357139</v>
      </c>
      <c r="IZ187" s="24">
        <f>XNPV($G$187,IZ$186:$KI$186,IZ$12:$KI$12)</f>
        <v>2131.9745394876604</v>
      </c>
      <c r="JA187" s="24">
        <f>XNPV($G$187,JA$186:$KI$186,JA$12:$KI$12)</f>
        <v>2076.3752084160883</v>
      </c>
      <c r="JB187" s="24">
        <f>XNPV($G$187,JB$186:$KI$186,JB$12:$KI$12)</f>
        <v>2020.1496713683105</v>
      </c>
      <c r="JC187" s="24">
        <f>XNPV($G$187,JC$186:$KI$186,JC$12:$KI$12)</f>
        <v>1999.1109302312013</v>
      </c>
      <c r="JD187" s="24">
        <f>XNPV($G$187,JD$186:$KI$186,JD$12:$KI$12)</f>
        <v>1922.2098308256445</v>
      </c>
      <c r="JE187" s="24">
        <f>XNPV($G$187,JE$186:$KI$186,JE$12:$KI$12)</f>
        <v>1880.8628338377248</v>
      </c>
      <c r="JF187" s="24">
        <f>XNPV($G$187,JF$186:$KI$186,JF$12:$KI$12)</f>
        <v>1839.8253430971747</v>
      </c>
      <c r="JG187" s="24">
        <f>XNPV($G$187,JG$186:$KI$186,JG$12:$KI$12)</f>
        <v>1795.0248005986869</v>
      </c>
      <c r="JH187" s="24">
        <f>XNPV($G$187,JH$186:$KI$186,JH$12:$KI$12)</f>
        <v>1706.7036862222442</v>
      </c>
      <c r="JI187" s="24">
        <f>XNPV($G$187,JI$186:$KI$186,JI$12:$KI$12)</f>
        <v>1677.1640185176238</v>
      </c>
      <c r="JJ187" s="24">
        <f>XNPV($G$187,JJ$186:$KI$186,JJ$12:$KI$12)</f>
        <v>1596.0573578888709</v>
      </c>
      <c r="JK187" s="24">
        <f>XNPV($G$187,JK$186:$KI$186,JK$12:$KI$12)</f>
        <v>1562.0867307352523</v>
      </c>
      <c r="JL187" s="24">
        <f>XNPV($G$187,JL$186:$KI$186,JL$12:$KI$12)</f>
        <v>1533.9893454918074</v>
      </c>
      <c r="JM187" s="24">
        <f>XNPV($G$187,JM$186:$KI$186,JM$12:$KI$12)</f>
        <v>1464.8878827500093</v>
      </c>
      <c r="JN187" s="24">
        <f>XNPV($G$187,JN$186:$KI$186,JN$12:$KI$12)</f>
        <v>1378.2835330970199</v>
      </c>
      <c r="JO187" s="24">
        <f>XNPV($G$187,JO$186:$KI$186,JO$12:$KI$12)</f>
        <v>1352.0764858350124</v>
      </c>
      <c r="JP187" s="24">
        <f>XNPV($G$187,JP$186:$KI$186,JP$12:$KI$12)</f>
        <v>1284.0749544174371</v>
      </c>
      <c r="JQ187" s="24">
        <f>XNPV($G$187,JQ$186:$KI$186,JQ$12:$KI$12)</f>
        <v>1263.746993250048</v>
      </c>
      <c r="JR187" s="24">
        <f>XNPV($G$187,JR$186:$KI$186,JR$12:$KI$12)</f>
        <v>1207.9675434034211</v>
      </c>
      <c r="JS187" s="24">
        <f>XNPV($G$187,JS$186:$KI$186,JS$12:$KI$12)</f>
        <v>1121.4317831133058</v>
      </c>
      <c r="JT187" s="24">
        <f>XNPV($G$187,JT$186:$KI$186,JT$12:$KI$12)</f>
        <v>1084.4150445432483</v>
      </c>
      <c r="JU187" s="24">
        <f>XNPV($G$187,JU$186:$KI$186,JU$12:$KI$12)</f>
        <v>997.16054419296427</v>
      </c>
      <c r="JV187" s="24">
        <f>XNPV($G$187,JV$186:$KI$186,JV$12:$KI$12)</f>
        <v>910.54829957555603</v>
      </c>
      <c r="JW187" s="24">
        <f>XNPV($G$187,JW$186:$KI$186,JW$12:$KI$12)</f>
        <v>872.20459065761054</v>
      </c>
      <c r="JX187" s="24">
        <f>XNPV($G$187,JX$186:$KI$186,JX$12:$KI$12)</f>
        <v>784.28322855769068</v>
      </c>
      <c r="JY187" s="24">
        <f>XNPV($G$187,JY$186:$KI$186,JY$12:$KI$12)</f>
        <v>758.31745710582618</v>
      </c>
      <c r="JZ187" s="24">
        <f>XNPV($G$187,JZ$186:$KI$186,JZ$12:$KI$12)</f>
        <v>669.38040456045303</v>
      </c>
      <c r="KA187" s="24">
        <f>XNPV($G$187,KA$186:$KI$186,KA$12:$KI$12)</f>
        <v>606.52335610691409</v>
      </c>
      <c r="KB187" s="24">
        <f>XNPV($G$187,KB$186:$KI$186,KB$12:$KI$12)</f>
        <v>570.54873270887504</v>
      </c>
      <c r="KC187" s="24">
        <f>XNPV($G$187,KC$186:$KI$186,KC$12:$KI$12)</f>
        <v>533.03012727927376</v>
      </c>
      <c r="KD187" s="24">
        <f>XNPV($G$187,KD$186:$KI$186,KD$12:$KI$12)</f>
        <v>439.5579945564586</v>
      </c>
      <c r="KE187" s="24">
        <f>XNPV($G$187,KE$186:$KI$186,KE$12:$KI$12)</f>
        <v>343.15447263863405</v>
      </c>
      <c r="KF187" s="24">
        <f>XNPV($G$187,KF$186:$KI$186,KF$12:$KI$12)</f>
        <v>282.97002803754509</v>
      </c>
      <c r="KG187" s="24">
        <f>XNPV($G$187,KG$186:$KI$186,KG$12:$KI$12)</f>
        <v>192.1401387242141</v>
      </c>
      <c r="KH187" s="24">
        <f>XNPV($G$187,KH$186:$KI$186,KH$12:$KI$12)</f>
        <v>116.62510638413805</v>
      </c>
      <c r="KI187" s="24">
        <f>XNPV($G$187,KI$186:$KI$186,KI$12:$KI$12)</f>
        <v>63.481006172641145</v>
      </c>
      <c r="KJ187" s="1"/>
    </row>
    <row r="188" spans="7:296" x14ac:dyDescent="0.35">
      <c r="M188" s="65" t="s">
        <v>197</v>
      </c>
      <c r="KJ188" s="1"/>
    </row>
    <row r="189" spans="7:296" x14ac:dyDescent="0.35">
      <c r="KJ189" s="1"/>
    </row>
    <row r="190" spans="7:296" x14ac:dyDescent="0.35">
      <c r="G190" s="67">
        <v>1.25</v>
      </c>
      <c r="H190" s="13" t="s">
        <v>130</v>
      </c>
      <c r="M190" s="15" t="s">
        <v>198</v>
      </c>
      <c r="N190" s="24">
        <f>$G190</f>
        <v>1.25</v>
      </c>
      <c r="O190" s="24">
        <f t="shared" ref="O190:BZ190" si="419">$G190</f>
        <v>1.25</v>
      </c>
      <c r="P190" s="24">
        <f t="shared" si="419"/>
        <v>1.25</v>
      </c>
      <c r="Q190" s="24">
        <f t="shared" si="419"/>
        <v>1.25</v>
      </c>
      <c r="R190" s="24">
        <f t="shared" si="419"/>
        <v>1.25</v>
      </c>
      <c r="S190" s="24">
        <f t="shared" si="419"/>
        <v>1.25</v>
      </c>
      <c r="T190" s="24">
        <f t="shared" si="419"/>
        <v>1.25</v>
      </c>
      <c r="U190" s="24">
        <f t="shared" si="419"/>
        <v>1.25</v>
      </c>
      <c r="V190" s="24">
        <f t="shared" si="419"/>
        <v>1.25</v>
      </c>
      <c r="W190" s="24">
        <f t="shared" si="419"/>
        <v>1.25</v>
      </c>
      <c r="X190" s="24">
        <f t="shared" si="419"/>
        <v>1.25</v>
      </c>
      <c r="Y190" s="24">
        <f t="shared" si="419"/>
        <v>1.25</v>
      </c>
      <c r="Z190" s="24">
        <f t="shared" si="419"/>
        <v>1.25</v>
      </c>
      <c r="AA190" s="24">
        <f t="shared" si="419"/>
        <v>1.25</v>
      </c>
      <c r="AB190" s="24">
        <f t="shared" si="419"/>
        <v>1.25</v>
      </c>
      <c r="AC190" s="24">
        <f t="shared" si="419"/>
        <v>1.25</v>
      </c>
      <c r="AD190" s="24">
        <f t="shared" si="419"/>
        <v>1.25</v>
      </c>
      <c r="AE190" s="24">
        <f t="shared" si="419"/>
        <v>1.25</v>
      </c>
      <c r="AF190" s="24">
        <f t="shared" si="419"/>
        <v>1.25</v>
      </c>
      <c r="AG190" s="24">
        <f t="shared" si="419"/>
        <v>1.25</v>
      </c>
      <c r="AH190" s="24">
        <f t="shared" si="419"/>
        <v>1.25</v>
      </c>
      <c r="AI190" s="24">
        <f t="shared" si="419"/>
        <v>1.25</v>
      </c>
      <c r="AJ190" s="24">
        <f t="shared" si="419"/>
        <v>1.25</v>
      </c>
      <c r="AK190" s="24">
        <f t="shared" si="419"/>
        <v>1.25</v>
      </c>
      <c r="AL190" s="24">
        <f t="shared" si="419"/>
        <v>1.25</v>
      </c>
      <c r="AM190" s="24">
        <f t="shared" si="419"/>
        <v>1.25</v>
      </c>
      <c r="AN190" s="24">
        <f t="shared" si="419"/>
        <v>1.25</v>
      </c>
      <c r="AO190" s="24">
        <f t="shared" si="419"/>
        <v>1.25</v>
      </c>
      <c r="AP190" s="24">
        <f t="shared" si="419"/>
        <v>1.25</v>
      </c>
      <c r="AQ190" s="24">
        <f t="shared" si="419"/>
        <v>1.25</v>
      </c>
      <c r="AR190" s="24">
        <f t="shared" si="419"/>
        <v>1.25</v>
      </c>
      <c r="AS190" s="24">
        <f t="shared" si="419"/>
        <v>1.25</v>
      </c>
      <c r="AT190" s="24">
        <f t="shared" si="419"/>
        <v>1.25</v>
      </c>
      <c r="AU190" s="24">
        <f t="shared" si="419"/>
        <v>1.25</v>
      </c>
      <c r="AV190" s="24">
        <f t="shared" si="419"/>
        <v>1.25</v>
      </c>
      <c r="AW190" s="24">
        <f t="shared" si="419"/>
        <v>1.25</v>
      </c>
      <c r="AX190" s="24">
        <f t="shared" si="419"/>
        <v>1.25</v>
      </c>
      <c r="AY190" s="24">
        <f t="shared" si="419"/>
        <v>1.25</v>
      </c>
      <c r="AZ190" s="24">
        <f t="shared" si="419"/>
        <v>1.25</v>
      </c>
      <c r="BA190" s="24">
        <f t="shared" si="419"/>
        <v>1.25</v>
      </c>
      <c r="BB190" s="24">
        <f t="shared" si="419"/>
        <v>1.25</v>
      </c>
      <c r="BC190" s="24">
        <f t="shared" si="419"/>
        <v>1.25</v>
      </c>
      <c r="BD190" s="24">
        <f t="shared" si="419"/>
        <v>1.25</v>
      </c>
      <c r="BE190" s="24">
        <f t="shared" si="419"/>
        <v>1.25</v>
      </c>
      <c r="BF190" s="24">
        <f t="shared" si="419"/>
        <v>1.25</v>
      </c>
      <c r="BG190" s="24">
        <f t="shared" si="419"/>
        <v>1.25</v>
      </c>
      <c r="BH190" s="24">
        <f t="shared" si="419"/>
        <v>1.25</v>
      </c>
      <c r="BI190" s="24">
        <f t="shared" si="419"/>
        <v>1.25</v>
      </c>
      <c r="BJ190" s="24">
        <f t="shared" si="419"/>
        <v>1.25</v>
      </c>
      <c r="BK190" s="24">
        <f t="shared" si="419"/>
        <v>1.25</v>
      </c>
      <c r="BL190" s="24">
        <f t="shared" si="419"/>
        <v>1.25</v>
      </c>
      <c r="BM190" s="24">
        <f t="shared" si="419"/>
        <v>1.25</v>
      </c>
      <c r="BN190" s="24">
        <f t="shared" si="419"/>
        <v>1.25</v>
      </c>
      <c r="BO190" s="24">
        <f t="shared" si="419"/>
        <v>1.25</v>
      </c>
      <c r="BP190" s="24">
        <f t="shared" si="419"/>
        <v>1.25</v>
      </c>
      <c r="BQ190" s="24">
        <f t="shared" si="419"/>
        <v>1.25</v>
      </c>
      <c r="BR190" s="24">
        <f t="shared" si="419"/>
        <v>1.25</v>
      </c>
      <c r="BS190" s="24">
        <f t="shared" si="419"/>
        <v>1.25</v>
      </c>
      <c r="BT190" s="24">
        <f t="shared" si="419"/>
        <v>1.25</v>
      </c>
      <c r="BU190" s="24">
        <f t="shared" si="419"/>
        <v>1.25</v>
      </c>
      <c r="BV190" s="24">
        <f t="shared" si="419"/>
        <v>1.25</v>
      </c>
      <c r="BW190" s="24">
        <f t="shared" si="419"/>
        <v>1.25</v>
      </c>
      <c r="BX190" s="24">
        <f t="shared" si="419"/>
        <v>1.25</v>
      </c>
      <c r="BY190" s="24">
        <f t="shared" si="419"/>
        <v>1.25</v>
      </c>
      <c r="BZ190" s="24">
        <f t="shared" si="419"/>
        <v>1.25</v>
      </c>
      <c r="CA190" s="24">
        <f t="shared" ref="CA190:EL190" si="420">$G190</f>
        <v>1.25</v>
      </c>
      <c r="CB190" s="24">
        <f t="shared" si="420"/>
        <v>1.25</v>
      </c>
      <c r="CC190" s="24">
        <f t="shared" si="420"/>
        <v>1.25</v>
      </c>
      <c r="CD190" s="24">
        <f t="shared" si="420"/>
        <v>1.25</v>
      </c>
      <c r="CE190" s="24">
        <f t="shared" si="420"/>
        <v>1.25</v>
      </c>
      <c r="CF190" s="24">
        <f t="shared" si="420"/>
        <v>1.25</v>
      </c>
      <c r="CG190" s="24">
        <f t="shared" si="420"/>
        <v>1.25</v>
      </c>
      <c r="CH190" s="24">
        <f t="shared" si="420"/>
        <v>1.25</v>
      </c>
      <c r="CI190" s="24">
        <f t="shared" si="420"/>
        <v>1.25</v>
      </c>
      <c r="CJ190" s="24">
        <f t="shared" si="420"/>
        <v>1.25</v>
      </c>
      <c r="CK190" s="24">
        <f t="shared" si="420"/>
        <v>1.25</v>
      </c>
      <c r="CL190" s="24">
        <f t="shared" si="420"/>
        <v>1.25</v>
      </c>
      <c r="CM190" s="24">
        <f t="shared" si="420"/>
        <v>1.25</v>
      </c>
      <c r="CN190" s="24">
        <f t="shared" si="420"/>
        <v>1.25</v>
      </c>
      <c r="CO190" s="24">
        <f t="shared" si="420"/>
        <v>1.25</v>
      </c>
      <c r="CP190" s="24">
        <f t="shared" si="420"/>
        <v>1.25</v>
      </c>
      <c r="CQ190" s="24">
        <f t="shared" si="420"/>
        <v>1.25</v>
      </c>
      <c r="CR190" s="24">
        <f t="shared" si="420"/>
        <v>1.25</v>
      </c>
      <c r="CS190" s="24">
        <f t="shared" si="420"/>
        <v>1.25</v>
      </c>
      <c r="CT190" s="24">
        <f t="shared" si="420"/>
        <v>1.25</v>
      </c>
      <c r="CU190" s="24">
        <f t="shared" si="420"/>
        <v>1.25</v>
      </c>
      <c r="CV190" s="24">
        <f t="shared" si="420"/>
        <v>1.25</v>
      </c>
      <c r="CW190" s="24">
        <f t="shared" si="420"/>
        <v>1.25</v>
      </c>
      <c r="CX190" s="24">
        <f t="shared" si="420"/>
        <v>1.25</v>
      </c>
      <c r="CY190" s="24">
        <f t="shared" si="420"/>
        <v>1.25</v>
      </c>
      <c r="CZ190" s="24">
        <f t="shared" si="420"/>
        <v>1.25</v>
      </c>
      <c r="DA190" s="24">
        <f t="shared" si="420"/>
        <v>1.25</v>
      </c>
      <c r="DB190" s="24">
        <f t="shared" si="420"/>
        <v>1.25</v>
      </c>
      <c r="DC190" s="24">
        <f t="shared" si="420"/>
        <v>1.25</v>
      </c>
      <c r="DD190" s="24">
        <f t="shared" si="420"/>
        <v>1.25</v>
      </c>
      <c r="DE190" s="24">
        <f t="shared" si="420"/>
        <v>1.25</v>
      </c>
      <c r="DF190" s="24">
        <f t="shared" si="420"/>
        <v>1.25</v>
      </c>
      <c r="DG190" s="24">
        <f t="shared" si="420"/>
        <v>1.25</v>
      </c>
      <c r="DH190" s="24">
        <f t="shared" si="420"/>
        <v>1.25</v>
      </c>
      <c r="DI190" s="24">
        <f t="shared" si="420"/>
        <v>1.25</v>
      </c>
      <c r="DJ190" s="24">
        <f t="shared" si="420"/>
        <v>1.25</v>
      </c>
      <c r="DK190" s="24">
        <f t="shared" si="420"/>
        <v>1.25</v>
      </c>
      <c r="DL190" s="24">
        <f t="shared" si="420"/>
        <v>1.25</v>
      </c>
      <c r="DM190" s="24">
        <f t="shared" si="420"/>
        <v>1.25</v>
      </c>
      <c r="DN190" s="24">
        <f t="shared" si="420"/>
        <v>1.25</v>
      </c>
      <c r="DO190" s="24">
        <f t="shared" si="420"/>
        <v>1.25</v>
      </c>
      <c r="DP190" s="24">
        <f t="shared" si="420"/>
        <v>1.25</v>
      </c>
      <c r="DQ190" s="24">
        <f t="shared" si="420"/>
        <v>1.25</v>
      </c>
      <c r="DR190" s="24">
        <f t="shared" si="420"/>
        <v>1.25</v>
      </c>
      <c r="DS190" s="24">
        <f t="shared" si="420"/>
        <v>1.25</v>
      </c>
      <c r="DT190" s="24">
        <f t="shared" si="420"/>
        <v>1.25</v>
      </c>
      <c r="DU190" s="24">
        <f t="shared" si="420"/>
        <v>1.25</v>
      </c>
      <c r="DV190" s="24">
        <f t="shared" si="420"/>
        <v>1.25</v>
      </c>
      <c r="DW190" s="24">
        <f t="shared" si="420"/>
        <v>1.25</v>
      </c>
      <c r="DX190" s="24">
        <f t="shared" si="420"/>
        <v>1.25</v>
      </c>
      <c r="DY190" s="24">
        <f t="shared" si="420"/>
        <v>1.25</v>
      </c>
      <c r="DZ190" s="24">
        <f t="shared" si="420"/>
        <v>1.25</v>
      </c>
      <c r="EA190" s="24">
        <f t="shared" si="420"/>
        <v>1.25</v>
      </c>
      <c r="EB190" s="24">
        <f t="shared" si="420"/>
        <v>1.25</v>
      </c>
      <c r="EC190" s="24">
        <f t="shared" si="420"/>
        <v>1.25</v>
      </c>
      <c r="ED190" s="24">
        <f t="shared" si="420"/>
        <v>1.25</v>
      </c>
      <c r="EE190" s="24">
        <f t="shared" si="420"/>
        <v>1.25</v>
      </c>
      <c r="EF190" s="24">
        <f t="shared" si="420"/>
        <v>1.25</v>
      </c>
      <c r="EG190" s="24">
        <f t="shared" si="420"/>
        <v>1.25</v>
      </c>
      <c r="EH190" s="24">
        <f t="shared" si="420"/>
        <v>1.25</v>
      </c>
      <c r="EI190" s="24">
        <f t="shared" si="420"/>
        <v>1.25</v>
      </c>
      <c r="EJ190" s="24">
        <f t="shared" si="420"/>
        <v>1.25</v>
      </c>
      <c r="EK190" s="24">
        <f t="shared" si="420"/>
        <v>1.25</v>
      </c>
      <c r="EL190" s="24">
        <f t="shared" si="420"/>
        <v>1.25</v>
      </c>
      <c r="EM190" s="24">
        <f t="shared" ref="EM190:GX190" si="421">$G190</f>
        <v>1.25</v>
      </c>
      <c r="EN190" s="24">
        <f t="shared" si="421"/>
        <v>1.25</v>
      </c>
      <c r="EO190" s="24">
        <f t="shared" si="421"/>
        <v>1.25</v>
      </c>
      <c r="EP190" s="24">
        <f t="shared" si="421"/>
        <v>1.25</v>
      </c>
      <c r="EQ190" s="24">
        <f t="shared" si="421"/>
        <v>1.25</v>
      </c>
      <c r="ER190" s="24">
        <f t="shared" si="421"/>
        <v>1.25</v>
      </c>
      <c r="ES190" s="24">
        <f t="shared" si="421"/>
        <v>1.25</v>
      </c>
      <c r="ET190" s="24">
        <f t="shared" si="421"/>
        <v>1.25</v>
      </c>
      <c r="EU190" s="24">
        <f t="shared" si="421"/>
        <v>1.25</v>
      </c>
      <c r="EV190" s="24">
        <f t="shared" si="421"/>
        <v>1.25</v>
      </c>
      <c r="EW190" s="24">
        <f t="shared" si="421"/>
        <v>1.25</v>
      </c>
      <c r="EX190" s="24">
        <f t="shared" si="421"/>
        <v>1.25</v>
      </c>
      <c r="EY190" s="24">
        <f t="shared" si="421"/>
        <v>1.25</v>
      </c>
      <c r="EZ190" s="24">
        <f t="shared" si="421"/>
        <v>1.25</v>
      </c>
      <c r="FA190" s="24">
        <f t="shared" si="421"/>
        <v>1.25</v>
      </c>
      <c r="FB190" s="24">
        <f t="shared" si="421"/>
        <v>1.25</v>
      </c>
      <c r="FC190" s="24">
        <f t="shared" si="421"/>
        <v>1.25</v>
      </c>
      <c r="FD190" s="24">
        <f t="shared" si="421"/>
        <v>1.25</v>
      </c>
      <c r="FE190" s="24">
        <f t="shared" si="421"/>
        <v>1.25</v>
      </c>
      <c r="FF190" s="24">
        <f t="shared" si="421"/>
        <v>1.25</v>
      </c>
      <c r="FG190" s="24">
        <f t="shared" si="421"/>
        <v>1.25</v>
      </c>
      <c r="FH190" s="24">
        <f t="shared" si="421"/>
        <v>1.25</v>
      </c>
      <c r="FI190" s="24">
        <f t="shared" si="421"/>
        <v>1.25</v>
      </c>
      <c r="FJ190" s="24">
        <f t="shared" si="421"/>
        <v>1.25</v>
      </c>
      <c r="FK190" s="24">
        <f t="shared" si="421"/>
        <v>1.25</v>
      </c>
      <c r="FL190" s="24">
        <f t="shared" si="421"/>
        <v>1.25</v>
      </c>
      <c r="FM190" s="24">
        <f t="shared" si="421"/>
        <v>1.25</v>
      </c>
      <c r="FN190" s="24">
        <f t="shared" si="421"/>
        <v>1.25</v>
      </c>
      <c r="FO190" s="24">
        <f t="shared" si="421"/>
        <v>1.25</v>
      </c>
      <c r="FP190" s="24">
        <f t="shared" si="421"/>
        <v>1.25</v>
      </c>
      <c r="FQ190" s="24">
        <f t="shared" si="421"/>
        <v>1.25</v>
      </c>
      <c r="FR190" s="24">
        <f t="shared" si="421"/>
        <v>1.25</v>
      </c>
      <c r="FS190" s="24">
        <f t="shared" si="421"/>
        <v>1.25</v>
      </c>
      <c r="FT190" s="24">
        <f t="shared" si="421"/>
        <v>1.25</v>
      </c>
      <c r="FU190" s="24">
        <f t="shared" si="421"/>
        <v>1.25</v>
      </c>
      <c r="FV190" s="24">
        <f t="shared" si="421"/>
        <v>1.25</v>
      </c>
      <c r="FW190" s="24">
        <f t="shared" si="421"/>
        <v>1.25</v>
      </c>
      <c r="FX190" s="24">
        <f t="shared" si="421"/>
        <v>1.25</v>
      </c>
      <c r="FY190" s="24">
        <f t="shared" si="421"/>
        <v>1.25</v>
      </c>
      <c r="FZ190" s="24">
        <f t="shared" si="421"/>
        <v>1.25</v>
      </c>
      <c r="GA190" s="24">
        <f t="shared" si="421"/>
        <v>1.25</v>
      </c>
      <c r="GB190" s="24">
        <f t="shared" si="421"/>
        <v>1.25</v>
      </c>
      <c r="GC190" s="24">
        <f t="shared" si="421"/>
        <v>1.25</v>
      </c>
      <c r="GD190" s="24">
        <f t="shared" si="421"/>
        <v>1.25</v>
      </c>
      <c r="GE190" s="24">
        <f t="shared" si="421"/>
        <v>1.25</v>
      </c>
      <c r="GF190" s="24">
        <f t="shared" si="421"/>
        <v>1.25</v>
      </c>
      <c r="GG190" s="24">
        <f t="shared" si="421"/>
        <v>1.25</v>
      </c>
      <c r="GH190" s="24">
        <f t="shared" si="421"/>
        <v>1.25</v>
      </c>
      <c r="GI190" s="24">
        <f t="shared" si="421"/>
        <v>1.25</v>
      </c>
      <c r="GJ190" s="24">
        <f t="shared" si="421"/>
        <v>1.25</v>
      </c>
      <c r="GK190" s="24">
        <f t="shared" si="421"/>
        <v>1.25</v>
      </c>
      <c r="GL190" s="24">
        <f t="shared" si="421"/>
        <v>1.25</v>
      </c>
      <c r="GM190" s="24">
        <f t="shared" si="421"/>
        <v>1.25</v>
      </c>
      <c r="GN190" s="24">
        <f t="shared" si="421"/>
        <v>1.25</v>
      </c>
      <c r="GO190" s="24">
        <f t="shared" si="421"/>
        <v>1.25</v>
      </c>
      <c r="GP190" s="24">
        <f t="shared" si="421"/>
        <v>1.25</v>
      </c>
      <c r="GQ190" s="24">
        <f t="shared" si="421"/>
        <v>1.25</v>
      </c>
      <c r="GR190" s="24">
        <f t="shared" si="421"/>
        <v>1.25</v>
      </c>
      <c r="GS190" s="24">
        <f t="shared" si="421"/>
        <v>1.25</v>
      </c>
      <c r="GT190" s="24">
        <f t="shared" si="421"/>
        <v>1.25</v>
      </c>
      <c r="GU190" s="24">
        <f t="shared" si="421"/>
        <v>1.25</v>
      </c>
      <c r="GV190" s="24">
        <f t="shared" si="421"/>
        <v>1.25</v>
      </c>
      <c r="GW190" s="24">
        <f t="shared" si="421"/>
        <v>1.25</v>
      </c>
      <c r="GX190" s="24">
        <f t="shared" si="421"/>
        <v>1.25</v>
      </c>
      <c r="GY190" s="24">
        <f t="shared" ref="GY190:JJ190" si="422">$G190</f>
        <v>1.25</v>
      </c>
      <c r="GZ190" s="24">
        <f t="shared" si="422"/>
        <v>1.25</v>
      </c>
      <c r="HA190" s="24">
        <f t="shared" si="422"/>
        <v>1.25</v>
      </c>
      <c r="HB190" s="24">
        <f t="shared" si="422"/>
        <v>1.25</v>
      </c>
      <c r="HC190" s="24">
        <f t="shared" si="422"/>
        <v>1.25</v>
      </c>
      <c r="HD190" s="24">
        <f t="shared" si="422"/>
        <v>1.25</v>
      </c>
      <c r="HE190" s="24">
        <f t="shared" si="422"/>
        <v>1.25</v>
      </c>
      <c r="HF190" s="24">
        <f t="shared" si="422"/>
        <v>1.25</v>
      </c>
      <c r="HG190" s="24">
        <f t="shared" si="422"/>
        <v>1.25</v>
      </c>
      <c r="HH190" s="24">
        <f t="shared" si="422"/>
        <v>1.25</v>
      </c>
      <c r="HI190" s="24">
        <f t="shared" si="422"/>
        <v>1.25</v>
      </c>
      <c r="HJ190" s="24">
        <f t="shared" si="422"/>
        <v>1.25</v>
      </c>
      <c r="HK190" s="24">
        <f t="shared" si="422"/>
        <v>1.25</v>
      </c>
      <c r="HL190" s="24">
        <f t="shared" si="422"/>
        <v>1.25</v>
      </c>
      <c r="HM190" s="24">
        <f t="shared" si="422"/>
        <v>1.25</v>
      </c>
      <c r="HN190" s="24">
        <f t="shared" si="422"/>
        <v>1.25</v>
      </c>
      <c r="HO190" s="24">
        <f t="shared" si="422"/>
        <v>1.25</v>
      </c>
      <c r="HP190" s="24">
        <f t="shared" si="422"/>
        <v>1.25</v>
      </c>
      <c r="HQ190" s="24">
        <f t="shared" si="422"/>
        <v>1.25</v>
      </c>
      <c r="HR190" s="24">
        <f t="shared" si="422"/>
        <v>1.25</v>
      </c>
      <c r="HS190" s="24">
        <f t="shared" si="422"/>
        <v>1.25</v>
      </c>
      <c r="HT190" s="24">
        <f t="shared" si="422"/>
        <v>1.25</v>
      </c>
      <c r="HU190" s="24">
        <f t="shared" si="422"/>
        <v>1.25</v>
      </c>
      <c r="HV190" s="24">
        <f t="shared" si="422"/>
        <v>1.25</v>
      </c>
      <c r="HW190" s="24">
        <f t="shared" si="422"/>
        <v>1.25</v>
      </c>
      <c r="HX190" s="24">
        <f t="shared" si="422"/>
        <v>1.25</v>
      </c>
      <c r="HY190" s="24">
        <f t="shared" si="422"/>
        <v>1.25</v>
      </c>
      <c r="HZ190" s="24">
        <f t="shared" si="422"/>
        <v>1.25</v>
      </c>
      <c r="IA190" s="24">
        <f t="shared" si="422"/>
        <v>1.25</v>
      </c>
      <c r="IB190" s="24">
        <f t="shared" si="422"/>
        <v>1.25</v>
      </c>
      <c r="IC190" s="24">
        <f t="shared" si="422"/>
        <v>1.25</v>
      </c>
      <c r="ID190" s="24">
        <f t="shared" si="422"/>
        <v>1.25</v>
      </c>
      <c r="IE190" s="24">
        <f t="shared" si="422"/>
        <v>1.25</v>
      </c>
      <c r="IF190" s="24">
        <f t="shared" si="422"/>
        <v>1.25</v>
      </c>
      <c r="IG190" s="24">
        <f t="shared" si="422"/>
        <v>1.25</v>
      </c>
      <c r="IH190" s="24">
        <f t="shared" si="422"/>
        <v>1.25</v>
      </c>
      <c r="II190" s="24">
        <f t="shared" si="422"/>
        <v>1.25</v>
      </c>
      <c r="IJ190" s="24">
        <f t="shared" si="422"/>
        <v>1.25</v>
      </c>
      <c r="IK190" s="24">
        <f t="shared" si="422"/>
        <v>1.25</v>
      </c>
      <c r="IL190" s="24">
        <f t="shared" si="422"/>
        <v>1.25</v>
      </c>
      <c r="IM190" s="24">
        <f t="shared" si="422"/>
        <v>1.25</v>
      </c>
      <c r="IN190" s="24">
        <f t="shared" si="422"/>
        <v>1.25</v>
      </c>
      <c r="IO190" s="24">
        <f t="shared" si="422"/>
        <v>1.25</v>
      </c>
      <c r="IP190" s="24">
        <f t="shared" si="422"/>
        <v>1.25</v>
      </c>
      <c r="IQ190" s="24">
        <f t="shared" si="422"/>
        <v>1.25</v>
      </c>
      <c r="IR190" s="24">
        <f t="shared" si="422"/>
        <v>1.25</v>
      </c>
      <c r="IS190" s="24">
        <f t="shared" si="422"/>
        <v>1.25</v>
      </c>
      <c r="IT190" s="24">
        <f t="shared" si="422"/>
        <v>1.25</v>
      </c>
      <c r="IU190" s="24">
        <f t="shared" si="422"/>
        <v>1.25</v>
      </c>
      <c r="IV190" s="24">
        <f t="shared" si="422"/>
        <v>1.25</v>
      </c>
      <c r="IW190" s="24">
        <f t="shared" si="422"/>
        <v>1.25</v>
      </c>
      <c r="IX190" s="24">
        <f t="shared" si="422"/>
        <v>1.25</v>
      </c>
      <c r="IY190" s="24">
        <f t="shared" si="422"/>
        <v>1.25</v>
      </c>
      <c r="IZ190" s="24">
        <f t="shared" si="422"/>
        <v>1.25</v>
      </c>
      <c r="JA190" s="24">
        <f t="shared" si="422"/>
        <v>1.25</v>
      </c>
      <c r="JB190" s="24">
        <f t="shared" si="422"/>
        <v>1.25</v>
      </c>
      <c r="JC190" s="24">
        <f t="shared" si="422"/>
        <v>1.25</v>
      </c>
      <c r="JD190" s="24">
        <f t="shared" si="422"/>
        <v>1.25</v>
      </c>
      <c r="JE190" s="24">
        <f t="shared" si="422"/>
        <v>1.25</v>
      </c>
      <c r="JF190" s="24">
        <f t="shared" si="422"/>
        <v>1.25</v>
      </c>
      <c r="JG190" s="24">
        <f t="shared" si="422"/>
        <v>1.25</v>
      </c>
      <c r="JH190" s="24">
        <f t="shared" si="422"/>
        <v>1.25</v>
      </c>
      <c r="JI190" s="24">
        <f t="shared" si="422"/>
        <v>1.25</v>
      </c>
      <c r="JJ190" s="24">
        <f t="shared" si="422"/>
        <v>1.25</v>
      </c>
      <c r="JK190" s="24">
        <f t="shared" ref="JK190:KI190" si="423">$G190</f>
        <v>1.25</v>
      </c>
      <c r="JL190" s="24">
        <f t="shared" si="423"/>
        <v>1.25</v>
      </c>
      <c r="JM190" s="24">
        <f t="shared" si="423"/>
        <v>1.25</v>
      </c>
      <c r="JN190" s="24">
        <f t="shared" si="423"/>
        <v>1.25</v>
      </c>
      <c r="JO190" s="24">
        <f t="shared" si="423"/>
        <v>1.25</v>
      </c>
      <c r="JP190" s="24">
        <f t="shared" si="423"/>
        <v>1.25</v>
      </c>
      <c r="JQ190" s="24">
        <f t="shared" si="423"/>
        <v>1.25</v>
      </c>
      <c r="JR190" s="24">
        <f t="shared" si="423"/>
        <v>1.25</v>
      </c>
      <c r="JS190" s="24">
        <f t="shared" si="423"/>
        <v>1.25</v>
      </c>
      <c r="JT190" s="24">
        <f t="shared" si="423"/>
        <v>1.25</v>
      </c>
      <c r="JU190" s="24">
        <f t="shared" si="423"/>
        <v>1.25</v>
      </c>
      <c r="JV190" s="24">
        <f t="shared" si="423"/>
        <v>1.25</v>
      </c>
      <c r="JW190" s="24">
        <f t="shared" si="423"/>
        <v>1.25</v>
      </c>
      <c r="JX190" s="24">
        <f t="shared" si="423"/>
        <v>1.25</v>
      </c>
      <c r="JY190" s="24">
        <f t="shared" si="423"/>
        <v>1.25</v>
      </c>
      <c r="JZ190" s="24">
        <f t="shared" si="423"/>
        <v>1.25</v>
      </c>
      <c r="KA190" s="24">
        <f t="shared" si="423"/>
        <v>1.25</v>
      </c>
      <c r="KB190" s="24">
        <f t="shared" si="423"/>
        <v>1.25</v>
      </c>
      <c r="KC190" s="24">
        <f t="shared" si="423"/>
        <v>1.25</v>
      </c>
      <c r="KD190" s="24">
        <f t="shared" si="423"/>
        <v>1.25</v>
      </c>
      <c r="KE190" s="24">
        <f t="shared" si="423"/>
        <v>1.25</v>
      </c>
      <c r="KF190" s="24">
        <f t="shared" si="423"/>
        <v>1.25</v>
      </c>
      <c r="KG190" s="24">
        <f t="shared" si="423"/>
        <v>1.25</v>
      </c>
      <c r="KH190" s="24">
        <f t="shared" si="423"/>
        <v>1.25</v>
      </c>
      <c r="KI190" s="24">
        <f t="shared" si="423"/>
        <v>1.25</v>
      </c>
      <c r="KJ190" s="1"/>
    </row>
    <row r="191" spans="7:296" x14ac:dyDescent="0.35">
      <c r="H191" s="13" t="s">
        <v>49</v>
      </c>
      <c r="M191" s="15" t="s">
        <v>127</v>
      </c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  <c r="BG191" s="24"/>
      <c r="BH191" s="24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  <c r="DV191" s="24"/>
      <c r="DW191" s="24"/>
      <c r="DX191" s="24"/>
      <c r="DY191" s="24"/>
      <c r="DZ191" s="24"/>
      <c r="EA191" s="24"/>
      <c r="EB191" s="24"/>
      <c r="EC191" s="24"/>
      <c r="ED191" s="24"/>
      <c r="EE191" s="24"/>
      <c r="EF191" s="24"/>
      <c r="EG191" s="24"/>
      <c r="EH191" s="24"/>
      <c r="EI191" s="24"/>
      <c r="EJ191" s="24"/>
      <c r="EK191" s="24"/>
      <c r="EL191" s="24"/>
      <c r="EM191" s="24"/>
      <c r="EN191" s="24"/>
      <c r="EO191" s="24"/>
      <c r="EP191" s="24"/>
      <c r="EQ191" s="24"/>
      <c r="ER191" s="24"/>
      <c r="ES191" s="24"/>
      <c r="ET191" s="24"/>
      <c r="EU191" s="24"/>
      <c r="EV191" s="24"/>
      <c r="EW191" s="24"/>
      <c r="EX191" s="24"/>
      <c r="EY191" s="24"/>
      <c r="EZ191" s="24"/>
      <c r="FA191" s="24"/>
      <c r="FB191" s="24"/>
      <c r="FC191" s="24"/>
      <c r="FD191" s="24"/>
      <c r="FE191" s="24"/>
      <c r="FF191" s="24"/>
      <c r="FG191" s="24"/>
      <c r="FH191" s="24"/>
      <c r="FI191" s="24"/>
      <c r="FJ191" s="24"/>
      <c r="FK191" s="24"/>
      <c r="FL191" s="24"/>
      <c r="FM191" s="24"/>
      <c r="FN191" s="24"/>
      <c r="FO191" s="24"/>
      <c r="FP191" s="24"/>
      <c r="FQ191" s="24"/>
      <c r="FR191" s="24"/>
      <c r="FS191" s="24"/>
      <c r="FT191" s="24"/>
      <c r="FU191" s="24"/>
      <c r="FV191" s="24"/>
      <c r="FW191" s="24"/>
      <c r="FX191" s="24"/>
      <c r="FY191" s="24"/>
      <c r="FZ191" s="24"/>
      <c r="GA191" s="24"/>
      <c r="GB191" s="24"/>
      <c r="GC191" s="24"/>
      <c r="GD191" s="24"/>
      <c r="GE191" s="24"/>
      <c r="GF191" s="24"/>
      <c r="GG191" s="24"/>
      <c r="GH191" s="24"/>
      <c r="GI191" s="24"/>
      <c r="GJ191" s="24"/>
      <c r="GK191" s="24"/>
      <c r="GL191" s="24"/>
      <c r="GM191" s="24"/>
      <c r="GN191" s="24"/>
      <c r="GO191" s="24"/>
      <c r="GP191" s="24"/>
      <c r="GQ191" s="24"/>
      <c r="GR191" s="24"/>
      <c r="GS191" s="24"/>
      <c r="GT191" s="24"/>
      <c r="GU191" s="24"/>
      <c r="GV191" s="24"/>
      <c r="GW191" s="24"/>
      <c r="GX191" s="24"/>
      <c r="GY191" s="24"/>
      <c r="GZ191" s="24"/>
      <c r="HA191" s="24"/>
      <c r="HB191" s="24"/>
      <c r="HC191" s="24"/>
      <c r="HD191" s="24"/>
      <c r="HE191" s="24"/>
      <c r="HF191" s="24"/>
      <c r="HG191" s="24"/>
      <c r="HH191" s="24"/>
      <c r="HI191" s="24"/>
      <c r="HJ191" s="24"/>
      <c r="HK191" s="24"/>
      <c r="HL191" s="24"/>
      <c r="HM191" s="24"/>
      <c r="HN191" s="24"/>
      <c r="HO191" s="24"/>
      <c r="HP191" s="24"/>
      <c r="HQ191" s="24"/>
      <c r="HR191" s="24"/>
      <c r="HS191" s="24"/>
      <c r="HT191" s="24"/>
      <c r="HU191" s="24"/>
      <c r="HV191" s="24"/>
      <c r="HW191" s="24"/>
      <c r="HX191" s="24"/>
      <c r="HY191" s="24"/>
      <c r="HZ191" s="24"/>
      <c r="IA191" s="24"/>
      <c r="IB191" s="24"/>
      <c r="IC191" s="24"/>
      <c r="ID191" s="24"/>
      <c r="IE191" s="24"/>
      <c r="IF191" s="24"/>
      <c r="IG191" s="24"/>
      <c r="IH191" s="24"/>
      <c r="II191" s="24"/>
      <c r="IJ191" s="24"/>
      <c r="IK191" s="24"/>
      <c r="IL191" s="24"/>
      <c r="IM191" s="24"/>
      <c r="IN191" s="24"/>
      <c r="IO191" s="24"/>
      <c r="IP191" s="24"/>
      <c r="IQ191" s="24"/>
      <c r="IR191" s="24"/>
      <c r="IS191" s="24"/>
      <c r="IT191" s="24"/>
      <c r="IU191" s="24"/>
      <c r="IV191" s="24"/>
      <c r="IW191" s="24"/>
      <c r="IX191" s="24"/>
      <c r="IY191" s="24"/>
      <c r="IZ191" s="24"/>
      <c r="JA191" s="24"/>
      <c r="JB191" s="24"/>
      <c r="JC191" s="24"/>
      <c r="JD191" s="24"/>
      <c r="JE191" s="24"/>
      <c r="JF191" s="24"/>
      <c r="JG191" s="24"/>
      <c r="JH191" s="24"/>
      <c r="JI191" s="24"/>
      <c r="JJ191" s="24"/>
      <c r="JK191" s="24"/>
      <c r="JL191" s="24"/>
      <c r="JM191" s="24"/>
      <c r="JN191" s="24"/>
      <c r="JO191" s="24"/>
      <c r="JP191" s="24"/>
      <c r="JQ191" s="24"/>
      <c r="JR191" s="24"/>
      <c r="JS191" s="24"/>
      <c r="JT191" s="24"/>
      <c r="JU191" s="24"/>
      <c r="JV191" s="24"/>
      <c r="JW191" s="24"/>
      <c r="JX191" s="24"/>
      <c r="JY191" s="24"/>
      <c r="JZ191" s="24"/>
      <c r="KA191" s="24"/>
      <c r="KB191" s="24"/>
      <c r="KC191" s="24"/>
      <c r="KD191" s="24"/>
      <c r="KE191" s="24"/>
      <c r="KF191" s="24"/>
      <c r="KG191" s="24"/>
      <c r="KH191" s="24"/>
      <c r="KI191" s="24"/>
      <c r="KJ191" s="1"/>
    </row>
    <row r="192" spans="7:296" x14ac:dyDescent="0.35">
      <c r="H192" s="13" t="s">
        <v>49</v>
      </c>
      <c r="M192" s="15" t="s">
        <v>172</v>
      </c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4"/>
      <c r="EC192" s="24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4"/>
      <c r="EP192" s="24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4"/>
      <c r="FC192" s="24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4"/>
      <c r="FP192" s="24"/>
      <c r="FQ192" s="24"/>
      <c r="FR192" s="24"/>
      <c r="FS192" s="24"/>
      <c r="FT192" s="24"/>
      <c r="FU192" s="24"/>
      <c r="FV192" s="24"/>
      <c r="FW192" s="24"/>
      <c r="FX192" s="24"/>
      <c r="FY192" s="24"/>
      <c r="FZ192" s="24"/>
      <c r="GA192" s="24"/>
      <c r="GB192" s="24"/>
      <c r="GC192" s="24"/>
      <c r="GD192" s="24"/>
      <c r="GE192" s="24"/>
      <c r="GF192" s="24"/>
      <c r="GG192" s="24"/>
      <c r="GH192" s="24"/>
      <c r="GI192" s="24"/>
      <c r="GJ192" s="24"/>
      <c r="GK192" s="24"/>
      <c r="GL192" s="24"/>
      <c r="GM192" s="24"/>
      <c r="GN192" s="24"/>
      <c r="GO192" s="24"/>
      <c r="GP192" s="24"/>
      <c r="GQ192" s="24"/>
      <c r="GR192" s="24"/>
      <c r="GS192" s="24"/>
      <c r="GT192" s="24"/>
      <c r="GU192" s="24"/>
      <c r="GV192" s="24"/>
      <c r="GW192" s="24"/>
      <c r="GX192" s="24"/>
      <c r="GY192" s="24"/>
      <c r="GZ192" s="24"/>
      <c r="HA192" s="24"/>
      <c r="HB192" s="24"/>
      <c r="HC192" s="24"/>
      <c r="HD192" s="24"/>
      <c r="HE192" s="24"/>
      <c r="HF192" s="24"/>
      <c r="HG192" s="24"/>
      <c r="HH192" s="24"/>
      <c r="HI192" s="24"/>
      <c r="HJ192" s="24"/>
      <c r="HK192" s="24"/>
      <c r="HL192" s="24"/>
      <c r="HM192" s="24"/>
      <c r="HN192" s="24"/>
      <c r="HO192" s="24"/>
      <c r="HP192" s="24"/>
      <c r="HQ192" s="24"/>
      <c r="HR192" s="24"/>
      <c r="HS192" s="24"/>
      <c r="HT192" s="24"/>
      <c r="HU192" s="24"/>
      <c r="HV192" s="24"/>
      <c r="HW192" s="24"/>
      <c r="HX192" s="24"/>
      <c r="HY192" s="24"/>
      <c r="HZ192" s="24"/>
      <c r="IA192" s="24"/>
      <c r="IB192" s="24"/>
      <c r="IC192" s="24"/>
      <c r="ID192" s="24"/>
      <c r="IE192" s="24"/>
      <c r="IF192" s="24"/>
      <c r="IG192" s="24"/>
      <c r="IH192" s="24"/>
      <c r="II192" s="24"/>
      <c r="IJ192" s="24"/>
      <c r="IK192" s="24"/>
      <c r="IL192" s="24"/>
      <c r="IM192" s="24"/>
      <c r="IN192" s="24"/>
      <c r="IO192" s="24"/>
      <c r="IP192" s="24"/>
      <c r="IQ192" s="24"/>
      <c r="IR192" s="24"/>
      <c r="IS192" s="24"/>
      <c r="IT192" s="24"/>
      <c r="IU192" s="24"/>
      <c r="IV192" s="24"/>
      <c r="IW192" s="24"/>
      <c r="IX192" s="24"/>
      <c r="IY192" s="24"/>
      <c r="IZ192" s="24"/>
      <c r="JA192" s="24"/>
      <c r="JB192" s="24"/>
      <c r="JC192" s="24"/>
      <c r="JD192" s="24"/>
      <c r="JE192" s="24"/>
      <c r="JF192" s="24"/>
      <c r="JG192" s="24"/>
      <c r="JH192" s="24"/>
      <c r="JI192" s="24"/>
      <c r="JJ192" s="24"/>
      <c r="JK192" s="24"/>
      <c r="JL192" s="24"/>
      <c r="JM192" s="24"/>
      <c r="JN192" s="24"/>
      <c r="JO192" s="24"/>
      <c r="JP192" s="24"/>
      <c r="JQ192" s="24"/>
      <c r="JR192" s="24"/>
      <c r="JS192" s="24"/>
      <c r="JT192" s="24"/>
      <c r="JU192" s="24"/>
      <c r="JV192" s="24"/>
      <c r="JW192" s="24"/>
      <c r="JX192" s="24"/>
      <c r="JY192" s="24"/>
      <c r="JZ192" s="24"/>
      <c r="KA192" s="24"/>
      <c r="KB192" s="24"/>
      <c r="KC192" s="24"/>
      <c r="KD192" s="24"/>
      <c r="KE192" s="24"/>
      <c r="KF192" s="24"/>
      <c r="KG192" s="24"/>
      <c r="KH192" s="24"/>
      <c r="KI192" s="24"/>
      <c r="KJ192" s="1"/>
    </row>
    <row r="193" spans="8:296" x14ac:dyDescent="0.35">
      <c r="H193" s="13" t="s">
        <v>130</v>
      </c>
      <c r="M193" s="15" t="s">
        <v>198</v>
      </c>
      <c r="N193" s="24" t="str">
        <f>IFERROR(N192/N191,"NA")</f>
        <v>NA</v>
      </c>
      <c r="O193" s="24" t="str">
        <f t="shared" ref="O193:BZ193" si="424">IFERROR(O192/O191,"NA")</f>
        <v>NA</v>
      </c>
      <c r="P193" s="24" t="str">
        <f t="shared" si="424"/>
        <v>NA</v>
      </c>
      <c r="Q193" s="24" t="str">
        <f t="shared" si="424"/>
        <v>NA</v>
      </c>
      <c r="R193" s="24" t="str">
        <f t="shared" si="424"/>
        <v>NA</v>
      </c>
      <c r="S193" s="24" t="str">
        <f t="shared" si="424"/>
        <v>NA</v>
      </c>
      <c r="T193" s="24" t="str">
        <f t="shared" si="424"/>
        <v>NA</v>
      </c>
      <c r="U193" s="24" t="str">
        <f t="shared" si="424"/>
        <v>NA</v>
      </c>
      <c r="V193" s="24" t="str">
        <f t="shared" si="424"/>
        <v>NA</v>
      </c>
      <c r="W193" s="24" t="str">
        <f t="shared" si="424"/>
        <v>NA</v>
      </c>
      <c r="X193" s="24" t="str">
        <f t="shared" si="424"/>
        <v>NA</v>
      </c>
      <c r="Y193" s="24" t="str">
        <f t="shared" si="424"/>
        <v>NA</v>
      </c>
      <c r="Z193" s="24" t="str">
        <f t="shared" si="424"/>
        <v>NA</v>
      </c>
      <c r="AA193" s="24" t="str">
        <f t="shared" si="424"/>
        <v>NA</v>
      </c>
      <c r="AB193" s="24" t="str">
        <f t="shared" si="424"/>
        <v>NA</v>
      </c>
      <c r="AC193" s="24" t="str">
        <f t="shared" si="424"/>
        <v>NA</v>
      </c>
      <c r="AD193" s="24" t="str">
        <f t="shared" si="424"/>
        <v>NA</v>
      </c>
      <c r="AE193" s="24" t="str">
        <f t="shared" si="424"/>
        <v>NA</v>
      </c>
      <c r="AF193" s="24" t="str">
        <f t="shared" si="424"/>
        <v>NA</v>
      </c>
      <c r="AG193" s="24" t="str">
        <f t="shared" si="424"/>
        <v>NA</v>
      </c>
      <c r="AH193" s="24" t="str">
        <f t="shared" si="424"/>
        <v>NA</v>
      </c>
      <c r="AI193" s="24" t="str">
        <f t="shared" si="424"/>
        <v>NA</v>
      </c>
      <c r="AJ193" s="24" t="str">
        <f t="shared" si="424"/>
        <v>NA</v>
      </c>
      <c r="AK193" s="24" t="str">
        <f t="shared" si="424"/>
        <v>NA</v>
      </c>
      <c r="AL193" s="24" t="str">
        <f t="shared" si="424"/>
        <v>NA</v>
      </c>
      <c r="AM193" s="24" t="str">
        <f t="shared" si="424"/>
        <v>NA</v>
      </c>
      <c r="AN193" s="24" t="str">
        <f t="shared" si="424"/>
        <v>NA</v>
      </c>
      <c r="AO193" s="24" t="str">
        <f t="shared" si="424"/>
        <v>NA</v>
      </c>
      <c r="AP193" s="24" t="str">
        <f t="shared" si="424"/>
        <v>NA</v>
      </c>
      <c r="AQ193" s="24" t="str">
        <f t="shared" si="424"/>
        <v>NA</v>
      </c>
      <c r="AR193" s="24" t="str">
        <f t="shared" si="424"/>
        <v>NA</v>
      </c>
      <c r="AS193" s="24" t="str">
        <f t="shared" si="424"/>
        <v>NA</v>
      </c>
      <c r="AT193" s="24" t="str">
        <f t="shared" si="424"/>
        <v>NA</v>
      </c>
      <c r="AU193" s="24" t="str">
        <f t="shared" si="424"/>
        <v>NA</v>
      </c>
      <c r="AV193" s="24" t="str">
        <f t="shared" si="424"/>
        <v>NA</v>
      </c>
      <c r="AW193" s="24" t="str">
        <f t="shared" si="424"/>
        <v>NA</v>
      </c>
      <c r="AX193" s="24" t="str">
        <f t="shared" si="424"/>
        <v>NA</v>
      </c>
      <c r="AY193" s="24" t="str">
        <f t="shared" si="424"/>
        <v>NA</v>
      </c>
      <c r="AZ193" s="24" t="str">
        <f t="shared" si="424"/>
        <v>NA</v>
      </c>
      <c r="BA193" s="24" t="str">
        <f t="shared" si="424"/>
        <v>NA</v>
      </c>
      <c r="BB193" s="24" t="str">
        <f t="shared" si="424"/>
        <v>NA</v>
      </c>
      <c r="BC193" s="24" t="str">
        <f t="shared" si="424"/>
        <v>NA</v>
      </c>
      <c r="BD193" s="24" t="str">
        <f t="shared" si="424"/>
        <v>NA</v>
      </c>
      <c r="BE193" s="24" t="str">
        <f t="shared" si="424"/>
        <v>NA</v>
      </c>
      <c r="BF193" s="24" t="str">
        <f t="shared" si="424"/>
        <v>NA</v>
      </c>
      <c r="BG193" s="24" t="str">
        <f t="shared" si="424"/>
        <v>NA</v>
      </c>
      <c r="BH193" s="24" t="str">
        <f t="shared" si="424"/>
        <v>NA</v>
      </c>
      <c r="BI193" s="24" t="str">
        <f t="shared" si="424"/>
        <v>NA</v>
      </c>
      <c r="BJ193" s="24" t="str">
        <f t="shared" si="424"/>
        <v>NA</v>
      </c>
      <c r="BK193" s="24" t="str">
        <f t="shared" si="424"/>
        <v>NA</v>
      </c>
      <c r="BL193" s="24" t="str">
        <f t="shared" si="424"/>
        <v>NA</v>
      </c>
      <c r="BM193" s="24" t="str">
        <f t="shared" si="424"/>
        <v>NA</v>
      </c>
      <c r="BN193" s="24" t="str">
        <f t="shared" si="424"/>
        <v>NA</v>
      </c>
      <c r="BO193" s="24" t="str">
        <f t="shared" si="424"/>
        <v>NA</v>
      </c>
      <c r="BP193" s="24" t="str">
        <f t="shared" si="424"/>
        <v>NA</v>
      </c>
      <c r="BQ193" s="24" t="str">
        <f t="shared" si="424"/>
        <v>NA</v>
      </c>
      <c r="BR193" s="24" t="str">
        <f t="shared" si="424"/>
        <v>NA</v>
      </c>
      <c r="BS193" s="24" t="str">
        <f t="shared" si="424"/>
        <v>NA</v>
      </c>
      <c r="BT193" s="24" t="str">
        <f t="shared" si="424"/>
        <v>NA</v>
      </c>
      <c r="BU193" s="24" t="str">
        <f t="shared" si="424"/>
        <v>NA</v>
      </c>
      <c r="BV193" s="24" t="str">
        <f t="shared" si="424"/>
        <v>NA</v>
      </c>
      <c r="BW193" s="24" t="str">
        <f t="shared" si="424"/>
        <v>NA</v>
      </c>
      <c r="BX193" s="24" t="str">
        <f t="shared" si="424"/>
        <v>NA</v>
      </c>
      <c r="BY193" s="24" t="str">
        <f t="shared" si="424"/>
        <v>NA</v>
      </c>
      <c r="BZ193" s="24" t="str">
        <f t="shared" si="424"/>
        <v>NA</v>
      </c>
      <c r="CA193" s="24" t="str">
        <f t="shared" ref="CA193:EL193" si="425">IFERROR(CA192/CA191,"NA")</f>
        <v>NA</v>
      </c>
      <c r="CB193" s="24" t="str">
        <f t="shared" si="425"/>
        <v>NA</v>
      </c>
      <c r="CC193" s="24" t="str">
        <f t="shared" si="425"/>
        <v>NA</v>
      </c>
      <c r="CD193" s="24" t="str">
        <f t="shared" si="425"/>
        <v>NA</v>
      </c>
      <c r="CE193" s="24" t="str">
        <f t="shared" si="425"/>
        <v>NA</v>
      </c>
      <c r="CF193" s="24" t="str">
        <f t="shared" si="425"/>
        <v>NA</v>
      </c>
      <c r="CG193" s="24" t="str">
        <f t="shared" si="425"/>
        <v>NA</v>
      </c>
      <c r="CH193" s="24" t="str">
        <f t="shared" si="425"/>
        <v>NA</v>
      </c>
      <c r="CI193" s="24" t="str">
        <f t="shared" si="425"/>
        <v>NA</v>
      </c>
      <c r="CJ193" s="24" t="str">
        <f t="shared" si="425"/>
        <v>NA</v>
      </c>
      <c r="CK193" s="24" t="str">
        <f t="shared" si="425"/>
        <v>NA</v>
      </c>
      <c r="CL193" s="24" t="str">
        <f t="shared" si="425"/>
        <v>NA</v>
      </c>
      <c r="CM193" s="24" t="str">
        <f t="shared" si="425"/>
        <v>NA</v>
      </c>
      <c r="CN193" s="24" t="str">
        <f t="shared" si="425"/>
        <v>NA</v>
      </c>
      <c r="CO193" s="24" t="str">
        <f t="shared" si="425"/>
        <v>NA</v>
      </c>
      <c r="CP193" s="24" t="str">
        <f t="shared" si="425"/>
        <v>NA</v>
      </c>
      <c r="CQ193" s="24" t="str">
        <f t="shared" si="425"/>
        <v>NA</v>
      </c>
      <c r="CR193" s="24" t="str">
        <f t="shared" si="425"/>
        <v>NA</v>
      </c>
      <c r="CS193" s="24" t="str">
        <f t="shared" si="425"/>
        <v>NA</v>
      </c>
      <c r="CT193" s="24" t="str">
        <f t="shared" si="425"/>
        <v>NA</v>
      </c>
      <c r="CU193" s="24" t="str">
        <f t="shared" si="425"/>
        <v>NA</v>
      </c>
      <c r="CV193" s="24" t="str">
        <f t="shared" si="425"/>
        <v>NA</v>
      </c>
      <c r="CW193" s="24" t="str">
        <f t="shared" si="425"/>
        <v>NA</v>
      </c>
      <c r="CX193" s="24" t="str">
        <f t="shared" si="425"/>
        <v>NA</v>
      </c>
      <c r="CY193" s="24" t="str">
        <f t="shared" si="425"/>
        <v>NA</v>
      </c>
      <c r="CZ193" s="24" t="str">
        <f t="shared" si="425"/>
        <v>NA</v>
      </c>
      <c r="DA193" s="24" t="str">
        <f t="shared" si="425"/>
        <v>NA</v>
      </c>
      <c r="DB193" s="24" t="str">
        <f t="shared" si="425"/>
        <v>NA</v>
      </c>
      <c r="DC193" s="24" t="str">
        <f t="shared" si="425"/>
        <v>NA</v>
      </c>
      <c r="DD193" s="24" t="str">
        <f t="shared" si="425"/>
        <v>NA</v>
      </c>
      <c r="DE193" s="24" t="str">
        <f t="shared" si="425"/>
        <v>NA</v>
      </c>
      <c r="DF193" s="24" t="str">
        <f t="shared" si="425"/>
        <v>NA</v>
      </c>
      <c r="DG193" s="24" t="str">
        <f t="shared" si="425"/>
        <v>NA</v>
      </c>
      <c r="DH193" s="24" t="str">
        <f t="shared" si="425"/>
        <v>NA</v>
      </c>
      <c r="DI193" s="24" t="str">
        <f t="shared" si="425"/>
        <v>NA</v>
      </c>
      <c r="DJ193" s="24" t="str">
        <f t="shared" si="425"/>
        <v>NA</v>
      </c>
      <c r="DK193" s="24" t="str">
        <f t="shared" si="425"/>
        <v>NA</v>
      </c>
      <c r="DL193" s="24" t="str">
        <f t="shared" si="425"/>
        <v>NA</v>
      </c>
      <c r="DM193" s="24" t="str">
        <f t="shared" si="425"/>
        <v>NA</v>
      </c>
      <c r="DN193" s="24" t="str">
        <f t="shared" si="425"/>
        <v>NA</v>
      </c>
      <c r="DO193" s="24" t="str">
        <f t="shared" si="425"/>
        <v>NA</v>
      </c>
      <c r="DP193" s="24" t="str">
        <f t="shared" si="425"/>
        <v>NA</v>
      </c>
      <c r="DQ193" s="24" t="str">
        <f t="shared" si="425"/>
        <v>NA</v>
      </c>
      <c r="DR193" s="24" t="str">
        <f t="shared" si="425"/>
        <v>NA</v>
      </c>
      <c r="DS193" s="24" t="str">
        <f t="shared" si="425"/>
        <v>NA</v>
      </c>
      <c r="DT193" s="24" t="str">
        <f t="shared" si="425"/>
        <v>NA</v>
      </c>
      <c r="DU193" s="24" t="str">
        <f t="shared" si="425"/>
        <v>NA</v>
      </c>
      <c r="DV193" s="24" t="str">
        <f t="shared" si="425"/>
        <v>NA</v>
      </c>
      <c r="DW193" s="24" t="str">
        <f t="shared" si="425"/>
        <v>NA</v>
      </c>
      <c r="DX193" s="24" t="str">
        <f t="shared" si="425"/>
        <v>NA</v>
      </c>
      <c r="DY193" s="24" t="str">
        <f t="shared" si="425"/>
        <v>NA</v>
      </c>
      <c r="DZ193" s="24" t="str">
        <f t="shared" si="425"/>
        <v>NA</v>
      </c>
      <c r="EA193" s="24" t="str">
        <f t="shared" si="425"/>
        <v>NA</v>
      </c>
      <c r="EB193" s="24" t="str">
        <f t="shared" si="425"/>
        <v>NA</v>
      </c>
      <c r="EC193" s="24" t="str">
        <f t="shared" si="425"/>
        <v>NA</v>
      </c>
      <c r="ED193" s="24" t="str">
        <f t="shared" si="425"/>
        <v>NA</v>
      </c>
      <c r="EE193" s="24" t="str">
        <f t="shared" si="425"/>
        <v>NA</v>
      </c>
      <c r="EF193" s="24" t="str">
        <f t="shared" si="425"/>
        <v>NA</v>
      </c>
      <c r="EG193" s="24" t="str">
        <f t="shared" si="425"/>
        <v>NA</v>
      </c>
      <c r="EH193" s="24" t="str">
        <f t="shared" si="425"/>
        <v>NA</v>
      </c>
      <c r="EI193" s="24" t="str">
        <f t="shared" si="425"/>
        <v>NA</v>
      </c>
      <c r="EJ193" s="24" t="str">
        <f t="shared" si="425"/>
        <v>NA</v>
      </c>
      <c r="EK193" s="24" t="str">
        <f t="shared" si="425"/>
        <v>NA</v>
      </c>
      <c r="EL193" s="24" t="str">
        <f t="shared" si="425"/>
        <v>NA</v>
      </c>
      <c r="EM193" s="24" t="str">
        <f t="shared" ref="EM193:GX193" si="426">IFERROR(EM192/EM191,"NA")</f>
        <v>NA</v>
      </c>
      <c r="EN193" s="24" t="str">
        <f t="shared" si="426"/>
        <v>NA</v>
      </c>
      <c r="EO193" s="24" t="str">
        <f t="shared" si="426"/>
        <v>NA</v>
      </c>
      <c r="EP193" s="24" t="str">
        <f t="shared" si="426"/>
        <v>NA</v>
      </c>
      <c r="EQ193" s="24" t="str">
        <f t="shared" si="426"/>
        <v>NA</v>
      </c>
      <c r="ER193" s="24" t="str">
        <f t="shared" si="426"/>
        <v>NA</v>
      </c>
      <c r="ES193" s="24" t="str">
        <f t="shared" si="426"/>
        <v>NA</v>
      </c>
      <c r="ET193" s="24" t="str">
        <f t="shared" si="426"/>
        <v>NA</v>
      </c>
      <c r="EU193" s="24" t="str">
        <f t="shared" si="426"/>
        <v>NA</v>
      </c>
      <c r="EV193" s="24" t="str">
        <f t="shared" si="426"/>
        <v>NA</v>
      </c>
      <c r="EW193" s="24" t="str">
        <f t="shared" si="426"/>
        <v>NA</v>
      </c>
      <c r="EX193" s="24" t="str">
        <f t="shared" si="426"/>
        <v>NA</v>
      </c>
      <c r="EY193" s="24" t="str">
        <f t="shared" si="426"/>
        <v>NA</v>
      </c>
      <c r="EZ193" s="24" t="str">
        <f t="shared" si="426"/>
        <v>NA</v>
      </c>
      <c r="FA193" s="24" t="str">
        <f t="shared" si="426"/>
        <v>NA</v>
      </c>
      <c r="FB193" s="24" t="str">
        <f t="shared" si="426"/>
        <v>NA</v>
      </c>
      <c r="FC193" s="24" t="str">
        <f t="shared" si="426"/>
        <v>NA</v>
      </c>
      <c r="FD193" s="24" t="str">
        <f t="shared" si="426"/>
        <v>NA</v>
      </c>
      <c r="FE193" s="24" t="str">
        <f t="shared" si="426"/>
        <v>NA</v>
      </c>
      <c r="FF193" s="24" t="str">
        <f t="shared" si="426"/>
        <v>NA</v>
      </c>
      <c r="FG193" s="24" t="str">
        <f t="shared" si="426"/>
        <v>NA</v>
      </c>
      <c r="FH193" s="24" t="str">
        <f t="shared" si="426"/>
        <v>NA</v>
      </c>
      <c r="FI193" s="24" t="str">
        <f t="shared" si="426"/>
        <v>NA</v>
      </c>
      <c r="FJ193" s="24" t="str">
        <f t="shared" si="426"/>
        <v>NA</v>
      </c>
      <c r="FK193" s="24" t="str">
        <f t="shared" si="426"/>
        <v>NA</v>
      </c>
      <c r="FL193" s="24" t="str">
        <f t="shared" si="426"/>
        <v>NA</v>
      </c>
      <c r="FM193" s="24" t="str">
        <f t="shared" si="426"/>
        <v>NA</v>
      </c>
      <c r="FN193" s="24" t="str">
        <f t="shared" si="426"/>
        <v>NA</v>
      </c>
      <c r="FO193" s="24" t="str">
        <f t="shared" si="426"/>
        <v>NA</v>
      </c>
      <c r="FP193" s="24" t="str">
        <f t="shared" si="426"/>
        <v>NA</v>
      </c>
      <c r="FQ193" s="24" t="str">
        <f t="shared" si="426"/>
        <v>NA</v>
      </c>
      <c r="FR193" s="24" t="str">
        <f t="shared" si="426"/>
        <v>NA</v>
      </c>
      <c r="FS193" s="24" t="str">
        <f t="shared" si="426"/>
        <v>NA</v>
      </c>
      <c r="FT193" s="24" t="str">
        <f t="shared" si="426"/>
        <v>NA</v>
      </c>
      <c r="FU193" s="24" t="str">
        <f t="shared" si="426"/>
        <v>NA</v>
      </c>
      <c r="FV193" s="24" t="str">
        <f t="shared" si="426"/>
        <v>NA</v>
      </c>
      <c r="FW193" s="24" t="str">
        <f t="shared" si="426"/>
        <v>NA</v>
      </c>
      <c r="FX193" s="24" t="str">
        <f t="shared" si="426"/>
        <v>NA</v>
      </c>
      <c r="FY193" s="24" t="str">
        <f t="shared" si="426"/>
        <v>NA</v>
      </c>
      <c r="FZ193" s="24" t="str">
        <f t="shared" si="426"/>
        <v>NA</v>
      </c>
      <c r="GA193" s="24" t="str">
        <f t="shared" si="426"/>
        <v>NA</v>
      </c>
      <c r="GB193" s="24" t="str">
        <f t="shared" si="426"/>
        <v>NA</v>
      </c>
      <c r="GC193" s="24" t="str">
        <f t="shared" si="426"/>
        <v>NA</v>
      </c>
      <c r="GD193" s="24" t="str">
        <f t="shared" si="426"/>
        <v>NA</v>
      </c>
      <c r="GE193" s="24" t="str">
        <f t="shared" si="426"/>
        <v>NA</v>
      </c>
      <c r="GF193" s="24" t="str">
        <f t="shared" si="426"/>
        <v>NA</v>
      </c>
      <c r="GG193" s="24" t="str">
        <f t="shared" si="426"/>
        <v>NA</v>
      </c>
      <c r="GH193" s="24" t="str">
        <f t="shared" si="426"/>
        <v>NA</v>
      </c>
      <c r="GI193" s="24" t="str">
        <f t="shared" si="426"/>
        <v>NA</v>
      </c>
      <c r="GJ193" s="24" t="str">
        <f t="shared" si="426"/>
        <v>NA</v>
      </c>
      <c r="GK193" s="24" t="str">
        <f t="shared" si="426"/>
        <v>NA</v>
      </c>
      <c r="GL193" s="24" t="str">
        <f t="shared" si="426"/>
        <v>NA</v>
      </c>
      <c r="GM193" s="24" t="str">
        <f t="shared" si="426"/>
        <v>NA</v>
      </c>
      <c r="GN193" s="24" t="str">
        <f t="shared" si="426"/>
        <v>NA</v>
      </c>
      <c r="GO193" s="24" t="str">
        <f t="shared" si="426"/>
        <v>NA</v>
      </c>
      <c r="GP193" s="24" t="str">
        <f t="shared" si="426"/>
        <v>NA</v>
      </c>
      <c r="GQ193" s="24" t="str">
        <f t="shared" si="426"/>
        <v>NA</v>
      </c>
      <c r="GR193" s="24" t="str">
        <f t="shared" si="426"/>
        <v>NA</v>
      </c>
      <c r="GS193" s="24" t="str">
        <f t="shared" si="426"/>
        <v>NA</v>
      </c>
      <c r="GT193" s="24" t="str">
        <f t="shared" si="426"/>
        <v>NA</v>
      </c>
      <c r="GU193" s="24" t="str">
        <f t="shared" si="426"/>
        <v>NA</v>
      </c>
      <c r="GV193" s="24" t="str">
        <f t="shared" si="426"/>
        <v>NA</v>
      </c>
      <c r="GW193" s="24" t="str">
        <f t="shared" si="426"/>
        <v>NA</v>
      </c>
      <c r="GX193" s="24" t="str">
        <f t="shared" si="426"/>
        <v>NA</v>
      </c>
      <c r="GY193" s="24" t="str">
        <f t="shared" ref="GY193:JJ193" si="427">IFERROR(GY192/GY191,"NA")</f>
        <v>NA</v>
      </c>
      <c r="GZ193" s="24" t="str">
        <f t="shared" si="427"/>
        <v>NA</v>
      </c>
      <c r="HA193" s="24" t="str">
        <f t="shared" si="427"/>
        <v>NA</v>
      </c>
      <c r="HB193" s="24" t="str">
        <f t="shared" si="427"/>
        <v>NA</v>
      </c>
      <c r="HC193" s="24" t="str">
        <f t="shared" si="427"/>
        <v>NA</v>
      </c>
      <c r="HD193" s="24" t="str">
        <f t="shared" si="427"/>
        <v>NA</v>
      </c>
      <c r="HE193" s="24" t="str">
        <f t="shared" si="427"/>
        <v>NA</v>
      </c>
      <c r="HF193" s="24" t="str">
        <f t="shared" si="427"/>
        <v>NA</v>
      </c>
      <c r="HG193" s="24" t="str">
        <f t="shared" si="427"/>
        <v>NA</v>
      </c>
      <c r="HH193" s="24" t="str">
        <f t="shared" si="427"/>
        <v>NA</v>
      </c>
      <c r="HI193" s="24" t="str">
        <f t="shared" si="427"/>
        <v>NA</v>
      </c>
      <c r="HJ193" s="24" t="str">
        <f t="shared" si="427"/>
        <v>NA</v>
      </c>
      <c r="HK193" s="24" t="str">
        <f t="shared" si="427"/>
        <v>NA</v>
      </c>
      <c r="HL193" s="24" t="str">
        <f t="shared" si="427"/>
        <v>NA</v>
      </c>
      <c r="HM193" s="24" t="str">
        <f t="shared" si="427"/>
        <v>NA</v>
      </c>
      <c r="HN193" s="24" t="str">
        <f t="shared" si="427"/>
        <v>NA</v>
      </c>
      <c r="HO193" s="24" t="str">
        <f t="shared" si="427"/>
        <v>NA</v>
      </c>
      <c r="HP193" s="24" t="str">
        <f t="shared" si="427"/>
        <v>NA</v>
      </c>
      <c r="HQ193" s="24" t="str">
        <f t="shared" si="427"/>
        <v>NA</v>
      </c>
      <c r="HR193" s="24" t="str">
        <f t="shared" si="427"/>
        <v>NA</v>
      </c>
      <c r="HS193" s="24" t="str">
        <f t="shared" si="427"/>
        <v>NA</v>
      </c>
      <c r="HT193" s="24" t="str">
        <f t="shared" si="427"/>
        <v>NA</v>
      </c>
      <c r="HU193" s="24" t="str">
        <f t="shared" si="427"/>
        <v>NA</v>
      </c>
      <c r="HV193" s="24" t="str">
        <f t="shared" si="427"/>
        <v>NA</v>
      </c>
      <c r="HW193" s="24" t="str">
        <f t="shared" si="427"/>
        <v>NA</v>
      </c>
      <c r="HX193" s="24" t="str">
        <f t="shared" si="427"/>
        <v>NA</v>
      </c>
      <c r="HY193" s="24" t="str">
        <f t="shared" si="427"/>
        <v>NA</v>
      </c>
      <c r="HZ193" s="24" t="str">
        <f t="shared" si="427"/>
        <v>NA</v>
      </c>
      <c r="IA193" s="24" t="str">
        <f t="shared" si="427"/>
        <v>NA</v>
      </c>
      <c r="IB193" s="24" t="str">
        <f t="shared" si="427"/>
        <v>NA</v>
      </c>
      <c r="IC193" s="24" t="str">
        <f t="shared" si="427"/>
        <v>NA</v>
      </c>
      <c r="ID193" s="24" t="str">
        <f t="shared" si="427"/>
        <v>NA</v>
      </c>
      <c r="IE193" s="24" t="str">
        <f t="shared" si="427"/>
        <v>NA</v>
      </c>
      <c r="IF193" s="24" t="str">
        <f t="shared" si="427"/>
        <v>NA</v>
      </c>
      <c r="IG193" s="24" t="str">
        <f t="shared" si="427"/>
        <v>NA</v>
      </c>
      <c r="IH193" s="24" t="str">
        <f t="shared" si="427"/>
        <v>NA</v>
      </c>
      <c r="II193" s="24" t="str">
        <f t="shared" si="427"/>
        <v>NA</v>
      </c>
      <c r="IJ193" s="24" t="str">
        <f t="shared" si="427"/>
        <v>NA</v>
      </c>
      <c r="IK193" s="24" t="str">
        <f t="shared" si="427"/>
        <v>NA</v>
      </c>
      <c r="IL193" s="24" t="str">
        <f t="shared" si="427"/>
        <v>NA</v>
      </c>
      <c r="IM193" s="24" t="str">
        <f t="shared" si="427"/>
        <v>NA</v>
      </c>
      <c r="IN193" s="24" t="str">
        <f t="shared" si="427"/>
        <v>NA</v>
      </c>
      <c r="IO193" s="24" t="str">
        <f t="shared" si="427"/>
        <v>NA</v>
      </c>
      <c r="IP193" s="24" t="str">
        <f t="shared" si="427"/>
        <v>NA</v>
      </c>
      <c r="IQ193" s="24" t="str">
        <f t="shared" si="427"/>
        <v>NA</v>
      </c>
      <c r="IR193" s="24" t="str">
        <f t="shared" si="427"/>
        <v>NA</v>
      </c>
      <c r="IS193" s="24" t="str">
        <f t="shared" si="427"/>
        <v>NA</v>
      </c>
      <c r="IT193" s="24" t="str">
        <f t="shared" si="427"/>
        <v>NA</v>
      </c>
      <c r="IU193" s="24" t="str">
        <f t="shared" si="427"/>
        <v>NA</v>
      </c>
      <c r="IV193" s="24" t="str">
        <f t="shared" si="427"/>
        <v>NA</v>
      </c>
      <c r="IW193" s="24" t="str">
        <f t="shared" si="427"/>
        <v>NA</v>
      </c>
      <c r="IX193" s="24" t="str">
        <f t="shared" si="427"/>
        <v>NA</v>
      </c>
      <c r="IY193" s="24" t="str">
        <f t="shared" si="427"/>
        <v>NA</v>
      </c>
      <c r="IZ193" s="24" t="str">
        <f t="shared" si="427"/>
        <v>NA</v>
      </c>
      <c r="JA193" s="24" t="str">
        <f t="shared" si="427"/>
        <v>NA</v>
      </c>
      <c r="JB193" s="24" t="str">
        <f t="shared" si="427"/>
        <v>NA</v>
      </c>
      <c r="JC193" s="24" t="str">
        <f t="shared" si="427"/>
        <v>NA</v>
      </c>
      <c r="JD193" s="24" t="str">
        <f t="shared" si="427"/>
        <v>NA</v>
      </c>
      <c r="JE193" s="24" t="str">
        <f t="shared" si="427"/>
        <v>NA</v>
      </c>
      <c r="JF193" s="24" t="str">
        <f t="shared" si="427"/>
        <v>NA</v>
      </c>
      <c r="JG193" s="24" t="str">
        <f t="shared" si="427"/>
        <v>NA</v>
      </c>
      <c r="JH193" s="24" t="str">
        <f t="shared" si="427"/>
        <v>NA</v>
      </c>
      <c r="JI193" s="24" t="str">
        <f t="shared" si="427"/>
        <v>NA</v>
      </c>
      <c r="JJ193" s="24" t="str">
        <f t="shared" si="427"/>
        <v>NA</v>
      </c>
      <c r="JK193" s="24" t="str">
        <f t="shared" ref="JK193:KI193" si="428">IFERROR(JK192/JK191,"NA")</f>
        <v>NA</v>
      </c>
      <c r="JL193" s="24" t="str">
        <f t="shared" si="428"/>
        <v>NA</v>
      </c>
      <c r="JM193" s="24" t="str">
        <f t="shared" si="428"/>
        <v>NA</v>
      </c>
      <c r="JN193" s="24" t="str">
        <f t="shared" si="428"/>
        <v>NA</v>
      </c>
      <c r="JO193" s="24" t="str">
        <f t="shared" si="428"/>
        <v>NA</v>
      </c>
      <c r="JP193" s="24" t="str">
        <f t="shared" si="428"/>
        <v>NA</v>
      </c>
      <c r="JQ193" s="24" t="str">
        <f t="shared" si="428"/>
        <v>NA</v>
      </c>
      <c r="JR193" s="24" t="str">
        <f t="shared" si="428"/>
        <v>NA</v>
      </c>
      <c r="JS193" s="24" t="str">
        <f t="shared" si="428"/>
        <v>NA</v>
      </c>
      <c r="JT193" s="24" t="str">
        <f t="shared" si="428"/>
        <v>NA</v>
      </c>
      <c r="JU193" s="24" t="str">
        <f t="shared" si="428"/>
        <v>NA</v>
      </c>
      <c r="JV193" s="24" t="str">
        <f t="shared" si="428"/>
        <v>NA</v>
      </c>
      <c r="JW193" s="24" t="str">
        <f t="shared" si="428"/>
        <v>NA</v>
      </c>
      <c r="JX193" s="24" t="str">
        <f t="shared" si="428"/>
        <v>NA</v>
      </c>
      <c r="JY193" s="24" t="str">
        <f t="shared" si="428"/>
        <v>NA</v>
      </c>
      <c r="JZ193" s="24" t="str">
        <f t="shared" si="428"/>
        <v>NA</v>
      </c>
      <c r="KA193" s="24" t="str">
        <f t="shared" si="428"/>
        <v>NA</v>
      </c>
      <c r="KB193" s="24" t="str">
        <f t="shared" si="428"/>
        <v>NA</v>
      </c>
      <c r="KC193" s="24" t="str">
        <f t="shared" si="428"/>
        <v>NA</v>
      </c>
      <c r="KD193" s="24" t="str">
        <f t="shared" si="428"/>
        <v>NA</v>
      </c>
      <c r="KE193" s="24" t="str">
        <f t="shared" si="428"/>
        <v>NA</v>
      </c>
      <c r="KF193" s="24" t="str">
        <f t="shared" si="428"/>
        <v>NA</v>
      </c>
      <c r="KG193" s="24" t="str">
        <f t="shared" si="428"/>
        <v>NA</v>
      </c>
      <c r="KH193" s="24" t="str">
        <f t="shared" si="428"/>
        <v>NA</v>
      </c>
      <c r="KI193" s="24" t="str">
        <f t="shared" si="428"/>
        <v>NA</v>
      </c>
      <c r="KJ193" s="1"/>
    </row>
    <row r="194" spans="8:296" x14ac:dyDescent="0.35">
      <c r="M194" s="15" t="s">
        <v>199</v>
      </c>
      <c r="N194" s="24" t="b">
        <f>IF(N193&lt;&gt;"NA",N190&gt;$G$190)</f>
        <v>0</v>
      </c>
      <c r="O194" s="24" t="b">
        <f t="shared" ref="O194:BZ194" si="429">IF(O193&lt;&gt;"NA",O190&gt;$G$190)</f>
        <v>0</v>
      </c>
      <c r="P194" s="24" t="b">
        <f t="shared" si="429"/>
        <v>0</v>
      </c>
      <c r="Q194" s="24" t="b">
        <f t="shared" si="429"/>
        <v>0</v>
      </c>
      <c r="R194" s="24" t="b">
        <f t="shared" si="429"/>
        <v>0</v>
      </c>
      <c r="S194" s="24" t="b">
        <f t="shared" si="429"/>
        <v>0</v>
      </c>
      <c r="T194" s="24" t="b">
        <f t="shared" si="429"/>
        <v>0</v>
      </c>
      <c r="U194" s="24" t="b">
        <f t="shared" si="429"/>
        <v>0</v>
      </c>
      <c r="V194" s="24" t="b">
        <f t="shared" si="429"/>
        <v>0</v>
      </c>
      <c r="W194" s="24" t="b">
        <f t="shared" si="429"/>
        <v>0</v>
      </c>
      <c r="X194" s="24" t="b">
        <f t="shared" si="429"/>
        <v>0</v>
      </c>
      <c r="Y194" s="24" t="b">
        <f t="shared" si="429"/>
        <v>0</v>
      </c>
      <c r="Z194" s="24" t="b">
        <f t="shared" si="429"/>
        <v>0</v>
      </c>
      <c r="AA194" s="24" t="b">
        <f t="shared" si="429"/>
        <v>0</v>
      </c>
      <c r="AB194" s="24" t="b">
        <f t="shared" si="429"/>
        <v>0</v>
      </c>
      <c r="AC194" s="24" t="b">
        <f t="shared" si="429"/>
        <v>0</v>
      </c>
      <c r="AD194" s="24" t="b">
        <f t="shared" si="429"/>
        <v>0</v>
      </c>
      <c r="AE194" s="24" t="b">
        <f t="shared" si="429"/>
        <v>0</v>
      </c>
      <c r="AF194" s="24" t="b">
        <f t="shared" si="429"/>
        <v>0</v>
      </c>
      <c r="AG194" s="24" t="b">
        <f t="shared" si="429"/>
        <v>0</v>
      </c>
      <c r="AH194" s="24" t="b">
        <f t="shared" si="429"/>
        <v>0</v>
      </c>
      <c r="AI194" s="24" t="b">
        <f t="shared" si="429"/>
        <v>0</v>
      </c>
      <c r="AJ194" s="24" t="b">
        <f t="shared" si="429"/>
        <v>0</v>
      </c>
      <c r="AK194" s="24" t="b">
        <f t="shared" si="429"/>
        <v>0</v>
      </c>
      <c r="AL194" s="24" t="b">
        <f t="shared" si="429"/>
        <v>0</v>
      </c>
      <c r="AM194" s="24" t="b">
        <f t="shared" si="429"/>
        <v>0</v>
      </c>
      <c r="AN194" s="24" t="b">
        <f t="shared" si="429"/>
        <v>0</v>
      </c>
      <c r="AO194" s="24" t="b">
        <f t="shared" si="429"/>
        <v>0</v>
      </c>
      <c r="AP194" s="24" t="b">
        <f t="shared" si="429"/>
        <v>0</v>
      </c>
      <c r="AQ194" s="24" t="b">
        <f t="shared" si="429"/>
        <v>0</v>
      </c>
      <c r="AR194" s="24" t="b">
        <f t="shared" si="429"/>
        <v>0</v>
      </c>
      <c r="AS194" s="24" t="b">
        <f t="shared" si="429"/>
        <v>0</v>
      </c>
      <c r="AT194" s="24" t="b">
        <f t="shared" si="429"/>
        <v>0</v>
      </c>
      <c r="AU194" s="24" t="b">
        <f t="shared" si="429"/>
        <v>0</v>
      </c>
      <c r="AV194" s="24" t="b">
        <f t="shared" si="429"/>
        <v>0</v>
      </c>
      <c r="AW194" s="24" t="b">
        <f t="shared" si="429"/>
        <v>0</v>
      </c>
      <c r="AX194" s="24" t="b">
        <f t="shared" si="429"/>
        <v>0</v>
      </c>
      <c r="AY194" s="24" t="b">
        <f t="shared" si="429"/>
        <v>0</v>
      </c>
      <c r="AZ194" s="24" t="b">
        <f t="shared" si="429"/>
        <v>0</v>
      </c>
      <c r="BA194" s="24" t="b">
        <f t="shared" si="429"/>
        <v>0</v>
      </c>
      <c r="BB194" s="24" t="b">
        <f t="shared" si="429"/>
        <v>0</v>
      </c>
      <c r="BC194" s="24" t="b">
        <f t="shared" si="429"/>
        <v>0</v>
      </c>
      <c r="BD194" s="24" t="b">
        <f t="shared" si="429"/>
        <v>0</v>
      </c>
      <c r="BE194" s="24" t="b">
        <f t="shared" si="429"/>
        <v>0</v>
      </c>
      <c r="BF194" s="24" t="b">
        <f t="shared" si="429"/>
        <v>0</v>
      </c>
      <c r="BG194" s="24" t="b">
        <f t="shared" si="429"/>
        <v>0</v>
      </c>
      <c r="BH194" s="24" t="b">
        <f t="shared" si="429"/>
        <v>0</v>
      </c>
      <c r="BI194" s="24" t="b">
        <f t="shared" si="429"/>
        <v>0</v>
      </c>
      <c r="BJ194" s="24" t="b">
        <f t="shared" si="429"/>
        <v>0</v>
      </c>
      <c r="BK194" s="24" t="b">
        <f t="shared" si="429"/>
        <v>0</v>
      </c>
      <c r="BL194" s="24" t="b">
        <f t="shared" si="429"/>
        <v>0</v>
      </c>
      <c r="BM194" s="24" t="b">
        <f t="shared" si="429"/>
        <v>0</v>
      </c>
      <c r="BN194" s="24" t="b">
        <f t="shared" si="429"/>
        <v>0</v>
      </c>
      <c r="BO194" s="24" t="b">
        <f t="shared" si="429"/>
        <v>0</v>
      </c>
      <c r="BP194" s="24" t="b">
        <f t="shared" si="429"/>
        <v>0</v>
      </c>
      <c r="BQ194" s="24" t="b">
        <f t="shared" si="429"/>
        <v>0</v>
      </c>
      <c r="BR194" s="24" t="b">
        <f t="shared" si="429"/>
        <v>0</v>
      </c>
      <c r="BS194" s="24" t="b">
        <f t="shared" si="429"/>
        <v>0</v>
      </c>
      <c r="BT194" s="24" t="b">
        <f t="shared" si="429"/>
        <v>0</v>
      </c>
      <c r="BU194" s="24" t="b">
        <f t="shared" si="429"/>
        <v>0</v>
      </c>
      <c r="BV194" s="24" t="b">
        <f t="shared" si="429"/>
        <v>0</v>
      </c>
      <c r="BW194" s="24" t="b">
        <f t="shared" si="429"/>
        <v>0</v>
      </c>
      <c r="BX194" s="24" t="b">
        <f t="shared" si="429"/>
        <v>0</v>
      </c>
      <c r="BY194" s="24" t="b">
        <f t="shared" si="429"/>
        <v>0</v>
      </c>
      <c r="BZ194" s="24" t="b">
        <f t="shared" si="429"/>
        <v>0</v>
      </c>
      <c r="CA194" s="24" t="b">
        <f t="shared" ref="CA194:EL194" si="430">IF(CA193&lt;&gt;"NA",CA190&gt;$G$190)</f>
        <v>0</v>
      </c>
      <c r="CB194" s="24" t="b">
        <f t="shared" si="430"/>
        <v>0</v>
      </c>
      <c r="CC194" s="24" t="b">
        <f t="shared" si="430"/>
        <v>0</v>
      </c>
      <c r="CD194" s="24" t="b">
        <f t="shared" si="430"/>
        <v>0</v>
      </c>
      <c r="CE194" s="24" t="b">
        <f t="shared" si="430"/>
        <v>0</v>
      </c>
      <c r="CF194" s="24" t="b">
        <f t="shared" si="430"/>
        <v>0</v>
      </c>
      <c r="CG194" s="24" t="b">
        <f t="shared" si="430"/>
        <v>0</v>
      </c>
      <c r="CH194" s="24" t="b">
        <f t="shared" si="430"/>
        <v>0</v>
      </c>
      <c r="CI194" s="24" t="b">
        <f t="shared" si="430"/>
        <v>0</v>
      </c>
      <c r="CJ194" s="24" t="b">
        <f t="shared" si="430"/>
        <v>0</v>
      </c>
      <c r="CK194" s="24" t="b">
        <f t="shared" si="430"/>
        <v>0</v>
      </c>
      <c r="CL194" s="24" t="b">
        <f t="shared" si="430"/>
        <v>0</v>
      </c>
      <c r="CM194" s="24" t="b">
        <f t="shared" si="430"/>
        <v>0</v>
      </c>
      <c r="CN194" s="24" t="b">
        <f t="shared" si="430"/>
        <v>0</v>
      </c>
      <c r="CO194" s="24" t="b">
        <f t="shared" si="430"/>
        <v>0</v>
      </c>
      <c r="CP194" s="24" t="b">
        <f t="shared" si="430"/>
        <v>0</v>
      </c>
      <c r="CQ194" s="24" t="b">
        <f t="shared" si="430"/>
        <v>0</v>
      </c>
      <c r="CR194" s="24" t="b">
        <f t="shared" si="430"/>
        <v>0</v>
      </c>
      <c r="CS194" s="24" t="b">
        <f t="shared" si="430"/>
        <v>0</v>
      </c>
      <c r="CT194" s="24" t="b">
        <f t="shared" si="430"/>
        <v>0</v>
      </c>
      <c r="CU194" s="24" t="b">
        <f t="shared" si="430"/>
        <v>0</v>
      </c>
      <c r="CV194" s="24" t="b">
        <f t="shared" si="430"/>
        <v>0</v>
      </c>
      <c r="CW194" s="24" t="b">
        <f t="shared" si="430"/>
        <v>0</v>
      </c>
      <c r="CX194" s="24" t="b">
        <f t="shared" si="430"/>
        <v>0</v>
      </c>
      <c r="CY194" s="24" t="b">
        <f t="shared" si="430"/>
        <v>0</v>
      </c>
      <c r="CZ194" s="24" t="b">
        <f t="shared" si="430"/>
        <v>0</v>
      </c>
      <c r="DA194" s="24" t="b">
        <f t="shared" si="430"/>
        <v>0</v>
      </c>
      <c r="DB194" s="24" t="b">
        <f t="shared" si="430"/>
        <v>0</v>
      </c>
      <c r="DC194" s="24" t="b">
        <f t="shared" si="430"/>
        <v>0</v>
      </c>
      <c r="DD194" s="24" t="b">
        <f t="shared" si="430"/>
        <v>0</v>
      </c>
      <c r="DE194" s="24" t="b">
        <f t="shared" si="430"/>
        <v>0</v>
      </c>
      <c r="DF194" s="24" t="b">
        <f t="shared" si="430"/>
        <v>0</v>
      </c>
      <c r="DG194" s="24" t="b">
        <f t="shared" si="430"/>
        <v>0</v>
      </c>
      <c r="DH194" s="24" t="b">
        <f t="shared" si="430"/>
        <v>0</v>
      </c>
      <c r="DI194" s="24" t="b">
        <f t="shared" si="430"/>
        <v>0</v>
      </c>
      <c r="DJ194" s="24" t="b">
        <f t="shared" si="430"/>
        <v>0</v>
      </c>
      <c r="DK194" s="24" t="b">
        <f t="shared" si="430"/>
        <v>0</v>
      </c>
      <c r="DL194" s="24" t="b">
        <f t="shared" si="430"/>
        <v>0</v>
      </c>
      <c r="DM194" s="24" t="b">
        <f t="shared" si="430"/>
        <v>0</v>
      </c>
      <c r="DN194" s="24" t="b">
        <f t="shared" si="430"/>
        <v>0</v>
      </c>
      <c r="DO194" s="24" t="b">
        <f t="shared" si="430"/>
        <v>0</v>
      </c>
      <c r="DP194" s="24" t="b">
        <f t="shared" si="430"/>
        <v>0</v>
      </c>
      <c r="DQ194" s="24" t="b">
        <f t="shared" si="430"/>
        <v>0</v>
      </c>
      <c r="DR194" s="24" t="b">
        <f t="shared" si="430"/>
        <v>0</v>
      </c>
      <c r="DS194" s="24" t="b">
        <f t="shared" si="430"/>
        <v>0</v>
      </c>
      <c r="DT194" s="24" t="b">
        <f t="shared" si="430"/>
        <v>0</v>
      </c>
      <c r="DU194" s="24" t="b">
        <f t="shared" si="430"/>
        <v>0</v>
      </c>
      <c r="DV194" s="24" t="b">
        <f t="shared" si="430"/>
        <v>0</v>
      </c>
      <c r="DW194" s="24" t="b">
        <f t="shared" si="430"/>
        <v>0</v>
      </c>
      <c r="DX194" s="24" t="b">
        <f t="shared" si="430"/>
        <v>0</v>
      </c>
      <c r="DY194" s="24" t="b">
        <f t="shared" si="430"/>
        <v>0</v>
      </c>
      <c r="DZ194" s="24" t="b">
        <f t="shared" si="430"/>
        <v>0</v>
      </c>
      <c r="EA194" s="24" t="b">
        <f t="shared" si="430"/>
        <v>0</v>
      </c>
      <c r="EB194" s="24" t="b">
        <f t="shared" si="430"/>
        <v>0</v>
      </c>
      <c r="EC194" s="24" t="b">
        <f t="shared" si="430"/>
        <v>0</v>
      </c>
      <c r="ED194" s="24" t="b">
        <f t="shared" si="430"/>
        <v>0</v>
      </c>
      <c r="EE194" s="24" t="b">
        <f t="shared" si="430"/>
        <v>0</v>
      </c>
      <c r="EF194" s="24" t="b">
        <f t="shared" si="430"/>
        <v>0</v>
      </c>
      <c r="EG194" s="24" t="b">
        <f t="shared" si="430"/>
        <v>0</v>
      </c>
      <c r="EH194" s="24" t="b">
        <f t="shared" si="430"/>
        <v>0</v>
      </c>
      <c r="EI194" s="24" t="b">
        <f t="shared" si="430"/>
        <v>0</v>
      </c>
      <c r="EJ194" s="24" t="b">
        <f t="shared" si="430"/>
        <v>0</v>
      </c>
      <c r="EK194" s="24" t="b">
        <f t="shared" si="430"/>
        <v>0</v>
      </c>
      <c r="EL194" s="24" t="b">
        <f t="shared" si="430"/>
        <v>0</v>
      </c>
      <c r="EM194" s="24" t="b">
        <f t="shared" ref="EM194:GX194" si="431">IF(EM193&lt;&gt;"NA",EM190&gt;$G$190)</f>
        <v>0</v>
      </c>
      <c r="EN194" s="24" t="b">
        <f t="shared" si="431"/>
        <v>0</v>
      </c>
      <c r="EO194" s="24" t="b">
        <f t="shared" si="431"/>
        <v>0</v>
      </c>
      <c r="EP194" s="24" t="b">
        <f t="shared" si="431"/>
        <v>0</v>
      </c>
      <c r="EQ194" s="24" t="b">
        <f t="shared" si="431"/>
        <v>0</v>
      </c>
      <c r="ER194" s="24" t="b">
        <f t="shared" si="431"/>
        <v>0</v>
      </c>
      <c r="ES194" s="24" t="b">
        <f t="shared" si="431"/>
        <v>0</v>
      </c>
      <c r="ET194" s="24" t="b">
        <f t="shared" si="431"/>
        <v>0</v>
      </c>
      <c r="EU194" s="24" t="b">
        <f t="shared" si="431"/>
        <v>0</v>
      </c>
      <c r="EV194" s="24" t="b">
        <f t="shared" si="431"/>
        <v>0</v>
      </c>
      <c r="EW194" s="24" t="b">
        <f t="shared" si="431"/>
        <v>0</v>
      </c>
      <c r="EX194" s="24" t="b">
        <f t="shared" si="431"/>
        <v>0</v>
      </c>
      <c r="EY194" s="24" t="b">
        <f t="shared" si="431"/>
        <v>0</v>
      </c>
      <c r="EZ194" s="24" t="b">
        <f t="shared" si="431"/>
        <v>0</v>
      </c>
      <c r="FA194" s="24" t="b">
        <f t="shared" si="431"/>
        <v>0</v>
      </c>
      <c r="FB194" s="24" t="b">
        <f t="shared" si="431"/>
        <v>0</v>
      </c>
      <c r="FC194" s="24" t="b">
        <f t="shared" si="431"/>
        <v>0</v>
      </c>
      <c r="FD194" s="24" t="b">
        <f t="shared" si="431"/>
        <v>0</v>
      </c>
      <c r="FE194" s="24" t="b">
        <f t="shared" si="431"/>
        <v>0</v>
      </c>
      <c r="FF194" s="24" t="b">
        <f t="shared" si="431"/>
        <v>0</v>
      </c>
      <c r="FG194" s="24" t="b">
        <f t="shared" si="431"/>
        <v>0</v>
      </c>
      <c r="FH194" s="24" t="b">
        <f t="shared" si="431"/>
        <v>0</v>
      </c>
      <c r="FI194" s="24" t="b">
        <f t="shared" si="431"/>
        <v>0</v>
      </c>
      <c r="FJ194" s="24" t="b">
        <f t="shared" si="431"/>
        <v>0</v>
      </c>
      <c r="FK194" s="24" t="b">
        <f t="shared" si="431"/>
        <v>0</v>
      </c>
      <c r="FL194" s="24" t="b">
        <f t="shared" si="431"/>
        <v>0</v>
      </c>
      <c r="FM194" s="24" t="b">
        <f t="shared" si="431"/>
        <v>0</v>
      </c>
      <c r="FN194" s="24" t="b">
        <f t="shared" si="431"/>
        <v>0</v>
      </c>
      <c r="FO194" s="24" t="b">
        <f t="shared" si="431"/>
        <v>0</v>
      </c>
      <c r="FP194" s="24" t="b">
        <f t="shared" si="431"/>
        <v>0</v>
      </c>
      <c r="FQ194" s="24" t="b">
        <f t="shared" si="431"/>
        <v>0</v>
      </c>
      <c r="FR194" s="24" t="b">
        <f t="shared" si="431"/>
        <v>0</v>
      </c>
      <c r="FS194" s="24" t="b">
        <f t="shared" si="431"/>
        <v>0</v>
      </c>
      <c r="FT194" s="24" t="b">
        <f t="shared" si="431"/>
        <v>0</v>
      </c>
      <c r="FU194" s="24" t="b">
        <f t="shared" si="431"/>
        <v>0</v>
      </c>
      <c r="FV194" s="24" t="b">
        <f t="shared" si="431"/>
        <v>0</v>
      </c>
      <c r="FW194" s="24" t="b">
        <f t="shared" si="431"/>
        <v>0</v>
      </c>
      <c r="FX194" s="24" t="b">
        <f t="shared" si="431"/>
        <v>0</v>
      </c>
      <c r="FY194" s="24" t="b">
        <f t="shared" si="431"/>
        <v>0</v>
      </c>
      <c r="FZ194" s="24" t="b">
        <f t="shared" si="431"/>
        <v>0</v>
      </c>
      <c r="GA194" s="24" t="b">
        <f t="shared" si="431"/>
        <v>0</v>
      </c>
      <c r="GB194" s="24" t="b">
        <f t="shared" si="431"/>
        <v>0</v>
      </c>
      <c r="GC194" s="24" t="b">
        <f t="shared" si="431"/>
        <v>0</v>
      </c>
      <c r="GD194" s="24" t="b">
        <f t="shared" si="431"/>
        <v>0</v>
      </c>
      <c r="GE194" s="24" t="b">
        <f t="shared" si="431"/>
        <v>0</v>
      </c>
      <c r="GF194" s="24" t="b">
        <f t="shared" si="431"/>
        <v>0</v>
      </c>
      <c r="GG194" s="24" t="b">
        <f t="shared" si="431"/>
        <v>0</v>
      </c>
      <c r="GH194" s="24" t="b">
        <f t="shared" si="431"/>
        <v>0</v>
      </c>
      <c r="GI194" s="24" t="b">
        <f t="shared" si="431"/>
        <v>0</v>
      </c>
      <c r="GJ194" s="24" t="b">
        <f t="shared" si="431"/>
        <v>0</v>
      </c>
      <c r="GK194" s="24" t="b">
        <f t="shared" si="431"/>
        <v>0</v>
      </c>
      <c r="GL194" s="24" t="b">
        <f t="shared" si="431"/>
        <v>0</v>
      </c>
      <c r="GM194" s="24" t="b">
        <f t="shared" si="431"/>
        <v>0</v>
      </c>
      <c r="GN194" s="24" t="b">
        <f t="shared" si="431"/>
        <v>0</v>
      </c>
      <c r="GO194" s="24" t="b">
        <f t="shared" si="431"/>
        <v>0</v>
      </c>
      <c r="GP194" s="24" t="b">
        <f t="shared" si="431"/>
        <v>0</v>
      </c>
      <c r="GQ194" s="24" t="b">
        <f t="shared" si="431"/>
        <v>0</v>
      </c>
      <c r="GR194" s="24" t="b">
        <f t="shared" si="431"/>
        <v>0</v>
      </c>
      <c r="GS194" s="24" t="b">
        <f t="shared" si="431"/>
        <v>0</v>
      </c>
      <c r="GT194" s="24" t="b">
        <f t="shared" si="431"/>
        <v>0</v>
      </c>
      <c r="GU194" s="24" t="b">
        <f t="shared" si="431"/>
        <v>0</v>
      </c>
      <c r="GV194" s="24" t="b">
        <f t="shared" si="431"/>
        <v>0</v>
      </c>
      <c r="GW194" s="24" t="b">
        <f t="shared" si="431"/>
        <v>0</v>
      </c>
      <c r="GX194" s="24" t="b">
        <f t="shared" si="431"/>
        <v>0</v>
      </c>
      <c r="GY194" s="24" t="b">
        <f t="shared" ref="GY194:JJ194" si="432">IF(GY193&lt;&gt;"NA",GY190&gt;$G$190)</f>
        <v>0</v>
      </c>
      <c r="GZ194" s="24" t="b">
        <f t="shared" si="432"/>
        <v>0</v>
      </c>
      <c r="HA194" s="24" t="b">
        <f t="shared" si="432"/>
        <v>0</v>
      </c>
      <c r="HB194" s="24" t="b">
        <f t="shared" si="432"/>
        <v>0</v>
      </c>
      <c r="HC194" s="24" t="b">
        <f t="shared" si="432"/>
        <v>0</v>
      </c>
      <c r="HD194" s="24" t="b">
        <f t="shared" si="432"/>
        <v>0</v>
      </c>
      <c r="HE194" s="24" t="b">
        <f t="shared" si="432"/>
        <v>0</v>
      </c>
      <c r="HF194" s="24" t="b">
        <f t="shared" si="432"/>
        <v>0</v>
      </c>
      <c r="HG194" s="24" t="b">
        <f t="shared" si="432"/>
        <v>0</v>
      </c>
      <c r="HH194" s="24" t="b">
        <f t="shared" si="432"/>
        <v>0</v>
      </c>
      <c r="HI194" s="24" t="b">
        <f t="shared" si="432"/>
        <v>0</v>
      </c>
      <c r="HJ194" s="24" t="b">
        <f t="shared" si="432"/>
        <v>0</v>
      </c>
      <c r="HK194" s="24" t="b">
        <f t="shared" si="432"/>
        <v>0</v>
      </c>
      <c r="HL194" s="24" t="b">
        <f t="shared" si="432"/>
        <v>0</v>
      </c>
      <c r="HM194" s="24" t="b">
        <f t="shared" si="432"/>
        <v>0</v>
      </c>
      <c r="HN194" s="24" t="b">
        <f t="shared" si="432"/>
        <v>0</v>
      </c>
      <c r="HO194" s="24" t="b">
        <f t="shared" si="432"/>
        <v>0</v>
      </c>
      <c r="HP194" s="24" t="b">
        <f t="shared" si="432"/>
        <v>0</v>
      </c>
      <c r="HQ194" s="24" t="b">
        <f t="shared" si="432"/>
        <v>0</v>
      </c>
      <c r="HR194" s="24" t="b">
        <f t="shared" si="432"/>
        <v>0</v>
      </c>
      <c r="HS194" s="24" t="b">
        <f t="shared" si="432"/>
        <v>0</v>
      </c>
      <c r="HT194" s="24" t="b">
        <f t="shared" si="432"/>
        <v>0</v>
      </c>
      <c r="HU194" s="24" t="b">
        <f t="shared" si="432"/>
        <v>0</v>
      </c>
      <c r="HV194" s="24" t="b">
        <f t="shared" si="432"/>
        <v>0</v>
      </c>
      <c r="HW194" s="24" t="b">
        <f t="shared" si="432"/>
        <v>0</v>
      </c>
      <c r="HX194" s="24" t="b">
        <f t="shared" si="432"/>
        <v>0</v>
      </c>
      <c r="HY194" s="24" t="b">
        <f t="shared" si="432"/>
        <v>0</v>
      </c>
      <c r="HZ194" s="24" t="b">
        <f t="shared" si="432"/>
        <v>0</v>
      </c>
      <c r="IA194" s="24" t="b">
        <f t="shared" si="432"/>
        <v>0</v>
      </c>
      <c r="IB194" s="24" t="b">
        <f t="shared" si="432"/>
        <v>0</v>
      </c>
      <c r="IC194" s="24" t="b">
        <f t="shared" si="432"/>
        <v>0</v>
      </c>
      <c r="ID194" s="24" t="b">
        <f t="shared" si="432"/>
        <v>0</v>
      </c>
      <c r="IE194" s="24" t="b">
        <f t="shared" si="432"/>
        <v>0</v>
      </c>
      <c r="IF194" s="24" t="b">
        <f t="shared" si="432"/>
        <v>0</v>
      </c>
      <c r="IG194" s="24" t="b">
        <f t="shared" si="432"/>
        <v>0</v>
      </c>
      <c r="IH194" s="24" t="b">
        <f t="shared" si="432"/>
        <v>0</v>
      </c>
      <c r="II194" s="24" t="b">
        <f t="shared" si="432"/>
        <v>0</v>
      </c>
      <c r="IJ194" s="24" t="b">
        <f t="shared" si="432"/>
        <v>0</v>
      </c>
      <c r="IK194" s="24" t="b">
        <f t="shared" si="432"/>
        <v>0</v>
      </c>
      <c r="IL194" s="24" t="b">
        <f t="shared" si="432"/>
        <v>0</v>
      </c>
      <c r="IM194" s="24" t="b">
        <f t="shared" si="432"/>
        <v>0</v>
      </c>
      <c r="IN194" s="24" t="b">
        <f t="shared" si="432"/>
        <v>0</v>
      </c>
      <c r="IO194" s="24" t="b">
        <f t="shared" si="432"/>
        <v>0</v>
      </c>
      <c r="IP194" s="24" t="b">
        <f t="shared" si="432"/>
        <v>0</v>
      </c>
      <c r="IQ194" s="24" t="b">
        <f t="shared" si="432"/>
        <v>0</v>
      </c>
      <c r="IR194" s="24" t="b">
        <f t="shared" si="432"/>
        <v>0</v>
      </c>
      <c r="IS194" s="24" t="b">
        <f t="shared" si="432"/>
        <v>0</v>
      </c>
      <c r="IT194" s="24" t="b">
        <f t="shared" si="432"/>
        <v>0</v>
      </c>
      <c r="IU194" s="24" t="b">
        <f t="shared" si="432"/>
        <v>0</v>
      </c>
      <c r="IV194" s="24" t="b">
        <f t="shared" si="432"/>
        <v>0</v>
      </c>
      <c r="IW194" s="24" t="b">
        <f t="shared" si="432"/>
        <v>0</v>
      </c>
      <c r="IX194" s="24" t="b">
        <f t="shared" si="432"/>
        <v>0</v>
      </c>
      <c r="IY194" s="24" t="b">
        <f t="shared" si="432"/>
        <v>0</v>
      </c>
      <c r="IZ194" s="24" t="b">
        <f t="shared" si="432"/>
        <v>0</v>
      </c>
      <c r="JA194" s="24" t="b">
        <f t="shared" si="432"/>
        <v>0</v>
      </c>
      <c r="JB194" s="24" t="b">
        <f t="shared" si="432"/>
        <v>0</v>
      </c>
      <c r="JC194" s="24" t="b">
        <f t="shared" si="432"/>
        <v>0</v>
      </c>
      <c r="JD194" s="24" t="b">
        <f t="shared" si="432"/>
        <v>0</v>
      </c>
      <c r="JE194" s="24" t="b">
        <f t="shared" si="432"/>
        <v>0</v>
      </c>
      <c r="JF194" s="24" t="b">
        <f t="shared" si="432"/>
        <v>0</v>
      </c>
      <c r="JG194" s="24" t="b">
        <f t="shared" si="432"/>
        <v>0</v>
      </c>
      <c r="JH194" s="24" t="b">
        <f t="shared" si="432"/>
        <v>0</v>
      </c>
      <c r="JI194" s="24" t="b">
        <f t="shared" si="432"/>
        <v>0</v>
      </c>
      <c r="JJ194" s="24" t="b">
        <f t="shared" si="432"/>
        <v>0</v>
      </c>
      <c r="JK194" s="24" t="b">
        <f t="shared" ref="JK194:KI194" si="433">IF(JK193&lt;&gt;"NA",JK190&gt;$G$190)</f>
        <v>0</v>
      </c>
      <c r="JL194" s="24" t="b">
        <f t="shared" si="433"/>
        <v>0</v>
      </c>
      <c r="JM194" s="24" t="b">
        <f t="shared" si="433"/>
        <v>0</v>
      </c>
      <c r="JN194" s="24" t="b">
        <f t="shared" si="433"/>
        <v>0</v>
      </c>
      <c r="JO194" s="24" t="b">
        <f t="shared" si="433"/>
        <v>0</v>
      </c>
      <c r="JP194" s="24" t="b">
        <f t="shared" si="433"/>
        <v>0</v>
      </c>
      <c r="JQ194" s="24" t="b">
        <f t="shared" si="433"/>
        <v>0</v>
      </c>
      <c r="JR194" s="24" t="b">
        <f t="shared" si="433"/>
        <v>0</v>
      </c>
      <c r="JS194" s="24" t="b">
        <f t="shared" si="433"/>
        <v>0</v>
      </c>
      <c r="JT194" s="24" t="b">
        <f t="shared" si="433"/>
        <v>0</v>
      </c>
      <c r="JU194" s="24" t="b">
        <f t="shared" si="433"/>
        <v>0</v>
      </c>
      <c r="JV194" s="24" t="b">
        <f t="shared" si="433"/>
        <v>0</v>
      </c>
      <c r="JW194" s="24" t="b">
        <f t="shared" si="433"/>
        <v>0</v>
      </c>
      <c r="JX194" s="24" t="b">
        <f t="shared" si="433"/>
        <v>0</v>
      </c>
      <c r="JY194" s="24" t="b">
        <f t="shared" si="433"/>
        <v>0</v>
      </c>
      <c r="JZ194" s="24" t="b">
        <f t="shared" si="433"/>
        <v>0</v>
      </c>
      <c r="KA194" s="24" t="b">
        <f t="shared" si="433"/>
        <v>0</v>
      </c>
      <c r="KB194" s="24" t="b">
        <f t="shared" si="433"/>
        <v>0</v>
      </c>
      <c r="KC194" s="24" t="b">
        <f t="shared" si="433"/>
        <v>0</v>
      </c>
      <c r="KD194" s="24" t="b">
        <f t="shared" si="433"/>
        <v>0</v>
      </c>
      <c r="KE194" s="24" t="b">
        <f t="shared" si="433"/>
        <v>0</v>
      </c>
      <c r="KF194" s="24" t="b">
        <f t="shared" si="433"/>
        <v>0</v>
      </c>
      <c r="KG194" s="24" t="b">
        <f t="shared" si="433"/>
        <v>0</v>
      </c>
      <c r="KH194" s="24" t="b">
        <f t="shared" si="433"/>
        <v>0</v>
      </c>
      <c r="KI194" s="24" t="b">
        <f t="shared" si="433"/>
        <v>0</v>
      </c>
      <c r="KJ194" s="1"/>
    </row>
    <row r="195" spans="8:296" x14ac:dyDescent="0.35">
      <c r="KJ195" s="1"/>
    </row>
    <row r="196" spans="8:296" ht="46.8" x14ac:dyDescent="0.35">
      <c r="N196" s="68" t="s">
        <v>200</v>
      </c>
      <c r="KJ196" s="1"/>
    </row>
    <row r="197" spans="8:296" x14ac:dyDescent="0.35">
      <c r="KJ197" s="1"/>
    </row>
    <row r="198" spans="8:296" x14ac:dyDescent="0.35">
      <c r="KJ198" s="1"/>
    </row>
    <row r="199" spans="8:296" x14ac:dyDescent="0.35">
      <c r="KJ199" s="1"/>
    </row>
    <row r="200" spans="8:296" x14ac:dyDescent="0.35">
      <c r="KJ200" s="1"/>
    </row>
    <row r="201" spans="8:296" x14ac:dyDescent="0.35">
      <c r="KJ201" s="1"/>
    </row>
    <row r="202" spans="8:296" x14ac:dyDescent="0.35">
      <c r="KJ202" s="1"/>
    </row>
    <row r="203" spans="8:296" x14ac:dyDescent="0.35">
      <c r="KJ203" s="1"/>
    </row>
    <row r="204" spans="8:296" x14ac:dyDescent="0.35">
      <c r="KJ204" s="1"/>
    </row>
    <row r="205" spans="8:296" x14ac:dyDescent="0.35">
      <c r="KJ205" s="1"/>
    </row>
    <row r="206" spans="8:296" x14ac:dyDescent="0.35">
      <c r="KJ206" s="1"/>
    </row>
    <row r="207" spans="8:296" x14ac:dyDescent="0.35">
      <c r="KJ207" s="1"/>
    </row>
    <row r="208" spans="8:296" x14ac:dyDescent="0.35">
      <c r="KJ208" s="1"/>
    </row>
    <row r="209" spans="296:296" x14ac:dyDescent="0.35">
      <c r="KJ209" s="1"/>
    </row>
    <row r="210" spans="296:296" x14ac:dyDescent="0.35">
      <c r="KJ210" s="1"/>
    </row>
    <row r="211" spans="296:296" x14ac:dyDescent="0.35">
      <c r="KJ211" s="1"/>
    </row>
    <row r="212" spans="296:296" x14ac:dyDescent="0.35">
      <c r="KJ212" s="1"/>
    </row>
    <row r="213" spans="296:296" x14ac:dyDescent="0.35">
      <c r="KJ213" s="1"/>
    </row>
    <row r="214" spans="296:296" x14ac:dyDescent="0.35">
      <c r="KJ214" s="1"/>
    </row>
    <row r="215" spans="296:296" x14ac:dyDescent="0.35">
      <c r="KJ215" s="1"/>
    </row>
    <row r="216" spans="296:296" x14ac:dyDescent="0.35">
      <c r="KJ216" s="1"/>
    </row>
    <row r="217" spans="296:296" x14ac:dyDescent="0.35">
      <c r="KJ217" s="1"/>
    </row>
    <row r="218" spans="296:296" x14ac:dyDescent="0.35">
      <c r="KJ218" s="1"/>
    </row>
    <row r="219" spans="296:296" x14ac:dyDescent="0.35">
      <c r="KJ219" s="1"/>
    </row>
    <row r="220" spans="296:296" x14ac:dyDescent="0.35">
      <c r="KJ220" s="1"/>
    </row>
    <row r="221" spans="296:296" x14ac:dyDescent="0.35">
      <c r="KJ221" s="1"/>
    </row>
    <row r="222" spans="296:296" x14ac:dyDescent="0.35">
      <c r="KJ222" s="1"/>
    </row>
    <row r="223" spans="296:296" x14ac:dyDescent="0.35">
      <c r="KJ223" s="1"/>
    </row>
    <row r="224" spans="296:296" x14ac:dyDescent="0.35">
      <c r="KJ224" s="1"/>
    </row>
    <row r="225" spans="296:296" x14ac:dyDescent="0.35">
      <c r="KJ225" s="1"/>
    </row>
    <row r="226" spans="296:296" x14ac:dyDescent="0.35">
      <c r="KJ226" s="1"/>
    </row>
    <row r="227" spans="296:296" x14ac:dyDescent="0.35">
      <c r="KJ227" s="1"/>
    </row>
    <row r="228" spans="296:296" x14ac:dyDescent="0.35">
      <c r="KJ228" s="1"/>
    </row>
    <row r="229" spans="296:296" x14ac:dyDescent="0.35">
      <c r="KJ229" s="1"/>
    </row>
    <row r="230" spans="296:296" x14ac:dyDescent="0.35">
      <c r="KJ230" s="1"/>
    </row>
    <row r="231" spans="296:296" x14ac:dyDescent="0.35">
      <c r="KJ231" s="1"/>
    </row>
    <row r="232" spans="296:296" x14ac:dyDescent="0.35">
      <c r="KJ232" s="1"/>
    </row>
    <row r="233" spans="296:296" x14ac:dyDescent="0.35">
      <c r="KJ233" s="1"/>
    </row>
    <row r="234" spans="296:296" x14ac:dyDescent="0.35">
      <c r="KJ234" s="1"/>
    </row>
    <row r="235" spans="296:296" x14ac:dyDescent="0.35">
      <c r="KJ235" s="1"/>
    </row>
    <row r="236" spans="296:296" x14ac:dyDescent="0.35">
      <c r="KJ236" s="1"/>
    </row>
    <row r="237" spans="296:296" x14ac:dyDescent="0.35">
      <c r="KJ237" s="1"/>
    </row>
    <row r="238" spans="296:296" x14ac:dyDescent="0.35">
      <c r="KJ238" s="1"/>
    </row>
    <row r="239" spans="296:296" x14ac:dyDescent="0.35">
      <c r="KJ239" s="1"/>
    </row>
    <row r="240" spans="296:296" x14ac:dyDescent="0.35">
      <c r="KJ240" s="1"/>
    </row>
    <row r="241" spans="296:296" x14ac:dyDescent="0.35">
      <c r="KJ241" s="1"/>
    </row>
    <row r="242" spans="296:296" x14ac:dyDescent="0.35">
      <c r="KJ242" s="1"/>
    </row>
    <row r="243" spans="296:296" x14ac:dyDescent="0.35">
      <c r="KJ243" s="1"/>
    </row>
    <row r="244" spans="296:296" x14ac:dyDescent="0.35">
      <c r="KJ244" s="1"/>
    </row>
  </sheetData>
  <pageMargins left="0.7" right="0.7" top="0.75" bottom="0.75" header="0.3" footer="0.3"/>
  <ignoredErrors>
    <ignoredError sqref="O61:KI61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9B57E-26D1-49AC-90A6-16BE54207799}">
  <sheetPr codeName="Sheet9">
    <tabColor theme="8" tint="0.89999084444715716"/>
  </sheetPr>
  <dimension ref="A1:KH166"/>
  <sheetViews>
    <sheetView showGridLines="0" zoomScaleNormal="100" workbookViewId="0">
      <pane ySplit="7" topLeftCell="A110" activePane="bottomLeft" state="frozen"/>
      <selection activeCell="M317" sqref="M317"/>
      <selection pane="bottomLeft" activeCell="G2" sqref="G2:G4"/>
    </sheetView>
    <sheetView workbookViewId="1"/>
  </sheetViews>
  <sheetFormatPr defaultColWidth="0" defaultRowHeight="15.6" zeroHeight="1" outlineLevelRow="1" x14ac:dyDescent="0.35"/>
  <cols>
    <col min="1" max="1" width="2.69921875" bestFit="1" customWidth="1"/>
    <col min="2" max="2" width="9.19921875" customWidth="1"/>
    <col min="3" max="3" width="13.69921875" bestFit="1" customWidth="1"/>
    <col min="4" max="4" width="11.796875" customWidth="1"/>
    <col min="5" max="5" width="14.5" bestFit="1" customWidth="1"/>
    <col min="6" max="6" width="2.69921875" customWidth="1"/>
    <col min="7" max="7" width="1.796875" bestFit="1" customWidth="1"/>
    <col min="8" max="9" width="1.796875" customWidth="1"/>
    <col min="10" max="10" width="24.796875" bestFit="1" customWidth="1"/>
    <col min="11" max="11" width="9.19921875" customWidth="1"/>
    <col min="12" max="13" width="11.296875" bestFit="1" customWidth="1"/>
    <col min="14" max="292" width="9.19921875" customWidth="1"/>
    <col min="293" max="294" width="2.69921875" bestFit="1" customWidth="1"/>
    <col min="295" max="16384" width="9.19921875" hidden="1"/>
  </cols>
  <sheetData>
    <row r="1" spans="1:292" x14ac:dyDescent="0.35"/>
    <row r="2" spans="1:292" x14ac:dyDescent="0.35">
      <c r="A2" s="1"/>
      <c r="B2" s="2" t="s">
        <v>28</v>
      </c>
      <c r="C2" s="2"/>
      <c r="D2" s="2"/>
      <c r="E2" s="2"/>
      <c r="F2" s="1"/>
      <c r="G2" s="2" t="str">
        <f>Control!$D$2</f>
        <v>Basic Financial Model</v>
      </c>
      <c r="H2" s="2"/>
      <c r="I2" s="2"/>
      <c r="J2" s="4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</row>
    <row r="3" spans="1:292" x14ac:dyDescent="0.35">
      <c r="A3" s="1"/>
      <c r="B3" s="2"/>
      <c r="C3" s="2"/>
      <c r="D3" s="2"/>
      <c r="E3" s="2"/>
      <c r="F3" s="1"/>
      <c r="G3" s="2" t="str">
        <f ca="1">MID(CELL("filename",$A$1),FIND("]",CELL("filename",$A$1))+1,255)</f>
        <v>Inputs</v>
      </c>
      <c r="H3" s="2"/>
      <c r="I3" s="2"/>
      <c r="J3" s="4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  <c r="KB3" s="2"/>
      <c r="KC3" s="2"/>
      <c r="KD3" s="2"/>
      <c r="KE3" s="2"/>
      <c r="KF3" s="2"/>
    </row>
    <row r="4" spans="1:292" x14ac:dyDescent="0.35">
      <c r="A4" s="1"/>
      <c r="B4" s="2"/>
      <c r="C4" s="2"/>
      <c r="D4" s="2"/>
      <c r="E4" s="2"/>
      <c r="F4" s="1"/>
      <c r="G4" s="2" t="str">
        <f>Control!$D$4</f>
        <v>Financial Scenario: Base Case</v>
      </c>
      <c r="H4" s="2"/>
      <c r="I4" s="2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  <c r="IU4" s="2"/>
      <c r="IV4" s="2"/>
      <c r="IW4" s="2"/>
      <c r="IX4" s="2"/>
      <c r="IY4" s="2"/>
      <c r="IZ4" s="2"/>
      <c r="JA4" s="2"/>
      <c r="JB4" s="2"/>
      <c r="JC4" s="2"/>
      <c r="JD4" s="2"/>
      <c r="JE4" s="2"/>
      <c r="JF4" s="2"/>
      <c r="JG4" s="2"/>
      <c r="JH4" s="2"/>
      <c r="JI4" s="2"/>
      <c r="JJ4" s="2"/>
      <c r="JK4" s="2"/>
      <c r="JL4" s="2"/>
      <c r="JM4" s="2"/>
      <c r="JN4" s="2"/>
      <c r="JO4" s="2"/>
      <c r="JP4" s="2"/>
      <c r="JQ4" s="2"/>
      <c r="JR4" s="2"/>
      <c r="JS4" s="2"/>
      <c r="JT4" s="2"/>
      <c r="JU4" s="2"/>
      <c r="JV4" s="2"/>
      <c r="JW4" s="2"/>
      <c r="JX4" s="2"/>
      <c r="JY4" s="2"/>
      <c r="JZ4" s="2"/>
      <c r="KA4" s="2"/>
      <c r="KB4" s="2"/>
      <c r="KC4" s="2"/>
      <c r="KD4" s="2"/>
      <c r="KE4" s="2"/>
      <c r="KF4" s="2"/>
    </row>
    <row r="5" spans="1:292" x14ac:dyDescent="0.35">
      <c r="A5" s="1"/>
      <c r="B5" s="2"/>
      <c r="C5" s="2"/>
      <c r="D5" s="2"/>
      <c r="E5" s="2"/>
      <c r="F5" s="1"/>
      <c r="G5" s="2" t="s">
        <v>0</v>
      </c>
      <c r="H5" s="2"/>
      <c r="I5" s="2"/>
      <c r="J5" s="4"/>
      <c r="K5" s="2" t="str">
        <f t="shared" ref="K5:BV5" si="0">K13</f>
        <v>CY26</v>
      </c>
      <c r="L5" s="2" t="str">
        <f t="shared" si="0"/>
        <v>CY26</v>
      </c>
      <c r="M5" s="2" t="str">
        <f t="shared" si="0"/>
        <v>CY26</v>
      </c>
      <c r="N5" s="2" t="str">
        <f t="shared" si="0"/>
        <v>CY26</v>
      </c>
      <c r="O5" s="2" t="str">
        <f t="shared" si="0"/>
        <v>CY26</v>
      </c>
      <c r="P5" s="2" t="str">
        <f t="shared" si="0"/>
        <v>CY26</v>
      </c>
      <c r="Q5" s="2" t="str">
        <f t="shared" si="0"/>
        <v>CY27</v>
      </c>
      <c r="R5" s="2" t="str">
        <f t="shared" si="0"/>
        <v>CY27</v>
      </c>
      <c r="S5" s="2" t="str">
        <f t="shared" si="0"/>
        <v>CY27</v>
      </c>
      <c r="T5" s="2" t="str">
        <f t="shared" si="0"/>
        <v>CY27</v>
      </c>
      <c r="U5" s="2" t="str">
        <f t="shared" si="0"/>
        <v>CY27</v>
      </c>
      <c r="V5" s="2" t="str">
        <f t="shared" si="0"/>
        <v>CY27</v>
      </c>
      <c r="W5" s="2" t="str">
        <f t="shared" si="0"/>
        <v>CY27</v>
      </c>
      <c r="X5" s="2" t="str">
        <f t="shared" si="0"/>
        <v>CY27</v>
      </c>
      <c r="Y5" s="2" t="str">
        <f t="shared" si="0"/>
        <v>CY27</v>
      </c>
      <c r="Z5" s="2" t="str">
        <f t="shared" si="0"/>
        <v>CY27</v>
      </c>
      <c r="AA5" s="2" t="str">
        <f t="shared" si="0"/>
        <v>CY27</v>
      </c>
      <c r="AB5" s="2" t="str">
        <f t="shared" si="0"/>
        <v>CY27</v>
      </c>
      <c r="AC5" s="2" t="str">
        <f t="shared" si="0"/>
        <v>CY28</v>
      </c>
      <c r="AD5" s="2" t="str">
        <f t="shared" si="0"/>
        <v>CY28</v>
      </c>
      <c r="AE5" s="2" t="str">
        <f t="shared" si="0"/>
        <v>CY28</v>
      </c>
      <c r="AF5" s="2" t="str">
        <f t="shared" si="0"/>
        <v>CY28</v>
      </c>
      <c r="AG5" s="2" t="str">
        <f t="shared" si="0"/>
        <v>CY28</v>
      </c>
      <c r="AH5" s="2" t="str">
        <f t="shared" si="0"/>
        <v>CY28</v>
      </c>
      <c r="AI5" s="2" t="str">
        <f t="shared" si="0"/>
        <v>CY28</v>
      </c>
      <c r="AJ5" s="2" t="str">
        <f t="shared" si="0"/>
        <v>CY28</v>
      </c>
      <c r="AK5" s="2" t="str">
        <f t="shared" si="0"/>
        <v>CY28</v>
      </c>
      <c r="AL5" s="2" t="str">
        <f t="shared" si="0"/>
        <v>CY28</v>
      </c>
      <c r="AM5" s="2" t="str">
        <f t="shared" si="0"/>
        <v>CY28</v>
      </c>
      <c r="AN5" s="2" t="str">
        <f t="shared" si="0"/>
        <v>CY28</v>
      </c>
      <c r="AO5" s="2" t="str">
        <f t="shared" si="0"/>
        <v>CY29</v>
      </c>
      <c r="AP5" s="2" t="str">
        <f t="shared" si="0"/>
        <v>CY29</v>
      </c>
      <c r="AQ5" s="2" t="str">
        <f t="shared" si="0"/>
        <v>CY29</v>
      </c>
      <c r="AR5" s="2" t="str">
        <f t="shared" si="0"/>
        <v>CY29</v>
      </c>
      <c r="AS5" s="2" t="str">
        <f t="shared" si="0"/>
        <v>CY29</v>
      </c>
      <c r="AT5" s="2" t="str">
        <f t="shared" si="0"/>
        <v>CY29</v>
      </c>
      <c r="AU5" s="2" t="str">
        <f t="shared" si="0"/>
        <v>CY29</v>
      </c>
      <c r="AV5" s="2" t="str">
        <f t="shared" si="0"/>
        <v>CY29</v>
      </c>
      <c r="AW5" s="2" t="str">
        <f t="shared" si="0"/>
        <v>CY29</v>
      </c>
      <c r="AX5" s="2" t="str">
        <f t="shared" si="0"/>
        <v>CY29</v>
      </c>
      <c r="AY5" s="2" t="str">
        <f t="shared" si="0"/>
        <v>CY29</v>
      </c>
      <c r="AZ5" s="2" t="str">
        <f t="shared" si="0"/>
        <v>CY29</v>
      </c>
      <c r="BA5" s="2" t="str">
        <f t="shared" si="0"/>
        <v>CY30</v>
      </c>
      <c r="BB5" s="2" t="str">
        <f t="shared" si="0"/>
        <v>CY30</v>
      </c>
      <c r="BC5" s="2" t="str">
        <f t="shared" si="0"/>
        <v>CY30</v>
      </c>
      <c r="BD5" s="2" t="str">
        <f t="shared" si="0"/>
        <v>CY30</v>
      </c>
      <c r="BE5" s="2" t="str">
        <f t="shared" si="0"/>
        <v>CY30</v>
      </c>
      <c r="BF5" s="2" t="str">
        <f t="shared" si="0"/>
        <v>CY30</v>
      </c>
      <c r="BG5" s="2" t="str">
        <f t="shared" si="0"/>
        <v>CY30</v>
      </c>
      <c r="BH5" s="2" t="str">
        <f t="shared" si="0"/>
        <v>CY30</v>
      </c>
      <c r="BI5" s="2" t="str">
        <f t="shared" si="0"/>
        <v>CY30</v>
      </c>
      <c r="BJ5" s="2" t="str">
        <f t="shared" si="0"/>
        <v>CY30</v>
      </c>
      <c r="BK5" s="2" t="str">
        <f t="shared" si="0"/>
        <v>CY30</v>
      </c>
      <c r="BL5" s="2" t="str">
        <f t="shared" si="0"/>
        <v>CY30</v>
      </c>
      <c r="BM5" s="2" t="str">
        <f t="shared" si="0"/>
        <v>CY31</v>
      </c>
      <c r="BN5" s="2" t="str">
        <f t="shared" si="0"/>
        <v>CY31</v>
      </c>
      <c r="BO5" s="2" t="str">
        <f t="shared" si="0"/>
        <v>CY31</v>
      </c>
      <c r="BP5" s="2" t="str">
        <f t="shared" si="0"/>
        <v>CY31</v>
      </c>
      <c r="BQ5" s="2" t="str">
        <f t="shared" si="0"/>
        <v>CY31</v>
      </c>
      <c r="BR5" s="2" t="str">
        <f t="shared" si="0"/>
        <v>CY31</v>
      </c>
      <c r="BS5" s="2" t="str">
        <f t="shared" si="0"/>
        <v>CY31</v>
      </c>
      <c r="BT5" s="2" t="str">
        <f t="shared" si="0"/>
        <v>CY31</v>
      </c>
      <c r="BU5" s="2" t="str">
        <f t="shared" si="0"/>
        <v>CY31</v>
      </c>
      <c r="BV5" s="2" t="str">
        <f t="shared" si="0"/>
        <v>CY31</v>
      </c>
      <c r="BW5" s="2" t="str">
        <f t="shared" ref="BW5:EH5" si="1">BW13</f>
        <v>CY31</v>
      </c>
      <c r="BX5" s="2" t="str">
        <f t="shared" si="1"/>
        <v>CY31</v>
      </c>
      <c r="BY5" s="2" t="str">
        <f t="shared" si="1"/>
        <v>CY32</v>
      </c>
      <c r="BZ5" s="2" t="str">
        <f t="shared" si="1"/>
        <v>CY32</v>
      </c>
      <c r="CA5" s="2" t="str">
        <f t="shared" si="1"/>
        <v>CY32</v>
      </c>
      <c r="CB5" s="2" t="str">
        <f t="shared" si="1"/>
        <v>CY32</v>
      </c>
      <c r="CC5" s="2" t="str">
        <f t="shared" si="1"/>
        <v>CY32</v>
      </c>
      <c r="CD5" s="2" t="str">
        <f t="shared" si="1"/>
        <v>CY32</v>
      </c>
      <c r="CE5" s="2" t="str">
        <f t="shared" si="1"/>
        <v>CY32</v>
      </c>
      <c r="CF5" s="2" t="str">
        <f t="shared" si="1"/>
        <v>CY32</v>
      </c>
      <c r="CG5" s="2" t="str">
        <f t="shared" si="1"/>
        <v>CY32</v>
      </c>
      <c r="CH5" s="2" t="str">
        <f t="shared" si="1"/>
        <v>CY32</v>
      </c>
      <c r="CI5" s="2" t="str">
        <f t="shared" si="1"/>
        <v>CY32</v>
      </c>
      <c r="CJ5" s="2" t="str">
        <f t="shared" si="1"/>
        <v>CY32</v>
      </c>
      <c r="CK5" s="2" t="str">
        <f t="shared" si="1"/>
        <v>CY33</v>
      </c>
      <c r="CL5" s="2" t="str">
        <f t="shared" si="1"/>
        <v>CY33</v>
      </c>
      <c r="CM5" s="2" t="str">
        <f t="shared" si="1"/>
        <v>CY33</v>
      </c>
      <c r="CN5" s="2" t="str">
        <f t="shared" si="1"/>
        <v>CY33</v>
      </c>
      <c r="CO5" s="2" t="str">
        <f t="shared" si="1"/>
        <v>CY33</v>
      </c>
      <c r="CP5" s="2" t="str">
        <f t="shared" si="1"/>
        <v>CY33</v>
      </c>
      <c r="CQ5" s="2" t="str">
        <f t="shared" si="1"/>
        <v>CY33</v>
      </c>
      <c r="CR5" s="2" t="str">
        <f t="shared" si="1"/>
        <v>CY33</v>
      </c>
      <c r="CS5" s="2" t="str">
        <f t="shared" si="1"/>
        <v>CY33</v>
      </c>
      <c r="CT5" s="2" t="str">
        <f t="shared" si="1"/>
        <v>CY33</v>
      </c>
      <c r="CU5" s="2" t="str">
        <f t="shared" si="1"/>
        <v>CY33</v>
      </c>
      <c r="CV5" s="2" t="str">
        <f t="shared" si="1"/>
        <v>CY33</v>
      </c>
      <c r="CW5" s="2" t="str">
        <f t="shared" si="1"/>
        <v>CY34</v>
      </c>
      <c r="CX5" s="2" t="str">
        <f t="shared" si="1"/>
        <v>CY34</v>
      </c>
      <c r="CY5" s="2" t="str">
        <f t="shared" si="1"/>
        <v>CY34</v>
      </c>
      <c r="CZ5" s="2" t="str">
        <f t="shared" si="1"/>
        <v>CY34</v>
      </c>
      <c r="DA5" s="2" t="str">
        <f t="shared" si="1"/>
        <v>CY34</v>
      </c>
      <c r="DB5" s="2" t="str">
        <f t="shared" si="1"/>
        <v>CY34</v>
      </c>
      <c r="DC5" s="2" t="str">
        <f t="shared" si="1"/>
        <v>CY34</v>
      </c>
      <c r="DD5" s="2" t="str">
        <f t="shared" si="1"/>
        <v>CY34</v>
      </c>
      <c r="DE5" s="2" t="str">
        <f t="shared" si="1"/>
        <v>CY34</v>
      </c>
      <c r="DF5" s="2" t="str">
        <f t="shared" si="1"/>
        <v>CY34</v>
      </c>
      <c r="DG5" s="2" t="str">
        <f t="shared" si="1"/>
        <v>CY34</v>
      </c>
      <c r="DH5" s="2" t="str">
        <f t="shared" si="1"/>
        <v>CY34</v>
      </c>
      <c r="DI5" s="2" t="str">
        <f t="shared" si="1"/>
        <v>CY35</v>
      </c>
      <c r="DJ5" s="2" t="str">
        <f t="shared" si="1"/>
        <v>CY35</v>
      </c>
      <c r="DK5" s="2" t="str">
        <f t="shared" si="1"/>
        <v>CY35</v>
      </c>
      <c r="DL5" s="2" t="str">
        <f t="shared" si="1"/>
        <v>CY35</v>
      </c>
      <c r="DM5" s="2" t="str">
        <f t="shared" si="1"/>
        <v>CY35</v>
      </c>
      <c r="DN5" s="2" t="str">
        <f t="shared" si="1"/>
        <v>CY35</v>
      </c>
      <c r="DO5" s="2" t="str">
        <f t="shared" si="1"/>
        <v>CY35</v>
      </c>
      <c r="DP5" s="2" t="str">
        <f t="shared" si="1"/>
        <v>CY35</v>
      </c>
      <c r="DQ5" s="2" t="str">
        <f t="shared" si="1"/>
        <v>CY35</v>
      </c>
      <c r="DR5" s="2" t="str">
        <f t="shared" si="1"/>
        <v>CY35</v>
      </c>
      <c r="DS5" s="2" t="str">
        <f t="shared" si="1"/>
        <v>CY35</v>
      </c>
      <c r="DT5" s="2" t="str">
        <f t="shared" si="1"/>
        <v>CY35</v>
      </c>
      <c r="DU5" s="2" t="str">
        <f t="shared" si="1"/>
        <v>CY36</v>
      </c>
      <c r="DV5" s="2" t="str">
        <f t="shared" si="1"/>
        <v>CY36</v>
      </c>
      <c r="DW5" s="2" t="str">
        <f t="shared" si="1"/>
        <v>CY36</v>
      </c>
      <c r="DX5" s="2" t="str">
        <f t="shared" si="1"/>
        <v>CY36</v>
      </c>
      <c r="DY5" s="2" t="str">
        <f t="shared" si="1"/>
        <v>CY36</v>
      </c>
      <c r="DZ5" s="2" t="str">
        <f t="shared" si="1"/>
        <v>CY36</v>
      </c>
      <c r="EA5" s="2" t="str">
        <f t="shared" si="1"/>
        <v>CY36</v>
      </c>
      <c r="EB5" s="2" t="str">
        <f t="shared" si="1"/>
        <v>CY36</v>
      </c>
      <c r="EC5" s="2" t="str">
        <f t="shared" si="1"/>
        <v>CY36</v>
      </c>
      <c r="ED5" s="2" t="str">
        <f t="shared" si="1"/>
        <v>CY36</v>
      </c>
      <c r="EE5" s="2" t="str">
        <f t="shared" si="1"/>
        <v>CY36</v>
      </c>
      <c r="EF5" s="2" t="str">
        <f t="shared" si="1"/>
        <v>CY36</v>
      </c>
      <c r="EG5" s="2" t="str">
        <f t="shared" si="1"/>
        <v>CY37</v>
      </c>
      <c r="EH5" s="2" t="str">
        <f t="shared" si="1"/>
        <v>CY37</v>
      </c>
      <c r="EI5" s="2" t="str">
        <f t="shared" ref="EI5:GT5" si="2">EI13</f>
        <v>CY37</v>
      </c>
      <c r="EJ5" s="2" t="str">
        <f t="shared" si="2"/>
        <v>CY37</v>
      </c>
      <c r="EK5" s="2" t="str">
        <f t="shared" si="2"/>
        <v>CY37</v>
      </c>
      <c r="EL5" s="2" t="str">
        <f t="shared" si="2"/>
        <v>CY37</v>
      </c>
      <c r="EM5" s="2" t="str">
        <f t="shared" si="2"/>
        <v>CY37</v>
      </c>
      <c r="EN5" s="2" t="str">
        <f t="shared" si="2"/>
        <v>CY37</v>
      </c>
      <c r="EO5" s="2" t="str">
        <f t="shared" si="2"/>
        <v>CY37</v>
      </c>
      <c r="EP5" s="2" t="str">
        <f t="shared" si="2"/>
        <v>CY37</v>
      </c>
      <c r="EQ5" s="2" t="str">
        <f t="shared" si="2"/>
        <v>CY37</v>
      </c>
      <c r="ER5" s="2" t="str">
        <f t="shared" si="2"/>
        <v>CY37</v>
      </c>
      <c r="ES5" s="2" t="str">
        <f t="shared" si="2"/>
        <v>CY38</v>
      </c>
      <c r="ET5" s="2" t="str">
        <f t="shared" si="2"/>
        <v>CY38</v>
      </c>
      <c r="EU5" s="2" t="str">
        <f t="shared" si="2"/>
        <v>CY38</v>
      </c>
      <c r="EV5" s="2" t="str">
        <f t="shared" si="2"/>
        <v>CY38</v>
      </c>
      <c r="EW5" s="2" t="str">
        <f t="shared" si="2"/>
        <v>CY38</v>
      </c>
      <c r="EX5" s="2" t="str">
        <f t="shared" si="2"/>
        <v>CY38</v>
      </c>
      <c r="EY5" s="2" t="str">
        <f t="shared" si="2"/>
        <v>CY38</v>
      </c>
      <c r="EZ5" s="2" t="str">
        <f t="shared" si="2"/>
        <v>CY38</v>
      </c>
      <c r="FA5" s="2" t="str">
        <f t="shared" si="2"/>
        <v>CY38</v>
      </c>
      <c r="FB5" s="2" t="str">
        <f t="shared" si="2"/>
        <v>CY38</v>
      </c>
      <c r="FC5" s="2" t="str">
        <f t="shared" si="2"/>
        <v>CY38</v>
      </c>
      <c r="FD5" s="2" t="str">
        <f t="shared" si="2"/>
        <v>CY38</v>
      </c>
      <c r="FE5" s="2" t="str">
        <f t="shared" si="2"/>
        <v>CY39</v>
      </c>
      <c r="FF5" s="2" t="str">
        <f t="shared" si="2"/>
        <v>CY39</v>
      </c>
      <c r="FG5" s="2" t="str">
        <f t="shared" si="2"/>
        <v>CY39</v>
      </c>
      <c r="FH5" s="2" t="str">
        <f t="shared" si="2"/>
        <v>CY39</v>
      </c>
      <c r="FI5" s="2" t="str">
        <f t="shared" si="2"/>
        <v>CY39</v>
      </c>
      <c r="FJ5" s="2" t="str">
        <f t="shared" si="2"/>
        <v>CY39</v>
      </c>
      <c r="FK5" s="2" t="str">
        <f t="shared" si="2"/>
        <v>CY39</v>
      </c>
      <c r="FL5" s="2" t="str">
        <f t="shared" si="2"/>
        <v>CY39</v>
      </c>
      <c r="FM5" s="2" t="str">
        <f t="shared" si="2"/>
        <v>CY39</v>
      </c>
      <c r="FN5" s="2" t="str">
        <f t="shared" si="2"/>
        <v>CY39</v>
      </c>
      <c r="FO5" s="2" t="str">
        <f t="shared" si="2"/>
        <v>CY39</v>
      </c>
      <c r="FP5" s="2" t="str">
        <f t="shared" si="2"/>
        <v>CY39</v>
      </c>
      <c r="FQ5" s="2" t="str">
        <f t="shared" si="2"/>
        <v>CY40</v>
      </c>
      <c r="FR5" s="2" t="str">
        <f t="shared" si="2"/>
        <v>CY40</v>
      </c>
      <c r="FS5" s="2" t="str">
        <f t="shared" si="2"/>
        <v>CY40</v>
      </c>
      <c r="FT5" s="2" t="str">
        <f t="shared" si="2"/>
        <v>CY40</v>
      </c>
      <c r="FU5" s="2" t="str">
        <f t="shared" si="2"/>
        <v>CY40</v>
      </c>
      <c r="FV5" s="2" t="str">
        <f t="shared" si="2"/>
        <v>CY40</v>
      </c>
      <c r="FW5" s="2" t="str">
        <f t="shared" si="2"/>
        <v>CY40</v>
      </c>
      <c r="FX5" s="2" t="str">
        <f t="shared" si="2"/>
        <v>CY40</v>
      </c>
      <c r="FY5" s="2" t="str">
        <f t="shared" si="2"/>
        <v>CY40</v>
      </c>
      <c r="FZ5" s="2" t="str">
        <f t="shared" si="2"/>
        <v>CY40</v>
      </c>
      <c r="GA5" s="2" t="str">
        <f t="shared" si="2"/>
        <v>CY40</v>
      </c>
      <c r="GB5" s="2" t="str">
        <f t="shared" si="2"/>
        <v>CY40</v>
      </c>
      <c r="GC5" s="2" t="str">
        <f t="shared" si="2"/>
        <v>CY41</v>
      </c>
      <c r="GD5" s="2" t="str">
        <f t="shared" si="2"/>
        <v>CY41</v>
      </c>
      <c r="GE5" s="2" t="str">
        <f t="shared" si="2"/>
        <v>CY41</v>
      </c>
      <c r="GF5" s="2" t="str">
        <f t="shared" si="2"/>
        <v>CY41</v>
      </c>
      <c r="GG5" s="2" t="str">
        <f t="shared" si="2"/>
        <v>CY41</v>
      </c>
      <c r="GH5" s="2" t="str">
        <f t="shared" si="2"/>
        <v>CY41</v>
      </c>
      <c r="GI5" s="2" t="str">
        <f t="shared" si="2"/>
        <v>CY41</v>
      </c>
      <c r="GJ5" s="2" t="str">
        <f t="shared" si="2"/>
        <v>CY41</v>
      </c>
      <c r="GK5" s="2" t="str">
        <f t="shared" si="2"/>
        <v>CY41</v>
      </c>
      <c r="GL5" s="2" t="str">
        <f t="shared" si="2"/>
        <v>CY41</v>
      </c>
      <c r="GM5" s="2" t="str">
        <f t="shared" si="2"/>
        <v>CY41</v>
      </c>
      <c r="GN5" s="2" t="str">
        <f t="shared" si="2"/>
        <v>CY41</v>
      </c>
      <c r="GO5" s="2" t="str">
        <f t="shared" si="2"/>
        <v>CY42</v>
      </c>
      <c r="GP5" s="2" t="str">
        <f t="shared" si="2"/>
        <v>CY42</v>
      </c>
      <c r="GQ5" s="2" t="str">
        <f t="shared" si="2"/>
        <v>CY42</v>
      </c>
      <c r="GR5" s="2" t="str">
        <f t="shared" si="2"/>
        <v>CY42</v>
      </c>
      <c r="GS5" s="2" t="str">
        <f t="shared" si="2"/>
        <v>CY42</v>
      </c>
      <c r="GT5" s="2" t="str">
        <f t="shared" si="2"/>
        <v>CY42</v>
      </c>
      <c r="GU5" s="2" t="str">
        <f t="shared" ref="GU5:JF5" si="3">GU13</f>
        <v>CY42</v>
      </c>
      <c r="GV5" s="2" t="str">
        <f t="shared" si="3"/>
        <v>CY42</v>
      </c>
      <c r="GW5" s="2" t="str">
        <f t="shared" si="3"/>
        <v>CY42</v>
      </c>
      <c r="GX5" s="2" t="str">
        <f t="shared" si="3"/>
        <v>CY42</v>
      </c>
      <c r="GY5" s="2" t="str">
        <f t="shared" si="3"/>
        <v>CY42</v>
      </c>
      <c r="GZ5" s="2" t="str">
        <f t="shared" si="3"/>
        <v>CY42</v>
      </c>
      <c r="HA5" s="2" t="str">
        <f t="shared" si="3"/>
        <v>CY43</v>
      </c>
      <c r="HB5" s="2" t="str">
        <f t="shared" si="3"/>
        <v>CY43</v>
      </c>
      <c r="HC5" s="2" t="str">
        <f t="shared" si="3"/>
        <v>CY43</v>
      </c>
      <c r="HD5" s="2" t="str">
        <f t="shared" si="3"/>
        <v>CY43</v>
      </c>
      <c r="HE5" s="2" t="str">
        <f t="shared" si="3"/>
        <v>CY43</v>
      </c>
      <c r="HF5" s="2" t="str">
        <f t="shared" si="3"/>
        <v>CY43</v>
      </c>
      <c r="HG5" s="2" t="str">
        <f t="shared" si="3"/>
        <v>CY43</v>
      </c>
      <c r="HH5" s="2" t="str">
        <f t="shared" si="3"/>
        <v>CY43</v>
      </c>
      <c r="HI5" s="2" t="str">
        <f t="shared" si="3"/>
        <v>CY43</v>
      </c>
      <c r="HJ5" s="2" t="str">
        <f t="shared" si="3"/>
        <v>CY43</v>
      </c>
      <c r="HK5" s="2" t="str">
        <f t="shared" si="3"/>
        <v>CY43</v>
      </c>
      <c r="HL5" s="2" t="str">
        <f t="shared" si="3"/>
        <v>CY43</v>
      </c>
      <c r="HM5" s="2" t="str">
        <f t="shared" si="3"/>
        <v>CY44</v>
      </c>
      <c r="HN5" s="2" t="str">
        <f t="shared" si="3"/>
        <v>CY44</v>
      </c>
      <c r="HO5" s="2" t="str">
        <f t="shared" si="3"/>
        <v>CY44</v>
      </c>
      <c r="HP5" s="2" t="str">
        <f t="shared" si="3"/>
        <v>CY44</v>
      </c>
      <c r="HQ5" s="2" t="str">
        <f t="shared" si="3"/>
        <v>CY44</v>
      </c>
      <c r="HR5" s="2" t="str">
        <f t="shared" si="3"/>
        <v>CY44</v>
      </c>
      <c r="HS5" s="2" t="str">
        <f t="shared" si="3"/>
        <v>CY44</v>
      </c>
      <c r="HT5" s="2" t="str">
        <f t="shared" si="3"/>
        <v>CY44</v>
      </c>
      <c r="HU5" s="2" t="str">
        <f t="shared" si="3"/>
        <v>CY44</v>
      </c>
      <c r="HV5" s="2" t="str">
        <f t="shared" si="3"/>
        <v>CY44</v>
      </c>
      <c r="HW5" s="2" t="str">
        <f t="shared" si="3"/>
        <v>CY44</v>
      </c>
      <c r="HX5" s="2" t="str">
        <f t="shared" si="3"/>
        <v>CY44</v>
      </c>
      <c r="HY5" s="2" t="str">
        <f t="shared" si="3"/>
        <v>CY45</v>
      </c>
      <c r="HZ5" s="2" t="str">
        <f t="shared" si="3"/>
        <v>CY45</v>
      </c>
      <c r="IA5" s="2" t="str">
        <f t="shared" si="3"/>
        <v>CY45</v>
      </c>
      <c r="IB5" s="2" t="str">
        <f t="shared" si="3"/>
        <v>CY45</v>
      </c>
      <c r="IC5" s="2" t="str">
        <f t="shared" si="3"/>
        <v>CY45</v>
      </c>
      <c r="ID5" s="2" t="str">
        <f t="shared" si="3"/>
        <v>CY45</v>
      </c>
      <c r="IE5" s="2" t="str">
        <f t="shared" si="3"/>
        <v>CY45</v>
      </c>
      <c r="IF5" s="2" t="str">
        <f t="shared" si="3"/>
        <v>CY45</v>
      </c>
      <c r="IG5" s="2" t="str">
        <f t="shared" si="3"/>
        <v>CY45</v>
      </c>
      <c r="IH5" s="2" t="str">
        <f t="shared" si="3"/>
        <v>CY45</v>
      </c>
      <c r="II5" s="2" t="str">
        <f t="shared" si="3"/>
        <v>CY45</v>
      </c>
      <c r="IJ5" s="2" t="str">
        <f t="shared" si="3"/>
        <v>CY45</v>
      </c>
      <c r="IK5" s="2" t="str">
        <f t="shared" si="3"/>
        <v>CY46</v>
      </c>
      <c r="IL5" s="2" t="str">
        <f t="shared" si="3"/>
        <v>CY46</v>
      </c>
      <c r="IM5" s="2" t="str">
        <f t="shared" si="3"/>
        <v>CY46</v>
      </c>
      <c r="IN5" s="2" t="str">
        <f t="shared" si="3"/>
        <v>CY46</v>
      </c>
      <c r="IO5" s="2" t="str">
        <f t="shared" si="3"/>
        <v>CY46</v>
      </c>
      <c r="IP5" s="2" t="str">
        <f t="shared" si="3"/>
        <v>CY46</v>
      </c>
      <c r="IQ5" s="2" t="str">
        <f t="shared" si="3"/>
        <v>CY46</v>
      </c>
      <c r="IR5" s="2" t="str">
        <f t="shared" si="3"/>
        <v>CY46</v>
      </c>
      <c r="IS5" s="2" t="str">
        <f t="shared" si="3"/>
        <v>CY46</v>
      </c>
      <c r="IT5" s="2" t="str">
        <f t="shared" si="3"/>
        <v>CY46</v>
      </c>
      <c r="IU5" s="2" t="str">
        <f t="shared" si="3"/>
        <v>CY46</v>
      </c>
      <c r="IV5" s="2" t="str">
        <f t="shared" si="3"/>
        <v>CY46</v>
      </c>
      <c r="IW5" s="2" t="str">
        <f t="shared" si="3"/>
        <v>CY47</v>
      </c>
      <c r="IX5" s="2" t="str">
        <f t="shared" si="3"/>
        <v>CY47</v>
      </c>
      <c r="IY5" s="2" t="str">
        <f t="shared" si="3"/>
        <v>CY47</v>
      </c>
      <c r="IZ5" s="2" t="str">
        <f t="shared" si="3"/>
        <v>CY47</v>
      </c>
      <c r="JA5" s="2" t="str">
        <f t="shared" si="3"/>
        <v>CY47</v>
      </c>
      <c r="JB5" s="2" t="str">
        <f t="shared" si="3"/>
        <v>CY47</v>
      </c>
      <c r="JC5" s="2" t="str">
        <f t="shared" si="3"/>
        <v>CY47</v>
      </c>
      <c r="JD5" s="2" t="str">
        <f t="shared" si="3"/>
        <v>CY47</v>
      </c>
      <c r="JE5" s="2" t="str">
        <f t="shared" si="3"/>
        <v>CY47</v>
      </c>
      <c r="JF5" s="2" t="str">
        <f t="shared" si="3"/>
        <v>CY47</v>
      </c>
      <c r="JG5" s="2" t="str">
        <f t="shared" ref="JG5:KF5" si="4">JG13</f>
        <v>CY47</v>
      </c>
      <c r="JH5" s="2" t="str">
        <f t="shared" si="4"/>
        <v>CY47</v>
      </c>
      <c r="JI5" s="2" t="str">
        <f t="shared" si="4"/>
        <v>CY48</v>
      </c>
      <c r="JJ5" s="2" t="str">
        <f t="shared" si="4"/>
        <v>CY48</v>
      </c>
      <c r="JK5" s="2" t="str">
        <f t="shared" si="4"/>
        <v>CY48</v>
      </c>
      <c r="JL5" s="2" t="str">
        <f t="shared" si="4"/>
        <v>CY48</v>
      </c>
      <c r="JM5" s="2" t="str">
        <f t="shared" si="4"/>
        <v>CY48</v>
      </c>
      <c r="JN5" s="2" t="str">
        <f t="shared" si="4"/>
        <v>CY48</v>
      </c>
      <c r="JO5" s="2" t="str">
        <f t="shared" si="4"/>
        <v>CY48</v>
      </c>
      <c r="JP5" s="2" t="str">
        <f t="shared" si="4"/>
        <v>CY48</v>
      </c>
      <c r="JQ5" s="2" t="str">
        <f t="shared" si="4"/>
        <v>CY48</v>
      </c>
      <c r="JR5" s="2" t="str">
        <f t="shared" si="4"/>
        <v>CY48</v>
      </c>
      <c r="JS5" s="2" t="str">
        <f t="shared" si="4"/>
        <v>CY48</v>
      </c>
      <c r="JT5" s="2" t="str">
        <f t="shared" si="4"/>
        <v>CY48</v>
      </c>
      <c r="JU5" s="2" t="str">
        <f t="shared" si="4"/>
        <v>CY49</v>
      </c>
      <c r="JV5" s="2" t="str">
        <f t="shared" si="4"/>
        <v>CY49</v>
      </c>
      <c r="JW5" s="2" t="str">
        <f t="shared" si="4"/>
        <v>CY49</v>
      </c>
      <c r="JX5" s="2" t="str">
        <f t="shared" si="4"/>
        <v>CY49</v>
      </c>
      <c r="JY5" s="2" t="str">
        <f t="shared" si="4"/>
        <v>CY49</v>
      </c>
      <c r="JZ5" s="2" t="str">
        <f t="shared" si="4"/>
        <v>CY49</v>
      </c>
      <c r="KA5" s="2" t="str">
        <f t="shared" si="4"/>
        <v>CY49</v>
      </c>
      <c r="KB5" s="2" t="str">
        <f t="shared" si="4"/>
        <v>CY49</v>
      </c>
      <c r="KC5" s="2" t="str">
        <f t="shared" si="4"/>
        <v>CY49</v>
      </c>
      <c r="KD5" s="2" t="str">
        <f t="shared" si="4"/>
        <v>CY49</v>
      </c>
      <c r="KE5" s="2" t="str">
        <f t="shared" si="4"/>
        <v>CY49</v>
      </c>
      <c r="KF5" s="2" t="str">
        <f t="shared" si="4"/>
        <v>CY49</v>
      </c>
    </row>
    <row r="6" spans="1:292" x14ac:dyDescent="0.35">
      <c r="A6" s="1"/>
      <c r="B6" s="2"/>
      <c r="C6" s="2"/>
      <c r="D6" s="2"/>
      <c r="E6" s="2"/>
      <c r="F6" s="1"/>
      <c r="G6" s="2" t="s">
        <v>1</v>
      </c>
      <c r="H6" s="2"/>
      <c r="I6" s="2"/>
      <c r="J6" s="4"/>
      <c r="K6" s="2" t="str">
        <f t="shared" ref="K6:BV6" si="5">K14</f>
        <v>FY27</v>
      </c>
      <c r="L6" s="2" t="str">
        <f t="shared" si="5"/>
        <v>FY27</v>
      </c>
      <c r="M6" s="2" t="str">
        <f t="shared" si="5"/>
        <v>FY27</v>
      </c>
      <c r="N6" s="2" t="str">
        <f t="shared" si="5"/>
        <v>FY27</v>
      </c>
      <c r="O6" s="2" t="str">
        <f t="shared" si="5"/>
        <v>FY27</v>
      </c>
      <c r="P6" s="2" t="str">
        <f t="shared" si="5"/>
        <v>FY27</v>
      </c>
      <c r="Q6" s="2" t="str">
        <f t="shared" si="5"/>
        <v>FY27</v>
      </c>
      <c r="R6" s="2" t="str">
        <f t="shared" si="5"/>
        <v>FY27</v>
      </c>
      <c r="S6" s="2" t="str">
        <f t="shared" si="5"/>
        <v>FY27</v>
      </c>
      <c r="T6" s="2" t="str">
        <f t="shared" si="5"/>
        <v>FY27</v>
      </c>
      <c r="U6" s="2" t="str">
        <f t="shared" si="5"/>
        <v>FY27</v>
      </c>
      <c r="V6" s="2" t="str">
        <f t="shared" si="5"/>
        <v>FY27</v>
      </c>
      <c r="W6" s="2" t="str">
        <f t="shared" si="5"/>
        <v>FY28</v>
      </c>
      <c r="X6" s="2" t="str">
        <f t="shared" si="5"/>
        <v>FY28</v>
      </c>
      <c r="Y6" s="2" t="str">
        <f t="shared" si="5"/>
        <v>FY28</v>
      </c>
      <c r="Z6" s="2" t="str">
        <f t="shared" si="5"/>
        <v>FY28</v>
      </c>
      <c r="AA6" s="2" t="str">
        <f t="shared" si="5"/>
        <v>FY28</v>
      </c>
      <c r="AB6" s="2" t="str">
        <f t="shared" si="5"/>
        <v>FY28</v>
      </c>
      <c r="AC6" s="2" t="str">
        <f t="shared" si="5"/>
        <v>FY28</v>
      </c>
      <c r="AD6" s="2" t="str">
        <f t="shared" si="5"/>
        <v>FY28</v>
      </c>
      <c r="AE6" s="2" t="str">
        <f t="shared" si="5"/>
        <v>FY28</v>
      </c>
      <c r="AF6" s="2" t="str">
        <f t="shared" si="5"/>
        <v>FY28</v>
      </c>
      <c r="AG6" s="2" t="str">
        <f t="shared" si="5"/>
        <v>FY28</v>
      </c>
      <c r="AH6" s="2" t="str">
        <f t="shared" si="5"/>
        <v>FY28</v>
      </c>
      <c r="AI6" s="2" t="str">
        <f t="shared" si="5"/>
        <v>FY29</v>
      </c>
      <c r="AJ6" s="2" t="str">
        <f t="shared" si="5"/>
        <v>FY29</v>
      </c>
      <c r="AK6" s="2" t="str">
        <f t="shared" si="5"/>
        <v>FY29</v>
      </c>
      <c r="AL6" s="2" t="str">
        <f t="shared" si="5"/>
        <v>FY29</v>
      </c>
      <c r="AM6" s="2" t="str">
        <f t="shared" si="5"/>
        <v>FY29</v>
      </c>
      <c r="AN6" s="2" t="str">
        <f t="shared" si="5"/>
        <v>FY29</v>
      </c>
      <c r="AO6" s="2" t="str">
        <f t="shared" si="5"/>
        <v>FY29</v>
      </c>
      <c r="AP6" s="2" t="str">
        <f t="shared" si="5"/>
        <v>FY29</v>
      </c>
      <c r="AQ6" s="2" t="str">
        <f t="shared" si="5"/>
        <v>FY29</v>
      </c>
      <c r="AR6" s="2" t="str">
        <f t="shared" si="5"/>
        <v>FY29</v>
      </c>
      <c r="AS6" s="2" t="str">
        <f t="shared" si="5"/>
        <v>FY29</v>
      </c>
      <c r="AT6" s="2" t="str">
        <f t="shared" si="5"/>
        <v>FY29</v>
      </c>
      <c r="AU6" s="2" t="str">
        <f t="shared" si="5"/>
        <v>FY30</v>
      </c>
      <c r="AV6" s="2" t="str">
        <f t="shared" si="5"/>
        <v>FY30</v>
      </c>
      <c r="AW6" s="2" t="str">
        <f t="shared" si="5"/>
        <v>FY30</v>
      </c>
      <c r="AX6" s="2" t="str">
        <f t="shared" si="5"/>
        <v>FY30</v>
      </c>
      <c r="AY6" s="2" t="str">
        <f t="shared" si="5"/>
        <v>FY30</v>
      </c>
      <c r="AZ6" s="2" t="str">
        <f t="shared" si="5"/>
        <v>FY30</v>
      </c>
      <c r="BA6" s="2" t="str">
        <f t="shared" si="5"/>
        <v>FY30</v>
      </c>
      <c r="BB6" s="2" t="str">
        <f t="shared" si="5"/>
        <v>FY30</v>
      </c>
      <c r="BC6" s="2" t="str">
        <f t="shared" si="5"/>
        <v>FY30</v>
      </c>
      <c r="BD6" s="2" t="str">
        <f t="shared" si="5"/>
        <v>FY30</v>
      </c>
      <c r="BE6" s="2" t="str">
        <f t="shared" si="5"/>
        <v>FY30</v>
      </c>
      <c r="BF6" s="2" t="str">
        <f t="shared" si="5"/>
        <v>FY30</v>
      </c>
      <c r="BG6" s="2" t="str">
        <f t="shared" si="5"/>
        <v>FY31</v>
      </c>
      <c r="BH6" s="2" t="str">
        <f t="shared" si="5"/>
        <v>FY31</v>
      </c>
      <c r="BI6" s="2" t="str">
        <f t="shared" si="5"/>
        <v>FY31</v>
      </c>
      <c r="BJ6" s="2" t="str">
        <f t="shared" si="5"/>
        <v>FY31</v>
      </c>
      <c r="BK6" s="2" t="str">
        <f t="shared" si="5"/>
        <v>FY31</v>
      </c>
      <c r="BL6" s="2" t="str">
        <f t="shared" si="5"/>
        <v>FY31</v>
      </c>
      <c r="BM6" s="2" t="str">
        <f t="shared" si="5"/>
        <v>FY31</v>
      </c>
      <c r="BN6" s="2" t="str">
        <f t="shared" si="5"/>
        <v>FY31</v>
      </c>
      <c r="BO6" s="2" t="str">
        <f t="shared" si="5"/>
        <v>FY31</v>
      </c>
      <c r="BP6" s="2" t="str">
        <f t="shared" si="5"/>
        <v>FY31</v>
      </c>
      <c r="BQ6" s="2" t="str">
        <f t="shared" si="5"/>
        <v>FY31</v>
      </c>
      <c r="BR6" s="2" t="str">
        <f t="shared" si="5"/>
        <v>FY31</v>
      </c>
      <c r="BS6" s="2" t="str">
        <f t="shared" si="5"/>
        <v>FY32</v>
      </c>
      <c r="BT6" s="2" t="str">
        <f t="shared" si="5"/>
        <v>FY32</v>
      </c>
      <c r="BU6" s="2" t="str">
        <f t="shared" si="5"/>
        <v>FY32</v>
      </c>
      <c r="BV6" s="2" t="str">
        <f t="shared" si="5"/>
        <v>FY32</v>
      </c>
      <c r="BW6" s="2" t="str">
        <f t="shared" ref="BW6:EH6" si="6">BW14</f>
        <v>FY32</v>
      </c>
      <c r="BX6" s="2" t="str">
        <f t="shared" si="6"/>
        <v>FY32</v>
      </c>
      <c r="BY6" s="2" t="str">
        <f t="shared" si="6"/>
        <v>FY32</v>
      </c>
      <c r="BZ6" s="2" t="str">
        <f t="shared" si="6"/>
        <v>FY32</v>
      </c>
      <c r="CA6" s="2" t="str">
        <f t="shared" si="6"/>
        <v>FY32</v>
      </c>
      <c r="CB6" s="2" t="str">
        <f t="shared" si="6"/>
        <v>FY32</v>
      </c>
      <c r="CC6" s="2" t="str">
        <f t="shared" si="6"/>
        <v>FY32</v>
      </c>
      <c r="CD6" s="2" t="str">
        <f t="shared" si="6"/>
        <v>FY32</v>
      </c>
      <c r="CE6" s="2" t="str">
        <f t="shared" si="6"/>
        <v>FY33</v>
      </c>
      <c r="CF6" s="2" t="str">
        <f t="shared" si="6"/>
        <v>FY33</v>
      </c>
      <c r="CG6" s="2" t="str">
        <f t="shared" si="6"/>
        <v>FY33</v>
      </c>
      <c r="CH6" s="2" t="str">
        <f t="shared" si="6"/>
        <v>FY33</v>
      </c>
      <c r="CI6" s="2" t="str">
        <f t="shared" si="6"/>
        <v>FY33</v>
      </c>
      <c r="CJ6" s="2" t="str">
        <f t="shared" si="6"/>
        <v>FY33</v>
      </c>
      <c r="CK6" s="2" t="str">
        <f t="shared" si="6"/>
        <v>FY33</v>
      </c>
      <c r="CL6" s="2" t="str">
        <f t="shared" si="6"/>
        <v>FY33</v>
      </c>
      <c r="CM6" s="2" t="str">
        <f t="shared" si="6"/>
        <v>FY33</v>
      </c>
      <c r="CN6" s="2" t="str">
        <f t="shared" si="6"/>
        <v>FY33</v>
      </c>
      <c r="CO6" s="2" t="str">
        <f t="shared" si="6"/>
        <v>FY33</v>
      </c>
      <c r="CP6" s="2" t="str">
        <f t="shared" si="6"/>
        <v>FY33</v>
      </c>
      <c r="CQ6" s="2" t="str">
        <f t="shared" si="6"/>
        <v>FY34</v>
      </c>
      <c r="CR6" s="2" t="str">
        <f t="shared" si="6"/>
        <v>FY34</v>
      </c>
      <c r="CS6" s="2" t="str">
        <f t="shared" si="6"/>
        <v>FY34</v>
      </c>
      <c r="CT6" s="2" t="str">
        <f t="shared" si="6"/>
        <v>FY34</v>
      </c>
      <c r="CU6" s="2" t="str">
        <f t="shared" si="6"/>
        <v>FY34</v>
      </c>
      <c r="CV6" s="2" t="str">
        <f t="shared" si="6"/>
        <v>FY34</v>
      </c>
      <c r="CW6" s="2" t="str">
        <f t="shared" si="6"/>
        <v>FY34</v>
      </c>
      <c r="CX6" s="2" t="str">
        <f t="shared" si="6"/>
        <v>FY34</v>
      </c>
      <c r="CY6" s="2" t="str">
        <f t="shared" si="6"/>
        <v>FY34</v>
      </c>
      <c r="CZ6" s="2" t="str">
        <f t="shared" si="6"/>
        <v>FY34</v>
      </c>
      <c r="DA6" s="2" t="str">
        <f t="shared" si="6"/>
        <v>FY34</v>
      </c>
      <c r="DB6" s="2" t="str">
        <f t="shared" si="6"/>
        <v>FY34</v>
      </c>
      <c r="DC6" s="2" t="str">
        <f t="shared" si="6"/>
        <v>FY35</v>
      </c>
      <c r="DD6" s="2" t="str">
        <f t="shared" si="6"/>
        <v>FY35</v>
      </c>
      <c r="DE6" s="2" t="str">
        <f t="shared" si="6"/>
        <v>FY35</v>
      </c>
      <c r="DF6" s="2" t="str">
        <f t="shared" si="6"/>
        <v>FY35</v>
      </c>
      <c r="DG6" s="2" t="str">
        <f t="shared" si="6"/>
        <v>FY35</v>
      </c>
      <c r="DH6" s="2" t="str">
        <f t="shared" si="6"/>
        <v>FY35</v>
      </c>
      <c r="DI6" s="2" t="str">
        <f t="shared" si="6"/>
        <v>FY35</v>
      </c>
      <c r="DJ6" s="2" t="str">
        <f t="shared" si="6"/>
        <v>FY35</v>
      </c>
      <c r="DK6" s="2" t="str">
        <f t="shared" si="6"/>
        <v>FY35</v>
      </c>
      <c r="DL6" s="2" t="str">
        <f t="shared" si="6"/>
        <v>FY35</v>
      </c>
      <c r="DM6" s="2" t="str">
        <f t="shared" si="6"/>
        <v>FY35</v>
      </c>
      <c r="DN6" s="2" t="str">
        <f t="shared" si="6"/>
        <v>FY35</v>
      </c>
      <c r="DO6" s="2" t="str">
        <f t="shared" si="6"/>
        <v>FY36</v>
      </c>
      <c r="DP6" s="2" t="str">
        <f t="shared" si="6"/>
        <v>FY36</v>
      </c>
      <c r="DQ6" s="2" t="str">
        <f t="shared" si="6"/>
        <v>FY36</v>
      </c>
      <c r="DR6" s="2" t="str">
        <f t="shared" si="6"/>
        <v>FY36</v>
      </c>
      <c r="DS6" s="2" t="str">
        <f t="shared" si="6"/>
        <v>FY36</v>
      </c>
      <c r="DT6" s="2" t="str">
        <f t="shared" si="6"/>
        <v>FY36</v>
      </c>
      <c r="DU6" s="2" t="str">
        <f t="shared" si="6"/>
        <v>FY36</v>
      </c>
      <c r="DV6" s="2" t="str">
        <f t="shared" si="6"/>
        <v>FY36</v>
      </c>
      <c r="DW6" s="2" t="str">
        <f t="shared" si="6"/>
        <v>FY36</v>
      </c>
      <c r="DX6" s="2" t="str">
        <f t="shared" si="6"/>
        <v>FY36</v>
      </c>
      <c r="DY6" s="2" t="str">
        <f t="shared" si="6"/>
        <v>FY36</v>
      </c>
      <c r="DZ6" s="2" t="str">
        <f t="shared" si="6"/>
        <v>FY36</v>
      </c>
      <c r="EA6" s="2" t="str">
        <f t="shared" si="6"/>
        <v>FY37</v>
      </c>
      <c r="EB6" s="2" t="str">
        <f t="shared" si="6"/>
        <v>FY37</v>
      </c>
      <c r="EC6" s="2" t="str">
        <f t="shared" si="6"/>
        <v>FY37</v>
      </c>
      <c r="ED6" s="2" t="str">
        <f t="shared" si="6"/>
        <v>FY37</v>
      </c>
      <c r="EE6" s="2" t="str">
        <f t="shared" si="6"/>
        <v>FY37</v>
      </c>
      <c r="EF6" s="2" t="str">
        <f t="shared" si="6"/>
        <v>FY37</v>
      </c>
      <c r="EG6" s="2" t="str">
        <f t="shared" si="6"/>
        <v>FY37</v>
      </c>
      <c r="EH6" s="2" t="str">
        <f t="shared" si="6"/>
        <v>FY37</v>
      </c>
      <c r="EI6" s="2" t="str">
        <f t="shared" ref="EI6:GT6" si="7">EI14</f>
        <v>FY37</v>
      </c>
      <c r="EJ6" s="2" t="str">
        <f t="shared" si="7"/>
        <v>FY37</v>
      </c>
      <c r="EK6" s="2" t="str">
        <f t="shared" si="7"/>
        <v>FY37</v>
      </c>
      <c r="EL6" s="2" t="str">
        <f t="shared" si="7"/>
        <v>FY37</v>
      </c>
      <c r="EM6" s="2" t="str">
        <f t="shared" si="7"/>
        <v>FY38</v>
      </c>
      <c r="EN6" s="2" t="str">
        <f t="shared" si="7"/>
        <v>FY38</v>
      </c>
      <c r="EO6" s="2" t="str">
        <f t="shared" si="7"/>
        <v>FY38</v>
      </c>
      <c r="EP6" s="2" t="str">
        <f t="shared" si="7"/>
        <v>FY38</v>
      </c>
      <c r="EQ6" s="2" t="str">
        <f t="shared" si="7"/>
        <v>FY38</v>
      </c>
      <c r="ER6" s="2" t="str">
        <f t="shared" si="7"/>
        <v>FY38</v>
      </c>
      <c r="ES6" s="2" t="str">
        <f t="shared" si="7"/>
        <v>FY38</v>
      </c>
      <c r="ET6" s="2" t="str">
        <f t="shared" si="7"/>
        <v>FY38</v>
      </c>
      <c r="EU6" s="2" t="str">
        <f t="shared" si="7"/>
        <v>FY38</v>
      </c>
      <c r="EV6" s="2" t="str">
        <f t="shared" si="7"/>
        <v>FY38</v>
      </c>
      <c r="EW6" s="2" t="str">
        <f t="shared" si="7"/>
        <v>FY38</v>
      </c>
      <c r="EX6" s="2" t="str">
        <f t="shared" si="7"/>
        <v>FY38</v>
      </c>
      <c r="EY6" s="2" t="str">
        <f t="shared" si="7"/>
        <v>FY39</v>
      </c>
      <c r="EZ6" s="2" t="str">
        <f t="shared" si="7"/>
        <v>FY39</v>
      </c>
      <c r="FA6" s="2" t="str">
        <f t="shared" si="7"/>
        <v>FY39</v>
      </c>
      <c r="FB6" s="2" t="str">
        <f t="shared" si="7"/>
        <v>FY39</v>
      </c>
      <c r="FC6" s="2" t="str">
        <f t="shared" si="7"/>
        <v>FY39</v>
      </c>
      <c r="FD6" s="2" t="str">
        <f t="shared" si="7"/>
        <v>FY39</v>
      </c>
      <c r="FE6" s="2" t="str">
        <f t="shared" si="7"/>
        <v>FY39</v>
      </c>
      <c r="FF6" s="2" t="str">
        <f t="shared" si="7"/>
        <v>FY39</v>
      </c>
      <c r="FG6" s="2" t="str">
        <f t="shared" si="7"/>
        <v>FY39</v>
      </c>
      <c r="FH6" s="2" t="str">
        <f t="shared" si="7"/>
        <v>FY39</v>
      </c>
      <c r="FI6" s="2" t="str">
        <f t="shared" si="7"/>
        <v>FY39</v>
      </c>
      <c r="FJ6" s="2" t="str">
        <f t="shared" si="7"/>
        <v>FY39</v>
      </c>
      <c r="FK6" s="2" t="str">
        <f t="shared" si="7"/>
        <v>FY40</v>
      </c>
      <c r="FL6" s="2" t="str">
        <f t="shared" si="7"/>
        <v>FY40</v>
      </c>
      <c r="FM6" s="2" t="str">
        <f t="shared" si="7"/>
        <v>FY40</v>
      </c>
      <c r="FN6" s="2" t="str">
        <f t="shared" si="7"/>
        <v>FY40</v>
      </c>
      <c r="FO6" s="2" t="str">
        <f t="shared" si="7"/>
        <v>FY40</v>
      </c>
      <c r="FP6" s="2" t="str">
        <f t="shared" si="7"/>
        <v>FY40</v>
      </c>
      <c r="FQ6" s="2" t="str">
        <f t="shared" si="7"/>
        <v>FY40</v>
      </c>
      <c r="FR6" s="2" t="str">
        <f t="shared" si="7"/>
        <v>FY40</v>
      </c>
      <c r="FS6" s="2" t="str">
        <f t="shared" si="7"/>
        <v>FY40</v>
      </c>
      <c r="FT6" s="2" t="str">
        <f t="shared" si="7"/>
        <v>FY40</v>
      </c>
      <c r="FU6" s="2" t="str">
        <f t="shared" si="7"/>
        <v>FY40</v>
      </c>
      <c r="FV6" s="2" t="str">
        <f t="shared" si="7"/>
        <v>FY40</v>
      </c>
      <c r="FW6" s="2" t="str">
        <f t="shared" si="7"/>
        <v>FY41</v>
      </c>
      <c r="FX6" s="2" t="str">
        <f t="shared" si="7"/>
        <v>FY41</v>
      </c>
      <c r="FY6" s="2" t="str">
        <f t="shared" si="7"/>
        <v>FY41</v>
      </c>
      <c r="FZ6" s="2" t="str">
        <f t="shared" si="7"/>
        <v>FY41</v>
      </c>
      <c r="GA6" s="2" t="str">
        <f t="shared" si="7"/>
        <v>FY41</v>
      </c>
      <c r="GB6" s="2" t="str">
        <f t="shared" si="7"/>
        <v>FY41</v>
      </c>
      <c r="GC6" s="2" t="str">
        <f t="shared" si="7"/>
        <v>FY41</v>
      </c>
      <c r="GD6" s="2" t="str">
        <f t="shared" si="7"/>
        <v>FY41</v>
      </c>
      <c r="GE6" s="2" t="str">
        <f t="shared" si="7"/>
        <v>FY41</v>
      </c>
      <c r="GF6" s="2" t="str">
        <f t="shared" si="7"/>
        <v>FY41</v>
      </c>
      <c r="GG6" s="2" t="str">
        <f t="shared" si="7"/>
        <v>FY41</v>
      </c>
      <c r="GH6" s="2" t="str">
        <f t="shared" si="7"/>
        <v>FY41</v>
      </c>
      <c r="GI6" s="2" t="str">
        <f t="shared" si="7"/>
        <v>FY42</v>
      </c>
      <c r="GJ6" s="2" t="str">
        <f t="shared" si="7"/>
        <v>FY42</v>
      </c>
      <c r="GK6" s="2" t="str">
        <f t="shared" si="7"/>
        <v>FY42</v>
      </c>
      <c r="GL6" s="2" t="str">
        <f t="shared" si="7"/>
        <v>FY42</v>
      </c>
      <c r="GM6" s="2" t="str">
        <f t="shared" si="7"/>
        <v>FY42</v>
      </c>
      <c r="GN6" s="2" t="str">
        <f t="shared" si="7"/>
        <v>FY42</v>
      </c>
      <c r="GO6" s="2" t="str">
        <f t="shared" si="7"/>
        <v>FY42</v>
      </c>
      <c r="GP6" s="2" t="str">
        <f t="shared" si="7"/>
        <v>FY42</v>
      </c>
      <c r="GQ6" s="2" t="str">
        <f t="shared" si="7"/>
        <v>FY42</v>
      </c>
      <c r="GR6" s="2" t="str">
        <f t="shared" si="7"/>
        <v>FY42</v>
      </c>
      <c r="GS6" s="2" t="str">
        <f t="shared" si="7"/>
        <v>FY42</v>
      </c>
      <c r="GT6" s="2" t="str">
        <f t="shared" si="7"/>
        <v>FY42</v>
      </c>
      <c r="GU6" s="2" t="str">
        <f t="shared" ref="GU6:JF6" si="8">GU14</f>
        <v>FY43</v>
      </c>
      <c r="GV6" s="2" t="str">
        <f t="shared" si="8"/>
        <v>FY43</v>
      </c>
      <c r="GW6" s="2" t="str">
        <f t="shared" si="8"/>
        <v>FY43</v>
      </c>
      <c r="GX6" s="2" t="str">
        <f t="shared" si="8"/>
        <v>FY43</v>
      </c>
      <c r="GY6" s="2" t="str">
        <f t="shared" si="8"/>
        <v>FY43</v>
      </c>
      <c r="GZ6" s="2" t="str">
        <f t="shared" si="8"/>
        <v>FY43</v>
      </c>
      <c r="HA6" s="2" t="str">
        <f t="shared" si="8"/>
        <v>FY43</v>
      </c>
      <c r="HB6" s="2" t="str">
        <f t="shared" si="8"/>
        <v>FY43</v>
      </c>
      <c r="HC6" s="2" t="str">
        <f t="shared" si="8"/>
        <v>FY43</v>
      </c>
      <c r="HD6" s="2" t="str">
        <f t="shared" si="8"/>
        <v>FY43</v>
      </c>
      <c r="HE6" s="2" t="str">
        <f t="shared" si="8"/>
        <v>FY43</v>
      </c>
      <c r="HF6" s="2" t="str">
        <f t="shared" si="8"/>
        <v>FY43</v>
      </c>
      <c r="HG6" s="2" t="str">
        <f t="shared" si="8"/>
        <v>FY44</v>
      </c>
      <c r="HH6" s="2" t="str">
        <f t="shared" si="8"/>
        <v>FY44</v>
      </c>
      <c r="HI6" s="2" t="str">
        <f t="shared" si="8"/>
        <v>FY44</v>
      </c>
      <c r="HJ6" s="2" t="str">
        <f t="shared" si="8"/>
        <v>FY44</v>
      </c>
      <c r="HK6" s="2" t="str">
        <f t="shared" si="8"/>
        <v>FY44</v>
      </c>
      <c r="HL6" s="2" t="str">
        <f t="shared" si="8"/>
        <v>FY44</v>
      </c>
      <c r="HM6" s="2" t="str">
        <f t="shared" si="8"/>
        <v>FY44</v>
      </c>
      <c r="HN6" s="2" t="str">
        <f t="shared" si="8"/>
        <v>FY44</v>
      </c>
      <c r="HO6" s="2" t="str">
        <f t="shared" si="8"/>
        <v>FY44</v>
      </c>
      <c r="HP6" s="2" t="str">
        <f t="shared" si="8"/>
        <v>FY44</v>
      </c>
      <c r="HQ6" s="2" t="str">
        <f t="shared" si="8"/>
        <v>FY44</v>
      </c>
      <c r="HR6" s="2" t="str">
        <f t="shared" si="8"/>
        <v>FY44</v>
      </c>
      <c r="HS6" s="2" t="str">
        <f t="shared" si="8"/>
        <v>FY45</v>
      </c>
      <c r="HT6" s="2" t="str">
        <f t="shared" si="8"/>
        <v>FY45</v>
      </c>
      <c r="HU6" s="2" t="str">
        <f t="shared" si="8"/>
        <v>FY45</v>
      </c>
      <c r="HV6" s="2" t="str">
        <f t="shared" si="8"/>
        <v>FY45</v>
      </c>
      <c r="HW6" s="2" t="str">
        <f t="shared" si="8"/>
        <v>FY45</v>
      </c>
      <c r="HX6" s="2" t="str">
        <f t="shared" si="8"/>
        <v>FY45</v>
      </c>
      <c r="HY6" s="2" t="str">
        <f t="shared" si="8"/>
        <v>FY45</v>
      </c>
      <c r="HZ6" s="2" t="str">
        <f t="shared" si="8"/>
        <v>FY45</v>
      </c>
      <c r="IA6" s="2" t="str">
        <f t="shared" si="8"/>
        <v>FY45</v>
      </c>
      <c r="IB6" s="2" t="str">
        <f t="shared" si="8"/>
        <v>FY45</v>
      </c>
      <c r="IC6" s="2" t="str">
        <f t="shared" si="8"/>
        <v>FY45</v>
      </c>
      <c r="ID6" s="2" t="str">
        <f t="shared" si="8"/>
        <v>FY45</v>
      </c>
      <c r="IE6" s="2" t="str">
        <f t="shared" si="8"/>
        <v>FY46</v>
      </c>
      <c r="IF6" s="2" t="str">
        <f t="shared" si="8"/>
        <v>FY46</v>
      </c>
      <c r="IG6" s="2" t="str">
        <f t="shared" si="8"/>
        <v>FY46</v>
      </c>
      <c r="IH6" s="2" t="str">
        <f t="shared" si="8"/>
        <v>FY46</v>
      </c>
      <c r="II6" s="2" t="str">
        <f t="shared" si="8"/>
        <v>FY46</v>
      </c>
      <c r="IJ6" s="2" t="str">
        <f t="shared" si="8"/>
        <v>FY46</v>
      </c>
      <c r="IK6" s="2" t="str">
        <f t="shared" si="8"/>
        <v>FY46</v>
      </c>
      <c r="IL6" s="2" t="str">
        <f t="shared" si="8"/>
        <v>FY46</v>
      </c>
      <c r="IM6" s="2" t="str">
        <f t="shared" si="8"/>
        <v>FY46</v>
      </c>
      <c r="IN6" s="2" t="str">
        <f t="shared" si="8"/>
        <v>FY46</v>
      </c>
      <c r="IO6" s="2" t="str">
        <f t="shared" si="8"/>
        <v>FY46</v>
      </c>
      <c r="IP6" s="2" t="str">
        <f t="shared" si="8"/>
        <v>FY46</v>
      </c>
      <c r="IQ6" s="2" t="str">
        <f t="shared" si="8"/>
        <v>FY47</v>
      </c>
      <c r="IR6" s="2" t="str">
        <f t="shared" si="8"/>
        <v>FY47</v>
      </c>
      <c r="IS6" s="2" t="str">
        <f t="shared" si="8"/>
        <v>FY47</v>
      </c>
      <c r="IT6" s="2" t="str">
        <f t="shared" si="8"/>
        <v>FY47</v>
      </c>
      <c r="IU6" s="2" t="str">
        <f t="shared" si="8"/>
        <v>FY47</v>
      </c>
      <c r="IV6" s="2" t="str">
        <f t="shared" si="8"/>
        <v>FY47</v>
      </c>
      <c r="IW6" s="2" t="str">
        <f t="shared" si="8"/>
        <v>FY47</v>
      </c>
      <c r="IX6" s="2" t="str">
        <f t="shared" si="8"/>
        <v>FY47</v>
      </c>
      <c r="IY6" s="2" t="str">
        <f t="shared" si="8"/>
        <v>FY47</v>
      </c>
      <c r="IZ6" s="2" t="str">
        <f t="shared" si="8"/>
        <v>FY47</v>
      </c>
      <c r="JA6" s="2" t="str">
        <f t="shared" si="8"/>
        <v>FY47</v>
      </c>
      <c r="JB6" s="2" t="str">
        <f t="shared" si="8"/>
        <v>FY47</v>
      </c>
      <c r="JC6" s="2" t="str">
        <f t="shared" si="8"/>
        <v>FY48</v>
      </c>
      <c r="JD6" s="2" t="str">
        <f t="shared" si="8"/>
        <v>FY48</v>
      </c>
      <c r="JE6" s="2" t="str">
        <f t="shared" si="8"/>
        <v>FY48</v>
      </c>
      <c r="JF6" s="2" t="str">
        <f t="shared" si="8"/>
        <v>FY48</v>
      </c>
      <c r="JG6" s="2" t="str">
        <f t="shared" ref="JG6:KF6" si="9">JG14</f>
        <v>FY48</v>
      </c>
      <c r="JH6" s="2" t="str">
        <f t="shared" si="9"/>
        <v>FY48</v>
      </c>
      <c r="JI6" s="2" t="str">
        <f t="shared" si="9"/>
        <v>FY48</v>
      </c>
      <c r="JJ6" s="2" t="str">
        <f t="shared" si="9"/>
        <v>FY48</v>
      </c>
      <c r="JK6" s="2" t="str">
        <f t="shared" si="9"/>
        <v>FY48</v>
      </c>
      <c r="JL6" s="2" t="str">
        <f t="shared" si="9"/>
        <v>FY48</v>
      </c>
      <c r="JM6" s="2" t="str">
        <f t="shared" si="9"/>
        <v>FY48</v>
      </c>
      <c r="JN6" s="2" t="str">
        <f t="shared" si="9"/>
        <v>FY48</v>
      </c>
      <c r="JO6" s="2" t="str">
        <f t="shared" si="9"/>
        <v>FY49</v>
      </c>
      <c r="JP6" s="2" t="str">
        <f t="shared" si="9"/>
        <v>FY49</v>
      </c>
      <c r="JQ6" s="2" t="str">
        <f t="shared" si="9"/>
        <v>FY49</v>
      </c>
      <c r="JR6" s="2" t="str">
        <f t="shared" si="9"/>
        <v>FY49</v>
      </c>
      <c r="JS6" s="2" t="str">
        <f t="shared" si="9"/>
        <v>FY49</v>
      </c>
      <c r="JT6" s="2" t="str">
        <f t="shared" si="9"/>
        <v>FY49</v>
      </c>
      <c r="JU6" s="2" t="str">
        <f t="shared" si="9"/>
        <v>FY49</v>
      </c>
      <c r="JV6" s="2" t="str">
        <f t="shared" si="9"/>
        <v>FY49</v>
      </c>
      <c r="JW6" s="2" t="str">
        <f t="shared" si="9"/>
        <v>FY49</v>
      </c>
      <c r="JX6" s="2" t="str">
        <f t="shared" si="9"/>
        <v>FY49</v>
      </c>
      <c r="JY6" s="2" t="str">
        <f t="shared" si="9"/>
        <v>FY49</v>
      </c>
      <c r="JZ6" s="2" t="str">
        <f t="shared" si="9"/>
        <v>FY49</v>
      </c>
      <c r="KA6" s="2" t="str">
        <f t="shared" si="9"/>
        <v>FY50</v>
      </c>
      <c r="KB6" s="2" t="str">
        <f t="shared" si="9"/>
        <v>FY50</v>
      </c>
      <c r="KC6" s="2" t="str">
        <f t="shared" si="9"/>
        <v>FY50</v>
      </c>
      <c r="KD6" s="2" t="str">
        <f t="shared" si="9"/>
        <v>FY50</v>
      </c>
      <c r="KE6" s="2" t="str">
        <f t="shared" si="9"/>
        <v>FY50</v>
      </c>
      <c r="KF6" s="2" t="str">
        <f t="shared" si="9"/>
        <v>FY50</v>
      </c>
    </row>
    <row r="7" spans="1:292" x14ac:dyDescent="0.35">
      <c r="A7" s="1"/>
      <c r="B7" s="2"/>
      <c r="C7" s="2"/>
      <c r="D7" s="2" t="s">
        <v>7</v>
      </c>
      <c r="E7" s="2" t="s">
        <v>8</v>
      </c>
      <c r="F7" s="1"/>
      <c r="G7" s="2" t="s">
        <v>9</v>
      </c>
      <c r="H7" s="2"/>
      <c r="I7" s="2"/>
      <c r="J7" s="4"/>
      <c r="K7" s="9" t="str">
        <f t="shared" ref="K7:BV7" si="10">TEXT(K12,"mmm-yy")</f>
        <v>Jul-26</v>
      </c>
      <c r="L7" s="9" t="str">
        <f t="shared" si="10"/>
        <v>Aug-26</v>
      </c>
      <c r="M7" s="9" t="str">
        <f t="shared" si="10"/>
        <v>Sep-26</v>
      </c>
      <c r="N7" s="9" t="str">
        <f t="shared" si="10"/>
        <v>Oct-26</v>
      </c>
      <c r="O7" s="9" t="str">
        <f t="shared" si="10"/>
        <v>Nov-26</v>
      </c>
      <c r="P7" s="9" t="str">
        <f t="shared" si="10"/>
        <v>Dec-26</v>
      </c>
      <c r="Q7" s="9" t="str">
        <f t="shared" si="10"/>
        <v>Jan-27</v>
      </c>
      <c r="R7" s="9" t="str">
        <f t="shared" si="10"/>
        <v>Feb-27</v>
      </c>
      <c r="S7" s="9" t="str">
        <f t="shared" si="10"/>
        <v>Mar-27</v>
      </c>
      <c r="T7" s="9" t="str">
        <f t="shared" si="10"/>
        <v>Apr-27</v>
      </c>
      <c r="U7" s="9" t="str">
        <f t="shared" si="10"/>
        <v>May-27</v>
      </c>
      <c r="V7" s="9" t="str">
        <f t="shared" si="10"/>
        <v>Jun-27</v>
      </c>
      <c r="W7" s="9" t="str">
        <f t="shared" si="10"/>
        <v>Jul-27</v>
      </c>
      <c r="X7" s="9" t="str">
        <f t="shared" si="10"/>
        <v>Aug-27</v>
      </c>
      <c r="Y7" s="9" t="str">
        <f t="shared" si="10"/>
        <v>Sep-27</v>
      </c>
      <c r="Z7" s="9" t="str">
        <f t="shared" si="10"/>
        <v>Oct-27</v>
      </c>
      <c r="AA7" s="9" t="str">
        <f t="shared" si="10"/>
        <v>Nov-27</v>
      </c>
      <c r="AB7" s="9" t="str">
        <f t="shared" si="10"/>
        <v>Dec-27</v>
      </c>
      <c r="AC7" s="9" t="str">
        <f t="shared" si="10"/>
        <v>Jan-28</v>
      </c>
      <c r="AD7" s="9" t="str">
        <f t="shared" si="10"/>
        <v>Feb-28</v>
      </c>
      <c r="AE7" s="9" t="str">
        <f t="shared" si="10"/>
        <v>Mar-28</v>
      </c>
      <c r="AF7" s="9" t="str">
        <f t="shared" si="10"/>
        <v>Apr-28</v>
      </c>
      <c r="AG7" s="9" t="str">
        <f t="shared" si="10"/>
        <v>May-28</v>
      </c>
      <c r="AH7" s="9" t="str">
        <f t="shared" si="10"/>
        <v>Jun-28</v>
      </c>
      <c r="AI7" s="9" t="str">
        <f t="shared" si="10"/>
        <v>Jul-28</v>
      </c>
      <c r="AJ7" s="9" t="str">
        <f t="shared" si="10"/>
        <v>Aug-28</v>
      </c>
      <c r="AK7" s="9" t="str">
        <f t="shared" si="10"/>
        <v>Sep-28</v>
      </c>
      <c r="AL7" s="9" t="str">
        <f t="shared" si="10"/>
        <v>Oct-28</v>
      </c>
      <c r="AM7" s="9" t="str">
        <f t="shared" si="10"/>
        <v>Nov-28</v>
      </c>
      <c r="AN7" s="9" t="str">
        <f t="shared" si="10"/>
        <v>Dec-28</v>
      </c>
      <c r="AO7" s="9" t="str">
        <f t="shared" si="10"/>
        <v>Jan-29</v>
      </c>
      <c r="AP7" s="9" t="str">
        <f t="shared" si="10"/>
        <v>Feb-29</v>
      </c>
      <c r="AQ7" s="9" t="str">
        <f t="shared" si="10"/>
        <v>Mar-29</v>
      </c>
      <c r="AR7" s="9" t="str">
        <f t="shared" si="10"/>
        <v>Apr-29</v>
      </c>
      <c r="AS7" s="9" t="str">
        <f t="shared" si="10"/>
        <v>May-29</v>
      </c>
      <c r="AT7" s="9" t="str">
        <f t="shared" si="10"/>
        <v>Jun-29</v>
      </c>
      <c r="AU7" s="9" t="str">
        <f t="shared" si="10"/>
        <v>Jul-29</v>
      </c>
      <c r="AV7" s="9" t="str">
        <f t="shared" si="10"/>
        <v>Aug-29</v>
      </c>
      <c r="AW7" s="9" t="str">
        <f t="shared" si="10"/>
        <v>Sep-29</v>
      </c>
      <c r="AX7" s="9" t="str">
        <f t="shared" si="10"/>
        <v>Oct-29</v>
      </c>
      <c r="AY7" s="9" t="str">
        <f t="shared" si="10"/>
        <v>Nov-29</v>
      </c>
      <c r="AZ7" s="9" t="str">
        <f t="shared" si="10"/>
        <v>Dec-29</v>
      </c>
      <c r="BA7" s="9" t="str">
        <f t="shared" si="10"/>
        <v>Jan-30</v>
      </c>
      <c r="BB7" s="9" t="str">
        <f t="shared" si="10"/>
        <v>Feb-30</v>
      </c>
      <c r="BC7" s="9" t="str">
        <f t="shared" si="10"/>
        <v>Mar-30</v>
      </c>
      <c r="BD7" s="9" t="str">
        <f t="shared" si="10"/>
        <v>Apr-30</v>
      </c>
      <c r="BE7" s="9" t="str">
        <f t="shared" si="10"/>
        <v>May-30</v>
      </c>
      <c r="BF7" s="9" t="str">
        <f t="shared" si="10"/>
        <v>Jun-30</v>
      </c>
      <c r="BG7" s="9" t="str">
        <f t="shared" si="10"/>
        <v>Jul-30</v>
      </c>
      <c r="BH7" s="9" t="str">
        <f t="shared" si="10"/>
        <v>Aug-30</v>
      </c>
      <c r="BI7" s="9" t="str">
        <f t="shared" si="10"/>
        <v>Sep-30</v>
      </c>
      <c r="BJ7" s="9" t="str">
        <f t="shared" si="10"/>
        <v>Oct-30</v>
      </c>
      <c r="BK7" s="9" t="str">
        <f t="shared" si="10"/>
        <v>Nov-30</v>
      </c>
      <c r="BL7" s="9" t="str">
        <f t="shared" si="10"/>
        <v>Dec-30</v>
      </c>
      <c r="BM7" s="9" t="str">
        <f t="shared" si="10"/>
        <v>Jan-31</v>
      </c>
      <c r="BN7" s="9" t="str">
        <f t="shared" si="10"/>
        <v>Feb-31</v>
      </c>
      <c r="BO7" s="9" t="str">
        <f t="shared" si="10"/>
        <v>Mar-31</v>
      </c>
      <c r="BP7" s="9" t="str">
        <f t="shared" si="10"/>
        <v>Apr-31</v>
      </c>
      <c r="BQ7" s="9" t="str">
        <f t="shared" si="10"/>
        <v>May-31</v>
      </c>
      <c r="BR7" s="9" t="str">
        <f t="shared" si="10"/>
        <v>Jun-31</v>
      </c>
      <c r="BS7" s="9" t="str">
        <f t="shared" si="10"/>
        <v>Jul-31</v>
      </c>
      <c r="BT7" s="9" t="str">
        <f t="shared" si="10"/>
        <v>Aug-31</v>
      </c>
      <c r="BU7" s="9" t="str">
        <f t="shared" si="10"/>
        <v>Sep-31</v>
      </c>
      <c r="BV7" s="9" t="str">
        <f t="shared" si="10"/>
        <v>Oct-31</v>
      </c>
      <c r="BW7" s="9" t="str">
        <f t="shared" ref="BW7:EH7" si="11">TEXT(BW12,"mmm-yy")</f>
        <v>Nov-31</v>
      </c>
      <c r="BX7" s="9" t="str">
        <f t="shared" si="11"/>
        <v>Dec-31</v>
      </c>
      <c r="BY7" s="9" t="str">
        <f t="shared" si="11"/>
        <v>Jan-32</v>
      </c>
      <c r="BZ7" s="9" t="str">
        <f t="shared" si="11"/>
        <v>Feb-32</v>
      </c>
      <c r="CA7" s="9" t="str">
        <f t="shared" si="11"/>
        <v>Mar-32</v>
      </c>
      <c r="CB7" s="9" t="str">
        <f t="shared" si="11"/>
        <v>Apr-32</v>
      </c>
      <c r="CC7" s="9" t="str">
        <f t="shared" si="11"/>
        <v>May-32</v>
      </c>
      <c r="CD7" s="9" t="str">
        <f t="shared" si="11"/>
        <v>Jun-32</v>
      </c>
      <c r="CE7" s="9" t="str">
        <f t="shared" si="11"/>
        <v>Jul-32</v>
      </c>
      <c r="CF7" s="9" t="str">
        <f t="shared" si="11"/>
        <v>Aug-32</v>
      </c>
      <c r="CG7" s="9" t="str">
        <f t="shared" si="11"/>
        <v>Sep-32</v>
      </c>
      <c r="CH7" s="9" t="str">
        <f t="shared" si="11"/>
        <v>Oct-32</v>
      </c>
      <c r="CI7" s="9" t="str">
        <f t="shared" si="11"/>
        <v>Nov-32</v>
      </c>
      <c r="CJ7" s="9" t="str">
        <f t="shared" si="11"/>
        <v>Dec-32</v>
      </c>
      <c r="CK7" s="9" t="str">
        <f t="shared" si="11"/>
        <v>Jan-33</v>
      </c>
      <c r="CL7" s="9" t="str">
        <f t="shared" si="11"/>
        <v>Feb-33</v>
      </c>
      <c r="CM7" s="9" t="str">
        <f t="shared" si="11"/>
        <v>Mar-33</v>
      </c>
      <c r="CN7" s="9" t="str">
        <f t="shared" si="11"/>
        <v>Apr-33</v>
      </c>
      <c r="CO7" s="9" t="str">
        <f t="shared" si="11"/>
        <v>May-33</v>
      </c>
      <c r="CP7" s="9" t="str">
        <f t="shared" si="11"/>
        <v>Jun-33</v>
      </c>
      <c r="CQ7" s="9" t="str">
        <f t="shared" si="11"/>
        <v>Jul-33</v>
      </c>
      <c r="CR7" s="9" t="str">
        <f t="shared" si="11"/>
        <v>Aug-33</v>
      </c>
      <c r="CS7" s="9" t="str">
        <f t="shared" si="11"/>
        <v>Sep-33</v>
      </c>
      <c r="CT7" s="9" t="str">
        <f t="shared" si="11"/>
        <v>Oct-33</v>
      </c>
      <c r="CU7" s="9" t="str">
        <f t="shared" si="11"/>
        <v>Nov-33</v>
      </c>
      <c r="CV7" s="9" t="str">
        <f t="shared" si="11"/>
        <v>Dec-33</v>
      </c>
      <c r="CW7" s="9" t="str">
        <f t="shared" si="11"/>
        <v>Jan-34</v>
      </c>
      <c r="CX7" s="9" t="str">
        <f t="shared" si="11"/>
        <v>Feb-34</v>
      </c>
      <c r="CY7" s="9" t="str">
        <f t="shared" si="11"/>
        <v>Mar-34</v>
      </c>
      <c r="CZ7" s="9" t="str">
        <f t="shared" si="11"/>
        <v>Apr-34</v>
      </c>
      <c r="DA7" s="9" t="str">
        <f t="shared" si="11"/>
        <v>May-34</v>
      </c>
      <c r="DB7" s="9" t="str">
        <f t="shared" si="11"/>
        <v>Jun-34</v>
      </c>
      <c r="DC7" s="9" t="str">
        <f t="shared" si="11"/>
        <v>Jul-34</v>
      </c>
      <c r="DD7" s="9" t="str">
        <f t="shared" si="11"/>
        <v>Aug-34</v>
      </c>
      <c r="DE7" s="9" t="str">
        <f t="shared" si="11"/>
        <v>Sep-34</v>
      </c>
      <c r="DF7" s="9" t="str">
        <f t="shared" si="11"/>
        <v>Oct-34</v>
      </c>
      <c r="DG7" s="9" t="str">
        <f t="shared" si="11"/>
        <v>Nov-34</v>
      </c>
      <c r="DH7" s="9" t="str">
        <f t="shared" si="11"/>
        <v>Dec-34</v>
      </c>
      <c r="DI7" s="9" t="str">
        <f t="shared" si="11"/>
        <v>Jan-35</v>
      </c>
      <c r="DJ7" s="9" t="str">
        <f t="shared" si="11"/>
        <v>Feb-35</v>
      </c>
      <c r="DK7" s="9" t="str">
        <f t="shared" si="11"/>
        <v>Mar-35</v>
      </c>
      <c r="DL7" s="9" t="str">
        <f t="shared" si="11"/>
        <v>Apr-35</v>
      </c>
      <c r="DM7" s="9" t="str">
        <f t="shared" si="11"/>
        <v>May-35</v>
      </c>
      <c r="DN7" s="9" t="str">
        <f t="shared" si="11"/>
        <v>Jun-35</v>
      </c>
      <c r="DO7" s="9" t="str">
        <f t="shared" si="11"/>
        <v>Jul-35</v>
      </c>
      <c r="DP7" s="9" t="str">
        <f t="shared" si="11"/>
        <v>Aug-35</v>
      </c>
      <c r="DQ7" s="9" t="str">
        <f t="shared" si="11"/>
        <v>Sep-35</v>
      </c>
      <c r="DR7" s="9" t="str">
        <f t="shared" si="11"/>
        <v>Oct-35</v>
      </c>
      <c r="DS7" s="9" t="str">
        <f t="shared" si="11"/>
        <v>Nov-35</v>
      </c>
      <c r="DT7" s="9" t="str">
        <f t="shared" si="11"/>
        <v>Dec-35</v>
      </c>
      <c r="DU7" s="9" t="str">
        <f t="shared" si="11"/>
        <v>Jan-36</v>
      </c>
      <c r="DV7" s="9" t="str">
        <f t="shared" si="11"/>
        <v>Feb-36</v>
      </c>
      <c r="DW7" s="9" t="str">
        <f t="shared" si="11"/>
        <v>Mar-36</v>
      </c>
      <c r="DX7" s="9" t="str">
        <f t="shared" si="11"/>
        <v>Apr-36</v>
      </c>
      <c r="DY7" s="9" t="str">
        <f t="shared" si="11"/>
        <v>May-36</v>
      </c>
      <c r="DZ7" s="9" t="str">
        <f t="shared" si="11"/>
        <v>Jun-36</v>
      </c>
      <c r="EA7" s="9" t="str">
        <f t="shared" si="11"/>
        <v>Jul-36</v>
      </c>
      <c r="EB7" s="9" t="str">
        <f t="shared" si="11"/>
        <v>Aug-36</v>
      </c>
      <c r="EC7" s="9" t="str">
        <f t="shared" si="11"/>
        <v>Sep-36</v>
      </c>
      <c r="ED7" s="9" t="str">
        <f t="shared" si="11"/>
        <v>Oct-36</v>
      </c>
      <c r="EE7" s="9" t="str">
        <f t="shared" si="11"/>
        <v>Nov-36</v>
      </c>
      <c r="EF7" s="9" t="str">
        <f t="shared" si="11"/>
        <v>Dec-36</v>
      </c>
      <c r="EG7" s="9" t="str">
        <f t="shared" si="11"/>
        <v>Jan-37</v>
      </c>
      <c r="EH7" s="9" t="str">
        <f t="shared" si="11"/>
        <v>Feb-37</v>
      </c>
      <c r="EI7" s="9" t="str">
        <f t="shared" ref="EI7:GT7" si="12">TEXT(EI12,"mmm-yy")</f>
        <v>Mar-37</v>
      </c>
      <c r="EJ7" s="9" t="str">
        <f t="shared" si="12"/>
        <v>Apr-37</v>
      </c>
      <c r="EK7" s="9" t="str">
        <f t="shared" si="12"/>
        <v>May-37</v>
      </c>
      <c r="EL7" s="9" t="str">
        <f t="shared" si="12"/>
        <v>Jun-37</v>
      </c>
      <c r="EM7" s="9" t="str">
        <f t="shared" si="12"/>
        <v>Jul-37</v>
      </c>
      <c r="EN7" s="9" t="str">
        <f t="shared" si="12"/>
        <v>Aug-37</v>
      </c>
      <c r="EO7" s="9" t="str">
        <f t="shared" si="12"/>
        <v>Sep-37</v>
      </c>
      <c r="EP7" s="9" t="str">
        <f t="shared" si="12"/>
        <v>Oct-37</v>
      </c>
      <c r="EQ7" s="9" t="str">
        <f t="shared" si="12"/>
        <v>Nov-37</v>
      </c>
      <c r="ER7" s="9" t="str">
        <f t="shared" si="12"/>
        <v>Dec-37</v>
      </c>
      <c r="ES7" s="9" t="str">
        <f t="shared" si="12"/>
        <v>Jan-38</v>
      </c>
      <c r="ET7" s="9" t="str">
        <f t="shared" si="12"/>
        <v>Feb-38</v>
      </c>
      <c r="EU7" s="9" t="str">
        <f t="shared" si="12"/>
        <v>Mar-38</v>
      </c>
      <c r="EV7" s="9" t="str">
        <f t="shared" si="12"/>
        <v>Apr-38</v>
      </c>
      <c r="EW7" s="9" t="str">
        <f t="shared" si="12"/>
        <v>May-38</v>
      </c>
      <c r="EX7" s="9" t="str">
        <f t="shared" si="12"/>
        <v>Jun-38</v>
      </c>
      <c r="EY7" s="9" t="str">
        <f t="shared" si="12"/>
        <v>Jul-38</v>
      </c>
      <c r="EZ7" s="9" t="str">
        <f t="shared" si="12"/>
        <v>Aug-38</v>
      </c>
      <c r="FA7" s="9" t="str">
        <f t="shared" si="12"/>
        <v>Sep-38</v>
      </c>
      <c r="FB7" s="9" t="str">
        <f t="shared" si="12"/>
        <v>Oct-38</v>
      </c>
      <c r="FC7" s="9" t="str">
        <f t="shared" si="12"/>
        <v>Nov-38</v>
      </c>
      <c r="FD7" s="9" t="str">
        <f t="shared" si="12"/>
        <v>Dec-38</v>
      </c>
      <c r="FE7" s="9" t="str">
        <f t="shared" si="12"/>
        <v>Jan-39</v>
      </c>
      <c r="FF7" s="9" t="str">
        <f t="shared" si="12"/>
        <v>Feb-39</v>
      </c>
      <c r="FG7" s="9" t="str">
        <f t="shared" si="12"/>
        <v>Mar-39</v>
      </c>
      <c r="FH7" s="9" t="str">
        <f t="shared" si="12"/>
        <v>Apr-39</v>
      </c>
      <c r="FI7" s="9" t="str">
        <f t="shared" si="12"/>
        <v>May-39</v>
      </c>
      <c r="FJ7" s="9" t="str">
        <f t="shared" si="12"/>
        <v>Jun-39</v>
      </c>
      <c r="FK7" s="9" t="str">
        <f t="shared" si="12"/>
        <v>Jul-39</v>
      </c>
      <c r="FL7" s="9" t="str">
        <f t="shared" si="12"/>
        <v>Aug-39</v>
      </c>
      <c r="FM7" s="9" t="str">
        <f t="shared" si="12"/>
        <v>Sep-39</v>
      </c>
      <c r="FN7" s="9" t="str">
        <f t="shared" si="12"/>
        <v>Oct-39</v>
      </c>
      <c r="FO7" s="9" t="str">
        <f t="shared" si="12"/>
        <v>Nov-39</v>
      </c>
      <c r="FP7" s="9" t="str">
        <f t="shared" si="12"/>
        <v>Dec-39</v>
      </c>
      <c r="FQ7" s="9" t="str">
        <f t="shared" si="12"/>
        <v>Jan-40</v>
      </c>
      <c r="FR7" s="9" t="str">
        <f t="shared" si="12"/>
        <v>Feb-40</v>
      </c>
      <c r="FS7" s="9" t="str">
        <f t="shared" si="12"/>
        <v>Mar-40</v>
      </c>
      <c r="FT7" s="9" t="str">
        <f t="shared" si="12"/>
        <v>Apr-40</v>
      </c>
      <c r="FU7" s="9" t="str">
        <f t="shared" si="12"/>
        <v>May-40</v>
      </c>
      <c r="FV7" s="9" t="str">
        <f t="shared" si="12"/>
        <v>Jun-40</v>
      </c>
      <c r="FW7" s="9" t="str">
        <f t="shared" si="12"/>
        <v>Jul-40</v>
      </c>
      <c r="FX7" s="9" t="str">
        <f t="shared" si="12"/>
        <v>Aug-40</v>
      </c>
      <c r="FY7" s="9" t="str">
        <f t="shared" si="12"/>
        <v>Sep-40</v>
      </c>
      <c r="FZ7" s="9" t="str">
        <f t="shared" si="12"/>
        <v>Oct-40</v>
      </c>
      <c r="GA7" s="9" t="str">
        <f t="shared" si="12"/>
        <v>Nov-40</v>
      </c>
      <c r="GB7" s="9" t="str">
        <f t="shared" si="12"/>
        <v>Dec-40</v>
      </c>
      <c r="GC7" s="9" t="str">
        <f t="shared" si="12"/>
        <v>Jan-41</v>
      </c>
      <c r="GD7" s="9" t="str">
        <f t="shared" si="12"/>
        <v>Feb-41</v>
      </c>
      <c r="GE7" s="9" t="str">
        <f t="shared" si="12"/>
        <v>Mar-41</v>
      </c>
      <c r="GF7" s="9" t="str">
        <f t="shared" si="12"/>
        <v>Apr-41</v>
      </c>
      <c r="GG7" s="9" t="str">
        <f t="shared" si="12"/>
        <v>May-41</v>
      </c>
      <c r="GH7" s="9" t="str">
        <f t="shared" si="12"/>
        <v>Jun-41</v>
      </c>
      <c r="GI7" s="9" t="str">
        <f t="shared" si="12"/>
        <v>Jul-41</v>
      </c>
      <c r="GJ7" s="9" t="str">
        <f t="shared" si="12"/>
        <v>Aug-41</v>
      </c>
      <c r="GK7" s="9" t="str">
        <f t="shared" si="12"/>
        <v>Sep-41</v>
      </c>
      <c r="GL7" s="9" t="str">
        <f t="shared" si="12"/>
        <v>Oct-41</v>
      </c>
      <c r="GM7" s="9" t="str">
        <f t="shared" si="12"/>
        <v>Nov-41</v>
      </c>
      <c r="GN7" s="9" t="str">
        <f t="shared" si="12"/>
        <v>Dec-41</v>
      </c>
      <c r="GO7" s="9" t="str">
        <f t="shared" si="12"/>
        <v>Jan-42</v>
      </c>
      <c r="GP7" s="9" t="str">
        <f t="shared" si="12"/>
        <v>Feb-42</v>
      </c>
      <c r="GQ7" s="9" t="str">
        <f t="shared" si="12"/>
        <v>Mar-42</v>
      </c>
      <c r="GR7" s="9" t="str">
        <f t="shared" si="12"/>
        <v>Apr-42</v>
      </c>
      <c r="GS7" s="9" t="str">
        <f t="shared" si="12"/>
        <v>May-42</v>
      </c>
      <c r="GT7" s="9" t="str">
        <f t="shared" si="12"/>
        <v>Jun-42</v>
      </c>
      <c r="GU7" s="9" t="str">
        <f t="shared" ref="GU7:JF7" si="13">TEXT(GU12,"mmm-yy")</f>
        <v>Jul-42</v>
      </c>
      <c r="GV7" s="9" t="str">
        <f t="shared" si="13"/>
        <v>Aug-42</v>
      </c>
      <c r="GW7" s="9" t="str">
        <f t="shared" si="13"/>
        <v>Sep-42</v>
      </c>
      <c r="GX7" s="9" t="str">
        <f t="shared" si="13"/>
        <v>Oct-42</v>
      </c>
      <c r="GY7" s="9" t="str">
        <f t="shared" si="13"/>
        <v>Nov-42</v>
      </c>
      <c r="GZ7" s="9" t="str">
        <f t="shared" si="13"/>
        <v>Dec-42</v>
      </c>
      <c r="HA7" s="9" t="str">
        <f t="shared" si="13"/>
        <v>Jan-43</v>
      </c>
      <c r="HB7" s="9" t="str">
        <f t="shared" si="13"/>
        <v>Feb-43</v>
      </c>
      <c r="HC7" s="9" t="str">
        <f t="shared" si="13"/>
        <v>Mar-43</v>
      </c>
      <c r="HD7" s="9" t="str">
        <f t="shared" si="13"/>
        <v>Apr-43</v>
      </c>
      <c r="HE7" s="9" t="str">
        <f t="shared" si="13"/>
        <v>May-43</v>
      </c>
      <c r="HF7" s="9" t="str">
        <f t="shared" si="13"/>
        <v>Jun-43</v>
      </c>
      <c r="HG7" s="9" t="str">
        <f t="shared" si="13"/>
        <v>Jul-43</v>
      </c>
      <c r="HH7" s="9" t="str">
        <f t="shared" si="13"/>
        <v>Aug-43</v>
      </c>
      <c r="HI7" s="9" t="str">
        <f t="shared" si="13"/>
        <v>Sep-43</v>
      </c>
      <c r="HJ7" s="9" t="str">
        <f t="shared" si="13"/>
        <v>Oct-43</v>
      </c>
      <c r="HK7" s="9" t="str">
        <f t="shared" si="13"/>
        <v>Nov-43</v>
      </c>
      <c r="HL7" s="9" t="str">
        <f t="shared" si="13"/>
        <v>Dec-43</v>
      </c>
      <c r="HM7" s="9" t="str">
        <f t="shared" si="13"/>
        <v>Jan-44</v>
      </c>
      <c r="HN7" s="9" t="str">
        <f t="shared" si="13"/>
        <v>Feb-44</v>
      </c>
      <c r="HO7" s="9" t="str">
        <f t="shared" si="13"/>
        <v>Mar-44</v>
      </c>
      <c r="HP7" s="9" t="str">
        <f t="shared" si="13"/>
        <v>Apr-44</v>
      </c>
      <c r="HQ7" s="9" t="str">
        <f t="shared" si="13"/>
        <v>May-44</v>
      </c>
      <c r="HR7" s="9" t="str">
        <f t="shared" si="13"/>
        <v>Jun-44</v>
      </c>
      <c r="HS7" s="9" t="str">
        <f t="shared" si="13"/>
        <v>Jul-44</v>
      </c>
      <c r="HT7" s="9" t="str">
        <f t="shared" si="13"/>
        <v>Aug-44</v>
      </c>
      <c r="HU7" s="9" t="str">
        <f t="shared" si="13"/>
        <v>Sep-44</v>
      </c>
      <c r="HV7" s="9" t="str">
        <f t="shared" si="13"/>
        <v>Oct-44</v>
      </c>
      <c r="HW7" s="9" t="str">
        <f t="shared" si="13"/>
        <v>Nov-44</v>
      </c>
      <c r="HX7" s="9" t="str">
        <f t="shared" si="13"/>
        <v>Dec-44</v>
      </c>
      <c r="HY7" s="9" t="str">
        <f t="shared" si="13"/>
        <v>Jan-45</v>
      </c>
      <c r="HZ7" s="9" t="str">
        <f t="shared" si="13"/>
        <v>Feb-45</v>
      </c>
      <c r="IA7" s="9" t="str">
        <f t="shared" si="13"/>
        <v>Mar-45</v>
      </c>
      <c r="IB7" s="9" t="str">
        <f t="shared" si="13"/>
        <v>Apr-45</v>
      </c>
      <c r="IC7" s="9" t="str">
        <f t="shared" si="13"/>
        <v>May-45</v>
      </c>
      <c r="ID7" s="9" t="str">
        <f t="shared" si="13"/>
        <v>Jun-45</v>
      </c>
      <c r="IE7" s="9" t="str">
        <f t="shared" si="13"/>
        <v>Jul-45</v>
      </c>
      <c r="IF7" s="9" t="str">
        <f t="shared" si="13"/>
        <v>Aug-45</v>
      </c>
      <c r="IG7" s="9" t="str">
        <f t="shared" si="13"/>
        <v>Sep-45</v>
      </c>
      <c r="IH7" s="9" t="str">
        <f t="shared" si="13"/>
        <v>Oct-45</v>
      </c>
      <c r="II7" s="9" t="str">
        <f t="shared" si="13"/>
        <v>Nov-45</v>
      </c>
      <c r="IJ7" s="9" t="str">
        <f t="shared" si="13"/>
        <v>Dec-45</v>
      </c>
      <c r="IK7" s="9" t="str">
        <f t="shared" si="13"/>
        <v>Jan-46</v>
      </c>
      <c r="IL7" s="9" t="str">
        <f t="shared" si="13"/>
        <v>Feb-46</v>
      </c>
      <c r="IM7" s="9" t="str">
        <f t="shared" si="13"/>
        <v>Mar-46</v>
      </c>
      <c r="IN7" s="9" t="str">
        <f t="shared" si="13"/>
        <v>Apr-46</v>
      </c>
      <c r="IO7" s="9" t="str">
        <f t="shared" si="13"/>
        <v>May-46</v>
      </c>
      <c r="IP7" s="9" t="str">
        <f t="shared" si="13"/>
        <v>Jun-46</v>
      </c>
      <c r="IQ7" s="9" t="str">
        <f t="shared" si="13"/>
        <v>Jul-46</v>
      </c>
      <c r="IR7" s="9" t="str">
        <f t="shared" si="13"/>
        <v>Aug-46</v>
      </c>
      <c r="IS7" s="9" t="str">
        <f t="shared" si="13"/>
        <v>Sep-46</v>
      </c>
      <c r="IT7" s="9" t="str">
        <f t="shared" si="13"/>
        <v>Oct-46</v>
      </c>
      <c r="IU7" s="9" t="str">
        <f t="shared" si="13"/>
        <v>Nov-46</v>
      </c>
      <c r="IV7" s="9" t="str">
        <f t="shared" si="13"/>
        <v>Dec-46</v>
      </c>
      <c r="IW7" s="9" t="str">
        <f t="shared" si="13"/>
        <v>Jan-47</v>
      </c>
      <c r="IX7" s="9" t="str">
        <f t="shared" si="13"/>
        <v>Feb-47</v>
      </c>
      <c r="IY7" s="9" t="str">
        <f t="shared" si="13"/>
        <v>Mar-47</v>
      </c>
      <c r="IZ7" s="9" t="str">
        <f t="shared" si="13"/>
        <v>Apr-47</v>
      </c>
      <c r="JA7" s="9" t="str">
        <f t="shared" si="13"/>
        <v>May-47</v>
      </c>
      <c r="JB7" s="9" t="str">
        <f t="shared" si="13"/>
        <v>Jun-47</v>
      </c>
      <c r="JC7" s="9" t="str">
        <f t="shared" si="13"/>
        <v>Jul-47</v>
      </c>
      <c r="JD7" s="9" t="str">
        <f t="shared" si="13"/>
        <v>Aug-47</v>
      </c>
      <c r="JE7" s="9" t="str">
        <f t="shared" si="13"/>
        <v>Sep-47</v>
      </c>
      <c r="JF7" s="9" t="str">
        <f t="shared" si="13"/>
        <v>Oct-47</v>
      </c>
      <c r="JG7" s="9" t="str">
        <f t="shared" ref="JG7:KF7" si="14">TEXT(JG12,"mmm-yy")</f>
        <v>Nov-47</v>
      </c>
      <c r="JH7" s="9" t="str">
        <f t="shared" si="14"/>
        <v>Dec-47</v>
      </c>
      <c r="JI7" s="9" t="str">
        <f t="shared" si="14"/>
        <v>Jan-48</v>
      </c>
      <c r="JJ7" s="9" t="str">
        <f t="shared" si="14"/>
        <v>Feb-48</v>
      </c>
      <c r="JK7" s="9" t="str">
        <f t="shared" si="14"/>
        <v>Mar-48</v>
      </c>
      <c r="JL7" s="9" t="str">
        <f t="shared" si="14"/>
        <v>Apr-48</v>
      </c>
      <c r="JM7" s="9" t="str">
        <f t="shared" si="14"/>
        <v>May-48</v>
      </c>
      <c r="JN7" s="9" t="str">
        <f t="shared" si="14"/>
        <v>Jun-48</v>
      </c>
      <c r="JO7" s="9" t="str">
        <f t="shared" si="14"/>
        <v>Jul-48</v>
      </c>
      <c r="JP7" s="9" t="str">
        <f t="shared" si="14"/>
        <v>Aug-48</v>
      </c>
      <c r="JQ7" s="9" t="str">
        <f t="shared" si="14"/>
        <v>Sep-48</v>
      </c>
      <c r="JR7" s="9" t="str">
        <f t="shared" si="14"/>
        <v>Oct-48</v>
      </c>
      <c r="JS7" s="9" t="str">
        <f t="shared" si="14"/>
        <v>Nov-48</v>
      </c>
      <c r="JT7" s="9" t="str">
        <f t="shared" si="14"/>
        <v>Dec-48</v>
      </c>
      <c r="JU7" s="9" t="str">
        <f t="shared" si="14"/>
        <v>Jan-49</v>
      </c>
      <c r="JV7" s="9" t="str">
        <f t="shared" si="14"/>
        <v>Feb-49</v>
      </c>
      <c r="JW7" s="9" t="str">
        <f t="shared" si="14"/>
        <v>Mar-49</v>
      </c>
      <c r="JX7" s="9" t="str">
        <f t="shared" si="14"/>
        <v>Apr-49</v>
      </c>
      <c r="JY7" s="9" t="str">
        <f t="shared" si="14"/>
        <v>May-49</v>
      </c>
      <c r="JZ7" s="9" t="str">
        <f t="shared" si="14"/>
        <v>Jun-49</v>
      </c>
      <c r="KA7" s="9" t="str">
        <f t="shared" si="14"/>
        <v>Jul-49</v>
      </c>
      <c r="KB7" s="9" t="str">
        <f t="shared" si="14"/>
        <v>Aug-49</v>
      </c>
      <c r="KC7" s="9" t="str">
        <f t="shared" si="14"/>
        <v>Sep-49</v>
      </c>
      <c r="KD7" s="9" t="str">
        <f t="shared" si="14"/>
        <v>Oct-49</v>
      </c>
      <c r="KE7" s="9" t="str">
        <f t="shared" si="14"/>
        <v>Nov-49</v>
      </c>
      <c r="KF7" s="9" t="str">
        <f t="shared" si="14"/>
        <v>Dec-49</v>
      </c>
    </row>
    <row r="8" spans="1:292" x14ac:dyDescent="0.35">
      <c r="A8" s="1"/>
      <c r="B8" s="1"/>
      <c r="C8" s="1"/>
      <c r="D8" s="1"/>
      <c r="E8" s="1"/>
      <c r="F8" s="1"/>
    </row>
    <row r="9" spans="1:292" x14ac:dyDescent="0.35">
      <c r="A9" s="1"/>
      <c r="B9" s="3"/>
      <c r="C9" s="3"/>
      <c r="D9" s="3"/>
      <c r="E9" s="3"/>
      <c r="F9" s="1"/>
      <c r="G9" s="10" t="s">
        <v>10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 s="10"/>
      <c r="GM9" s="10"/>
      <c r="GN9" s="10"/>
      <c r="GO9" s="10"/>
      <c r="GP9" s="10"/>
      <c r="GQ9" s="10"/>
      <c r="GR9" s="10"/>
      <c r="GS9" s="10"/>
      <c r="GT9" s="10"/>
      <c r="GU9" s="10"/>
      <c r="GV9" s="10"/>
      <c r="GW9" s="10"/>
      <c r="GX9" s="10"/>
      <c r="GY9" s="10"/>
      <c r="GZ9" s="10"/>
      <c r="HA9" s="10"/>
      <c r="HB9" s="10"/>
      <c r="HC9" s="10"/>
      <c r="HD9" s="10"/>
      <c r="HE9" s="10"/>
      <c r="HF9" s="10"/>
      <c r="HG9" s="10"/>
      <c r="HH9" s="10"/>
      <c r="HI9" s="10"/>
      <c r="HJ9" s="10"/>
      <c r="HK9" s="10"/>
      <c r="HL9" s="10"/>
      <c r="HM9" s="10"/>
      <c r="HN9" s="10"/>
      <c r="HO9" s="10"/>
      <c r="HP9" s="10"/>
      <c r="HQ9" s="10"/>
      <c r="HR9" s="10"/>
      <c r="HS9" s="10"/>
      <c r="HT9" s="10"/>
      <c r="HU9" s="10"/>
      <c r="HV9" s="10"/>
      <c r="HW9" s="10"/>
      <c r="HX9" s="10"/>
      <c r="HY9" s="10"/>
      <c r="HZ9" s="10"/>
      <c r="IA9" s="10"/>
      <c r="IB9" s="10"/>
      <c r="IC9" s="10"/>
      <c r="ID9" s="10"/>
      <c r="IE9" s="10"/>
      <c r="IF9" s="10"/>
      <c r="IG9" s="10"/>
      <c r="IH9" s="10"/>
      <c r="II9" s="10"/>
      <c r="IJ9" s="10"/>
      <c r="IK9" s="10"/>
      <c r="IL9" s="10"/>
      <c r="IM9" s="10"/>
      <c r="IN9" s="10"/>
      <c r="IO9" s="10"/>
      <c r="IP9" s="10"/>
      <c r="IQ9" s="10"/>
      <c r="IR9" s="10"/>
      <c r="IS9" s="10"/>
      <c r="IT9" s="10"/>
      <c r="IU9" s="10"/>
      <c r="IV9" s="10"/>
      <c r="IW9" s="10"/>
      <c r="IX9" s="10"/>
      <c r="IY9" s="10"/>
      <c r="IZ9" s="10"/>
      <c r="JA9" s="10"/>
      <c r="JB9" s="10"/>
      <c r="JC9" s="10"/>
      <c r="JD9" s="10"/>
      <c r="JE9" s="10"/>
      <c r="JF9" s="10"/>
      <c r="JG9" s="10"/>
      <c r="JH9" s="10"/>
      <c r="JI9" s="10"/>
      <c r="JJ9" s="10"/>
      <c r="JK9" s="10"/>
      <c r="JL9" s="10"/>
      <c r="JM9" s="10"/>
      <c r="JN9" s="10"/>
      <c r="JO9" s="10"/>
      <c r="JP9" s="10"/>
      <c r="JQ9" s="10"/>
      <c r="JR9" s="10"/>
      <c r="JS9" s="10"/>
      <c r="JT9" s="10"/>
      <c r="JU9" s="10"/>
      <c r="JV9" s="10"/>
      <c r="JW9" s="10"/>
      <c r="JX9" s="10"/>
      <c r="JY9" s="10"/>
      <c r="JZ9" s="10"/>
      <c r="KA9" s="10"/>
      <c r="KB9" s="10"/>
      <c r="KC9" s="10"/>
      <c r="KD9" s="10"/>
      <c r="KE9" s="10"/>
      <c r="KF9" s="10"/>
    </row>
    <row r="10" spans="1:292" x14ac:dyDescent="0.35">
      <c r="B10" s="1"/>
      <c r="C10" s="1"/>
      <c r="D10" s="1"/>
      <c r="E10" s="1"/>
      <c r="F10" s="1"/>
      <c r="G10" s="1"/>
      <c r="H10" s="1"/>
      <c r="I10" s="1"/>
      <c r="J10" s="5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</row>
    <row r="11" spans="1:292" x14ac:dyDescent="0.35">
      <c r="B11" s="8"/>
      <c r="C11" s="7"/>
      <c r="D11" s="7"/>
      <c r="E11" s="8" t="s">
        <v>9</v>
      </c>
      <c r="F11" s="1"/>
      <c r="G11" s="1"/>
      <c r="H11" s="1"/>
      <c r="I11" s="1"/>
      <c r="J11" s="6" t="s">
        <v>11</v>
      </c>
      <c r="K11" s="7">
        <f>DATE(2026,7,1)</f>
        <v>46204</v>
      </c>
      <c r="L11" s="7">
        <f>K12+1</f>
        <v>46235</v>
      </c>
      <c r="M11" s="7">
        <f t="shared" ref="M11:BX11" si="15">L12+1</f>
        <v>46266</v>
      </c>
      <c r="N11" s="7">
        <f t="shared" si="15"/>
        <v>46296</v>
      </c>
      <c r="O11" s="7">
        <f t="shared" si="15"/>
        <v>46327</v>
      </c>
      <c r="P11" s="7">
        <f t="shared" si="15"/>
        <v>46357</v>
      </c>
      <c r="Q11" s="7">
        <f t="shared" si="15"/>
        <v>46388</v>
      </c>
      <c r="R11" s="7">
        <f t="shared" si="15"/>
        <v>46419</v>
      </c>
      <c r="S11" s="7">
        <f t="shared" si="15"/>
        <v>46447</v>
      </c>
      <c r="T11" s="7">
        <f t="shared" si="15"/>
        <v>46478</v>
      </c>
      <c r="U11" s="7">
        <f t="shared" si="15"/>
        <v>46508</v>
      </c>
      <c r="V11" s="7">
        <f t="shared" si="15"/>
        <v>46539</v>
      </c>
      <c r="W11" s="7">
        <f t="shared" si="15"/>
        <v>46569</v>
      </c>
      <c r="X11" s="7">
        <f t="shared" si="15"/>
        <v>46600</v>
      </c>
      <c r="Y11" s="7">
        <f t="shared" si="15"/>
        <v>46631</v>
      </c>
      <c r="Z11" s="7">
        <f t="shared" si="15"/>
        <v>46661</v>
      </c>
      <c r="AA11" s="7">
        <f t="shared" si="15"/>
        <v>46692</v>
      </c>
      <c r="AB11" s="7">
        <f t="shared" si="15"/>
        <v>46722</v>
      </c>
      <c r="AC11" s="7">
        <f t="shared" si="15"/>
        <v>46753</v>
      </c>
      <c r="AD11" s="7">
        <f t="shared" si="15"/>
        <v>46784</v>
      </c>
      <c r="AE11" s="7">
        <f t="shared" si="15"/>
        <v>46813</v>
      </c>
      <c r="AF11" s="7">
        <f t="shared" si="15"/>
        <v>46844</v>
      </c>
      <c r="AG11" s="7">
        <f t="shared" si="15"/>
        <v>46874</v>
      </c>
      <c r="AH11" s="7">
        <f t="shared" si="15"/>
        <v>46905</v>
      </c>
      <c r="AI11" s="7">
        <f t="shared" si="15"/>
        <v>46935</v>
      </c>
      <c r="AJ11" s="7">
        <f t="shared" si="15"/>
        <v>46966</v>
      </c>
      <c r="AK11" s="7">
        <f t="shared" si="15"/>
        <v>46997</v>
      </c>
      <c r="AL11" s="7">
        <f t="shared" si="15"/>
        <v>47027</v>
      </c>
      <c r="AM11" s="7">
        <f t="shared" si="15"/>
        <v>47058</v>
      </c>
      <c r="AN11" s="7">
        <f t="shared" si="15"/>
        <v>47088</v>
      </c>
      <c r="AO11" s="7">
        <f t="shared" si="15"/>
        <v>47119</v>
      </c>
      <c r="AP11" s="7">
        <f t="shared" si="15"/>
        <v>47150</v>
      </c>
      <c r="AQ11" s="7">
        <f t="shared" si="15"/>
        <v>47178</v>
      </c>
      <c r="AR11" s="7">
        <f t="shared" si="15"/>
        <v>47209</v>
      </c>
      <c r="AS11" s="7">
        <f t="shared" si="15"/>
        <v>47239</v>
      </c>
      <c r="AT11" s="7">
        <f t="shared" si="15"/>
        <v>47270</v>
      </c>
      <c r="AU11" s="7">
        <f t="shared" si="15"/>
        <v>47300</v>
      </c>
      <c r="AV11" s="7">
        <f t="shared" si="15"/>
        <v>47331</v>
      </c>
      <c r="AW11" s="7">
        <f t="shared" si="15"/>
        <v>47362</v>
      </c>
      <c r="AX11" s="7">
        <f t="shared" si="15"/>
        <v>47392</v>
      </c>
      <c r="AY11" s="7">
        <f t="shared" si="15"/>
        <v>47423</v>
      </c>
      <c r="AZ11" s="7">
        <f t="shared" si="15"/>
        <v>47453</v>
      </c>
      <c r="BA11" s="7">
        <f t="shared" si="15"/>
        <v>47484</v>
      </c>
      <c r="BB11" s="7">
        <f t="shared" si="15"/>
        <v>47515</v>
      </c>
      <c r="BC11" s="7">
        <f t="shared" si="15"/>
        <v>47543</v>
      </c>
      <c r="BD11" s="7">
        <f t="shared" si="15"/>
        <v>47574</v>
      </c>
      <c r="BE11" s="7">
        <f t="shared" si="15"/>
        <v>47604</v>
      </c>
      <c r="BF11" s="7">
        <f t="shared" si="15"/>
        <v>47635</v>
      </c>
      <c r="BG11" s="7">
        <f t="shared" si="15"/>
        <v>47665</v>
      </c>
      <c r="BH11" s="7">
        <f t="shared" si="15"/>
        <v>47696</v>
      </c>
      <c r="BI11" s="7">
        <f t="shared" si="15"/>
        <v>47727</v>
      </c>
      <c r="BJ11" s="7">
        <f t="shared" si="15"/>
        <v>47757</v>
      </c>
      <c r="BK11" s="7">
        <f t="shared" si="15"/>
        <v>47788</v>
      </c>
      <c r="BL11" s="7">
        <f t="shared" si="15"/>
        <v>47818</v>
      </c>
      <c r="BM11" s="7">
        <f t="shared" si="15"/>
        <v>47849</v>
      </c>
      <c r="BN11" s="7">
        <f t="shared" si="15"/>
        <v>47880</v>
      </c>
      <c r="BO11" s="7">
        <f t="shared" si="15"/>
        <v>47908</v>
      </c>
      <c r="BP11" s="7">
        <f t="shared" si="15"/>
        <v>47939</v>
      </c>
      <c r="BQ11" s="7">
        <f t="shared" si="15"/>
        <v>47969</v>
      </c>
      <c r="BR11" s="7">
        <f t="shared" si="15"/>
        <v>48000</v>
      </c>
      <c r="BS11" s="7">
        <f t="shared" si="15"/>
        <v>48030</v>
      </c>
      <c r="BT11" s="7">
        <f t="shared" si="15"/>
        <v>48061</v>
      </c>
      <c r="BU11" s="7">
        <f t="shared" si="15"/>
        <v>48092</v>
      </c>
      <c r="BV11" s="7">
        <f>BU12+1</f>
        <v>48122</v>
      </c>
      <c r="BW11" s="7">
        <f t="shared" si="15"/>
        <v>48153</v>
      </c>
      <c r="BX11" s="7">
        <f t="shared" si="15"/>
        <v>48183</v>
      </c>
      <c r="BY11" s="7">
        <f t="shared" ref="BY11:EE11" si="16">BX12+1</f>
        <v>48214</v>
      </c>
      <c r="BZ11" s="7">
        <f t="shared" si="16"/>
        <v>48245</v>
      </c>
      <c r="CA11" s="7">
        <f t="shared" si="16"/>
        <v>48274</v>
      </c>
      <c r="CB11" s="7">
        <f t="shared" si="16"/>
        <v>48305</v>
      </c>
      <c r="CC11" s="7">
        <f t="shared" si="16"/>
        <v>48335</v>
      </c>
      <c r="CD11" s="7">
        <f t="shared" si="16"/>
        <v>48366</v>
      </c>
      <c r="CE11" s="7">
        <f t="shared" si="16"/>
        <v>48396</v>
      </c>
      <c r="CF11" s="7">
        <f t="shared" si="16"/>
        <v>48427</v>
      </c>
      <c r="CG11" s="7">
        <f t="shared" si="16"/>
        <v>48458</v>
      </c>
      <c r="CH11" s="7">
        <f t="shared" si="16"/>
        <v>48488</v>
      </c>
      <c r="CI11" s="7">
        <f t="shared" si="16"/>
        <v>48519</v>
      </c>
      <c r="CJ11" s="7">
        <f t="shared" si="16"/>
        <v>48549</v>
      </c>
      <c r="CK11" s="7">
        <f t="shared" si="16"/>
        <v>48580</v>
      </c>
      <c r="CL11" s="7">
        <f t="shared" si="16"/>
        <v>48611</v>
      </c>
      <c r="CM11" s="7">
        <f t="shared" si="16"/>
        <v>48639</v>
      </c>
      <c r="CN11" s="7">
        <f t="shared" si="16"/>
        <v>48670</v>
      </c>
      <c r="CO11" s="7">
        <f t="shared" si="16"/>
        <v>48700</v>
      </c>
      <c r="CP11" s="7">
        <f t="shared" si="16"/>
        <v>48731</v>
      </c>
      <c r="CQ11" s="7">
        <f t="shared" si="16"/>
        <v>48761</v>
      </c>
      <c r="CR11" s="7">
        <f t="shared" si="16"/>
        <v>48792</v>
      </c>
      <c r="CS11" s="7">
        <f t="shared" si="16"/>
        <v>48823</v>
      </c>
      <c r="CT11" s="7">
        <f t="shared" si="16"/>
        <v>48853</v>
      </c>
      <c r="CU11" s="7">
        <f t="shared" si="16"/>
        <v>48884</v>
      </c>
      <c r="CV11" s="7">
        <f t="shared" si="16"/>
        <v>48914</v>
      </c>
      <c r="CW11" s="7">
        <f t="shared" si="16"/>
        <v>48945</v>
      </c>
      <c r="CX11" s="7">
        <f t="shared" si="16"/>
        <v>48976</v>
      </c>
      <c r="CY11" s="7">
        <f t="shared" si="16"/>
        <v>49004</v>
      </c>
      <c r="CZ11" s="7">
        <f t="shared" si="16"/>
        <v>49035</v>
      </c>
      <c r="DA11" s="7">
        <f t="shared" si="16"/>
        <v>49065</v>
      </c>
      <c r="DB11" s="7">
        <f t="shared" si="16"/>
        <v>49096</v>
      </c>
      <c r="DC11" s="7">
        <f t="shared" si="16"/>
        <v>49126</v>
      </c>
      <c r="DD11" s="7">
        <f t="shared" si="16"/>
        <v>49157</v>
      </c>
      <c r="DE11" s="7">
        <f t="shared" si="16"/>
        <v>49188</v>
      </c>
      <c r="DF11" s="7">
        <f t="shared" si="16"/>
        <v>49218</v>
      </c>
      <c r="DG11" s="7">
        <f t="shared" si="16"/>
        <v>49249</v>
      </c>
      <c r="DH11" s="7">
        <f t="shared" si="16"/>
        <v>49279</v>
      </c>
      <c r="DI11" s="7">
        <f t="shared" si="16"/>
        <v>49310</v>
      </c>
      <c r="DJ11" s="7">
        <f t="shared" si="16"/>
        <v>49341</v>
      </c>
      <c r="DK11" s="7">
        <f t="shared" si="16"/>
        <v>49369</v>
      </c>
      <c r="DL11" s="7">
        <f t="shared" si="16"/>
        <v>49400</v>
      </c>
      <c r="DM11" s="7">
        <f t="shared" si="16"/>
        <v>49430</v>
      </c>
      <c r="DN11" s="7">
        <f t="shared" si="16"/>
        <v>49461</v>
      </c>
      <c r="DO11" s="7">
        <f t="shared" si="16"/>
        <v>49491</v>
      </c>
      <c r="DP11" s="7">
        <f t="shared" si="16"/>
        <v>49522</v>
      </c>
      <c r="DQ11" s="7">
        <f t="shared" si="16"/>
        <v>49553</v>
      </c>
      <c r="DR11" s="7">
        <f t="shared" si="16"/>
        <v>49583</v>
      </c>
      <c r="DS11" s="7">
        <f t="shared" si="16"/>
        <v>49614</v>
      </c>
      <c r="DT11" s="7">
        <f t="shared" si="16"/>
        <v>49644</v>
      </c>
      <c r="DU11" s="7">
        <f t="shared" si="16"/>
        <v>49675</v>
      </c>
      <c r="DV11" s="7">
        <f t="shared" si="16"/>
        <v>49706</v>
      </c>
      <c r="DW11" s="7">
        <f t="shared" si="16"/>
        <v>49735</v>
      </c>
      <c r="DX11" s="7">
        <f t="shared" si="16"/>
        <v>49766</v>
      </c>
      <c r="DY11" s="7">
        <f t="shared" si="16"/>
        <v>49796</v>
      </c>
      <c r="DZ11" s="7">
        <f t="shared" si="16"/>
        <v>49827</v>
      </c>
      <c r="EA11" s="7">
        <f t="shared" si="16"/>
        <v>49857</v>
      </c>
      <c r="EB11" s="7">
        <f t="shared" si="16"/>
        <v>49888</v>
      </c>
      <c r="EC11" s="7">
        <f t="shared" si="16"/>
        <v>49919</v>
      </c>
      <c r="ED11" s="7">
        <f t="shared" si="16"/>
        <v>49949</v>
      </c>
      <c r="EE11" s="7">
        <f t="shared" si="16"/>
        <v>49980</v>
      </c>
      <c r="EF11" s="7">
        <f>EE12+1</f>
        <v>50010</v>
      </c>
      <c r="EG11" s="7">
        <f t="shared" ref="EG11:GR11" si="17">EF12+1</f>
        <v>50041</v>
      </c>
      <c r="EH11" s="7">
        <f t="shared" si="17"/>
        <v>50072</v>
      </c>
      <c r="EI11" s="7">
        <f t="shared" si="17"/>
        <v>50100</v>
      </c>
      <c r="EJ11" s="7">
        <f t="shared" si="17"/>
        <v>50131</v>
      </c>
      <c r="EK11" s="7">
        <f t="shared" si="17"/>
        <v>50161</v>
      </c>
      <c r="EL11" s="7">
        <f t="shared" si="17"/>
        <v>50192</v>
      </c>
      <c r="EM11" s="7">
        <f t="shared" si="17"/>
        <v>50222</v>
      </c>
      <c r="EN11" s="7">
        <f t="shared" si="17"/>
        <v>50253</v>
      </c>
      <c r="EO11" s="7">
        <f t="shared" si="17"/>
        <v>50284</v>
      </c>
      <c r="EP11" s="7">
        <f t="shared" si="17"/>
        <v>50314</v>
      </c>
      <c r="EQ11" s="7">
        <f t="shared" si="17"/>
        <v>50345</v>
      </c>
      <c r="ER11" s="7">
        <f t="shared" si="17"/>
        <v>50375</v>
      </c>
      <c r="ES11" s="7">
        <f t="shared" si="17"/>
        <v>50406</v>
      </c>
      <c r="ET11" s="7">
        <f t="shared" si="17"/>
        <v>50437</v>
      </c>
      <c r="EU11" s="7">
        <f t="shared" si="17"/>
        <v>50465</v>
      </c>
      <c r="EV11" s="7">
        <f t="shared" si="17"/>
        <v>50496</v>
      </c>
      <c r="EW11" s="7">
        <f t="shared" si="17"/>
        <v>50526</v>
      </c>
      <c r="EX11" s="7">
        <f t="shared" si="17"/>
        <v>50557</v>
      </c>
      <c r="EY11" s="7">
        <f t="shared" si="17"/>
        <v>50587</v>
      </c>
      <c r="EZ11" s="7">
        <f t="shared" si="17"/>
        <v>50618</v>
      </c>
      <c r="FA11" s="7">
        <f t="shared" si="17"/>
        <v>50649</v>
      </c>
      <c r="FB11" s="7">
        <f t="shared" si="17"/>
        <v>50679</v>
      </c>
      <c r="FC11" s="7">
        <f t="shared" si="17"/>
        <v>50710</v>
      </c>
      <c r="FD11" s="7">
        <f t="shared" si="17"/>
        <v>50740</v>
      </c>
      <c r="FE11" s="7">
        <f t="shared" si="17"/>
        <v>50771</v>
      </c>
      <c r="FF11" s="7">
        <f t="shared" si="17"/>
        <v>50802</v>
      </c>
      <c r="FG11" s="7">
        <f t="shared" si="17"/>
        <v>50830</v>
      </c>
      <c r="FH11" s="7">
        <f t="shared" si="17"/>
        <v>50861</v>
      </c>
      <c r="FI11" s="7">
        <f t="shared" si="17"/>
        <v>50891</v>
      </c>
      <c r="FJ11" s="7">
        <f t="shared" si="17"/>
        <v>50922</v>
      </c>
      <c r="FK11" s="7">
        <f t="shared" si="17"/>
        <v>50952</v>
      </c>
      <c r="FL11" s="7">
        <f t="shared" si="17"/>
        <v>50983</v>
      </c>
      <c r="FM11" s="7">
        <f t="shared" si="17"/>
        <v>51014</v>
      </c>
      <c r="FN11" s="7">
        <f t="shared" si="17"/>
        <v>51044</v>
      </c>
      <c r="FO11" s="7">
        <f t="shared" si="17"/>
        <v>51075</v>
      </c>
      <c r="FP11" s="7">
        <f t="shared" si="17"/>
        <v>51105</v>
      </c>
      <c r="FQ11" s="7">
        <f t="shared" si="17"/>
        <v>51136</v>
      </c>
      <c r="FR11" s="7">
        <f t="shared" si="17"/>
        <v>51167</v>
      </c>
      <c r="FS11" s="7">
        <f t="shared" si="17"/>
        <v>51196</v>
      </c>
      <c r="FT11" s="7">
        <f t="shared" si="17"/>
        <v>51227</v>
      </c>
      <c r="FU11" s="7">
        <f t="shared" si="17"/>
        <v>51257</v>
      </c>
      <c r="FV11" s="7">
        <f t="shared" si="17"/>
        <v>51288</v>
      </c>
      <c r="FW11" s="7">
        <f t="shared" si="17"/>
        <v>51318</v>
      </c>
      <c r="FX11" s="7">
        <f t="shared" si="17"/>
        <v>51349</v>
      </c>
      <c r="FY11" s="7">
        <f t="shared" si="17"/>
        <v>51380</v>
      </c>
      <c r="FZ11" s="7">
        <f t="shared" si="17"/>
        <v>51410</v>
      </c>
      <c r="GA11" s="7">
        <f t="shared" si="17"/>
        <v>51441</v>
      </c>
      <c r="GB11" s="7">
        <f t="shared" si="17"/>
        <v>51471</v>
      </c>
      <c r="GC11" s="7">
        <f t="shared" si="17"/>
        <v>51502</v>
      </c>
      <c r="GD11" s="7">
        <f t="shared" si="17"/>
        <v>51533</v>
      </c>
      <c r="GE11" s="7">
        <f t="shared" si="17"/>
        <v>51561</v>
      </c>
      <c r="GF11" s="7">
        <f t="shared" si="17"/>
        <v>51592</v>
      </c>
      <c r="GG11" s="7">
        <f t="shared" si="17"/>
        <v>51622</v>
      </c>
      <c r="GH11" s="7">
        <f t="shared" si="17"/>
        <v>51653</v>
      </c>
      <c r="GI11" s="7">
        <f t="shared" si="17"/>
        <v>51683</v>
      </c>
      <c r="GJ11" s="7">
        <f t="shared" si="17"/>
        <v>51714</v>
      </c>
      <c r="GK11" s="7">
        <f t="shared" si="17"/>
        <v>51745</v>
      </c>
      <c r="GL11" s="7">
        <f t="shared" si="17"/>
        <v>51775</v>
      </c>
      <c r="GM11" s="7">
        <f t="shared" si="17"/>
        <v>51806</v>
      </c>
      <c r="GN11" s="7">
        <f t="shared" si="17"/>
        <v>51836</v>
      </c>
      <c r="GO11" s="7">
        <f t="shared" si="17"/>
        <v>51867</v>
      </c>
      <c r="GP11" s="7">
        <f>GO12+1</f>
        <v>51898</v>
      </c>
      <c r="GQ11" s="7">
        <f t="shared" si="17"/>
        <v>51926</v>
      </c>
      <c r="GR11" s="7">
        <f t="shared" si="17"/>
        <v>51957</v>
      </c>
      <c r="GS11" s="7">
        <f t="shared" ref="GS11:IY11" si="18">GR12+1</f>
        <v>51987</v>
      </c>
      <c r="GT11" s="7">
        <f t="shared" si="18"/>
        <v>52018</v>
      </c>
      <c r="GU11" s="7">
        <f t="shared" si="18"/>
        <v>52048</v>
      </c>
      <c r="GV11" s="7">
        <f t="shared" si="18"/>
        <v>52079</v>
      </c>
      <c r="GW11" s="7">
        <f t="shared" si="18"/>
        <v>52110</v>
      </c>
      <c r="GX11" s="7">
        <f t="shared" si="18"/>
        <v>52140</v>
      </c>
      <c r="GY11" s="7">
        <f t="shared" si="18"/>
        <v>52171</v>
      </c>
      <c r="GZ11" s="7">
        <f t="shared" si="18"/>
        <v>52201</v>
      </c>
      <c r="HA11" s="7">
        <f t="shared" si="18"/>
        <v>52232</v>
      </c>
      <c r="HB11" s="7">
        <f t="shared" si="18"/>
        <v>52263</v>
      </c>
      <c r="HC11" s="7">
        <f t="shared" si="18"/>
        <v>52291</v>
      </c>
      <c r="HD11" s="7">
        <f t="shared" si="18"/>
        <v>52322</v>
      </c>
      <c r="HE11" s="7">
        <f t="shared" si="18"/>
        <v>52352</v>
      </c>
      <c r="HF11" s="7">
        <f t="shared" si="18"/>
        <v>52383</v>
      </c>
      <c r="HG11" s="7">
        <f t="shared" si="18"/>
        <v>52413</v>
      </c>
      <c r="HH11" s="7">
        <f t="shared" si="18"/>
        <v>52444</v>
      </c>
      <c r="HI11" s="7">
        <f t="shared" si="18"/>
        <v>52475</v>
      </c>
      <c r="HJ11" s="7">
        <f t="shared" si="18"/>
        <v>52505</v>
      </c>
      <c r="HK11" s="7">
        <f t="shared" si="18"/>
        <v>52536</v>
      </c>
      <c r="HL11" s="7">
        <f t="shared" si="18"/>
        <v>52566</v>
      </c>
      <c r="HM11" s="7">
        <f t="shared" si="18"/>
        <v>52597</v>
      </c>
      <c r="HN11" s="7">
        <f t="shared" si="18"/>
        <v>52628</v>
      </c>
      <c r="HO11" s="7">
        <f t="shared" si="18"/>
        <v>52657</v>
      </c>
      <c r="HP11" s="7">
        <f t="shared" si="18"/>
        <v>52688</v>
      </c>
      <c r="HQ11" s="7">
        <f t="shared" si="18"/>
        <v>52718</v>
      </c>
      <c r="HR11" s="7">
        <f t="shared" si="18"/>
        <v>52749</v>
      </c>
      <c r="HS11" s="7">
        <f t="shared" si="18"/>
        <v>52779</v>
      </c>
      <c r="HT11" s="7">
        <f t="shared" si="18"/>
        <v>52810</v>
      </c>
      <c r="HU11" s="7">
        <f t="shared" si="18"/>
        <v>52841</v>
      </c>
      <c r="HV11" s="7">
        <f t="shared" si="18"/>
        <v>52871</v>
      </c>
      <c r="HW11" s="7">
        <f t="shared" si="18"/>
        <v>52902</v>
      </c>
      <c r="HX11" s="7">
        <f t="shared" si="18"/>
        <v>52932</v>
      </c>
      <c r="HY11" s="7">
        <f t="shared" si="18"/>
        <v>52963</v>
      </c>
      <c r="HZ11" s="7">
        <f t="shared" si="18"/>
        <v>52994</v>
      </c>
      <c r="IA11" s="7">
        <f t="shared" si="18"/>
        <v>53022</v>
      </c>
      <c r="IB11" s="7">
        <f t="shared" si="18"/>
        <v>53053</v>
      </c>
      <c r="IC11" s="7">
        <f t="shared" si="18"/>
        <v>53083</v>
      </c>
      <c r="ID11" s="7">
        <f t="shared" si="18"/>
        <v>53114</v>
      </c>
      <c r="IE11" s="7">
        <f t="shared" si="18"/>
        <v>53144</v>
      </c>
      <c r="IF11" s="7">
        <f t="shared" si="18"/>
        <v>53175</v>
      </c>
      <c r="IG11" s="7">
        <f t="shared" si="18"/>
        <v>53206</v>
      </c>
      <c r="IH11" s="7">
        <f t="shared" si="18"/>
        <v>53236</v>
      </c>
      <c r="II11" s="7">
        <f t="shared" si="18"/>
        <v>53267</v>
      </c>
      <c r="IJ11" s="7">
        <f t="shared" si="18"/>
        <v>53297</v>
      </c>
      <c r="IK11" s="7">
        <f t="shared" si="18"/>
        <v>53328</v>
      </c>
      <c r="IL11" s="7">
        <f t="shared" si="18"/>
        <v>53359</v>
      </c>
      <c r="IM11" s="7">
        <f t="shared" si="18"/>
        <v>53387</v>
      </c>
      <c r="IN11" s="7">
        <f t="shared" si="18"/>
        <v>53418</v>
      </c>
      <c r="IO11" s="7">
        <f t="shared" si="18"/>
        <v>53448</v>
      </c>
      <c r="IP11" s="7">
        <f t="shared" si="18"/>
        <v>53479</v>
      </c>
      <c r="IQ11" s="7">
        <f t="shared" si="18"/>
        <v>53509</v>
      </c>
      <c r="IR11" s="7">
        <f t="shared" si="18"/>
        <v>53540</v>
      </c>
      <c r="IS11" s="7">
        <f t="shared" si="18"/>
        <v>53571</v>
      </c>
      <c r="IT11" s="7">
        <f t="shared" si="18"/>
        <v>53601</v>
      </c>
      <c r="IU11" s="7">
        <f t="shared" si="18"/>
        <v>53632</v>
      </c>
      <c r="IV11" s="7">
        <f t="shared" si="18"/>
        <v>53662</v>
      </c>
      <c r="IW11" s="7">
        <f t="shared" si="18"/>
        <v>53693</v>
      </c>
      <c r="IX11" s="7">
        <f t="shared" si="18"/>
        <v>53724</v>
      </c>
      <c r="IY11" s="7">
        <f t="shared" si="18"/>
        <v>53752</v>
      </c>
      <c r="IZ11" s="7">
        <f>IY12+1</f>
        <v>53783</v>
      </c>
      <c r="JA11" s="7">
        <f t="shared" ref="JA11:KF11" si="19">IZ12+1</f>
        <v>53813</v>
      </c>
      <c r="JB11" s="7">
        <f t="shared" si="19"/>
        <v>53844</v>
      </c>
      <c r="JC11" s="7">
        <f t="shared" si="19"/>
        <v>53874</v>
      </c>
      <c r="JD11" s="7">
        <f t="shared" si="19"/>
        <v>53905</v>
      </c>
      <c r="JE11" s="7">
        <f t="shared" si="19"/>
        <v>53936</v>
      </c>
      <c r="JF11" s="7">
        <f t="shared" si="19"/>
        <v>53966</v>
      </c>
      <c r="JG11" s="7">
        <f t="shared" si="19"/>
        <v>53997</v>
      </c>
      <c r="JH11" s="7">
        <f t="shared" si="19"/>
        <v>54027</v>
      </c>
      <c r="JI11" s="7">
        <f t="shared" si="19"/>
        <v>54058</v>
      </c>
      <c r="JJ11" s="7">
        <f t="shared" si="19"/>
        <v>54089</v>
      </c>
      <c r="JK11" s="7">
        <f t="shared" si="19"/>
        <v>54118</v>
      </c>
      <c r="JL11" s="7">
        <f t="shared" si="19"/>
        <v>54149</v>
      </c>
      <c r="JM11" s="7">
        <f t="shared" si="19"/>
        <v>54179</v>
      </c>
      <c r="JN11" s="7">
        <f t="shared" si="19"/>
        <v>54210</v>
      </c>
      <c r="JO11" s="7">
        <f t="shared" si="19"/>
        <v>54240</v>
      </c>
      <c r="JP11" s="7">
        <f t="shared" si="19"/>
        <v>54271</v>
      </c>
      <c r="JQ11" s="7">
        <f t="shared" si="19"/>
        <v>54302</v>
      </c>
      <c r="JR11" s="7">
        <f t="shared" si="19"/>
        <v>54332</v>
      </c>
      <c r="JS11" s="7">
        <f t="shared" si="19"/>
        <v>54363</v>
      </c>
      <c r="JT11" s="7">
        <f t="shared" si="19"/>
        <v>54393</v>
      </c>
      <c r="JU11" s="7">
        <f t="shared" si="19"/>
        <v>54424</v>
      </c>
      <c r="JV11" s="7">
        <f t="shared" si="19"/>
        <v>54455</v>
      </c>
      <c r="JW11" s="7">
        <f t="shared" si="19"/>
        <v>54483</v>
      </c>
      <c r="JX11" s="7">
        <f t="shared" si="19"/>
        <v>54514</v>
      </c>
      <c r="JY11" s="7">
        <f t="shared" si="19"/>
        <v>54544</v>
      </c>
      <c r="JZ11" s="7">
        <f t="shared" si="19"/>
        <v>54575</v>
      </c>
      <c r="KA11" s="7">
        <f t="shared" si="19"/>
        <v>54605</v>
      </c>
      <c r="KB11" s="7">
        <f t="shared" si="19"/>
        <v>54636</v>
      </c>
      <c r="KC11" s="7">
        <f t="shared" si="19"/>
        <v>54667</v>
      </c>
      <c r="KD11" s="7">
        <f t="shared" si="19"/>
        <v>54697</v>
      </c>
      <c r="KE11" s="7">
        <f t="shared" si="19"/>
        <v>54728</v>
      </c>
      <c r="KF11" s="7">
        <f t="shared" si="19"/>
        <v>54758</v>
      </c>
    </row>
    <row r="12" spans="1:292" x14ac:dyDescent="0.35">
      <c r="B12" s="8"/>
      <c r="C12" s="7"/>
      <c r="D12" s="7"/>
      <c r="E12" s="8" t="s">
        <v>9</v>
      </c>
      <c r="F12" s="1"/>
      <c r="G12" s="1"/>
      <c r="H12" s="1"/>
      <c r="I12" s="1"/>
      <c r="J12" s="6" t="s">
        <v>12</v>
      </c>
      <c r="K12" s="7">
        <f>EOMONTH(K11,0)</f>
        <v>46234</v>
      </c>
      <c r="L12" s="7">
        <f>EOMONTH(L11,0)</f>
        <v>46265</v>
      </c>
      <c r="M12" s="7">
        <f t="shared" ref="M12:BU12" si="20">EOMONTH(M11,0)</f>
        <v>46295</v>
      </c>
      <c r="N12" s="7">
        <f t="shared" si="20"/>
        <v>46326</v>
      </c>
      <c r="O12" s="7">
        <f t="shared" si="20"/>
        <v>46356</v>
      </c>
      <c r="P12" s="7">
        <f t="shared" si="20"/>
        <v>46387</v>
      </c>
      <c r="Q12" s="7">
        <f t="shared" si="20"/>
        <v>46418</v>
      </c>
      <c r="R12" s="7">
        <f t="shared" si="20"/>
        <v>46446</v>
      </c>
      <c r="S12" s="7">
        <f t="shared" si="20"/>
        <v>46477</v>
      </c>
      <c r="T12" s="7">
        <f t="shared" si="20"/>
        <v>46507</v>
      </c>
      <c r="U12" s="7">
        <f t="shared" si="20"/>
        <v>46538</v>
      </c>
      <c r="V12" s="7">
        <f t="shared" si="20"/>
        <v>46568</v>
      </c>
      <c r="W12" s="7">
        <f t="shared" si="20"/>
        <v>46599</v>
      </c>
      <c r="X12" s="7">
        <f t="shared" si="20"/>
        <v>46630</v>
      </c>
      <c r="Y12" s="7">
        <f t="shared" si="20"/>
        <v>46660</v>
      </c>
      <c r="Z12" s="7">
        <f t="shared" si="20"/>
        <v>46691</v>
      </c>
      <c r="AA12" s="7">
        <f t="shared" si="20"/>
        <v>46721</v>
      </c>
      <c r="AB12" s="7">
        <f t="shared" si="20"/>
        <v>46752</v>
      </c>
      <c r="AC12" s="7">
        <f t="shared" si="20"/>
        <v>46783</v>
      </c>
      <c r="AD12" s="7">
        <f t="shared" si="20"/>
        <v>46812</v>
      </c>
      <c r="AE12" s="7">
        <f t="shared" si="20"/>
        <v>46843</v>
      </c>
      <c r="AF12" s="7">
        <f t="shared" si="20"/>
        <v>46873</v>
      </c>
      <c r="AG12" s="7">
        <f t="shared" si="20"/>
        <v>46904</v>
      </c>
      <c r="AH12" s="7">
        <f t="shared" si="20"/>
        <v>46934</v>
      </c>
      <c r="AI12" s="7">
        <f t="shared" si="20"/>
        <v>46965</v>
      </c>
      <c r="AJ12" s="7">
        <f t="shared" si="20"/>
        <v>46996</v>
      </c>
      <c r="AK12" s="7">
        <f t="shared" si="20"/>
        <v>47026</v>
      </c>
      <c r="AL12" s="7">
        <f t="shared" si="20"/>
        <v>47057</v>
      </c>
      <c r="AM12" s="7">
        <f t="shared" si="20"/>
        <v>47087</v>
      </c>
      <c r="AN12" s="7">
        <f t="shared" si="20"/>
        <v>47118</v>
      </c>
      <c r="AO12" s="7">
        <f t="shared" si="20"/>
        <v>47149</v>
      </c>
      <c r="AP12" s="7">
        <f t="shared" si="20"/>
        <v>47177</v>
      </c>
      <c r="AQ12" s="7">
        <f t="shared" si="20"/>
        <v>47208</v>
      </c>
      <c r="AR12" s="7">
        <f t="shared" si="20"/>
        <v>47238</v>
      </c>
      <c r="AS12" s="7">
        <f t="shared" si="20"/>
        <v>47269</v>
      </c>
      <c r="AT12" s="7">
        <f t="shared" si="20"/>
        <v>47299</v>
      </c>
      <c r="AU12" s="7">
        <f t="shared" si="20"/>
        <v>47330</v>
      </c>
      <c r="AV12" s="7">
        <f t="shared" si="20"/>
        <v>47361</v>
      </c>
      <c r="AW12" s="7">
        <f t="shared" si="20"/>
        <v>47391</v>
      </c>
      <c r="AX12" s="7">
        <f t="shared" si="20"/>
        <v>47422</v>
      </c>
      <c r="AY12" s="7">
        <f t="shared" si="20"/>
        <v>47452</v>
      </c>
      <c r="AZ12" s="7">
        <f t="shared" si="20"/>
        <v>47483</v>
      </c>
      <c r="BA12" s="7">
        <f t="shared" si="20"/>
        <v>47514</v>
      </c>
      <c r="BB12" s="7">
        <f t="shared" si="20"/>
        <v>47542</v>
      </c>
      <c r="BC12" s="7">
        <f t="shared" si="20"/>
        <v>47573</v>
      </c>
      <c r="BD12" s="7">
        <f t="shared" si="20"/>
        <v>47603</v>
      </c>
      <c r="BE12" s="7">
        <f t="shared" si="20"/>
        <v>47634</v>
      </c>
      <c r="BF12" s="7">
        <f t="shared" si="20"/>
        <v>47664</v>
      </c>
      <c r="BG12" s="7">
        <f t="shared" si="20"/>
        <v>47695</v>
      </c>
      <c r="BH12" s="7">
        <f t="shared" si="20"/>
        <v>47726</v>
      </c>
      <c r="BI12" s="7">
        <f t="shared" si="20"/>
        <v>47756</v>
      </c>
      <c r="BJ12" s="7">
        <f t="shared" si="20"/>
        <v>47787</v>
      </c>
      <c r="BK12" s="7">
        <f t="shared" si="20"/>
        <v>47817</v>
      </c>
      <c r="BL12" s="7">
        <f t="shared" si="20"/>
        <v>47848</v>
      </c>
      <c r="BM12" s="7">
        <f t="shared" si="20"/>
        <v>47879</v>
      </c>
      <c r="BN12" s="7">
        <f t="shared" si="20"/>
        <v>47907</v>
      </c>
      <c r="BO12" s="7">
        <f t="shared" si="20"/>
        <v>47938</v>
      </c>
      <c r="BP12" s="7">
        <f t="shared" si="20"/>
        <v>47968</v>
      </c>
      <c r="BQ12" s="7">
        <f t="shared" si="20"/>
        <v>47999</v>
      </c>
      <c r="BR12" s="7">
        <f t="shared" si="20"/>
        <v>48029</v>
      </c>
      <c r="BS12" s="7">
        <f t="shared" si="20"/>
        <v>48060</v>
      </c>
      <c r="BT12" s="7">
        <f t="shared" si="20"/>
        <v>48091</v>
      </c>
      <c r="BU12" s="7">
        <f t="shared" si="20"/>
        <v>48121</v>
      </c>
      <c r="BV12" s="7">
        <f>EOMONTH(BV11,0)</f>
        <v>48152</v>
      </c>
      <c r="BW12" s="7">
        <f t="shared" ref="BW12:EE12" si="21">EOMONTH(BW11,0)</f>
        <v>48182</v>
      </c>
      <c r="BX12" s="7">
        <f t="shared" si="21"/>
        <v>48213</v>
      </c>
      <c r="BY12" s="7">
        <f t="shared" si="21"/>
        <v>48244</v>
      </c>
      <c r="BZ12" s="7">
        <f t="shared" si="21"/>
        <v>48273</v>
      </c>
      <c r="CA12" s="7">
        <f t="shared" si="21"/>
        <v>48304</v>
      </c>
      <c r="CB12" s="7">
        <f t="shared" si="21"/>
        <v>48334</v>
      </c>
      <c r="CC12" s="7">
        <f t="shared" si="21"/>
        <v>48365</v>
      </c>
      <c r="CD12" s="7">
        <f t="shared" si="21"/>
        <v>48395</v>
      </c>
      <c r="CE12" s="7">
        <f t="shared" si="21"/>
        <v>48426</v>
      </c>
      <c r="CF12" s="7">
        <f t="shared" si="21"/>
        <v>48457</v>
      </c>
      <c r="CG12" s="7">
        <f t="shared" si="21"/>
        <v>48487</v>
      </c>
      <c r="CH12" s="7">
        <f t="shared" si="21"/>
        <v>48518</v>
      </c>
      <c r="CI12" s="7">
        <f t="shared" si="21"/>
        <v>48548</v>
      </c>
      <c r="CJ12" s="7">
        <f t="shared" si="21"/>
        <v>48579</v>
      </c>
      <c r="CK12" s="7">
        <f t="shared" si="21"/>
        <v>48610</v>
      </c>
      <c r="CL12" s="7">
        <f t="shared" si="21"/>
        <v>48638</v>
      </c>
      <c r="CM12" s="7">
        <f t="shared" si="21"/>
        <v>48669</v>
      </c>
      <c r="CN12" s="7">
        <f t="shared" si="21"/>
        <v>48699</v>
      </c>
      <c r="CO12" s="7">
        <f t="shared" si="21"/>
        <v>48730</v>
      </c>
      <c r="CP12" s="7">
        <f t="shared" si="21"/>
        <v>48760</v>
      </c>
      <c r="CQ12" s="7">
        <f t="shared" si="21"/>
        <v>48791</v>
      </c>
      <c r="CR12" s="7">
        <f t="shared" si="21"/>
        <v>48822</v>
      </c>
      <c r="CS12" s="7">
        <f t="shared" si="21"/>
        <v>48852</v>
      </c>
      <c r="CT12" s="7">
        <f t="shared" si="21"/>
        <v>48883</v>
      </c>
      <c r="CU12" s="7">
        <f t="shared" si="21"/>
        <v>48913</v>
      </c>
      <c r="CV12" s="7">
        <f t="shared" si="21"/>
        <v>48944</v>
      </c>
      <c r="CW12" s="7">
        <f t="shared" si="21"/>
        <v>48975</v>
      </c>
      <c r="CX12" s="7">
        <f t="shared" si="21"/>
        <v>49003</v>
      </c>
      <c r="CY12" s="7">
        <f t="shared" si="21"/>
        <v>49034</v>
      </c>
      <c r="CZ12" s="7">
        <f t="shared" si="21"/>
        <v>49064</v>
      </c>
      <c r="DA12" s="7">
        <f t="shared" si="21"/>
        <v>49095</v>
      </c>
      <c r="DB12" s="7">
        <f t="shared" si="21"/>
        <v>49125</v>
      </c>
      <c r="DC12" s="7">
        <f t="shared" si="21"/>
        <v>49156</v>
      </c>
      <c r="DD12" s="7">
        <f t="shared" si="21"/>
        <v>49187</v>
      </c>
      <c r="DE12" s="7">
        <f t="shared" si="21"/>
        <v>49217</v>
      </c>
      <c r="DF12" s="7">
        <f t="shared" si="21"/>
        <v>49248</v>
      </c>
      <c r="DG12" s="7">
        <f t="shared" si="21"/>
        <v>49278</v>
      </c>
      <c r="DH12" s="7">
        <f t="shared" si="21"/>
        <v>49309</v>
      </c>
      <c r="DI12" s="7">
        <f t="shared" si="21"/>
        <v>49340</v>
      </c>
      <c r="DJ12" s="7">
        <f t="shared" si="21"/>
        <v>49368</v>
      </c>
      <c r="DK12" s="7">
        <f t="shared" si="21"/>
        <v>49399</v>
      </c>
      <c r="DL12" s="7">
        <f t="shared" si="21"/>
        <v>49429</v>
      </c>
      <c r="DM12" s="7">
        <f t="shared" si="21"/>
        <v>49460</v>
      </c>
      <c r="DN12" s="7">
        <f t="shared" si="21"/>
        <v>49490</v>
      </c>
      <c r="DO12" s="7">
        <f t="shared" si="21"/>
        <v>49521</v>
      </c>
      <c r="DP12" s="7">
        <f t="shared" si="21"/>
        <v>49552</v>
      </c>
      <c r="DQ12" s="7">
        <f t="shared" si="21"/>
        <v>49582</v>
      </c>
      <c r="DR12" s="7">
        <f t="shared" si="21"/>
        <v>49613</v>
      </c>
      <c r="DS12" s="7">
        <f t="shared" si="21"/>
        <v>49643</v>
      </c>
      <c r="DT12" s="7">
        <f t="shared" si="21"/>
        <v>49674</v>
      </c>
      <c r="DU12" s="7">
        <f t="shared" si="21"/>
        <v>49705</v>
      </c>
      <c r="DV12" s="7">
        <f t="shared" si="21"/>
        <v>49734</v>
      </c>
      <c r="DW12" s="7">
        <f t="shared" si="21"/>
        <v>49765</v>
      </c>
      <c r="DX12" s="7">
        <f t="shared" si="21"/>
        <v>49795</v>
      </c>
      <c r="DY12" s="7">
        <f t="shared" si="21"/>
        <v>49826</v>
      </c>
      <c r="DZ12" s="7">
        <f t="shared" si="21"/>
        <v>49856</v>
      </c>
      <c r="EA12" s="7">
        <f t="shared" si="21"/>
        <v>49887</v>
      </c>
      <c r="EB12" s="7">
        <f t="shared" si="21"/>
        <v>49918</v>
      </c>
      <c r="EC12" s="7">
        <f t="shared" si="21"/>
        <v>49948</v>
      </c>
      <c r="ED12" s="7">
        <f t="shared" si="21"/>
        <v>49979</v>
      </c>
      <c r="EE12" s="7">
        <f t="shared" si="21"/>
        <v>50009</v>
      </c>
      <c r="EF12" s="7">
        <f>EOMONTH(EF11,0)</f>
        <v>50040</v>
      </c>
      <c r="EG12" s="7">
        <f t="shared" ref="EG12:GO12" si="22">EOMONTH(EG11,0)</f>
        <v>50071</v>
      </c>
      <c r="EH12" s="7">
        <f t="shared" si="22"/>
        <v>50099</v>
      </c>
      <c r="EI12" s="7">
        <f t="shared" si="22"/>
        <v>50130</v>
      </c>
      <c r="EJ12" s="7">
        <f t="shared" si="22"/>
        <v>50160</v>
      </c>
      <c r="EK12" s="7">
        <f t="shared" si="22"/>
        <v>50191</v>
      </c>
      <c r="EL12" s="7">
        <f t="shared" si="22"/>
        <v>50221</v>
      </c>
      <c r="EM12" s="7">
        <f t="shared" si="22"/>
        <v>50252</v>
      </c>
      <c r="EN12" s="7">
        <f t="shared" si="22"/>
        <v>50283</v>
      </c>
      <c r="EO12" s="7">
        <f t="shared" si="22"/>
        <v>50313</v>
      </c>
      <c r="EP12" s="7">
        <f t="shared" si="22"/>
        <v>50344</v>
      </c>
      <c r="EQ12" s="7">
        <f t="shared" si="22"/>
        <v>50374</v>
      </c>
      <c r="ER12" s="7">
        <f t="shared" si="22"/>
        <v>50405</v>
      </c>
      <c r="ES12" s="7">
        <f t="shared" si="22"/>
        <v>50436</v>
      </c>
      <c r="ET12" s="7">
        <f t="shared" si="22"/>
        <v>50464</v>
      </c>
      <c r="EU12" s="7">
        <f t="shared" si="22"/>
        <v>50495</v>
      </c>
      <c r="EV12" s="7">
        <f t="shared" si="22"/>
        <v>50525</v>
      </c>
      <c r="EW12" s="7">
        <f t="shared" si="22"/>
        <v>50556</v>
      </c>
      <c r="EX12" s="7">
        <f t="shared" si="22"/>
        <v>50586</v>
      </c>
      <c r="EY12" s="7">
        <f t="shared" si="22"/>
        <v>50617</v>
      </c>
      <c r="EZ12" s="7">
        <f t="shared" si="22"/>
        <v>50648</v>
      </c>
      <c r="FA12" s="7">
        <f t="shared" si="22"/>
        <v>50678</v>
      </c>
      <c r="FB12" s="7">
        <f t="shared" si="22"/>
        <v>50709</v>
      </c>
      <c r="FC12" s="7">
        <f t="shared" si="22"/>
        <v>50739</v>
      </c>
      <c r="FD12" s="7">
        <f t="shared" si="22"/>
        <v>50770</v>
      </c>
      <c r="FE12" s="7">
        <f t="shared" si="22"/>
        <v>50801</v>
      </c>
      <c r="FF12" s="7">
        <f t="shared" si="22"/>
        <v>50829</v>
      </c>
      <c r="FG12" s="7">
        <f t="shared" si="22"/>
        <v>50860</v>
      </c>
      <c r="FH12" s="7">
        <f t="shared" si="22"/>
        <v>50890</v>
      </c>
      <c r="FI12" s="7">
        <f t="shared" si="22"/>
        <v>50921</v>
      </c>
      <c r="FJ12" s="7">
        <f t="shared" si="22"/>
        <v>50951</v>
      </c>
      <c r="FK12" s="7">
        <f t="shared" si="22"/>
        <v>50982</v>
      </c>
      <c r="FL12" s="7">
        <f t="shared" si="22"/>
        <v>51013</v>
      </c>
      <c r="FM12" s="7">
        <f t="shared" si="22"/>
        <v>51043</v>
      </c>
      <c r="FN12" s="7">
        <f t="shared" si="22"/>
        <v>51074</v>
      </c>
      <c r="FO12" s="7">
        <f t="shared" si="22"/>
        <v>51104</v>
      </c>
      <c r="FP12" s="7">
        <f t="shared" si="22"/>
        <v>51135</v>
      </c>
      <c r="FQ12" s="7">
        <f t="shared" si="22"/>
        <v>51166</v>
      </c>
      <c r="FR12" s="7">
        <f t="shared" si="22"/>
        <v>51195</v>
      </c>
      <c r="FS12" s="7">
        <f t="shared" si="22"/>
        <v>51226</v>
      </c>
      <c r="FT12" s="7">
        <f t="shared" si="22"/>
        <v>51256</v>
      </c>
      <c r="FU12" s="7">
        <f t="shared" si="22"/>
        <v>51287</v>
      </c>
      <c r="FV12" s="7">
        <f t="shared" si="22"/>
        <v>51317</v>
      </c>
      <c r="FW12" s="7">
        <f t="shared" si="22"/>
        <v>51348</v>
      </c>
      <c r="FX12" s="7">
        <f t="shared" si="22"/>
        <v>51379</v>
      </c>
      <c r="FY12" s="7">
        <f t="shared" si="22"/>
        <v>51409</v>
      </c>
      <c r="FZ12" s="7">
        <f t="shared" si="22"/>
        <v>51440</v>
      </c>
      <c r="GA12" s="7">
        <f t="shared" si="22"/>
        <v>51470</v>
      </c>
      <c r="GB12" s="7">
        <f t="shared" si="22"/>
        <v>51501</v>
      </c>
      <c r="GC12" s="7">
        <f t="shared" si="22"/>
        <v>51532</v>
      </c>
      <c r="GD12" s="7">
        <f t="shared" si="22"/>
        <v>51560</v>
      </c>
      <c r="GE12" s="7">
        <f t="shared" si="22"/>
        <v>51591</v>
      </c>
      <c r="GF12" s="7">
        <f t="shared" si="22"/>
        <v>51621</v>
      </c>
      <c r="GG12" s="7">
        <f t="shared" si="22"/>
        <v>51652</v>
      </c>
      <c r="GH12" s="7">
        <f t="shared" si="22"/>
        <v>51682</v>
      </c>
      <c r="GI12" s="7">
        <f t="shared" si="22"/>
        <v>51713</v>
      </c>
      <c r="GJ12" s="7">
        <f t="shared" si="22"/>
        <v>51744</v>
      </c>
      <c r="GK12" s="7">
        <f t="shared" si="22"/>
        <v>51774</v>
      </c>
      <c r="GL12" s="7">
        <f t="shared" si="22"/>
        <v>51805</v>
      </c>
      <c r="GM12" s="7">
        <f t="shared" si="22"/>
        <v>51835</v>
      </c>
      <c r="GN12" s="7">
        <f t="shared" si="22"/>
        <v>51866</v>
      </c>
      <c r="GO12" s="7">
        <f t="shared" si="22"/>
        <v>51897</v>
      </c>
      <c r="GP12" s="7">
        <f>EOMONTH(GP11,0)</f>
        <v>51925</v>
      </c>
      <c r="GQ12" s="7">
        <f t="shared" ref="GQ12:IY12" si="23">EOMONTH(GQ11,0)</f>
        <v>51956</v>
      </c>
      <c r="GR12" s="7">
        <f t="shared" si="23"/>
        <v>51986</v>
      </c>
      <c r="GS12" s="7">
        <f t="shared" si="23"/>
        <v>52017</v>
      </c>
      <c r="GT12" s="7">
        <f t="shared" si="23"/>
        <v>52047</v>
      </c>
      <c r="GU12" s="7">
        <f t="shared" si="23"/>
        <v>52078</v>
      </c>
      <c r="GV12" s="7">
        <f t="shared" si="23"/>
        <v>52109</v>
      </c>
      <c r="GW12" s="7">
        <f t="shared" si="23"/>
        <v>52139</v>
      </c>
      <c r="GX12" s="7">
        <f t="shared" si="23"/>
        <v>52170</v>
      </c>
      <c r="GY12" s="7">
        <f t="shared" si="23"/>
        <v>52200</v>
      </c>
      <c r="GZ12" s="7">
        <f t="shared" si="23"/>
        <v>52231</v>
      </c>
      <c r="HA12" s="7">
        <f t="shared" si="23"/>
        <v>52262</v>
      </c>
      <c r="HB12" s="7">
        <f t="shared" si="23"/>
        <v>52290</v>
      </c>
      <c r="HC12" s="7">
        <f t="shared" si="23"/>
        <v>52321</v>
      </c>
      <c r="HD12" s="7">
        <f t="shared" si="23"/>
        <v>52351</v>
      </c>
      <c r="HE12" s="7">
        <f t="shared" si="23"/>
        <v>52382</v>
      </c>
      <c r="HF12" s="7">
        <f t="shared" si="23"/>
        <v>52412</v>
      </c>
      <c r="HG12" s="7">
        <f t="shared" si="23"/>
        <v>52443</v>
      </c>
      <c r="HH12" s="7">
        <f t="shared" si="23"/>
        <v>52474</v>
      </c>
      <c r="HI12" s="7">
        <f t="shared" si="23"/>
        <v>52504</v>
      </c>
      <c r="HJ12" s="7">
        <f t="shared" si="23"/>
        <v>52535</v>
      </c>
      <c r="HK12" s="7">
        <f t="shared" si="23"/>
        <v>52565</v>
      </c>
      <c r="HL12" s="7">
        <f t="shared" si="23"/>
        <v>52596</v>
      </c>
      <c r="HM12" s="7">
        <f t="shared" si="23"/>
        <v>52627</v>
      </c>
      <c r="HN12" s="7">
        <f t="shared" si="23"/>
        <v>52656</v>
      </c>
      <c r="HO12" s="7">
        <f t="shared" si="23"/>
        <v>52687</v>
      </c>
      <c r="HP12" s="7">
        <f t="shared" si="23"/>
        <v>52717</v>
      </c>
      <c r="HQ12" s="7">
        <f t="shared" si="23"/>
        <v>52748</v>
      </c>
      <c r="HR12" s="7">
        <f t="shared" si="23"/>
        <v>52778</v>
      </c>
      <c r="HS12" s="7">
        <f t="shared" si="23"/>
        <v>52809</v>
      </c>
      <c r="HT12" s="7">
        <f t="shared" si="23"/>
        <v>52840</v>
      </c>
      <c r="HU12" s="7">
        <f t="shared" si="23"/>
        <v>52870</v>
      </c>
      <c r="HV12" s="7">
        <f t="shared" si="23"/>
        <v>52901</v>
      </c>
      <c r="HW12" s="7">
        <f t="shared" si="23"/>
        <v>52931</v>
      </c>
      <c r="HX12" s="7">
        <f t="shared" si="23"/>
        <v>52962</v>
      </c>
      <c r="HY12" s="7">
        <f t="shared" si="23"/>
        <v>52993</v>
      </c>
      <c r="HZ12" s="7">
        <f t="shared" si="23"/>
        <v>53021</v>
      </c>
      <c r="IA12" s="7">
        <f t="shared" si="23"/>
        <v>53052</v>
      </c>
      <c r="IB12" s="7">
        <f t="shared" si="23"/>
        <v>53082</v>
      </c>
      <c r="IC12" s="7">
        <f t="shared" si="23"/>
        <v>53113</v>
      </c>
      <c r="ID12" s="7">
        <f t="shared" si="23"/>
        <v>53143</v>
      </c>
      <c r="IE12" s="7">
        <f t="shared" si="23"/>
        <v>53174</v>
      </c>
      <c r="IF12" s="7">
        <f t="shared" si="23"/>
        <v>53205</v>
      </c>
      <c r="IG12" s="7">
        <f t="shared" si="23"/>
        <v>53235</v>
      </c>
      <c r="IH12" s="7">
        <f t="shared" si="23"/>
        <v>53266</v>
      </c>
      <c r="II12" s="7">
        <f t="shared" si="23"/>
        <v>53296</v>
      </c>
      <c r="IJ12" s="7">
        <f t="shared" si="23"/>
        <v>53327</v>
      </c>
      <c r="IK12" s="7">
        <f t="shared" si="23"/>
        <v>53358</v>
      </c>
      <c r="IL12" s="7">
        <f t="shared" si="23"/>
        <v>53386</v>
      </c>
      <c r="IM12" s="7">
        <f t="shared" si="23"/>
        <v>53417</v>
      </c>
      <c r="IN12" s="7">
        <f t="shared" si="23"/>
        <v>53447</v>
      </c>
      <c r="IO12" s="7">
        <f t="shared" si="23"/>
        <v>53478</v>
      </c>
      <c r="IP12" s="7">
        <f t="shared" si="23"/>
        <v>53508</v>
      </c>
      <c r="IQ12" s="7">
        <f t="shared" si="23"/>
        <v>53539</v>
      </c>
      <c r="IR12" s="7">
        <f t="shared" si="23"/>
        <v>53570</v>
      </c>
      <c r="IS12" s="7">
        <f t="shared" si="23"/>
        <v>53600</v>
      </c>
      <c r="IT12" s="7">
        <f t="shared" si="23"/>
        <v>53631</v>
      </c>
      <c r="IU12" s="7">
        <f t="shared" si="23"/>
        <v>53661</v>
      </c>
      <c r="IV12" s="7">
        <f t="shared" si="23"/>
        <v>53692</v>
      </c>
      <c r="IW12" s="7">
        <f t="shared" si="23"/>
        <v>53723</v>
      </c>
      <c r="IX12" s="7">
        <f t="shared" si="23"/>
        <v>53751</v>
      </c>
      <c r="IY12" s="7">
        <f t="shared" si="23"/>
        <v>53782</v>
      </c>
      <c r="IZ12" s="7">
        <f>EOMONTH(IZ11,0)</f>
        <v>53812</v>
      </c>
      <c r="JA12" s="7">
        <f t="shared" ref="JA12:KF12" si="24">EOMONTH(JA11,0)</f>
        <v>53843</v>
      </c>
      <c r="JB12" s="7">
        <f t="shared" si="24"/>
        <v>53873</v>
      </c>
      <c r="JC12" s="7">
        <f t="shared" si="24"/>
        <v>53904</v>
      </c>
      <c r="JD12" s="7">
        <f t="shared" si="24"/>
        <v>53935</v>
      </c>
      <c r="JE12" s="7">
        <f t="shared" si="24"/>
        <v>53965</v>
      </c>
      <c r="JF12" s="7">
        <f t="shared" si="24"/>
        <v>53996</v>
      </c>
      <c r="JG12" s="7">
        <f t="shared" si="24"/>
        <v>54026</v>
      </c>
      <c r="JH12" s="7">
        <f t="shared" si="24"/>
        <v>54057</v>
      </c>
      <c r="JI12" s="7">
        <f t="shared" si="24"/>
        <v>54088</v>
      </c>
      <c r="JJ12" s="7">
        <f t="shared" si="24"/>
        <v>54117</v>
      </c>
      <c r="JK12" s="7">
        <f t="shared" si="24"/>
        <v>54148</v>
      </c>
      <c r="JL12" s="7">
        <f t="shared" si="24"/>
        <v>54178</v>
      </c>
      <c r="JM12" s="7">
        <f t="shared" si="24"/>
        <v>54209</v>
      </c>
      <c r="JN12" s="7">
        <f t="shared" si="24"/>
        <v>54239</v>
      </c>
      <c r="JO12" s="7">
        <f t="shared" si="24"/>
        <v>54270</v>
      </c>
      <c r="JP12" s="7">
        <f t="shared" si="24"/>
        <v>54301</v>
      </c>
      <c r="JQ12" s="7">
        <f t="shared" si="24"/>
        <v>54331</v>
      </c>
      <c r="JR12" s="7">
        <f t="shared" si="24"/>
        <v>54362</v>
      </c>
      <c r="JS12" s="7">
        <f t="shared" si="24"/>
        <v>54392</v>
      </c>
      <c r="JT12" s="7">
        <f t="shared" si="24"/>
        <v>54423</v>
      </c>
      <c r="JU12" s="7">
        <f t="shared" si="24"/>
        <v>54454</v>
      </c>
      <c r="JV12" s="7">
        <f t="shared" si="24"/>
        <v>54482</v>
      </c>
      <c r="JW12" s="7">
        <f t="shared" si="24"/>
        <v>54513</v>
      </c>
      <c r="JX12" s="7">
        <f t="shared" si="24"/>
        <v>54543</v>
      </c>
      <c r="JY12" s="7">
        <f t="shared" si="24"/>
        <v>54574</v>
      </c>
      <c r="JZ12" s="7">
        <f t="shared" si="24"/>
        <v>54604</v>
      </c>
      <c r="KA12" s="7">
        <f t="shared" si="24"/>
        <v>54635</v>
      </c>
      <c r="KB12" s="7">
        <f t="shared" si="24"/>
        <v>54666</v>
      </c>
      <c r="KC12" s="7">
        <f t="shared" si="24"/>
        <v>54696</v>
      </c>
      <c r="KD12" s="7">
        <f t="shared" si="24"/>
        <v>54727</v>
      </c>
      <c r="KE12" s="7">
        <f t="shared" si="24"/>
        <v>54757</v>
      </c>
      <c r="KF12" s="7">
        <f t="shared" si="24"/>
        <v>54788</v>
      </c>
    </row>
    <row r="13" spans="1:292" x14ac:dyDescent="0.35">
      <c r="B13" s="8"/>
      <c r="C13" s="8"/>
      <c r="D13" s="8"/>
      <c r="E13" s="8" t="s">
        <v>9</v>
      </c>
      <c r="F13" s="1"/>
      <c r="G13" s="1"/>
      <c r="H13" s="1"/>
      <c r="I13" s="1"/>
      <c r="J13" s="6" t="s">
        <v>13</v>
      </c>
      <c r="K13" s="6" t="str">
        <f>"CY"&amp;RIGHT(YEAR(K11),2)</f>
        <v>CY26</v>
      </c>
      <c r="L13" s="6" t="str">
        <f t="shared" ref="L13:BW13" si="25">"CY"&amp;RIGHT(YEAR(L11),2)</f>
        <v>CY26</v>
      </c>
      <c r="M13" s="6" t="str">
        <f t="shared" si="25"/>
        <v>CY26</v>
      </c>
      <c r="N13" s="6" t="str">
        <f t="shared" si="25"/>
        <v>CY26</v>
      </c>
      <c r="O13" s="6" t="str">
        <f t="shared" si="25"/>
        <v>CY26</v>
      </c>
      <c r="P13" s="6" t="str">
        <f t="shared" si="25"/>
        <v>CY26</v>
      </c>
      <c r="Q13" s="6" t="str">
        <f t="shared" si="25"/>
        <v>CY27</v>
      </c>
      <c r="R13" s="6" t="str">
        <f t="shared" si="25"/>
        <v>CY27</v>
      </c>
      <c r="S13" s="6" t="str">
        <f t="shared" si="25"/>
        <v>CY27</v>
      </c>
      <c r="T13" s="6" t="str">
        <f t="shared" si="25"/>
        <v>CY27</v>
      </c>
      <c r="U13" s="6" t="str">
        <f t="shared" si="25"/>
        <v>CY27</v>
      </c>
      <c r="V13" s="6" t="str">
        <f t="shared" si="25"/>
        <v>CY27</v>
      </c>
      <c r="W13" s="6" t="str">
        <f t="shared" si="25"/>
        <v>CY27</v>
      </c>
      <c r="X13" s="6" t="str">
        <f t="shared" si="25"/>
        <v>CY27</v>
      </c>
      <c r="Y13" s="6" t="str">
        <f t="shared" si="25"/>
        <v>CY27</v>
      </c>
      <c r="Z13" s="6" t="str">
        <f t="shared" si="25"/>
        <v>CY27</v>
      </c>
      <c r="AA13" s="6" t="str">
        <f t="shared" si="25"/>
        <v>CY27</v>
      </c>
      <c r="AB13" s="6" t="str">
        <f t="shared" si="25"/>
        <v>CY27</v>
      </c>
      <c r="AC13" s="6" t="str">
        <f t="shared" si="25"/>
        <v>CY28</v>
      </c>
      <c r="AD13" s="6" t="str">
        <f t="shared" si="25"/>
        <v>CY28</v>
      </c>
      <c r="AE13" s="6" t="str">
        <f t="shared" si="25"/>
        <v>CY28</v>
      </c>
      <c r="AF13" s="6" t="str">
        <f t="shared" si="25"/>
        <v>CY28</v>
      </c>
      <c r="AG13" s="6" t="str">
        <f t="shared" si="25"/>
        <v>CY28</v>
      </c>
      <c r="AH13" s="6" t="str">
        <f t="shared" si="25"/>
        <v>CY28</v>
      </c>
      <c r="AI13" s="6" t="str">
        <f t="shared" si="25"/>
        <v>CY28</v>
      </c>
      <c r="AJ13" s="6" t="str">
        <f t="shared" si="25"/>
        <v>CY28</v>
      </c>
      <c r="AK13" s="6" t="str">
        <f t="shared" si="25"/>
        <v>CY28</v>
      </c>
      <c r="AL13" s="6" t="str">
        <f t="shared" si="25"/>
        <v>CY28</v>
      </c>
      <c r="AM13" s="6" t="str">
        <f t="shared" si="25"/>
        <v>CY28</v>
      </c>
      <c r="AN13" s="6" t="str">
        <f t="shared" si="25"/>
        <v>CY28</v>
      </c>
      <c r="AO13" s="6" t="str">
        <f t="shared" si="25"/>
        <v>CY29</v>
      </c>
      <c r="AP13" s="6" t="str">
        <f t="shared" si="25"/>
        <v>CY29</v>
      </c>
      <c r="AQ13" s="6" t="str">
        <f t="shared" si="25"/>
        <v>CY29</v>
      </c>
      <c r="AR13" s="6" t="str">
        <f t="shared" si="25"/>
        <v>CY29</v>
      </c>
      <c r="AS13" s="6" t="str">
        <f t="shared" si="25"/>
        <v>CY29</v>
      </c>
      <c r="AT13" s="6" t="str">
        <f t="shared" si="25"/>
        <v>CY29</v>
      </c>
      <c r="AU13" s="6" t="str">
        <f t="shared" si="25"/>
        <v>CY29</v>
      </c>
      <c r="AV13" s="6" t="str">
        <f t="shared" si="25"/>
        <v>CY29</v>
      </c>
      <c r="AW13" s="6" t="str">
        <f t="shared" si="25"/>
        <v>CY29</v>
      </c>
      <c r="AX13" s="6" t="str">
        <f t="shared" si="25"/>
        <v>CY29</v>
      </c>
      <c r="AY13" s="6" t="str">
        <f t="shared" si="25"/>
        <v>CY29</v>
      </c>
      <c r="AZ13" s="6" t="str">
        <f t="shared" si="25"/>
        <v>CY29</v>
      </c>
      <c r="BA13" s="6" t="str">
        <f t="shared" si="25"/>
        <v>CY30</v>
      </c>
      <c r="BB13" s="6" t="str">
        <f t="shared" si="25"/>
        <v>CY30</v>
      </c>
      <c r="BC13" s="6" t="str">
        <f t="shared" si="25"/>
        <v>CY30</v>
      </c>
      <c r="BD13" s="6" t="str">
        <f t="shared" si="25"/>
        <v>CY30</v>
      </c>
      <c r="BE13" s="6" t="str">
        <f t="shared" si="25"/>
        <v>CY30</v>
      </c>
      <c r="BF13" s="6" t="str">
        <f t="shared" si="25"/>
        <v>CY30</v>
      </c>
      <c r="BG13" s="6" t="str">
        <f t="shared" si="25"/>
        <v>CY30</v>
      </c>
      <c r="BH13" s="6" t="str">
        <f t="shared" si="25"/>
        <v>CY30</v>
      </c>
      <c r="BI13" s="6" t="str">
        <f t="shared" si="25"/>
        <v>CY30</v>
      </c>
      <c r="BJ13" s="6" t="str">
        <f t="shared" si="25"/>
        <v>CY30</v>
      </c>
      <c r="BK13" s="6" t="str">
        <f t="shared" si="25"/>
        <v>CY30</v>
      </c>
      <c r="BL13" s="6" t="str">
        <f t="shared" si="25"/>
        <v>CY30</v>
      </c>
      <c r="BM13" s="6" t="str">
        <f t="shared" si="25"/>
        <v>CY31</v>
      </c>
      <c r="BN13" s="6" t="str">
        <f t="shared" si="25"/>
        <v>CY31</v>
      </c>
      <c r="BO13" s="6" t="str">
        <f t="shared" si="25"/>
        <v>CY31</v>
      </c>
      <c r="BP13" s="6" t="str">
        <f t="shared" si="25"/>
        <v>CY31</v>
      </c>
      <c r="BQ13" s="6" t="str">
        <f t="shared" si="25"/>
        <v>CY31</v>
      </c>
      <c r="BR13" s="6" t="str">
        <f t="shared" si="25"/>
        <v>CY31</v>
      </c>
      <c r="BS13" s="6" t="str">
        <f t="shared" si="25"/>
        <v>CY31</v>
      </c>
      <c r="BT13" s="6" t="str">
        <f t="shared" si="25"/>
        <v>CY31</v>
      </c>
      <c r="BU13" s="6" t="str">
        <f t="shared" si="25"/>
        <v>CY31</v>
      </c>
      <c r="BV13" s="6" t="str">
        <f t="shared" si="25"/>
        <v>CY31</v>
      </c>
      <c r="BW13" s="6" t="str">
        <f t="shared" si="25"/>
        <v>CY31</v>
      </c>
      <c r="BX13" s="6" t="str">
        <f t="shared" ref="BX13:EI13" si="26">"CY"&amp;RIGHT(YEAR(BX11),2)</f>
        <v>CY31</v>
      </c>
      <c r="BY13" s="6" t="str">
        <f t="shared" si="26"/>
        <v>CY32</v>
      </c>
      <c r="BZ13" s="6" t="str">
        <f t="shared" si="26"/>
        <v>CY32</v>
      </c>
      <c r="CA13" s="6" t="str">
        <f t="shared" si="26"/>
        <v>CY32</v>
      </c>
      <c r="CB13" s="6" t="str">
        <f t="shared" si="26"/>
        <v>CY32</v>
      </c>
      <c r="CC13" s="6" t="str">
        <f t="shared" si="26"/>
        <v>CY32</v>
      </c>
      <c r="CD13" s="6" t="str">
        <f t="shared" si="26"/>
        <v>CY32</v>
      </c>
      <c r="CE13" s="6" t="str">
        <f t="shared" si="26"/>
        <v>CY32</v>
      </c>
      <c r="CF13" s="6" t="str">
        <f t="shared" si="26"/>
        <v>CY32</v>
      </c>
      <c r="CG13" s="6" t="str">
        <f t="shared" si="26"/>
        <v>CY32</v>
      </c>
      <c r="CH13" s="6" t="str">
        <f t="shared" si="26"/>
        <v>CY32</v>
      </c>
      <c r="CI13" s="6" t="str">
        <f t="shared" si="26"/>
        <v>CY32</v>
      </c>
      <c r="CJ13" s="6" t="str">
        <f t="shared" si="26"/>
        <v>CY32</v>
      </c>
      <c r="CK13" s="6" t="str">
        <f t="shared" si="26"/>
        <v>CY33</v>
      </c>
      <c r="CL13" s="6" t="str">
        <f t="shared" si="26"/>
        <v>CY33</v>
      </c>
      <c r="CM13" s="6" t="str">
        <f t="shared" si="26"/>
        <v>CY33</v>
      </c>
      <c r="CN13" s="6" t="str">
        <f t="shared" si="26"/>
        <v>CY33</v>
      </c>
      <c r="CO13" s="6" t="str">
        <f t="shared" si="26"/>
        <v>CY33</v>
      </c>
      <c r="CP13" s="6" t="str">
        <f t="shared" si="26"/>
        <v>CY33</v>
      </c>
      <c r="CQ13" s="6" t="str">
        <f t="shared" si="26"/>
        <v>CY33</v>
      </c>
      <c r="CR13" s="6" t="str">
        <f t="shared" si="26"/>
        <v>CY33</v>
      </c>
      <c r="CS13" s="6" t="str">
        <f t="shared" si="26"/>
        <v>CY33</v>
      </c>
      <c r="CT13" s="6" t="str">
        <f t="shared" si="26"/>
        <v>CY33</v>
      </c>
      <c r="CU13" s="6" t="str">
        <f t="shared" si="26"/>
        <v>CY33</v>
      </c>
      <c r="CV13" s="6" t="str">
        <f t="shared" si="26"/>
        <v>CY33</v>
      </c>
      <c r="CW13" s="6" t="str">
        <f t="shared" si="26"/>
        <v>CY34</v>
      </c>
      <c r="CX13" s="6" t="str">
        <f t="shared" si="26"/>
        <v>CY34</v>
      </c>
      <c r="CY13" s="6" t="str">
        <f t="shared" si="26"/>
        <v>CY34</v>
      </c>
      <c r="CZ13" s="6" t="str">
        <f t="shared" si="26"/>
        <v>CY34</v>
      </c>
      <c r="DA13" s="6" t="str">
        <f t="shared" si="26"/>
        <v>CY34</v>
      </c>
      <c r="DB13" s="6" t="str">
        <f t="shared" si="26"/>
        <v>CY34</v>
      </c>
      <c r="DC13" s="6" t="str">
        <f t="shared" si="26"/>
        <v>CY34</v>
      </c>
      <c r="DD13" s="6" t="str">
        <f t="shared" si="26"/>
        <v>CY34</v>
      </c>
      <c r="DE13" s="6" t="str">
        <f t="shared" si="26"/>
        <v>CY34</v>
      </c>
      <c r="DF13" s="6" t="str">
        <f t="shared" si="26"/>
        <v>CY34</v>
      </c>
      <c r="DG13" s="6" t="str">
        <f t="shared" si="26"/>
        <v>CY34</v>
      </c>
      <c r="DH13" s="6" t="str">
        <f t="shared" si="26"/>
        <v>CY34</v>
      </c>
      <c r="DI13" s="6" t="str">
        <f t="shared" si="26"/>
        <v>CY35</v>
      </c>
      <c r="DJ13" s="6" t="str">
        <f t="shared" si="26"/>
        <v>CY35</v>
      </c>
      <c r="DK13" s="6" t="str">
        <f t="shared" si="26"/>
        <v>CY35</v>
      </c>
      <c r="DL13" s="6" t="str">
        <f t="shared" si="26"/>
        <v>CY35</v>
      </c>
      <c r="DM13" s="6" t="str">
        <f t="shared" si="26"/>
        <v>CY35</v>
      </c>
      <c r="DN13" s="6" t="str">
        <f t="shared" si="26"/>
        <v>CY35</v>
      </c>
      <c r="DO13" s="6" t="str">
        <f t="shared" si="26"/>
        <v>CY35</v>
      </c>
      <c r="DP13" s="6" t="str">
        <f t="shared" si="26"/>
        <v>CY35</v>
      </c>
      <c r="DQ13" s="6" t="str">
        <f t="shared" si="26"/>
        <v>CY35</v>
      </c>
      <c r="DR13" s="6" t="str">
        <f t="shared" si="26"/>
        <v>CY35</v>
      </c>
      <c r="DS13" s="6" t="str">
        <f t="shared" si="26"/>
        <v>CY35</v>
      </c>
      <c r="DT13" s="6" t="str">
        <f t="shared" si="26"/>
        <v>CY35</v>
      </c>
      <c r="DU13" s="6" t="str">
        <f t="shared" si="26"/>
        <v>CY36</v>
      </c>
      <c r="DV13" s="6" t="str">
        <f t="shared" si="26"/>
        <v>CY36</v>
      </c>
      <c r="DW13" s="6" t="str">
        <f t="shared" si="26"/>
        <v>CY36</v>
      </c>
      <c r="DX13" s="6" t="str">
        <f t="shared" si="26"/>
        <v>CY36</v>
      </c>
      <c r="DY13" s="6" t="str">
        <f t="shared" si="26"/>
        <v>CY36</v>
      </c>
      <c r="DZ13" s="6" t="str">
        <f t="shared" si="26"/>
        <v>CY36</v>
      </c>
      <c r="EA13" s="6" t="str">
        <f t="shared" si="26"/>
        <v>CY36</v>
      </c>
      <c r="EB13" s="6" t="str">
        <f t="shared" si="26"/>
        <v>CY36</v>
      </c>
      <c r="EC13" s="6" t="str">
        <f t="shared" si="26"/>
        <v>CY36</v>
      </c>
      <c r="ED13" s="6" t="str">
        <f t="shared" si="26"/>
        <v>CY36</v>
      </c>
      <c r="EE13" s="6" t="str">
        <f t="shared" si="26"/>
        <v>CY36</v>
      </c>
      <c r="EF13" s="6" t="str">
        <f t="shared" si="26"/>
        <v>CY36</v>
      </c>
      <c r="EG13" s="6" t="str">
        <f t="shared" si="26"/>
        <v>CY37</v>
      </c>
      <c r="EH13" s="6" t="str">
        <f t="shared" si="26"/>
        <v>CY37</v>
      </c>
      <c r="EI13" s="6" t="str">
        <f t="shared" si="26"/>
        <v>CY37</v>
      </c>
      <c r="EJ13" s="6" t="str">
        <f t="shared" ref="EJ13:GU13" si="27">"CY"&amp;RIGHT(YEAR(EJ11),2)</f>
        <v>CY37</v>
      </c>
      <c r="EK13" s="6" t="str">
        <f t="shared" si="27"/>
        <v>CY37</v>
      </c>
      <c r="EL13" s="6" t="str">
        <f t="shared" si="27"/>
        <v>CY37</v>
      </c>
      <c r="EM13" s="6" t="str">
        <f t="shared" si="27"/>
        <v>CY37</v>
      </c>
      <c r="EN13" s="6" t="str">
        <f t="shared" si="27"/>
        <v>CY37</v>
      </c>
      <c r="EO13" s="6" t="str">
        <f t="shared" si="27"/>
        <v>CY37</v>
      </c>
      <c r="EP13" s="6" t="str">
        <f t="shared" si="27"/>
        <v>CY37</v>
      </c>
      <c r="EQ13" s="6" t="str">
        <f t="shared" si="27"/>
        <v>CY37</v>
      </c>
      <c r="ER13" s="6" t="str">
        <f t="shared" si="27"/>
        <v>CY37</v>
      </c>
      <c r="ES13" s="6" t="str">
        <f t="shared" si="27"/>
        <v>CY38</v>
      </c>
      <c r="ET13" s="6" t="str">
        <f t="shared" si="27"/>
        <v>CY38</v>
      </c>
      <c r="EU13" s="6" t="str">
        <f t="shared" si="27"/>
        <v>CY38</v>
      </c>
      <c r="EV13" s="6" t="str">
        <f t="shared" si="27"/>
        <v>CY38</v>
      </c>
      <c r="EW13" s="6" t="str">
        <f t="shared" si="27"/>
        <v>CY38</v>
      </c>
      <c r="EX13" s="6" t="str">
        <f t="shared" si="27"/>
        <v>CY38</v>
      </c>
      <c r="EY13" s="6" t="str">
        <f t="shared" si="27"/>
        <v>CY38</v>
      </c>
      <c r="EZ13" s="6" t="str">
        <f t="shared" si="27"/>
        <v>CY38</v>
      </c>
      <c r="FA13" s="6" t="str">
        <f t="shared" si="27"/>
        <v>CY38</v>
      </c>
      <c r="FB13" s="6" t="str">
        <f t="shared" si="27"/>
        <v>CY38</v>
      </c>
      <c r="FC13" s="6" t="str">
        <f t="shared" si="27"/>
        <v>CY38</v>
      </c>
      <c r="FD13" s="6" t="str">
        <f t="shared" si="27"/>
        <v>CY38</v>
      </c>
      <c r="FE13" s="6" t="str">
        <f t="shared" si="27"/>
        <v>CY39</v>
      </c>
      <c r="FF13" s="6" t="str">
        <f t="shared" si="27"/>
        <v>CY39</v>
      </c>
      <c r="FG13" s="6" t="str">
        <f t="shared" si="27"/>
        <v>CY39</v>
      </c>
      <c r="FH13" s="6" t="str">
        <f t="shared" si="27"/>
        <v>CY39</v>
      </c>
      <c r="FI13" s="6" t="str">
        <f t="shared" si="27"/>
        <v>CY39</v>
      </c>
      <c r="FJ13" s="6" t="str">
        <f t="shared" si="27"/>
        <v>CY39</v>
      </c>
      <c r="FK13" s="6" t="str">
        <f t="shared" si="27"/>
        <v>CY39</v>
      </c>
      <c r="FL13" s="6" t="str">
        <f t="shared" si="27"/>
        <v>CY39</v>
      </c>
      <c r="FM13" s="6" t="str">
        <f t="shared" si="27"/>
        <v>CY39</v>
      </c>
      <c r="FN13" s="6" t="str">
        <f t="shared" si="27"/>
        <v>CY39</v>
      </c>
      <c r="FO13" s="6" t="str">
        <f t="shared" si="27"/>
        <v>CY39</v>
      </c>
      <c r="FP13" s="6" t="str">
        <f t="shared" si="27"/>
        <v>CY39</v>
      </c>
      <c r="FQ13" s="6" t="str">
        <f t="shared" si="27"/>
        <v>CY40</v>
      </c>
      <c r="FR13" s="6" t="str">
        <f t="shared" si="27"/>
        <v>CY40</v>
      </c>
      <c r="FS13" s="6" t="str">
        <f t="shared" si="27"/>
        <v>CY40</v>
      </c>
      <c r="FT13" s="6" t="str">
        <f t="shared" si="27"/>
        <v>CY40</v>
      </c>
      <c r="FU13" s="6" t="str">
        <f t="shared" si="27"/>
        <v>CY40</v>
      </c>
      <c r="FV13" s="6" t="str">
        <f t="shared" si="27"/>
        <v>CY40</v>
      </c>
      <c r="FW13" s="6" t="str">
        <f t="shared" si="27"/>
        <v>CY40</v>
      </c>
      <c r="FX13" s="6" t="str">
        <f t="shared" si="27"/>
        <v>CY40</v>
      </c>
      <c r="FY13" s="6" t="str">
        <f t="shared" si="27"/>
        <v>CY40</v>
      </c>
      <c r="FZ13" s="6" t="str">
        <f t="shared" si="27"/>
        <v>CY40</v>
      </c>
      <c r="GA13" s="6" t="str">
        <f t="shared" si="27"/>
        <v>CY40</v>
      </c>
      <c r="GB13" s="6" t="str">
        <f t="shared" si="27"/>
        <v>CY40</v>
      </c>
      <c r="GC13" s="6" t="str">
        <f t="shared" si="27"/>
        <v>CY41</v>
      </c>
      <c r="GD13" s="6" t="str">
        <f t="shared" si="27"/>
        <v>CY41</v>
      </c>
      <c r="GE13" s="6" t="str">
        <f t="shared" si="27"/>
        <v>CY41</v>
      </c>
      <c r="GF13" s="6" t="str">
        <f t="shared" si="27"/>
        <v>CY41</v>
      </c>
      <c r="GG13" s="6" t="str">
        <f t="shared" si="27"/>
        <v>CY41</v>
      </c>
      <c r="GH13" s="6" t="str">
        <f t="shared" si="27"/>
        <v>CY41</v>
      </c>
      <c r="GI13" s="6" t="str">
        <f t="shared" si="27"/>
        <v>CY41</v>
      </c>
      <c r="GJ13" s="6" t="str">
        <f t="shared" si="27"/>
        <v>CY41</v>
      </c>
      <c r="GK13" s="6" t="str">
        <f t="shared" si="27"/>
        <v>CY41</v>
      </c>
      <c r="GL13" s="6" t="str">
        <f t="shared" si="27"/>
        <v>CY41</v>
      </c>
      <c r="GM13" s="6" t="str">
        <f t="shared" si="27"/>
        <v>CY41</v>
      </c>
      <c r="GN13" s="6" t="str">
        <f t="shared" si="27"/>
        <v>CY41</v>
      </c>
      <c r="GO13" s="6" t="str">
        <f t="shared" si="27"/>
        <v>CY42</v>
      </c>
      <c r="GP13" s="6" t="str">
        <f t="shared" si="27"/>
        <v>CY42</v>
      </c>
      <c r="GQ13" s="6" t="str">
        <f t="shared" si="27"/>
        <v>CY42</v>
      </c>
      <c r="GR13" s="6" t="str">
        <f t="shared" si="27"/>
        <v>CY42</v>
      </c>
      <c r="GS13" s="6" t="str">
        <f t="shared" si="27"/>
        <v>CY42</v>
      </c>
      <c r="GT13" s="6" t="str">
        <f t="shared" si="27"/>
        <v>CY42</v>
      </c>
      <c r="GU13" s="6" t="str">
        <f t="shared" si="27"/>
        <v>CY42</v>
      </c>
      <c r="GV13" s="6" t="str">
        <f t="shared" ref="GV13:JG13" si="28">"CY"&amp;RIGHT(YEAR(GV11),2)</f>
        <v>CY42</v>
      </c>
      <c r="GW13" s="6" t="str">
        <f t="shared" si="28"/>
        <v>CY42</v>
      </c>
      <c r="GX13" s="6" t="str">
        <f t="shared" si="28"/>
        <v>CY42</v>
      </c>
      <c r="GY13" s="6" t="str">
        <f t="shared" si="28"/>
        <v>CY42</v>
      </c>
      <c r="GZ13" s="6" t="str">
        <f t="shared" si="28"/>
        <v>CY42</v>
      </c>
      <c r="HA13" s="6" t="str">
        <f t="shared" si="28"/>
        <v>CY43</v>
      </c>
      <c r="HB13" s="6" t="str">
        <f t="shared" si="28"/>
        <v>CY43</v>
      </c>
      <c r="HC13" s="6" t="str">
        <f t="shared" si="28"/>
        <v>CY43</v>
      </c>
      <c r="HD13" s="6" t="str">
        <f t="shared" si="28"/>
        <v>CY43</v>
      </c>
      <c r="HE13" s="6" t="str">
        <f t="shared" si="28"/>
        <v>CY43</v>
      </c>
      <c r="HF13" s="6" t="str">
        <f t="shared" si="28"/>
        <v>CY43</v>
      </c>
      <c r="HG13" s="6" t="str">
        <f t="shared" si="28"/>
        <v>CY43</v>
      </c>
      <c r="HH13" s="6" t="str">
        <f t="shared" si="28"/>
        <v>CY43</v>
      </c>
      <c r="HI13" s="6" t="str">
        <f t="shared" si="28"/>
        <v>CY43</v>
      </c>
      <c r="HJ13" s="6" t="str">
        <f t="shared" si="28"/>
        <v>CY43</v>
      </c>
      <c r="HK13" s="6" t="str">
        <f t="shared" si="28"/>
        <v>CY43</v>
      </c>
      <c r="HL13" s="6" t="str">
        <f t="shared" si="28"/>
        <v>CY43</v>
      </c>
      <c r="HM13" s="6" t="str">
        <f t="shared" si="28"/>
        <v>CY44</v>
      </c>
      <c r="HN13" s="6" t="str">
        <f t="shared" si="28"/>
        <v>CY44</v>
      </c>
      <c r="HO13" s="6" t="str">
        <f t="shared" si="28"/>
        <v>CY44</v>
      </c>
      <c r="HP13" s="6" t="str">
        <f t="shared" si="28"/>
        <v>CY44</v>
      </c>
      <c r="HQ13" s="6" t="str">
        <f t="shared" si="28"/>
        <v>CY44</v>
      </c>
      <c r="HR13" s="6" t="str">
        <f t="shared" si="28"/>
        <v>CY44</v>
      </c>
      <c r="HS13" s="6" t="str">
        <f t="shared" si="28"/>
        <v>CY44</v>
      </c>
      <c r="HT13" s="6" t="str">
        <f t="shared" si="28"/>
        <v>CY44</v>
      </c>
      <c r="HU13" s="6" t="str">
        <f t="shared" si="28"/>
        <v>CY44</v>
      </c>
      <c r="HV13" s="6" t="str">
        <f t="shared" si="28"/>
        <v>CY44</v>
      </c>
      <c r="HW13" s="6" t="str">
        <f t="shared" si="28"/>
        <v>CY44</v>
      </c>
      <c r="HX13" s="6" t="str">
        <f t="shared" si="28"/>
        <v>CY44</v>
      </c>
      <c r="HY13" s="6" t="str">
        <f t="shared" si="28"/>
        <v>CY45</v>
      </c>
      <c r="HZ13" s="6" t="str">
        <f t="shared" si="28"/>
        <v>CY45</v>
      </c>
      <c r="IA13" s="6" t="str">
        <f t="shared" si="28"/>
        <v>CY45</v>
      </c>
      <c r="IB13" s="6" t="str">
        <f t="shared" si="28"/>
        <v>CY45</v>
      </c>
      <c r="IC13" s="6" t="str">
        <f t="shared" si="28"/>
        <v>CY45</v>
      </c>
      <c r="ID13" s="6" t="str">
        <f t="shared" si="28"/>
        <v>CY45</v>
      </c>
      <c r="IE13" s="6" t="str">
        <f t="shared" si="28"/>
        <v>CY45</v>
      </c>
      <c r="IF13" s="6" t="str">
        <f t="shared" si="28"/>
        <v>CY45</v>
      </c>
      <c r="IG13" s="6" t="str">
        <f t="shared" si="28"/>
        <v>CY45</v>
      </c>
      <c r="IH13" s="6" t="str">
        <f t="shared" si="28"/>
        <v>CY45</v>
      </c>
      <c r="II13" s="6" t="str">
        <f t="shared" si="28"/>
        <v>CY45</v>
      </c>
      <c r="IJ13" s="6" t="str">
        <f t="shared" si="28"/>
        <v>CY45</v>
      </c>
      <c r="IK13" s="6" t="str">
        <f t="shared" si="28"/>
        <v>CY46</v>
      </c>
      <c r="IL13" s="6" t="str">
        <f t="shared" si="28"/>
        <v>CY46</v>
      </c>
      <c r="IM13" s="6" t="str">
        <f t="shared" si="28"/>
        <v>CY46</v>
      </c>
      <c r="IN13" s="6" t="str">
        <f t="shared" si="28"/>
        <v>CY46</v>
      </c>
      <c r="IO13" s="6" t="str">
        <f t="shared" si="28"/>
        <v>CY46</v>
      </c>
      <c r="IP13" s="6" t="str">
        <f t="shared" si="28"/>
        <v>CY46</v>
      </c>
      <c r="IQ13" s="6" t="str">
        <f t="shared" si="28"/>
        <v>CY46</v>
      </c>
      <c r="IR13" s="6" t="str">
        <f t="shared" si="28"/>
        <v>CY46</v>
      </c>
      <c r="IS13" s="6" t="str">
        <f t="shared" si="28"/>
        <v>CY46</v>
      </c>
      <c r="IT13" s="6" t="str">
        <f t="shared" si="28"/>
        <v>CY46</v>
      </c>
      <c r="IU13" s="6" t="str">
        <f t="shared" si="28"/>
        <v>CY46</v>
      </c>
      <c r="IV13" s="6" t="str">
        <f t="shared" si="28"/>
        <v>CY46</v>
      </c>
      <c r="IW13" s="6" t="str">
        <f t="shared" si="28"/>
        <v>CY47</v>
      </c>
      <c r="IX13" s="6" t="str">
        <f t="shared" si="28"/>
        <v>CY47</v>
      </c>
      <c r="IY13" s="6" t="str">
        <f t="shared" si="28"/>
        <v>CY47</v>
      </c>
      <c r="IZ13" s="6" t="str">
        <f t="shared" si="28"/>
        <v>CY47</v>
      </c>
      <c r="JA13" s="6" t="str">
        <f t="shared" si="28"/>
        <v>CY47</v>
      </c>
      <c r="JB13" s="6" t="str">
        <f t="shared" si="28"/>
        <v>CY47</v>
      </c>
      <c r="JC13" s="6" t="str">
        <f t="shared" si="28"/>
        <v>CY47</v>
      </c>
      <c r="JD13" s="6" t="str">
        <f t="shared" si="28"/>
        <v>CY47</v>
      </c>
      <c r="JE13" s="6" t="str">
        <f t="shared" si="28"/>
        <v>CY47</v>
      </c>
      <c r="JF13" s="6" t="str">
        <f t="shared" si="28"/>
        <v>CY47</v>
      </c>
      <c r="JG13" s="6" t="str">
        <f t="shared" si="28"/>
        <v>CY47</v>
      </c>
      <c r="JH13" s="6" t="str">
        <f t="shared" ref="JH13:KF13" si="29">"CY"&amp;RIGHT(YEAR(JH11),2)</f>
        <v>CY47</v>
      </c>
      <c r="JI13" s="6" t="str">
        <f t="shared" si="29"/>
        <v>CY48</v>
      </c>
      <c r="JJ13" s="6" t="str">
        <f t="shared" si="29"/>
        <v>CY48</v>
      </c>
      <c r="JK13" s="6" t="str">
        <f t="shared" si="29"/>
        <v>CY48</v>
      </c>
      <c r="JL13" s="6" t="str">
        <f t="shared" si="29"/>
        <v>CY48</v>
      </c>
      <c r="JM13" s="6" t="str">
        <f t="shared" si="29"/>
        <v>CY48</v>
      </c>
      <c r="JN13" s="6" t="str">
        <f t="shared" si="29"/>
        <v>CY48</v>
      </c>
      <c r="JO13" s="6" t="str">
        <f t="shared" si="29"/>
        <v>CY48</v>
      </c>
      <c r="JP13" s="6" t="str">
        <f t="shared" si="29"/>
        <v>CY48</v>
      </c>
      <c r="JQ13" s="6" t="str">
        <f t="shared" si="29"/>
        <v>CY48</v>
      </c>
      <c r="JR13" s="6" t="str">
        <f t="shared" si="29"/>
        <v>CY48</v>
      </c>
      <c r="JS13" s="6" t="str">
        <f t="shared" si="29"/>
        <v>CY48</v>
      </c>
      <c r="JT13" s="6" t="str">
        <f t="shared" si="29"/>
        <v>CY48</v>
      </c>
      <c r="JU13" s="6" t="str">
        <f t="shared" si="29"/>
        <v>CY49</v>
      </c>
      <c r="JV13" s="6" t="str">
        <f t="shared" si="29"/>
        <v>CY49</v>
      </c>
      <c r="JW13" s="6" t="str">
        <f t="shared" si="29"/>
        <v>CY49</v>
      </c>
      <c r="JX13" s="6" t="str">
        <f t="shared" si="29"/>
        <v>CY49</v>
      </c>
      <c r="JY13" s="6" t="str">
        <f t="shared" si="29"/>
        <v>CY49</v>
      </c>
      <c r="JZ13" s="6" t="str">
        <f t="shared" si="29"/>
        <v>CY49</v>
      </c>
      <c r="KA13" s="6" t="str">
        <f t="shared" si="29"/>
        <v>CY49</v>
      </c>
      <c r="KB13" s="6" t="str">
        <f t="shared" si="29"/>
        <v>CY49</v>
      </c>
      <c r="KC13" s="6" t="str">
        <f t="shared" si="29"/>
        <v>CY49</v>
      </c>
      <c r="KD13" s="6" t="str">
        <f t="shared" si="29"/>
        <v>CY49</v>
      </c>
      <c r="KE13" s="6" t="str">
        <f t="shared" si="29"/>
        <v>CY49</v>
      </c>
      <c r="KF13" s="6" t="str">
        <f t="shared" si="29"/>
        <v>CY49</v>
      </c>
    </row>
    <row r="14" spans="1:292" x14ac:dyDescent="0.35">
      <c r="B14" s="1"/>
      <c r="C14" s="1"/>
      <c r="D14" s="1"/>
      <c r="E14" s="1"/>
      <c r="F14" s="1"/>
      <c r="G14" s="1"/>
      <c r="H14" s="1"/>
      <c r="I14" s="1"/>
      <c r="J14" s="6" t="s">
        <v>1</v>
      </c>
      <c r="K14" s="6" t="str">
        <f>"FY"&amp;IF(MONTH(K11)&gt;6,RIGHT(YEAR(K11)+1,2),RIGHT(YEAR(K11),2))</f>
        <v>FY27</v>
      </c>
      <c r="L14" s="6" t="str">
        <f t="shared" ref="L14:BW14" si="30">"FY"&amp;IF(MONTH(L11)&gt;6,RIGHT(YEAR(L11)+1,2),RIGHT(YEAR(L11),2))</f>
        <v>FY27</v>
      </c>
      <c r="M14" s="6" t="str">
        <f t="shared" si="30"/>
        <v>FY27</v>
      </c>
      <c r="N14" s="6" t="str">
        <f t="shared" si="30"/>
        <v>FY27</v>
      </c>
      <c r="O14" s="6" t="str">
        <f t="shared" si="30"/>
        <v>FY27</v>
      </c>
      <c r="P14" s="6" t="str">
        <f t="shared" si="30"/>
        <v>FY27</v>
      </c>
      <c r="Q14" s="6" t="str">
        <f t="shared" si="30"/>
        <v>FY27</v>
      </c>
      <c r="R14" s="6" t="str">
        <f t="shared" si="30"/>
        <v>FY27</v>
      </c>
      <c r="S14" s="6" t="str">
        <f t="shared" si="30"/>
        <v>FY27</v>
      </c>
      <c r="T14" s="6" t="str">
        <f t="shared" si="30"/>
        <v>FY27</v>
      </c>
      <c r="U14" s="6" t="str">
        <f t="shared" si="30"/>
        <v>FY27</v>
      </c>
      <c r="V14" s="6" t="str">
        <f t="shared" si="30"/>
        <v>FY27</v>
      </c>
      <c r="W14" s="6" t="str">
        <f t="shared" si="30"/>
        <v>FY28</v>
      </c>
      <c r="X14" s="6" t="str">
        <f t="shared" si="30"/>
        <v>FY28</v>
      </c>
      <c r="Y14" s="6" t="str">
        <f t="shared" si="30"/>
        <v>FY28</v>
      </c>
      <c r="Z14" s="6" t="str">
        <f t="shared" si="30"/>
        <v>FY28</v>
      </c>
      <c r="AA14" s="6" t="str">
        <f t="shared" si="30"/>
        <v>FY28</v>
      </c>
      <c r="AB14" s="6" t="str">
        <f t="shared" si="30"/>
        <v>FY28</v>
      </c>
      <c r="AC14" s="6" t="str">
        <f t="shared" si="30"/>
        <v>FY28</v>
      </c>
      <c r="AD14" s="6" t="str">
        <f t="shared" si="30"/>
        <v>FY28</v>
      </c>
      <c r="AE14" s="6" t="str">
        <f t="shared" si="30"/>
        <v>FY28</v>
      </c>
      <c r="AF14" s="6" t="str">
        <f t="shared" si="30"/>
        <v>FY28</v>
      </c>
      <c r="AG14" s="6" t="str">
        <f t="shared" si="30"/>
        <v>FY28</v>
      </c>
      <c r="AH14" s="6" t="str">
        <f t="shared" si="30"/>
        <v>FY28</v>
      </c>
      <c r="AI14" s="6" t="str">
        <f t="shared" si="30"/>
        <v>FY29</v>
      </c>
      <c r="AJ14" s="6" t="str">
        <f t="shared" si="30"/>
        <v>FY29</v>
      </c>
      <c r="AK14" s="6" t="str">
        <f t="shared" si="30"/>
        <v>FY29</v>
      </c>
      <c r="AL14" s="6" t="str">
        <f t="shared" si="30"/>
        <v>FY29</v>
      </c>
      <c r="AM14" s="6" t="str">
        <f t="shared" si="30"/>
        <v>FY29</v>
      </c>
      <c r="AN14" s="6" t="str">
        <f t="shared" si="30"/>
        <v>FY29</v>
      </c>
      <c r="AO14" s="6" t="str">
        <f t="shared" si="30"/>
        <v>FY29</v>
      </c>
      <c r="AP14" s="6" t="str">
        <f t="shared" si="30"/>
        <v>FY29</v>
      </c>
      <c r="AQ14" s="6" t="str">
        <f t="shared" si="30"/>
        <v>FY29</v>
      </c>
      <c r="AR14" s="6" t="str">
        <f t="shared" si="30"/>
        <v>FY29</v>
      </c>
      <c r="AS14" s="6" t="str">
        <f t="shared" si="30"/>
        <v>FY29</v>
      </c>
      <c r="AT14" s="6" t="str">
        <f t="shared" si="30"/>
        <v>FY29</v>
      </c>
      <c r="AU14" s="6" t="str">
        <f t="shared" si="30"/>
        <v>FY30</v>
      </c>
      <c r="AV14" s="6" t="str">
        <f t="shared" si="30"/>
        <v>FY30</v>
      </c>
      <c r="AW14" s="6" t="str">
        <f t="shared" si="30"/>
        <v>FY30</v>
      </c>
      <c r="AX14" s="6" t="str">
        <f t="shared" si="30"/>
        <v>FY30</v>
      </c>
      <c r="AY14" s="6" t="str">
        <f t="shared" si="30"/>
        <v>FY30</v>
      </c>
      <c r="AZ14" s="6" t="str">
        <f t="shared" si="30"/>
        <v>FY30</v>
      </c>
      <c r="BA14" s="6" t="str">
        <f t="shared" si="30"/>
        <v>FY30</v>
      </c>
      <c r="BB14" s="6" t="str">
        <f t="shared" si="30"/>
        <v>FY30</v>
      </c>
      <c r="BC14" s="6" t="str">
        <f t="shared" si="30"/>
        <v>FY30</v>
      </c>
      <c r="BD14" s="6" t="str">
        <f t="shared" si="30"/>
        <v>FY30</v>
      </c>
      <c r="BE14" s="6" t="str">
        <f t="shared" si="30"/>
        <v>FY30</v>
      </c>
      <c r="BF14" s="6" t="str">
        <f t="shared" si="30"/>
        <v>FY30</v>
      </c>
      <c r="BG14" s="6" t="str">
        <f t="shared" si="30"/>
        <v>FY31</v>
      </c>
      <c r="BH14" s="6" t="str">
        <f t="shared" si="30"/>
        <v>FY31</v>
      </c>
      <c r="BI14" s="6" t="str">
        <f t="shared" si="30"/>
        <v>FY31</v>
      </c>
      <c r="BJ14" s="6" t="str">
        <f t="shared" si="30"/>
        <v>FY31</v>
      </c>
      <c r="BK14" s="6" t="str">
        <f t="shared" si="30"/>
        <v>FY31</v>
      </c>
      <c r="BL14" s="6" t="str">
        <f t="shared" si="30"/>
        <v>FY31</v>
      </c>
      <c r="BM14" s="6" t="str">
        <f t="shared" si="30"/>
        <v>FY31</v>
      </c>
      <c r="BN14" s="6" t="str">
        <f t="shared" si="30"/>
        <v>FY31</v>
      </c>
      <c r="BO14" s="6" t="str">
        <f t="shared" si="30"/>
        <v>FY31</v>
      </c>
      <c r="BP14" s="6" t="str">
        <f t="shared" si="30"/>
        <v>FY31</v>
      </c>
      <c r="BQ14" s="6" t="str">
        <f t="shared" si="30"/>
        <v>FY31</v>
      </c>
      <c r="BR14" s="6" t="str">
        <f t="shared" si="30"/>
        <v>FY31</v>
      </c>
      <c r="BS14" s="6" t="str">
        <f t="shared" si="30"/>
        <v>FY32</v>
      </c>
      <c r="BT14" s="6" t="str">
        <f t="shared" si="30"/>
        <v>FY32</v>
      </c>
      <c r="BU14" s="6" t="str">
        <f t="shared" si="30"/>
        <v>FY32</v>
      </c>
      <c r="BV14" s="6" t="str">
        <f t="shared" si="30"/>
        <v>FY32</v>
      </c>
      <c r="BW14" s="6" t="str">
        <f t="shared" si="30"/>
        <v>FY32</v>
      </c>
      <c r="BX14" s="6" t="str">
        <f t="shared" ref="BX14:EI14" si="31">"FY"&amp;IF(MONTH(BX11)&gt;6,RIGHT(YEAR(BX11)+1,2),RIGHT(YEAR(BX11),2))</f>
        <v>FY32</v>
      </c>
      <c r="BY14" s="6" t="str">
        <f t="shared" si="31"/>
        <v>FY32</v>
      </c>
      <c r="BZ14" s="6" t="str">
        <f t="shared" si="31"/>
        <v>FY32</v>
      </c>
      <c r="CA14" s="6" t="str">
        <f t="shared" si="31"/>
        <v>FY32</v>
      </c>
      <c r="CB14" s="6" t="str">
        <f t="shared" si="31"/>
        <v>FY32</v>
      </c>
      <c r="CC14" s="6" t="str">
        <f t="shared" si="31"/>
        <v>FY32</v>
      </c>
      <c r="CD14" s="6" t="str">
        <f t="shared" si="31"/>
        <v>FY32</v>
      </c>
      <c r="CE14" s="6" t="str">
        <f t="shared" si="31"/>
        <v>FY33</v>
      </c>
      <c r="CF14" s="6" t="str">
        <f t="shared" si="31"/>
        <v>FY33</v>
      </c>
      <c r="CG14" s="6" t="str">
        <f t="shared" si="31"/>
        <v>FY33</v>
      </c>
      <c r="CH14" s="6" t="str">
        <f t="shared" si="31"/>
        <v>FY33</v>
      </c>
      <c r="CI14" s="6" t="str">
        <f t="shared" si="31"/>
        <v>FY33</v>
      </c>
      <c r="CJ14" s="6" t="str">
        <f t="shared" si="31"/>
        <v>FY33</v>
      </c>
      <c r="CK14" s="6" t="str">
        <f t="shared" si="31"/>
        <v>FY33</v>
      </c>
      <c r="CL14" s="6" t="str">
        <f t="shared" si="31"/>
        <v>FY33</v>
      </c>
      <c r="CM14" s="6" t="str">
        <f t="shared" si="31"/>
        <v>FY33</v>
      </c>
      <c r="CN14" s="6" t="str">
        <f t="shared" si="31"/>
        <v>FY33</v>
      </c>
      <c r="CO14" s="6" t="str">
        <f t="shared" si="31"/>
        <v>FY33</v>
      </c>
      <c r="CP14" s="6" t="str">
        <f t="shared" si="31"/>
        <v>FY33</v>
      </c>
      <c r="CQ14" s="6" t="str">
        <f t="shared" si="31"/>
        <v>FY34</v>
      </c>
      <c r="CR14" s="6" t="str">
        <f t="shared" si="31"/>
        <v>FY34</v>
      </c>
      <c r="CS14" s="6" t="str">
        <f t="shared" si="31"/>
        <v>FY34</v>
      </c>
      <c r="CT14" s="6" t="str">
        <f t="shared" si="31"/>
        <v>FY34</v>
      </c>
      <c r="CU14" s="6" t="str">
        <f t="shared" si="31"/>
        <v>FY34</v>
      </c>
      <c r="CV14" s="6" t="str">
        <f t="shared" si="31"/>
        <v>FY34</v>
      </c>
      <c r="CW14" s="6" t="str">
        <f t="shared" si="31"/>
        <v>FY34</v>
      </c>
      <c r="CX14" s="6" t="str">
        <f t="shared" si="31"/>
        <v>FY34</v>
      </c>
      <c r="CY14" s="6" t="str">
        <f t="shared" si="31"/>
        <v>FY34</v>
      </c>
      <c r="CZ14" s="6" t="str">
        <f t="shared" si="31"/>
        <v>FY34</v>
      </c>
      <c r="DA14" s="6" t="str">
        <f t="shared" si="31"/>
        <v>FY34</v>
      </c>
      <c r="DB14" s="6" t="str">
        <f t="shared" si="31"/>
        <v>FY34</v>
      </c>
      <c r="DC14" s="6" t="str">
        <f t="shared" si="31"/>
        <v>FY35</v>
      </c>
      <c r="DD14" s="6" t="str">
        <f t="shared" si="31"/>
        <v>FY35</v>
      </c>
      <c r="DE14" s="6" t="str">
        <f t="shared" si="31"/>
        <v>FY35</v>
      </c>
      <c r="DF14" s="6" t="str">
        <f t="shared" si="31"/>
        <v>FY35</v>
      </c>
      <c r="DG14" s="6" t="str">
        <f t="shared" si="31"/>
        <v>FY35</v>
      </c>
      <c r="DH14" s="6" t="str">
        <f t="shared" si="31"/>
        <v>FY35</v>
      </c>
      <c r="DI14" s="6" t="str">
        <f t="shared" si="31"/>
        <v>FY35</v>
      </c>
      <c r="DJ14" s="6" t="str">
        <f t="shared" si="31"/>
        <v>FY35</v>
      </c>
      <c r="DK14" s="6" t="str">
        <f t="shared" si="31"/>
        <v>FY35</v>
      </c>
      <c r="DL14" s="6" t="str">
        <f t="shared" si="31"/>
        <v>FY35</v>
      </c>
      <c r="DM14" s="6" t="str">
        <f t="shared" si="31"/>
        <v>FY35</v>
      </c>
      <c r="DN14" s="6" t="str">
        <f t="shared" si="31"/>
        <v>FY35</v>
      </c>
      <c r="DO14" s="6" t="str">
        <f t="shared" si="31"/>
        <v>FY36</v>
      </c>
      <c r="DP14" s="6" t="str">
        <f t="shared" si="31"/>
        <v>FY36</v>
      </c>
      <c r="DQ14" s="6" t="str">
        <f t="shared" si="31"/>
        <v>FY36</v>
      </c>
      <c r="DR14" s="6" t="str">
        <f t="shared" si="31"/>
        <v>FY36</v>
      </c>
      <c r="DS14" s="6" t="str">
        <f t="shared" si="31"/>
        <v>FY36</v>
      </c>
      <c r="DT14" s="6" t="str">
        <f t="shared" si="31"/>
        <v>FY36</v>
      </c>
      <c r="DU14" s="6" t="str">
        <f t="shared" si="31"/>
        <v>FY36</v>
      </c>
      <c r="DV14" s="6" t="str">
        <f t="shared" si="31"/>
        <v>FY36</v>
      </c>
      <c r="DW14" s="6" t="str">
        <f t="shared" si="31"/>
        <v>FY36</v>
      </c>
      <c r="DX14" s="6" t="str">
        <f t="shared" si="31"/>
        <v>FY36</v>
      </c>
      <c r="DY14" s="6" t="str">
        <f t="shared" si="31"/>
        <v>FY36</v>
      </c>
      <c r="DZ14" s="6" t="str">
        <f t="shared" si="31"/>
        <v>FY36</v>
      </c>
      <c r="EA14" s="6" t="str">
        <f t="shared" si="31"/>
        <v>FY37</v>
      </c>
      <c r="EB14" s="6" t="str">
        <f t="shared" si="31"/>
        <v>FY37</v>
      </c>
      <c r="EC14" s="6" t="str">
        <f t="shared" si="31"/>
        <v>FY37</v>
      </c>
      <c r="ED14" s="6" t="str">
        <f t="shared" si="31"/>
        <v>FY37</v>
      </c>
      <c r="EE14" s="6" t="str">
        <f t="shared" si="31"/>
        <v>FY37</v>
      </c>
      <c r="EF14" s="6" t="str">
        <f t="shared" si="31"/>
        <v>FY37</v>
      </c>
      <c r="EG14" s="6" t="str">
        <f t="shared" si="31"/>
        <v>FY37</v>
      </c>
      <c r="EH14" s="6" t="str">
        <f t="shared" si="31"/>
        <v>FY37</v>
      </c>
      <c r="EI14" s="6" t="str">
        <f t="shared" si="31"/>
        <v>FY37</v>
      </c>
      <c r="EJ14" s="6" t="str">
        <f t="shared" ref="EJ14:GU14" si="32">"FY"&amp;IF(MONTH(EJ11)&gt;6,RIGHT(YEAR(EJ11)+1,2),RIGHT(YEAR(EJ11),2))</f>
        <v>FY37</v>
      </c>
      <c r="EK14" s="6" t="str">
        <f t="shared" si="32"/>
        <v>FY37</v>
      </c>
      <c r="EL14" s="6" t="str">
        <f t="shared" si="32"/>
        <v>FY37</v>
      </c>
      <c r="EM14" s="6" t="str">
        <f t="shared" si="32"/>
        <v>FY38</v>
      </c>
      <c r="EN14" s="6" t="str">
        <f t="shared" si="32"/>
        <v>FY38</v>
      </c>
      <c r="EO14" s="6" t="str">
        <f t="shared" si="32"/>
        <v>FY38</v>
      </c>
      <c r="EP14" s="6" t="str">
        <f t="shared" si="32"/>
        <v>FY38</v>
      </c>
      <c r="EQ14" s="6" t="str">
        <f t="shared" si="32"/>
        <v>FY38</v>
      </c>
      <c r="ER14" s="6" t="str">
        <f t="shared" si="32"/>
        <v>FY38</v>
      </c>
      <c r="ES14" s="6" t="str">
        <f t="shared" si="32"/>
        <v>FY38</v>
      </c>
      <c r="ET14" s="6" t="str">
        <f t="shared" si="32"/>
        <v>FY38</v>
      </c>
      <c r="EU14" s="6" t="str">
        <f t="shared" si="32"/>
        <v>FY38</v>
      </c>
      <c r="EV14" s="6" t="str">
        <f t="shared" si="32"/>
        <v>FY38</v>
      </c>
      <c r="EW14" s="6" t="str">
        <f t="shared" si="32"/>
        <v>FY38</v>
      </c>
      <c r="EX14" s="6" t="str">
        <f t="shared" si="32"/>
        <v>FY38</v>
      </c>
      <c r="EY14" s="6" t="str">
        <f t="shared" si="32"/>
        <v>FY39</v>
      </c>
      <c r="EZ14" s="6" t="str">
        <f t="shared" si="32"/>
        <v>FY39</v>
      </c>
      <c r="FA14" s="6" t="str">
        <f t="shared" si="32"/>
        <v>FY39</v>
      </c>
      <c r="FB14" s="6" t="str">
        <f t="shared" si="32"/>
        <v>FY39</v>
      </c>
      <c r="FC14" s="6" t="str">
        <f t="shared" si="32"/>
        <v>FY39</v>
      </c>
      <c r="FD14" s="6" t="str">
        <f t="shared" si="32"/>
        <v>FY39</v>
      </c>
      <c r="FE14" s="6" t="str">
        <f t="shared" si="32"/>
        <v>FY39</v>
      </c>
      <c r="FF14" s="6" t="str">
        <f t="shared" si="32"/>
        <v>FY39</v>
      </c>
      <c r="FG14" s="6" t="str">
        <f t="shared" si="32"/>
        <v>FY39</v>
      </c>
      <c r="FH14" s="6" t="str">
        <f t="shared" si="32"/>
        <v>FY39</v>
      </c>
      <c r="FI14" s="6" t="str">
        <f t="shared" si="32"/>
        <v>FY39</v>
      </c>
      <c r="FJ14" s="6" t="str">
        <f t="shared" si="32"/>
        <v>FY39</v>
      </c>
      <c r="FK14" s="6" t="str">
        <f t="shared" si="32"/>
        <v>FY40</v>
      </c>
      <c r="FL14" s="6" t="str">
        <f t="shared" si="32"/>
        <v>FY40</v>
      </c>
      <c r="FM14" s="6" t="str">
        <f t="shared" si="32"/>
        <v>FY40</v>
      </c>
      <c r="FN14" s="6" t="str">
        <f t="shared" si="32"/>
        <v>FY40</v>
      </c>
      <c r="FO14" s="6" t="str">
        <f t="shared" si="32"/>
        <v>FY40</v>
      </c>
      <c r="FP14" s="6" t="str">
        <f t="shared" si="32"/>
        <v>FY40</v>
      </c>
      <c r="FQ14" s="6" t="str">
        <f t="shared" si="32"/>
        <v>FY40</v>
      </c>
      <c r="FR14" s="6" t="str">
        <f t="shared" si="32"/>
        <v>FY40</v>
      </c>
      <c r="FS14" s="6" t="str">
        <f t="shared" si="32"/>
        <v>FY40</v>
      </c>
      <c r="FT14" s="6" t="str">
        <f t="shared" si="32"/>
        <v>FY40</v>
      </c>
      <c r="FU14" s="6" t="str">
        <f t="shared" si="32"/>
        <v>FY40</v>
      </c>
      <c r="FV14" s="6" t="str">
        <f t="shared" si="32"/>
        <v>FY40</v>
      </c>
      <c r="FW14" s="6" t="str">
        <f t="shared" si="32"/>
        <v>FY41</v>
      </c>
      <c r="FX14" s="6" t="str">
        <f t="shared" si="32"/>
        <v>FY41</v>
      </c>
      <c r="FY14" s="6" t="str">
        <f t="shared" si="32"/>
        <v>FY41</v>
      </c>
      <c r="FZ14" s="6" t="str">
        <f t="shared" si="32"/>
        <v>FY41</v>
      </c>
      <c r="GA14" s="6" t="str">
        <f t="shared" si="32"/>
        <v>FY41</v>
      </c>
      <c r="GB14" s="6" t="str">
        <f t="shared" si="32"/>
        <v>FY41</v>
      </c>
      <c r="GC14" s="6" t="str">
        <f t="shared" si="32"/>
        <v>FY41</v>
      </c>
      <c r="GD14" s="6" t="str">
        <f t="shared" si="32"/>
        <v>FY41</v>
      </c>
      <c r="GE14" s="6" t="str">
        <f t="shared" si="32"/>
        <v>FY41</v>
      </c>
      <c r="GF14" s="6" t="str">
        <f t="shared" si="32"/>
        <v>FY41</v>
      </c>
      <c r="GG14" s="6" t="str">
        <f t="shared" si="32"/>
        <v>FY41</v>
      </c>
      <c r="GH14" s="6" t="str">
        <f t="shared" si="32"/>
        <v>FY41</v>
      </c>
      <c r="GI14" s="6" t="str">
        <f t="shared" si="32"/>
        <v>FY42</v>
      </c>
      <c r="GJ14" s="6" t="str">
        <f t="shared" si="32"/>
        <v>FY42</v>
      </c>
      <c r="GK14" s="6" t="str">
        <f t="shared" si="32"/>
        <v>FY42</v>
      </c>
      <c r="GL14" s="6" t="str">
        <f t="shared" si="32"/>
        <v>FY42</v>
      </c>
      <c r="GM14" s="6" t="str">
        <f t="shared" si="32"/>
        <v>FY42</v>
      </c>
      <c r="GN14" s="6" t="str">
        <f t="shared" si="32"/>
        <v>FY42</v>
      </c>
      <c r="GO14" s="6" t="str">
        <f t="shared" si="32"/>
        <v>FY42</v>
      </c>
      <c r="GP14" s="6" t="str">
        <f t="shared" si="32"/>
        <v>FY42</v>
      </c>
      <c r="GQ14" s="6" t="str">
        <f t="shared" si="32"/>
        <v>FY42</v>
      </c>
      <c r="GR14" s="6" t="str">
        <f t="shared" si="32"/>
        <v>FY42</v>
      </c>
      <c r="GS14" s="6" t="str">
        <f t="shared" si="32"/>
        <v>FY42</v>
      </c>
      <c r="GT14" s="6" t="str">
        <f t="shared" si="32"/>
        <v>FY42</v>
      </c>
      <c r="GU14" s="6" t="str">
        <f t="shared" si="32"/>
        <v>FY43</v>
      </c>
      <c r="GV14" s="6" t="str">
        <f t="shared" ref="GV14:JG14" si="33">"FY"&amp;IF(MONTH(GV11)&gt;6,RIGHT(YEAR(GV11)+1,2),RIGHT(YEAR(GV11),2))</f>
        <v>FY43</v>
      </c>
      <c r="GW14" s="6" t="str">
        <f t="shared" si="33"/>
        <v>FY43</v>
      </c>
      <c r="GX14" s="6" t="str">
        <f t="shared" si="33"/>
        <v>FY43</v>
      </c>
      <c r="GY14" s="6" t="str">
        <f t="shared" si="33"/>
        <v>FY43</v>
      </c>
      <c r="GZ14" s="6" t="str">
        <f t="shared" si="33"/>
        <v>FY43</v>
      </c>
      <c r="HA14" s="6" t="str">
        <f t="shared" si="33"/>
        <v>FY43</v>
      </c>
      <c r="HB14" s="6" t="str">
        <f t="shared" si="33"/>
        <v>FY43</v>
      </c>
      <c r="HC14" s="6" t="str">
        <f t="shared" si="33"/>
        <v>FY43</v>
      </c>
      <c r="HD14" s="6" t="str">
        <f t="shared" si="33"/>
        <v>FY43</v>
      </c>
      <c r="HE14" s="6" t="str">
        <f t="shared" si="33"/>
        <v>FY43</v>
      </c>
      <c r="HF14" s="6" t="str">
        <f t="shared" si="33"/>
        <v>FY43</v>
      </c>
      <c r="HG14" s="6" t="str">
        <f t="shared" si="33"/>
        <v>FY44</v>
      </c>
      <c r="HH14" s="6" t="str">
        <f t="shared" si="33"/>
        <v>FY44</v>
      </c>
      <c r="HI14" s="6" t="str">
        <f t="shared" si="33"/>
        <v>FY44</v>
      </c>
      <c r="HJ14" s="6" t="str">
        <f t="shared" si="33"/>
        <v>FY44</v>
      </c>
      <c r="HK14" s="6" t="str">
        <f t="shared" si="33"/>
        <v>FY44</v>
      </c>
      <c r="HL14" s="6" t="str">
        <f t="shared" si="33"/>
        <v>FY44</v>
      </c>
      <c r="HM14" s="6" t="str">
        <f t="shared" si="33"/>
        <v>FY44</v>
      </c>
      <c r="HN14" s="6" t="str">
        <f t="shared" si="33"/>
        <v>FY44</v>
      </c>
      <c r="HO14" s="6" t="str">
        <f t="shared" si="33"/>
        <v>FY44</v>
      </c>
      <c r="HP14" s="6" t="str">
        <f t="shared" si="33"/>
        <v>FY44</v>
      </c>
      <c r="HQ14" s="6" t="str">
        <f t="shared" si="33"/>
        <v>FY44</v>
      </c>
      <c r="HR14" s="6" t="str">
        <f t="shared" si="33"/>
        <v>FY44</v>
      </c>
      <c r="HS14" s="6" t="str">
        <f t="shared" si="33"/>
        <v>FY45</v>
      </c>
      <c r="HT14" s="6" t="str">
        <f t="shared" si="33"/>
        <v>FY45</v>
      </c>
      <c r="HU14" s="6" t="str">
        <f t="shared" si="33"/>
        <v>FY45</v>
      </c>
      <c r="HV14" s="6" t="str">
        <f t="shared" si="33"/>
        <v>FY45</v>
      </c>
      <c r="HW14" s="6" t="str">
        <f t="shared" si="33"/>
        <v>FY45</v>
      </c>
      <c r="HX14" s="6" t="str">
        <f t="shared" si="33"/>
        <v>FY45</v>
      </c>
      <c r="HY14" s="6" t="str">
        <f t="shared" si="33"/>
        <v>FY45</v>
      </c>
      <c r="HZ14" s="6" t="str">
        <f t="shared" si="33"/>
        <v>FY45</v>
      </c>
      <c r="IA14" s="6" t="str">
        <f t="shared" si="33"/>
        <v>FY45</v>
      </c>
      <c r="IB14" s="6" t="str">
        <f t="shared" si="33"/>
        <v>FY45</v>
      </c>
      <c r="IC14" s="6" t="str">
        <f t="shared" si="33"/>
        <v>FY45</v>
      </c>
      <c r="ID14" s="6" t="str">
        <f t="shared" si="33"/>
        <v>FY45</v>
      </c>
      <c r="IE14" s="6" t="str">
        <f t="shared" si="33"/>
        <v>FY46</v>
      </c>
      <c r="IF14" s="6" t="str">
        <f t="shared" si="33"/>
        <v>FY46</v>
      </c>
      <c r="IG14" s="6" t="str">
        <f t="shared" si="33"/>
        <v>FY46</v>
      </c>
      <c r="IH14" s="6" t="str">
        <f t="shared" si="33"/>
        <v>FY46</v>
      </c>
      <c r="II14" s="6" t="str">
        <f t="shared" si="33"/>
        <v>FY46</v>
      </c>
      <c r="IJ14" s="6" t="str">
        <f t="shared" si="33"/>
        <v>FY46</v>
      </c>
      <c r="IK14" s="6" t="str">
        <f t="shared" si="33"/>
        <v>FY46</v>
      </c>
      <c r="IL14" s="6" t="str">
        <f t="shared" si="33"/>
        <v>FY46</v>
      </c>
      <c r="IM14" s="6" t="str">
        <f t="shared" si="33"/>
        <v>FY46</v>
      </c>
      <c r="IN14" s="6" t="str">
        <f t="shared" si="33"/>
        <v>FY46</v>
      </c>
      <c r="IO14" s="6" t="str">
        <f t="shared" si="33"/>
        <v>FY46</v>
      </c>
      <c r="IP14" s="6" t="str">
        <f t="shared" si="33"/>
        <v>FY46</v>
      </c>
      <c r="IQ14" s="6" t="str">
        <f t="shared" si="33"/>
        <v>FY47</v>
      </c>
      <c r="IR14" s="6" t="str">
        <f t="shared" si="33"/>
        <v>FY47</v>
      </c>
      <c r="IS14" s="6" t="str">
        <f t="shared" si="33"/>
        <v>FY47</v>
      </c>
      <c r="IT14" s="6" t="str">
        <f t="shared" si="33"/>
        <v>FY47</v>
      </c>
      <c r="IU14" s="6" t="str">
        <f t="shared" si="33"/>
        <v>FY47</v>
      </c>
      <c r="IV14" s="6" t="str">
        <f t="shared" si="33"/>
        <v>FY47</v>
      </c>
      <c r="IW14" s="6" t="str">
        <f t="shared" si="33"/>
        <v>FY47</v>
      </c>
      <c r="IX14" s="6" t="str">
        <f t="shared" si="33"/>
        <v>FY47</v>
      </c>
      <c r="IY14" s="6" t="str">
        <f t="shared" si="33"/>
        <v>FY47</v>
      </c>
      <c r="IZ14" s="6" t="str">
        <f t="shared" si="33"/>
        <v>FY47</v>
      </c>
      <c r="JA14" s="6" t="str">
        <f t="shared" si="33"/>
        <v>FY47</v>
      </c>
      <c r="JB14" s="6" t="str">
        <f t="shared" si="33"/>
        <v>FY47</v>
      </c>
      <c r="JC14" s="6" t="str">
        <f t="shared" si="33"/>
        <v>FY48</v>
      </c>
      <c r="JD14" s="6" t="str">
        <f t="shared" si="33"/>
        <v>FY48</v>
      </c>
      <c r="JE14" s="6" t="str">
        <f t="shared" si="33"/>
        <v>FY48</v>
      </c>
      <c r="JF14" s="6" t="str">
        <f t="shared" si="33"/>
        <v>FY48</v>
      </c>
      <c r="JG14" s="6" t="str">
        <f t="shared" si="33"/>
        <v>FY48</v>
      </c>
      <c r="JH14" s="6" t="str">
        <f t="shared" ref="JH14:KF14" si="34">"FY"&amp;IF(MONTH(JH11)&gt;6,RIGHT(YEAR(JH11)+1,2),RIGHT(YEAR(JH11),2))</f>
        <v>FY48</v>
      </c>
      <c r="JI14" s="6" t="str">
        <f t="shared" si="34"/>
        <v>FY48</v>
      </c>
      <c r="JJ14" s="6" t="str">
        <f t="shared" si="34"/>
        <v>FY48</v>
      </c>
      <c r="JK14" s="6" t="str">
        <f t="shared" si="34"/>
        <v>FY48</v>
      </c>
      <c r="JL14" s="6" t="str">
        <f t="shared" si="34"/>
        <v>FY48</v>
      </c>
      <c r="JM14" s="6" t="str">
        <f t="shared" si="34"/>
        <v>FY48</v>
      </c>
      <c r="JN14" s="6" t="str">
        <f t="shared" si="34"/>
        <v>FY48</v>
      </c>
      <c r="JO14" s="6" t="str">
        <f t="shared" si="34"/>
        <v>FY49</v>
      </c>
      <c r="JP14" s="6" t="str">
        <f t="shared" si="34"/>
        <v>FY49</v>
      </c>
      <c r="JQ14" s="6" t="str">
        <f t="shared" si="34"/>
        <v>FY49</v>
      </c>
      <c r="JR14" s="6" t="str">
        <f t="shared" si="34"/>
        <v>FY49</v>
      </c>
      <c r="JS14" s="6" t="str">
        <f t="shared" si="34"/>
        <v>FY49</v>
      </c>
      <c r="JT14" s="6" t="str">
        <f t="shared" si="34"/>
        <v>FY49</v>
      </c>
      <c r="JU14" s="6" t="str">
        <f t="shared" si="34"/>
        <v>FY49</v>
      </c>
      <c r="JV14" s="6" t="str">
        <f t="shared" si="34"/>
        <v>FY49</v>
      </c>
      <c r="JW14" s="6" t="str">
        <f t="shared" si="34"/>
        <v>FY49</v>
      </c>
      <c r="JX14" s="6" t="str">
        <f t="shared" si="34"/>
        <v>FY49</v>
      </c>
      <c r="JY14" s="6" t="str">
        <f t="shared" si="34"/>
        <v>FY49</v>
      </c>
      <c r="JZ14" s="6" t="str">
        <f t="shared" si="34"/>
        <v>FY49</v>
      </c>
      <c r="KA14" s="6" t="str">
        <f t="shared" si="34"/>
        <v>FY50</v>
      </c>
      <c r="KB14" s="6" t="str">
        <f t="shared" si="34"/>
        <v>FY50</v>
      </c>
      <c r="KC14" s="6" t="str">
        <f t="shared" si="34"/>
        <v>FY50</v>
      </c>
      <c r="KD14" s="6" t="str">
        <f t="shared" si="34"/>
        <v>FY50</v>
      </c>
      <c r="KE14" s="6" t="str">
        <f t="shared" si="34"/>
        <v>FY50</v>
      </c>
      <c r="KF14" s="6" t="str">
        <f t="shared" si="34"/>
        <v>FY50</v>
      </c>
    </row>
    <row r="15" spans="1:292" x14ac:dyDescent="0.35">
      <c r="B15" s="1"/>
      <c r="C15" s="1"/>
      <c r="D15" s="1"/>
      <c r="E15" s="1"/>
      <c r="F15" s="1"/>
      <c r="G15" s="1"/>
      <c r="H15" s="1"/>
      <c r="I15" s="1"/>
      <c r="J15" s="6" t="s">
        <v>15</v>
      </c>
      <c r="K15" s="8">
        <f>K12-K11+1</f>
        <v>31</v>
      </c>
      <c r="L15" s="8">
        <f t="shared" ref="L15:BW15" si="35">L12-L11+1</f>
        <v>31</v>
      </c>
      <c r="M15" s="8">
        <f t="shared" si="35"/>
        <v>30</v>
      </c>
      <c r="N15" s="8">
        <f t="shared" si="35"/>
        <v>31</v>
      </c>
      <c r="O15" s="8">
        <f t="shared" si="35"/>
        <v>30</v>
      </c>
      <c r="P15" s="8">
        <f t="shared" si="35"/>
        <v>31</v>
      </c>
      <c r="Q15" s="8">
        <f t="shared" si="35"/>
        <v>31</v>
      </c>
      <c r="R15" s="8">
        <f t="shared" si="35"/>
        <v>28</v>
      </c>
      <c r="S15" s="8">
        <f t="shared" si="35"/>
        <v>31</v>
      </c>
      <c r="T15" s="8">
        <f t="shared" si="35"/>
        <v>30</v>
      </c>
      <c r="U15" s="8">
        <f t="shared" si="35"/>
        <v>31</v>
      </c>
      <c r="V15" s="8">
        <f t="shared" si="35"/>
        <v>30</v>
      </c>
      <c r="W15" s="8">
        <f t="shared" si="35"/>
        <v>31</v>
      </c>
      <c r="X15" s="8">
        <f t="shared" si="35"/>
        <v>31</v>
      </c>
      <c r="Y15" s="8">
        <f t="shared" si="35"/>
        <v>30</v>
      </c>
      <c r="Z15" s="8">
        <f t="shared" si="35"/>
        <v>31</v>
      </c>
      <c r="AA15" s="8">
        <f t="shared" si="35"/>
        <v>30</v>
      </c>
      <c r="AB15" s="8">
        <f t="shared" si="35"/>
        <v>31</v>
      </c>
      <c r="AC15" s="8">
        <f t="shared" si="35"/>
        <v>31</v>
      </c>
      <c r="AD15" s="8">
        <f t="shared" si="35"/>
        <v>29</v>
      </c>
      <c r="AE15" s="8">
        <f t="shared" si="35"/>
        <v>31</v>
      </c>
      <c r="AF15" s="8">
        <f t="shared" si="35"/>
        <v>30</v>
      </c>
      <c r="AG15" s="8">
        <f t="shared" si="35"/>
        <v>31</v>
      </c>
      <c r="AH15" s="8">
        <f t="shared" si="35"/>
        <v>30</v>
      </c>
      <c r="AI15" s="8">
        <f t="shared" si="35"/>
        <v>31</v>
      </c>
      <c r="AJ15" s="8">
        <f t="shared" si="35"/>
        <v>31</v>
      </c>
      <c r="AK15" s="8">
        <f t="shared" si="35"/>
        <v>30</v>
      </c>
      <c r="AL15" s="8">
        <f t="shared" si="35"/>
        <v>31</v>
      </c>
      <c r="AM15" s="8">
        <f t="shared" si="35"/>
        <v>30</v>
      </c>
      <c r="AN15" s="8">
        <f t="shared" si="35"/>
        <v>31</v>
      </c>
      <c r="AO15" s="8">
        <f t="shared" si="35"/>
        <v>31</v>
      </c>
      <c r="AP15" s="8">
        <f t="shared" si="35"/>
        <v>28</v>
      </c>
      <c r="AQ15" s="8">
        <f t="shared" si="35"/>
        <v>31</v>
      </c>
      <c r="AR15" s="8">
        <f t="shared" si="35"/>
        <v>30</v>
      </c>
      <c r="AS15" s="8">
        <f t="shared" si="35"/>
        <v>31</v>
      </c>
      <c r="AT15" s="8">
        <f t="shared" si="35"/>
        <v>30</v>
      </c>
      <c r="AU15" s="8">
        <f t="shared" si="35"/>
        <v>31</v>
      </c>
      <c r="AV15" s="8">
        <f t="shared" si="35"/>
        <v>31</v>
      </c>
      <c r="AW15" s="8">
        <f t="shared" si="35"/>
        <v>30</v>
      </c>
      <c r="AX15" s="8">
        <f t="shared" si="35"/>
        <v>31</v>
      </c>
      <c r="AY15" s="8">
        <f t="shared" si="35"/>
        <v>30</v>
      </c>
      <c r="AZ15" s="8">
        <f t="shared" si="35"/>
        <v>31</v>
      </c>
      <c r="BA15" s="8">
        <f t="shared" si="35"/>
        <v>31</v>
      </c>
      <c r="BB15" s="8">
        <f t="shared" si="35"/>
        <v>28</v>
      </c>
      <c r="BC15" s="8">
        <f t="shared" si="35"/>
        <v>31</v>
      </c>
      <c r="BD15" s="8">
        <f t="shared" si="35"/>
        <v>30</v>
      </c>
      <c r="BE15" s="8">
        <f t="shared" si="35"/>
        <v>31</v>
      </c>
      <c r="BF15" s="8">
        <f t="shared" si="35"/>
        <v>30</v>
      </c>
      <c r="BG15" s="8">
        <f t="shared" si="35"/>
        <v>31</v>
      </c>
      <c r="BH15" s="8">
        <f t="shared" si="35"/>
        <v>31</v>
      </c>
      <c r="BI15" s="8">
        <f t="shared" si="35"/>
        <v>30</v>
      </c>
      <c r="BJ15" s="8">
        <f t="shared" si="35"/>
        <v>31</v>
      </c>
      <c r="BK15" s="8">
        <f t="shared" si="35"/>
        <v>30</v>
      </c>
      <c r="BL15" s="8">
        <f t="shared" si="35"/>
        <v>31</v>
      </c>
      <c r="BM15" s="8">
        <f t="shared" si="35"/>
        <v>31</v>
      </c>
      <c r="BN15" s="8">
        <f t="shared" si="35"/>
        <v>28</v>
      </c>
      <c r="BO15" s="8">
        <f t="shared" si="35"/>
        <v>31</v>
      </c>
      <c r="BP15" s="8">
        <f t="shared" si="35"/>
        <v>30</v>
      </c>
      <c r="BQ15" s="8">
        <f t="shared" si="35"/>
        <v>31</v>
      </c>
      <c r="BR15" s="8">
        <f t="shared" si="35"/>
        <v>30</v>
      </c>
      <c r="BS15" s="8">
        <f t="shared" si="35"/>
        <v>31</v>
      </c>
      <c r="BT15" s="8">
        <f t="shared" si="35"/>
        <v>31</v>
      </c>
      <c r="BU15" s="8">
        <f t="shared" si="35"/>
        <v>30</v>
      </c>
      <c r="BV15" s="8">
        <f t="shared" si="35"/>
        <v>31</v>
      </c>
      <c r="BW15" s="8">
        <f t="shared" si="35"/>
        <v>30</v>
      </c>
      <c r="BX15" s="8">
        <f t="shared" ref="BX15:EI15" si="36">BX12-BX11+1</f>
        <v>31</v>
      </c>
      <c r="BY15" s="8">
        <f t="shared" si="36"/>
        <v>31</v>
      </c>
      <c r="BZ15" s="8">
        <f t="shared" si="36"/>
        <v>29</v>
      </c>
      <c r="CA15" s="8">
        <f t="shared" si="36"/>
        <v>31</v>
      </c>
      <c r="CB15" s="8">
        <f t="shared" si="36"/>
        <v>30</v>
      </c>
      <c r="CC15" s="8">
        <f t="shared" si="36"/>
        <v>31</v>
      </c>
      <c r="CD15" s="8">
        <f t="shared" si="36"/>
        <v>30</v>
      </c>
      <c r="CE15" s="8">
        <f t="shared" si="36"/>
        <v>31</v>
      </c>
      <c r="CF15" s="8">
        <f t="shared" si="36"/>
        <v>31</v>
      </c>
      <c r="CG15" s="8">
        <f t="shared" si="36"/>
        <v>30</v>
      </c>
      <c r="CH15" s="8">
        <f t="shared" si="36"/>
        <v>31</v>
      </c>
      <c r="CI15" s="8">
        <f t="shared" si="36"/>
        <v>30</v>
      </c>
      <c r="CJ15" s="8">
        <f t="shared" si="36"/>
        <v>31</v>
      </c>
      <c r="CK15" s="8">
        <f t="shared" si="36"/>
        <v>31</v>
      </c>
      <c r="CL15" s="8">
        <f t="shared" si="36"/>
        <v>28</v>
      </c>
      <c r="CM15" s="8">
        <f t="shared" si="36"/>
        <v>31</v>
      </c>
      <c r="CN15" s="8">
        <f t="shared" si="36"/>
        <v>30</v>
      </c>
      <c r="CO15" s="8">
        <f t="shared" si="36"/>
        <v>31</v>
      </c>
      <c r="CP15" s="8">
        <f t="shared" si="36"/>
        <v>30</v>
      </c>
      <c r="CQ15" s="8">
        <f t="shared" si="36"/>
        <v>31</v>
      </c>
      <c r="CR15" s="8">
        <f t="shared" si="36"/>
        <v>31</v>
      </c>
      <c r="CS15" s="8">
        <f t="shared" si="36"/>
        <v>30</v>
      </c>
      <c r="CT15" s="8">
        <f t="shared" si="36"/>
        <v>31</v>
      </c>
      <c r="CU15" s="8">
        <f t="shared" si="36"/>
        <v>30</v>
      </c>
      <c r="CV15" s="8">
        <f t="shared" si="36"/>
        <v>31</v>
      </c>
      <c r="CW15" s="8">
        <f t="shared" si="36"/>
        <v>31</v>
      </c>
      <c r="CX15" s="8">
        <f t="shared" si="36"/>
        <v>28</v>
      </c>
      <c r="CY15" s="8">
        <f t="shared" si="36"/>
        <v>31</v>
      </c>
      <c r="CZ15" s="8">
        <f t="shared" si="36"/>
        <v>30</v>
      </c>
      <c r="DA15" s="8">
        <f t="shared" si="36"/>
        <v>31</v>
      </c>
      <c r="DB15" s="8">
        <f t="shared" si="36"/>
        <v>30</v>
      </c>
      <c r="DC15" s="8">
        <f t="shared" si="36"/>
        <v>31</v>
      </c>
      <c r="DD15" s="8">
        <f t="shared" si="36"/>
        <v>31</v>
      </c>
      <c r="DE15" s="8">
        <f t="shared" si="36"/>
        <v>30</v>
      </c>
      <c r="DF15" s="8">
        <f t="shared" si="36"/>
        <v>31</v>
      </c>
      <c r="DG15" s="8">
        <f t="shared" si="36"/>
        <v>30</v>
      </c>
      <c r="DH15" s="8">
        <f t="shared" si="36"/>
        <v>31</v>
      </c>
      <c r="DI15" s="8">
        <f t="shared" si="36"/>
        <v>31</v>
      </c>
      <c r="DJ15" s="8">
        <f t="shared" si="36"/>
        <v>28</v>
      </c>
      <c r="DK15" s="8">
        <f t="shared" si="36"/>
        <v>31</v>
      </c>
      <c r="DL15" s="8">
        <f t="shared" si="36"/>
        <v>30</v>
      </c>
      <c r="DM15" s="8">
        <f t="shared" si="36"/>
        <v>31</v>
      </c>
      <c r="DN15" s="8">
        <f t="shared" si="36"/>
        <v>30</v>
      </c>
      <c r="DO15" s="8">
        <f t="shared" si="36"/>
        <v>31</v>
      </c>
      <c r="DP15" s="8">
        <f t="shared" si="36"/>
        <v>31</v>
      </c>
      <c r="DQ15" s="8">
        <f t="shared" si="36"/>
        <v>30</v>
      </c>
      <c r="DR15" s="8">
        <f t="shared" si="36"/>
        <v>31</v>
      </c>
      <c r="DS15" s="8">
        <f t="shared" si="36"/>
        <v>30</v>
      </c>
      <c r="DT15" s="8">
        <f t="shared" si="36"/>
        <v>31</v>
      </c>
      <c r="DU15" s="8">
        <f t="shared" si="36"/>
        <v>31</v>
      </c>
      <c r="DV15" s="8">
        <f t="shared" si="36"/>
        <v>29</v>
      </c>
      <c r="DW15" s="8">
        <f t="shared" si="36"/>
        <v>31</v>
      </c>
      <c r="DX15" s="8">
        <f t="shared" si="36"/>
        <v>30</v>
      </c>
      <c r="DY15" s="8">
        <f t="shared" si="36"/>
        <v>31</v>
      </c>
      <c r="DZ15" s="8">
        <f t="shared" si="36"/>
        <v>30</v>
      </c>
      <c r="EA15" s="8">
        <f t="shared" si="36"/>
        <v>31</v>
      </c>
      <c r="EB15" s="8">
        <f t="shared" si="36"/>
        <v>31</v>
      </c>
      <c r="EC15" s="8">
        <f t="shared" si="36"/>
        <v>30</v>
      </c>
      <c r="ED15" s="8">
        <f t="shared" si="36"/>
        <v>31</v>
      </c>
      <c r="EE15" s="8">
        <f t="shared" si="36"/>
        <v>30</v>
      </c>
      <c r="EF15" s="8">
        <f t="shared" si="36"/>
        <v>31</v>
      </c>
      <c r="EG15" s="8">
        <f t="shared" si="36"/>
        <v>31</v>
      </c>
      <c r="EH15" s="8">
        <f t="shared" si="36"/>
        <v>28</v>
      </c>
      <c r="EI15" s="8">
        <f t="shared" si="36"/>
        <v>31</v>
      </c>
      <c r="EJ15" s="8">
        <f t="shared" ref="EJ15:GU15" si="37">EJ12-EJ11+1</f>
        <v>30</v>
      </c>
      <c r="EK15" s="8">
        <f t="shared" si="37"/>
        <v>31</v>
      </c>
      <c r="EL15" s="8">
        <f t="shared" si="37"/>
        <v>30</v>
      </c>
      <c r="EM15" s="8">
        <f t="shared" si="37"/>
        <v>31</v>
      </c>
      <c r="EN15" s="8">
        <f t="shared" si="37"/>
        <v>31</v>
      </c>
      <c r="EO15" s="8">
        <f t="shared" si="37"/>
        <v>30</v>
      </c>
      <c r="EP15" s="8">
        <f t="shared" si="37"/>
        <v>31</v>
      </c>
      <c r="EQ15" s="8">
        <f t="shared" si="37"/>
        <v>30</v>
      </c>
      <c r="ER15" s="8">
        <f t="shared" si="37"/>
        <v>31</v>
      </c>
      <c r="ES15" s="8">
        <f t="shared" si="37"/>
        <v>31</v>
      </c>
      <c r="ET15" s="8">
        <f t="shared" si="37"/>
        <v>28</v>
      </c>
      <c r="EU15" s="8">
        <f t="shared" si="37"/>
        <v>31</v>
      </c>
      <c r="EV15" s="8">
        <f t="shared" si="37"/>
        <v>30</v>
      </c>
      <c r="EW15" s="8">
        <f t="shared" si="37"/>
        <v>31</v>
      </c>
      <c r="EX15" s="8">
        <f t="shared" si="37"/>
        <v>30</v>
      </c>
      <c r="EY15" s="8">
        <f t="shared" si="37"/>
        <v>31</v>
      </c>
      <c r="EZ15" s="8">
        <f t="shared" si="37"/>
        <v>31</v>
      </c>
      <c r="FA15" s="8">
        <f t="shared" si="37"/>
        <v>30</v>
      </c>
      <c r="FB15" s="8">
        <f t="shared" si="37"/>
        <v>31</v>
      </c>
      <c r="FC15" s="8">
        <f t="shared" si="37"/>
        <v>30</v>
      </c>
      <c r="FD15" s="8">
        <f t="shared" si="37"/>
        <v>31</v>
      </c>
      <c r="FE15" s="8">
        <f t="shared" si="37"/>
        <v>31</v>
      </c>
      <c r="FF15" s="8">
        <f t="shared" si="37"/>
        <v>28</v>
      </c>
      <c r="FG15" s="8">
        <f t="shared" si="37"/>
        <v>31</v>
      </c>
      <c r="FH15" s="8">
        <f t="shared" si="37"/>
        <v>30</v>
      </c>
      <c r="FI15" s="8">
        <f t="shared" si="37"/>
        <v>31</v>
      </c>
      <c r="FJ15" s="8">
        <f t="shared" si="37"/>
        <v>30</v>
      </c>
      <c r="FK15" s="8">
        <f t="shared" si="37"/>
        <v>31</v>
      </c>
      <c r="FL15" s="8">
        <f t="shared" si="37"/>
        <v>31</v>
      </c>
      <c r="FM15" s="8">
        <f t="shared" si="37"/>
        <v>30</v>
      </c>
      <c r="FN15" s="8">
        <f t="shared" si="37"/>
        <v>31</v>
      </c>
      <c r="FO15" s="8">
        <f t="shared" si="37"/>
        <v>30</v>
      </c>
      <c r="FP15" s="8">
        <f t="shared" si="37"/>
        <v>31</v>
      </c>
      <c r="FQ15" s="8">
        <f t="shared" si="37"/>
        <v>31</v>
      </c>
      <c r="FR15" s="8">
        <f t="shared" si="37"/>
        <v>29</v>
      </c>
      <c r="FS15" s="8">
        <f t="shared" si="37"/>
        <v>31</v>
      </c>
      <c r="FT15" s="8">
        <f t="shared" si="37"/>
        <v>30</v>
      </c>
      <c r="FU15" s="8">
        <f t="shared" si="37"/>
        <v>31</v>
      </c>
      <c r="FV15" s="8">
        <f t="shared" si="37"/>
        <v>30</v>
      </c>
      <c r="FW15" s="8">
        <f t="shared" si="37"/>
        <v>31</v>
      </c>
      <c r="FX15" s="8">
        <f t="shared" si="37"/>
        <v>31</v>
      </c>
      <c r="FY15" s="8">
        <f t="shared" si="37"/>
        <v>30</v>
      </c>
      <c r="FZ15" s="8">
        <f t="shared" si="37"/>
        <v>31</v>
      </c>
      <c r="GA15" s="8">
        <f t="shared" si="37"/>
        <v>30</v>
      </c>
      <c r="GB15" s="8">
        <f t="shared" si="37"/>
        <v>31</v>
      </c>
      <c r="GC15" s="8">
        <f t="shared" si="37"/>
        <v>31</v>
      </c>
      <c r="GD15" s="8">
        <f t="shared" si="37"/>
        <v>28</v>
      </c>
      <c r="GE15" s="8">
        <f t="shared" si="37"/>
        <v>31</v>
      </c>
      <c r="GF15" s="8">
        <f t="shared" si="37"/>
        <v>30</v>
      </c>
      <c r="GG15" s="8">
        <f t="shared" si="37"/>
        <v>31</v>
      </c>
      <c r="GH15" s="8">
        <f t="shared" si="37"/>
        <v>30</v>
      </c>
      <c r="GI15" s="8">
        <f t="shared" si="37"/>
        <v>31</v>
      </c>
      <c r="GJ15" s="8">
        <f t="shared" si="37"/>
        <v>31</v>
      </c>
      <c r="GK15" s="8">
        <f t="shared" si="37"/>
        <v>30</v>
      </c>
      <c r="GL15" s="8">
        <f t="shared" si="37"/>
        <v>31</v>
      </c>
      <c r="GM15" s="8">
        <f t="shared" si="37"/>
        <v>30</v>
      </c>
      <c r="GN15" s="8">
        <f t="shared" si="37"/>
        <v>31</v>
      </c>
      <c r="GO15" s="8">
        <f t="shared" si="37"/>
        <v>31</v>
      </c>
      <c r="GP15" s="8">
        <f t="shared" si="37"/>
        <v>28</v>
      </c>
      <c r="GQ15" s="8">
        <f t="shared" si="37"/>
        <v>31</v>
      </c>
      <c r="GR15" s="8">
        <f t="shared" si="37"/>
        <v>30</v>
      </c>
      <c r="GS15" s="8">
        <f t="shared" si="37"/>
        <v>31</v>
      </c>
      <c r="GT15" s="8">
        <f t="shared" si="37"/>
        <v>30</v>
      </c>
      <c r="GU15" s="8">
        <f t="shared" si="37"/>
        <v>31</v>
      </c>
      <c r="GV15" s="8">
        <f t="shared" ref="GV15:JG15" si="38">GV12-GV11+1</f>
        <v>31</v>
      </c>
      <c r="GW15" s="8">
        <f t="shared" si="38"/>
        <v>30</v>
      </c>
      <c r="GX15" s="8">
        <f t="shared" si="38"/>
        <v>31</v>
      </c>
      <c r="GY15" s="8">
        <f t="shared" si="38"/>
        <v>30</v>
      </c>
      <c r="GZ15" s="8">
        <f t="shared" si="38"/>
        <v>31</v>
      </c>
      <c r="HA15" s="8">
        <f t="shared" si="38"/>
        <v>31</v>
      </c>
      <c r="HB15" s="8">
        <f t="shared" si="38"/>
        <v>28</v>
      </c>
      <c r="HC15" s="8">
        <f t="shared" si="38"/>
        <v>31</v>
      </c>
      <c r="HD15" s="8">
        <f t="shared" si="38"/>
        <v>30</v>
      </c>
      <c r="HE15" s="8">
        <f t="shared" si="38"/>
        <v>31</v>
      </c>
      <c r="HF15" s="8">
        <f t="shared" si="38"/>
        <v>30</v>
      </c>
      <c r="HG15" s="8">
        <f t="shared" si="38"/>
        <v>31</v>
      </c>
      <c r="HH15" s="8">
        <f t="shared" si="38"/>
        <v>31</v>
      </c>
      <c r="HI15" s="8">
        <f t="shared" si="38"/>
        <v>30</v>
      </c>
      <c r="HJ15" s="8">
        <f t="shared" si="38"/>
        <v>31</v>
      </c>
      <c r="HK15" s="8">
        <f t="shared" si="38"/>
        <v>30</v>
      </c>
      <c r="HL15" s="8">
        <f t="shared" si="38"/>
        <v>31</v>
      </c>
      <c r="HM15" s="8">
        <f t="shared" si="38"/>
        <v>31</v>
      </c>
      <c r="HN15" s="8">
        <f t="shared" si="38"/>
        <v>29</v>
      </c>
      <c r="HO15" s="8">
        <f t="shared" si="38"/>
        <v>31</v>
      </c>
      <c r="HP15" s="8">
        <f t="shared" si="38"/>
        <v>30</v>
      </c>
      <c r="HQ15" s="8">
        <f t="shared" si="38"/>
        <v>31</v>
      </c>
      <c r="HR15" s="8">
        <f t="shared" si="38"/>
        <v>30</v>
      </c>
      <c r="HS15" s="8">
        <f t="shared" si="38"/>
        <v>31</v>
      </c>
      <c r="HT15" s="8">
        <f t="shared" si="38"/>
        <v>31</v>
      </c>
      <c r="HU15" s="8">
        <f t="shared" si="38"/>
        <v>30</v>
      </c>
      <c r="HV15" s="8">
        <f t="shared" si="38"/>
        <v>31</v>
      </c>
      <c r="HW15" s="8">
        <f t="shared" si="38"/>
        <v>30</v>
      </c>
      <c r="HX15" s="8">
        <f t="shared" si="38"/>
        <v>31</v>
      </c>
      <c r="HY15" s="8">
        <f t="shared" si="38"/>
        <v>31</v>
      </c>
      <c r="HZ15" s="8">
        <f t="shared" si="38"/>
        <v>28</v>
      </c>
      <c r="IA15" s="8">
        <f t="shared" si="38"/>
        <v>31</v>
      </c>
      <c r="IB15" s="8">
        <f t="shared" si="38"/>
        <v>30</v>
      </c>
      <c r="IC15" s="8">
        <f t="shared" si="38"/>
        <v>31</v>
      </c>
      <c r="ID15" s="8">
        <f t="shared" si="38"/>
        <v>30</v>
      </c>
      <c r="IE15" s="8">
        <f t="shared" si="38"/>
        <v>31</v>
      </c>
      <c r="IF15" s="8">
        <f t="shared" si="38"/>
        <v>31</v>
      </c>
      <c r="IG15" s="8">
        <f t="shared" si="38"/>
        <v>30</v>
      </c>
      <c r="IH15" s="8">
        <f t="shared" si="38"/>
        <v>31</v>
      </c>
      <c r="II15" s="8">
        <f t="shared" si="38"/>
        <v>30</v>
      </c>
      <c r="IJ15" s="8">
        <f t="shared" si="38"/>
        <v>31</v>
      </c>
      <c r="IK15" s="8">
        <f t="shared" si="38"/>
        <v>31</v>
      </c>
      <c r="IL15" s="8">
        <f t="shared" si="38"/>
        <v>28</v>
      </c>
      <c r="IM15" s="8">
        <f t="shared" si="38"/>
        <v>31</v>
      </c>
      <c r="IN15" s="8">
        <f t="shared" si="38"/>
        <v>30</v>
      </c>
      <c r="IO15" s="8">
        <f t="shared" si="38"/>
        <v>31</v>
      </c>
      <c r="IP15" s="8">
        <f t="shared" si="38"/>
        <v>30</v>
      </c>
      <c r="IQ15" s="8">
        <f t="shared" si="38"/>
        <v>31</v>
      </c>
      <c r="IR15" s="8">
        <f t="shared" si="38"/>
        <v>31</v>
      </c>
      <c r="IS15" s="8">
        <f t="shared" si="38"/>
        <v>30</v>
      </c>
      <c r="IT15" s="8">
        <f t="shared" si="38"/>
        <v>31</v>
      </c>
      <c r="IU15" s="8">
        <f t="shared" si="38"/>
        <v>30</v>
      </c>
      <c r="IV15" s="8">
        <f t="shared" si="38"/>
        <v>31</v>
      </c>
      <c r="IW15" s="8">
        <f t="shared" si="38"/>
        <v>31</v>
      </c>
      <c r="IX15" s="8">
        <f t="shared" si="38"/>
        <v>28</v>
      </c>
      <c r="IY15" s="8">
        <f t="shared" si="38"/>
        <v>31</v>
      </c>
      <c r="IZ15" s="8">
        <f t="shared" si="38"/>
        <v>30</v>
      </c>
      <c r="JA15" s="8">
        <f t="shared" si="38"/>
        <v>31</v>
      </c>
      <c r="JB15" s="8">
        <f t="shared" si="38"/>
        <v>30</v>
      </c>
      <c r="JC15" s="8">
        <f t="shared" si="38"/>
        <v>31</v>
      </c>
      <c r="JD15" s="8">
        <f t="shared" si="38"/>
        <v>31</v>
      </c>
      <c r="JE15" s="8">
        <f t="shared" si="38"/>
        <v>30</v>
      </c>
      <c r="JF15" s="8">
        <f t="shared" si="38"/>
        <v>31</v>
      </c>
      <c r="JG15" s="8">
        <f t="shared" si="38"/>
        <v>30</v>
      </c>
      <c r="JH15" s="8">
        <f t="shared" ref="JH15:KF15" si="39">JH12-JH11+1</f>
        <v>31</v>
      </c>
      <c r="JI15" s="8">
        <f t="shared" si="39"/>
        <v>31</v>
      </c>
      <c r="JJ15" s="8">
        <f t="shared" si="39"/>
        <v>29</v>
      </c>
      <c r="JK15" s="8">
        <f t="shared" si="39"/>
        <v>31</v>
      </c>
      <c r="JL15" s="8">
        <f t="shared" si="39"/>
        <v>30</v>
      </c>
      <c r="JM15" s="8">
        <f t="shared" si="39"/>
        <v>31</v>
      </c>
      <c r="JN15" s="8">
        <f t="shared" si="39"/>
        <v>30</v>
      </c>
      <c r="JO15" s="8">
        <f t="shared" si="39"/>
        <v>31</v>
      </c>
      <c r="JP15" s="8">
        <f t="shared" si="39"/>
        <v>31</v>
      </c>
      <c r="JQ15" s="8">
        <f t="shared" si="39"/>
        <v>30</v>
      </c>
      <c r="JR15" s="8">
        <f t="shared" si="39"/>
        <v>31</v>
      </c>
      <c r="JS15" s="8">
        <f t="shared" si="39"/>
        <v>30</v>
      </c>
      <c r="JT15" s="8">
        <f t="shared" si="39"/>
        <v>31</v>
      </c>
      <c r="JU15" s="8">
        <f t="shared" si="39"/>
        <v>31</v>
      </c>
      <c r="JV15" s="8">
        <f t="shared" si="39"/>
        <v>28</v>
      </c>
      <c r="JW15" s="8">
        <f t="shared" si="39"/>
        <v>31</v>
      </c>
      <c r="JX15" s="8">
        <f t="shared" si="39"/>
        <v>30</v>
      </c>
      <c r="JY15" s="8">
        <f t="shared" si="39"/>
        <v>31</v>
      </c>
      <c r="JZ15" s="8">
        <f t="shared" si="39"/>
        <v>30</v>
      </c>
      <c r="KA15" s="8">
        <f t="shared" si="39"/>
        <v>31</v>
      </c>
      <c r="KB15" s="8">
        <f t="shared" si="39"/>
        <v>31</v>
      </c>
      <c r="KC15" s="8">
        <f t="shared" si="39"/>
        <v>30</v>
      </c>
      <c r="KD15" s="8">
        <f t="shared" si="39"/>
        <v>31</v>
      </c>
      <c r="KE15" s="8">
        <f t="shared" si="39"/>
        <v>30</v>
      </c>
      <c r="KF15" s="8">
        <f t="shared" si="39"/>
        <v>31</v>
      </c>
    </row>
    <row r="16" spans="1:292" x14ac:dyDescent="0.35">
      <c r="B16" s="1"/>
      <c r="C16" s="1"/>
      <c r="D16" s="1"/>
      <c r="E16" s="1"/>
      <c r="F16" s="1"/>
      <c r="G16" s="1"/>
      <c r="H16" s="1"/>
      <c r="I16" s="1"/>
      <c r="J16" s="6" t="s">
        <v>17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  <c r="IW16" s="8"/>
      <c r="IX16" s="8"/>
      <c r="IY16" s="8"/>
      <c r="IZ16" s="8"/>
      <c r="JA16" s="8"/>
      <c r="JB16" s="8"/>
      <c r="JC16" s="8"/>
      <c r="JD16" s="8"/>
      <c r="JE16" s="8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</row>
    <row r="17" spans="2:292" x14ac:dyDescent="0.35">
      <c r="B17" s="1"/>
      <c r="C17" s="1"/>
      <c r="D17" s="1"/>
      <c r="E17" s="1"/>
      <c r="F17" s="1"/>
      <c r="G17" s="1"/>
      <c r="H17" s="1"/>
      <c r="I17" s="1"/>
      <c r="J17" s="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</row>
    <row r="18" spans="2:292" x14ac:dyDescent="0.35">
      <c r="G18" s="10" t="s">
        <v>159</v>
      </c>
      <c r="H18" s="10"/>
      <c r="I18" s="10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11"/>
      <c r="DJ18" s="11"/>
      <c r="DK18" s="11"/>
      <c r="DL18" s="11"/>
      <c r="DM18" s="11"/>
      <c r="DN18" s="11"/>
      <c r="DO18" s="11"/>
      <c r="DP18" s="11"/>
      <c r="DQ18" s="11"/>
      <c r="DR18" s="11"/>
      <c r="DS18" s="11"/>
      <c r="DT18" s="11"/>
      <c r="DU18" s="11"/>
      <c r="DV18" s="11"/>
      <c r="DW18" s="11"/>
      <c r="DX18" s="11"/>
      <c r="DY18" s="11"/>
      <c r="DZ18" s="11"/>
      <c r="EA18" s="11"/>
      <c r="EB18" s="11"/>
      <c r="EC18" s="11"/>
      <c r="ED18" s="11"/>
      <c r="EE18" s="11"/>
      <c r="EF18" s="11"/>
      <c r="EG18" s="11"/>
      <c r="EH18" s="11"/>
      <c r="EI18" s="11"/>
      <c r="EJ18" s="11"/>
      <c r="EK18" s="11"/>
      <c r="EL18" s="11"/>
      <c r="EM18" s="11"/>
      <c r="EN18" s="11"/>
      <c r="EO18" s="11"/>
      <c r="EP18" s="11"/>
      <c r="EQ18" s="11"/>
      <c r="ER18" s="11"/>
      <c r="ES18" s="11"/>
      <c r="ET18" s="11"/>
      <c r="EU18" s="11"/>
      <c r="EV18" s="11"/>
      <c r="EW18" s="11"/>
      <c r="EX18" s="11"/>
      <c r="EY18" s="11"/>
      <c r="EZ18" s="11"/>
      <c r="FA18" s="11"/>
      <c r="FB18" s="11"/>
      <c r="FC18" s="11"/>
      <c r="FD18" s="11"/>
      <c r="FE18" s="11"/>
      <c r="FF18" s="11"/>
      <c r="FG18" s="11"/>
      <c r="FH18" s="11"/>
      <c r="FI18" s="11"/>
      <c r="FJ18" s="11"/>
      <c r="FK18" s="11"/>
      <c r="FL18" s="11"/>
      <c r="FM18" s="11"/>
      <c r="FN18" s="11"/>
      <c r="FO18" s="11"/>
      <c r="FP18" s="11"/>
      <c r="FQ18" s="11"/>
      <c r="FR18" s="11"/>
      <c r="FS18" s="11"/>
      <c r="FT18" s="11"/>
      <c r="FU18" s="11"/>
      <c r="FV18" s="11"/>
      <c r="FW18" s="11"/>
      <c r="FX18" s="11"/>
      <c r="FY18" s="11"/>
      <c r="FZ18" s="11"/>
      <c r="GA18" s="11"/>
      <c r="GB18" s="11"/>
      <c r="GC18" s="11"/>
      <c r="GD18" s="11"/>
      <c r="GE18" s="11"/>
      <c r="GF18" s="11"/>
      <c r="GG18" s="11"/>
      <c r="GH18" s="11"/>
      <c r="GI18" s="11"/>
      <c r="GJ18" s="11"/>
      <c r="GK18" s="11"/>
      <c r="GL18" s="11"/>
      <c r="GM18" s="11"/>
      <c r="GN18" s="11"/>
      <c r="GO18" s="11"/>
      <c r="GP18" s="11"/>
      <c r="GQ18" s="11"/>
      <c r="GR18" s="11"/>
      <c r="GS18" s="11"/>
      <c r="GT18" s="11"/>
      <c r="GU18" s="11"/>
      <c r="GV18" s="11"/>
      <c r="GW18" s="11"/>
      <c r="GX18" s="11"/>
      <c r="GY18" s="11"/>
      <c r="GZ18" s="11"/>
      <c r="HA18" s="11"/>
      <c r="HB18" s="11"/>
      <c r="HC18" s="11"/>
      <c r="HD18" s="11"/>
      <c r="HE18" s="11"/>
      <c r="HF18" s="11"/>
      <c r="HG18" s="11"/>
      <c r="HH18" s="11"/>
      <c r="HI18" s="11"/>
      <c r="HJ18" s="11"/>
      <c r="HK18" s="11"/>
      <c r="HL18" s="11"/>
      <c r="HM18" s="11"/>
      <c r="HN18" s="11"/>
      <c r="HO18" s="11"/>
      <c r="HP18" s="11"/>
      <c r="HQ18" s="11"/>
      <c r="HR18" s="11"/>
      <c r="HS18" s="11"/>
      <c r="HT18" s="11"/>
      <c r="HU18" s="11"/>
      <c r="HV18" s="11"/>
      <c r="HW18" s="11"/>
      <c r="HX18" s="11"/>
      <c r="HY18" s="11"/>
      <c r="HZ18" s="11"/>
      <c r="IA18" s="11"/>
      <c r="IB18" s="11"/>
      <c r="IC18" s="11"/>
      <c r="ID18" s="11"/>
      <c r="IE18" s="11"/>
      <c r="IF18" s="11"/>
      <c r="IG18" s="11"/>
      <c r="IH18" s="11"/>
      <c r="II18" s="11"/>
      <c r="IJ18" s="11"/>
      <c r="IK18" s="11"/>
      <c r="IL18" s="11"/>
      <c r="IM18" s="11"/>
      <c r="IN18" s="11"/>
      <c r="IO18" s="11"/>
      <c r="IP18" s="11"/>
      <c r="IQ18" s="11"/>
      <c r="IR18" s="11"/>
      <c r="IS18" s="11"/>
      <c r="IT18" s="11"/>
      <c r="IU18" s="11"/>
      <c r="IV18" s="11"/>
      <c r="IW18" s="11"/>
      <c r="IX18" s="11"/>
      <c r="IY18" s="11"/>
      <c r="IZ18" s="11"/>
      <c r="JA18" s="11"/>
      <c r="JB18" s="11"/>
      <c r="JC18" s="11"/>
      <c r="JD18" s="11"/>
      <c r="JE18" s="11"/>
      <c r="JF18" s="11"/>
      <c r="JG18" s="11"/>
      <c r="JH18" s="11"/>
      <c r="JI18" s="11"/>
      <c r="JJ18" s="11"/>
      <c r="JK18" s="11"/>
      <c r="JL18" s="11"/>
      <c r="JM18" s="11"/>
      <c r="JN18" s="11"/>
      <c r="JO18" s="11"/>
      <c r="JP18" s="11"/>
      <c r="JQ18" s="11"/>
      <c r="JR18" s="11"/>
      <c r="JS18" s="11"/>
      <c r="JT18" s="11"/>
      <c r="JU18" s="11"/>
      <c r="JV18" s="11"/>
      <c r="JW18" s="11"/>
      <c r="JX18" s="11"/>
      <c r="JY18" s="11"/>
      <c r="JZ18" s="11"/>
      <c r="KA18" s="11"/>
      <c r="KB18" s="11"/>
      <c r="KC18" s="11"/>
      <c r="KD18" s="11"/>
      <c r="KE18" s="11"/>
      <c r="KF18" s="11"/>
    </row>
    <row r="19" spans="2:292" outlineLevel="1" x14ac:dyDescent="0.35"/>
    <row r="20" spans="2:292" outlineLevel="1" x14ac:dyDescent="0.35">
      <c r="H20" s="19" t="s">
        <v>160</v>
      </c>
      <c r="I20" s="19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</row>
    <row r="21" spans="2:292" outlineLevel="1" x14ac:dyDescent="0.35"/>
    <row r="22" spans="2:292" outlineLevel="1" x14ac:dyDescent="0.35">
      <c r="J22" s="18" t="s">
        <v>29</v>
      </c>
      <c r="K22" s="18">
        <f>Control!H17</f>
        <v>1</v>
      </c>
      <c r="L22" s="13" t="str" cm="1">
        <f t="array" ref="L22">INDEX(J26:J34,K22)</f>
        <v>Base case</v>
      </c>
    </row>
    <row r="23" spans="2:292" outlineLevel="1" x14ac:dyDescent="0.35">
      <c r="E23" s="13" t="s">
        <v>164</v>
      </c>
      <c r="J23" s="13" t="s">
        <v>30</v>
      </c>
      <c r="K23" s="56" cm="1">
        <f t="array" ref="K23">INDEX(K26:K34,$K$22)</f>
        <v>41.267534526977848</v>
      </c>
      <c r="L23" s="57" cm="1">
        <f t="array" ref="L23">INDEX(L26:L34,$K$22)</f>
        <v>37.692788150254827</v>
      </c>
      <c r="M23" s="56" cm="1">
        <f t="array" ref="M23">INDEX(M26:M34,$K$22)</f>
        <v>51.68471754049876</v>
      </c>
      <c r="N23" s="56" cm="1">
        <f t="array" ref="N23">INDEX(N26:N34,$K$22)</f>
        <v>74.186883902726919</v>
      </c>
      <c r="O23" s="56" cm="1">
        <f t="array" ref="O23">INDEX(O26:O34,$K$22)</f>
        <v>36.725640453622979</v>
      </c>
      <c r="P23" s="56" cm="1">
        <f t="array" ref="P23">INDEX(P26:P34,$K$22)</f>
        <v>33.919620643233102</v>
      </c>
      <c r="Q23" s="56" cm="1">
        <f t="array" ref="Q23">INDEX(Q26:Q34,$K$22)</f>
        <v>43.157100820993989</v>
      </c>
      <c r="R23" s="56" cm="1">
        <f t="array" ref="R23">INDEX(R26:R34,$K$22)</f>
        <v>48.293766785987046</v>
      </c>
      <c r="S23" s="56" cm="1">
        <f t="array" ref="S23">INDEX(S26:S34,$K$22)</f>
        <v>82.842122407946533</v>
      </c>
      <c r="T23" s="56" cm="1">
        <f t="array" ref="T23">INDEX(T26:T34,$K$22)</f>
        <v>85.14149072688096</v>
      </c>
      <c r="U23" s="56" cm="1">
        <f t="array" ref="U23">INDEX(U26:U34,$K$22)</f>
        <v>71.974816357502746</v>
      </c>
      <c r="V23" s="56" cm="1">
        <f t="array" ref="V23">INDEX(V26:V34,$K$22)</f>
        <v>58.511832594541538</v>
      </c>
      <c r="W23" s="56" cm="1">
        <f t="array" ref="W23">INDEX(W26:W34,$K$22)</f>
        <v>25.54806242110914</v>
      </c>
      <c r="X23" s="56" cm="1">
        <f t="array" ref="X23">INDEX(X26:X34,$K$22)</f>
        <v>79.805799609355674</v>
      </c>
      <c r="Y23" s="56" cm="1">
        <f t="array" ref="Y23">INDEX(Y26:Y34,$K$22)</f>
        <v>86.091435780688897</v>
      </c>
      <c r="Z23" s="56" cm="1">
        <f t="array" ref="Z23">INDEX(Z26:Z34,$K$22)</f>
        <v>84.709526672991785</v>
      </c>
      <c r="AA23" s="56" cm="1">
        <f t="array" ref="AA23">INDEX(AA26:AA34,$K$22)</f>
        <v>69.221061402981903</v>
      </c>
      <c r="AB23" s="56" cm="1">
        <f t="array" ref="AB23">INDEX(AB26:AB34,$K$22)</f>
        <v>46.350017884270947</v>
      </c>
      <c r="AC23" s="56" cm="1">
        <f t="array" ref="AC23">INDEX(AC26:AC34,$K$22)</f>
        <v>37.957815688717325</v>
      </c>
      <c r="AD23" s="56" cm="1">
        <f t="array" ref="AD23">INDEX(AD26:AD34,$K$22)</f>
        <v>64.726348195166977</v>
      </c>
      <c r="AE23" s="56" cm="1">
        <f t="array" ref="AE23">INDEX(AE26:AE34,$K$22)</f>
        <v>26.716842158788701</v>
      </c>
      <c r="AF23" s="56" cm="1">
        <f t="array" ref="AF23">INDEX(AF26:AF34,$K$22)</f>
        <v>65.34931979942796</v>
      </c>
      <c r="AG23" s="56" cm="1">
        <f t="array" ref="AG23">INDEX(AG26:AG34,$K$22)</f>
        <v>29.069378744409658</v>
      </c>
      <c r="AH23" s="56" cm="1">
        <f t="array" ref="AH23">INDEX(AH26:AH34,$K$22)</f>
        <v>62.161902791647435</v>
      </c>
      <c r="AI23" s="56" cm="1">
        <f t="array" ref="AI23">INDEX(AI26:AI34,$K$22)</f>
        <v>31.902973571604754</v>
      </c>
      <c r="AJ23" s="56" cm="1">
        <f t="array" ref="AJ23">INDEX(AJ26:AJ34,$K$22)</f>
        <v>65.734663037548458</v>
      </c>
      <c r="AK23" s="56" cm="1">
        <f t="array" ref="AK23">INDEX(AK26:AK34,$K$22)</f>
        <v>63.315313244463766</v>
      </c>
      <c r="AL23" s="56" cm="1">
        <f t="array" ref="AL23">INDEX(AL26:AL34,$K$22)</f>
        <v>34.021791209015618</v>
      </c>
      <c r="AM23" s="56" cm="1">
        <f t="array" ref="AM23">INDEX(AM26:AM34,$K$22)</f>
        <v>37.781184862920568</v>
      </c>
      <c r="AN23" s="56" cm="1">
        <f t="array" ref="AN23">INDEX(AN26:AN34,$K$22)</f>
        <v>35.933025533964511</v>
      </c>
      <c r="AO23" s="56" cm="1">
        <f t="array" ref="AO23">INDEX(AO26:AO34,$K$22)</f>
        <v>26.220593415736182</v>
      </c>
      <c r="AP23" s="56" cm="1">
        <f t="array" ref="AP23">INDEX(AP26:AP34,$K$22)</f>
        <v>64.310951998819874</v>
      </c>
      <c r="AQ23" s="56" cm="1">
        <f t="array" ref="AQ23">INDEX(AQ26:AQ34,$K$22)</f>
        <v>47.312349612641725</v>
      </c>
      <c r="AR23" s="56" cm="1">
        <f t="array" ref="AR23">INDEX(AR26:AR34,$K$22)</f>
        <v>52.920734246513426</v>
      </c>
      <c r="AS23" s="56" cm="1">
        <f t="array" ref="AS23">INDEX(AS26:AS34,$K$22)</f>
        <v>50.073916606901584</v>
      </c>
      <c r="AT23" s="56" cm="1">
        <f t="array" ref="AT23">INDEX(AT26:AT34,$K$22)</f>
        <v>68.16187148488585</v>
      </c>
      <c r="AU23" s="56" cm="1">
        <f t="array" ref="AU23">INDEX(AU26:AU34,$K$22)</f>
        <v>81.771783083279146</v>
      </c>
      <c r="AV23" s="56" cm="1">
        <f t="array" ref="AV23">INDEX(AV26:AV34,$K$22)</f>
        <v>59.102269984908553</v>
      </c>
      <c r="AW23" s="56" cm="1">
        <f t="array" ref="AW23">INDEX(AW26:AW34,$K$22)</f>
        <v>76.179940821801623</v>
      </c>
      <c r="AX23" s="56" cm="1">
        <f t="array" ref="AX23">INDEX(AX26:AX34,$K$22)</f>
        <v>64.2694973826612</v>
      </c>
      <c r="AY23" s="56" cm="1">
        <f t="array" ref="AY23">INDEX(AY26:AY34,$K$22)</f>
        <v>87.769885698732011</v>
      </c>
      <c r="AZ23" s="56" cm="1">
        <f t="array" ref="AZ23">INDEX(AZ26:AZ34,$K$22)</f>
        <v>54.459036730472086</v>
      </c>
      <c r="BA23" s="56" cm="1">
        <f t="array" ref="BA23">INDEX(BA26:BA34,$K$22)</f>
        <v>26.065621473044065</v>
      </c>
      <c r="BB23" s="56" cm="1">
        <f t="array" ref="BB23">INDEX(BB26:BB34,$K$22)</f>
        <v>70.319736827636078</v>
      </c>
      <c r="BC23" s="56" cm="1">
        <f t="array" ref="BC23">INDEX(BC26:BC34,$K$22)</f>
        <v>94.036111485900904</v>
      </c>
      <c r="BD23" s="56" cm="1">
        <f t="array" ref="BD23">INDEX(BD26:BD34,$K$22)</f>
        <v>45.475474362884164</v>
      </c>
      <c r="BE23" s="56" cm="1">
        <f t="array" ref="BE23">INDEX(BE26:BE34,$K$22)</f>
        <v>61.246484042094217</v>
      </c>
      <c r="BF23" s="56" cm="1">
        <f t="array" ref="BF23">INDEX(BF26:BF34,$K$22)</f>
        <v>54.716249870380075</v>
      </c>
      <c r="BG23" s="56" cm="1">
        <f t="array" ref="BG23">INDEX(BG26:BG34,$K$22)</f>
        <v>76.004108659833648</v>
      </c>
      <c r="BH23" s="56" cm="1">
        <f t="array" ref="BH23">INDEX(BH26:BH34,$K$22)</f>
        <v>97.036792805115567</v>
      </c>
      <c r="BI23" s="56" cm="1">
        <f t="array" ref="BI23">INDEX(BI26:BI34,$K$22)</f>
        <v>68.863624185849133</v>
      </c>
      <c r="BJ23" s="56" cm="1">
        <f t="array" ref="BJ23">INDEX(BJ26:BJ34,$K$22)</f>
        <v>38.708615583658904</v>
      </c>
      <c r="BK23" s="56" cm="1">
        <f t="array" ref="BK23">INDEX(BK26:BK34,$K$22)</f>
        <v>49.368029616049554</v>
      </c>
      <c r="BL23" s="56" cm="1">
        <f t="array" ref="BL23">INDEX(BL26:BL34,$K$22)</f>
        <v>56.301250888842148</v>
      </c>
      <c r="BM23" s="56" cm="1">
        <f t="array" ref="BM23">INDEX(BM26:BM34,$K$22)</f>
        <v>47.224234219433313</v>
      </c>
      <c r="BN23" s="56" cm="1">
        <f t="array" ref="BN23">INDEX(BN26:BN34,$K$22)</f>
        <v>63.673199650586653</v>
      </c>
      <c r="BO23" s="56" cm="1">
        <f t="array" ref="BO23">INDEX(BO26:BO34,$K$22)</f>
        <v>72.997662577474216</v>
      </c>
      <c r="BP23" s="56" cm="1">
        <f t="array" ref="BP23">INDEX(BP26:BP34,$K$22)</f>
        <v>36.284059319583896</v>
      </c>
      <c r="BQ23" s="56" cm="1">
        <f t="array" ref="BQ23">INDEX(BQ26:BQ34,$K$22)</f>
        <v>35.060016502856449</v>
      </c>
      <c r="BR23" s="56" cm="1">
        <f t="array" ref="BR23">INDEX(BR26:BR34,$K$22)</f>
        <v>40.5012911798282</v>
      </c>
      <c r="BS23" s="56" cm="1">
        <f t="array" ref="BS23">INDEX(BS26:BS34,$K$22)</f>
        <v>42.775479636416847</v>
      </c>
      <c r="BT23" s="56" cm="1">
        <f t="array" ref="BT23">INDEX(BT26:BT34,$K$22)</f>
        <v>38.981664743965773</v>
      </c>
      <c r="BU23" s="56" cm="1">
        <f t="array" ref="BU23">INDEX(BU26:BU34,$K$22)</f>
        <v>46.281631507226237</v>
      </c>
      <c r="BV23" s="56" cm="1">
        <f t="array" ref="BV23">INDEX(BV26:BV34,$K$22)</f>
        <v>81.927311054571177</v>
      </c>
      <c r="BW23" s="56" cm="1">
        <f t="array" ref="BW23">INDEX(BW26:BW34,$K$22)</f>
        <v>62.651872800416427</v>
      </c>
      <c r="BX23" s="56" cm="1">
        <f t="array" ref="BX23">INDEX(BX26:BX34,$K$22)</f>
        <v>41.494072073122766</v>
      </c>
      <c r="BY23" s="56" cm="1">
        <f t="array" ref="BY23">INDEX(BY26:BY34,$K$22)</f>
        <v>49.205617857190624</v>
      </c>
      <c r="BZ23" s="56" cm="1">
        <f t="array" ref="BZ23">INDEX(BZ26:BZ34,$K$22)</f>
        <v>40.966012772767598</v>
      </c>
      <c r="CA23" s="56" cm="1">
        <f t="array" ref="CA23">INDEX(CA26:CA34,$K$22)</f>
        <v>31.093626563377818</v>
      </c>
      <c r="CB23" s="56" cm="1">
        <f t="array" ref="CB23">INDEX(CB26:CB34,$K$22)</f>
        <v>31.353246666376545</v>
      </c>
      <c r="CC23" s="56" cm="1">
        <f t="array" ref="CC23">INDEX(CC26:CC34,$K$22)</f>
        <v>29.039339533814235</v>
      </c>
      <c r="CD23" s="56" cm="1">
        <f t="array" ref="CD23">INDEX(CD26:CD34,$K$22)</f>
        <v>64.61592885187504</v>
      </c>
      <c r="CE23" s="56" cm="1">
        <f t="array" ref="CE23">INDEX(CE26:CE34,$K$22)</f>
        <v>38.431090374031442</v>
      </c>
      <c r="CF23" s="56" cm="1">
        <f t="array" ref="CF23">INDEX(CF26:CF34,$K$22)</f>
        <v>53.284931044446914</v>
      </c>
      <c r="CG23" s="56" cm="1">
        <f t="array" ref="CG23">INDEX(CG26:CG34,$K$22)</f>
        <v>92.759735147791389</v>
      </c>
      <c r="CH23" s="56" cm="1">
        <f t="array" ref="CH23">INDEX(CH26:CH34,$K$22)</f>
        <v>63.836567574091255</v>
      </c>
      <c r="CI23" s="56" cm="1">
        <f t="array" ref="CI23">INDEX(CI26:CI34,$K$22)</f>
        <v>63.608658633629922</v>
      </c>
      <c r="CJ23" s="56" cm="1">
        <f t="array" ref="CJ23">INDEX(CJ26:CJ34,$K$22)</f>
        <v>62.564720143608824</v>
      </c>
      <c r="CK23" s="56" cm="1">
        <f t="array" ref="CK23">INDEX(CK26:CK34,$K$22)</f>
        <v>71.34718872056564</v>
      </c>
      <c r="CL23" s="56" cm="1">
        <f t="array" ref="CL23">INDEX(CL26:CL34,$K$22)</f>
        <v>38.873669046986372</v>
      </c>
      <c r="CM23" s="56" cm="1">
        <f t="array" ref="CM23">INDEX(CM26:CM34,$K$22)</f>
        <v>76.797941029801791</v>
      </c>
      <c r="CN23" s="56" cm="1">
        <f t="array" ref="CN23">INDEX(CN26:CN34,$K$22)</f>
        <v>89.903081421101248</v>
      </c>
      <c r="CO23" s="56" cm="1">
        <f t="array" ref="CO23">INDEX(CO26:CO34,$K$22)</f>
        <v>99.399498956289563</v>
      </c>
      <c r="CP23" s="56" cm="1">
        <f t="array" ref="CP23">INDEX(CP26:CP34,$K$22)</f>
        <v>66.666319390225027</v>
      </c>
      <c r="CQ23" s="56" cm="1">
        <f t="array" ref="CQ23">INDEX(CQ26:CQ34,$K$22)</f>
        <v>76.477055525302063</v>
      </c>
      <c r="CR23" s="56" cm="1">
        <f t="array" ref="CR23">INDEX(CR26:CR34,$K$22)</f>
        <v>89.835528127870575</v>
      </c>
      <c r="CS23" s="56" cm="1">
        <f t="array" ref="CS23">INDEX(CS26:CS34,$K$22)</f>
        <v>86.489738984588826</v>
      </c>
      <c r="CT23" s="56" cm="1">
        <f t="array" ref="CT23">INDEX(CT26:CT34,$K$22)</f>
        <v>30.07480969392843</v>
      </c>
      <c r="CU23" s="56" cm="1">
        <f t="array" ref="CU23">INDEX(CU26:CU34,$K$22)</f>
        <v>61.053672420725569</v>
      </c>
      <c r="CV23" s="56" cm="1">
        <f t="array" ref="CV23">INDEX(CV26:CV34,$K$22)</f>
        <v>38.391809397129151</v>
      </c>
      <c r="CW23" s="56" cm="1">
        <f t="array" ref="CW23">INDEX(CW26:CW34,$K$22)</f>
        <v>76.58420777346825</v>
      </c>
      <c r="CX23" s="56" cm="1">
        <f t="array" ref="CX23">INDEX(CX26:CX34,$K$22)</f>
        <v>41.478213137426224</v>
      </c>
      <c r="CY23" s="56" cm="1">
        <f t="array" ref="CY23">INDEX(CY26:CY34,$K$22)</f>
        <v>25.51908553784471</v>
      </c>
      <c r="CZ23" s="56" cm="1">
        <f t="array" ref="CZ23">INDEX(CZ26:CZ34,$K$22)</f>
        <v>86.352192670309734</v>
      </c>
      <c r="DA23" s="56" cm="1">
        <f t="array" ref="DA23">INDEX(DA26:DA34,$K$22)</f>
        <v>25.814181076297508</v>
      </c>
      <c r="DB23" s="56" cm="1">
        <f t="array" ref="DB23">INDEX(DB26:DB34,$K$22)</f>
        <v>82.770244030602314</v>
      </c>
      <c r="DC23" s="56" cm="1">
        <f t="array" ref="DC23">INDEX(DC26:DC34,$K$22)</f>
        <v>88.902700638551536</v>
      </c>
      <c r="DD23" s="56" cm="1">
        <f t="array" ref="DD23">INDEX(DD26:DD34,$K$22)</f>
        <v>62.849926989907267</v>
      </c>
      <c r="DE23" s="56" cm="1">
        <f t="array" ref="DE23">INDEX(DE26:DE34,$K$22)</f>
        <v>49.212767828626077</v>
      </c>
      <c r="DF23" s="56" cm="1">
        <f t="array" ref="DF23">INDEX(DF26:DF34,$K$22)</f>
        <v>80.982708817458189</v>
      </c>
      <c r="DG23" s="56" cm="1">
        <f t="array" ref="DG23">INDEX(DG26:DG34,$K$22)</f>
        <v>89.298874189450103</v>
      </c>
      <c r="DH23" s="56" cm="1">
        <f t="array" ref="DH23">INDEX(DH26:DH34,$K$22)</f>
        <v>76.603988342597205</v>
      </c>
      <c r="DI23" s="56" cm="1">
        <f t="array" ref="DI23">INDEX(DI26:DI34,$K$22)</f>
        <v>57.812882273773923</v>
      </c>
      <c r="DJ23" s="56" cm="1">
        <f t="array" ref="DJ23">INDEX(DJ26:DJ34,$K$22)</f>
        <v>54.369544692582792</v>
      </c>
      <c r="DK23" s="56" cm="1">
        <f t="array" ref="DK23">INDEX(DK26:DK34,$K$22)</f>
        <v>72.522673218778479</v>
      </c>
      <c r="DL23" s="56" cm="1">
        <f t="array" ref="DL23">INDEX(DL26:DL34,$K$22)</f>
        <v>91.387313025700252</v>
      </c>
      <c r="DM23" s="56" cm="1">
        <f t="array" ref="DM23">INDEX(DM26:DM34,$K$22)</f>
        <v>94.348079533400238</v>
      </c>
      <c r="DN23" s="56" cm="1">
        <f t="array" ref="DN23">INDEX(DN26:DN34,$K$22)</f>
        <v>75.328720466165421</v>
      </c>
      <c r="DO23" s="56" cm="1">
        <f t="array" ref="DO23">INDEX(DO26:DO34,$K$22)</f>
        <v>61.590533321066999</v>
      </c>
      <c r="DP23" s="56" cm="1">
        <f t="array" ref="DP23">INDEX(DP26:DP34,$K$22)</f>
        <v>99.642699508204885</v>
      </c>
      <c r="DQ23" s="56" cm="1">
        <f t="array" ref="DQ23">INDEX(DQ26:DQ34,$K$22)</f>
        <v>65.027677059475721</v>
      </c>
      <c r="DR23" s="56" cm="1">
        <f t="array" ref="DR23">INDEX(DR26:DR34,$K$22)</f>
        <v>37.907064978098383</v>
      </c>
      <c r="DS23" s="56" cm="1">
        <f t="array" ref="DS23">INDEX(DS26:DS34,$K$22)</f>
        <v>39.52550505359973</v>
      </c>
      <c r="DT23" s="56" cm="1">
        <f t="array" ref="DT23">INDEX(DT26:DT34,$K$22)</f>
        <v>82.183478902131696</v>
      </c>
      <c r="DU23" s="56" cm="1">
        <f t="array" ref="DU23">INDEX(DU26:DU34,$K$22)</f>
        <v>98.105067663453909</v>
      </c>
      <c r="DV23" s="56" cm="1">
        <f t="array" ref="DV23">INDEX(DV26:DV34,$K$22)</f>
        <v>44.849062725204902</v>
      </c>
      <c r="DW23" s="56" cm="1">
        <f t="array" ref="DW23">INDEX(DW26:DW34,$K$22)</f>
        <v>51.008419249077889</v>
      </c>
      <c r="DX23" s="56" cm="1">
        <f t="array" ref="DX23">INDEX(DX26:DX34,$K$22)</f>
        <v>52.524385225859561</v>
      </c>
      <c r="DY23" s="56" cm="1">
        <f t="array" ref="DY23">INDEX(DY26:DY34,$K$22)</f>
        <v>86.484672242886916</v>
      </c>
      <c r="DZ23" s="56" cm="1">
        <f t="array" ref="DZ23">INDEX(DZ26:DZ34,$K$22)</f>
        <v>76.226972303157353</v>
      </c>
      <c r="EA23" s="56" cm="1">
        <f t="array" ref="EA23">INDEX(EA26:EA34,$K$22)</f>
        <v>60.369898814227284</v>
      </c>
      <c r="EB23" s="56" cm="1">
        <f t="array" ref="EB23">INDEX(EB26:EB34,$K$22)</f>
        <v>79.338851229010928</v>
      </c>
      <c r="EC23" s="56" cm="1">
        <f t="array" ref="EC23">INDEX(EC26:EC34,$K$22)</f>
        <v>40.556773906078497</v>
      </c>
      <c r="ED23" s="56" cm="1">
        <f t="array" ref="ED23">INDEX(ED26:ED34,$K$22)</f>
        <v>40.006142358775932</v>
      </c>
      <c r="EE23" s="56" cm="1">
        <f t="array" ref="EE23">INDEX(EE26:EE34,$K$22)</f>
        <v>65.808272194008538</v>
      </c>
      <c r="EF23" s="56" cm="1">
        <f t="array" ref="EF23">INDEX(EF26:EF34,$K$22)</f>
        <v>44.55640083839446</v>
      </c>
      <c r="EG23" s="56" cm="1">
        <f t="array" ref="EG23">INDEX(EG26:EG34,$K$22)</f>
        <v>31.543556199112675</v>
      </c>
      <c r="EH23" s="56" cm="1">
        <f t="array" ref="EH23">INDEX(EH26:EH34,$K$22)</f>
        <v>42.772880096055545</v>
      </c>
      <c r="EI23" s="56" cm="1">
        <f t="array" ref="EI23">INDEX(EI26:EI34,$K$22)</f>
        <v>61.740802317523602</v>
      </c>
      <c r="EJ23" s="56" cm="1">
        <f t="array" ref="EJ23">INDEX(EJ26:EJ34,$K$22)</f>
        <v>32.474626899318103</v>
      </c>
      <c r="EK23" s="56" cm="1">
        <f t="array" ref="EK23">INDEX(EK26:EK34,$K$22)</f>
        <v>70.649436897410993</v>
      </c>
      <c r="EL23" s="56" cm="1">
        <f t="array" ref="EL23">INDEX(EL26:EL34,$K$22)</f>
        <v>61.142256956405369</v>
      </c>
      <c r="EM23" s="56" cm="1">
        <f t="array" ref="EM23">INDEX(EM26:EM34,$K$22)</f>
        <v>29.112544715088728</v>
      </c>
      <c r="EN23" s="56" cm="1">
        <f t="array" ref="EN23">INDEX(EN26:EN34,$K$22)</f>
        <v>28.792696967386384</v>
      </c>
      <c r="EO23" s="56" cm="1">
        <f t="array" ref="EO23">INDEX(EO26:EO34,$K$22)</f>
        <v>65.96141239711126</v>
      </c>
      <c r="EP23" s="56" cm="1">
        <f t="array" ref="EP23">INDEX(EP26:EP34,$K$22)</f>
        <v>46.213952739870919</v>
      </c>
      <c r="EQ23" s="56" cm="1">
        <f t="array" ref="EQ23">INDEX(EQ26:EQ34,$K$22)</f>
        <v>89.874837423367467</v>
      </c>
      <c r="ER23" s="56" cm="1">
        <f t="array" ref="ER23">INDEX(ER26:ER34,$K$22)</f>
        <v>92.000963773746079</v>
      </c>
      <c r="ES23" s="56" cm="1">
        <f t="array" ref="ES23">INDEX(ES26:ES34,$K$22)</f>
        <v>90.015898803127143</v>
      </c>
      <c r="ET23" s="56" cm="1">
        <f t="array" ref="ET23">INDEX(ET26:ET34,$K$22)</f>
        <v>99.865154814413998</v>
      </c>
      <c r="EU23" s="56" cm="1">
        <f t="array" ref="EU23">INDEX(EU26:EU34,$K$22)</f>
        <v>49.69390488121018</v>
      </c>
      <c r="EV23" s="56" cm="1">
        <f t="array" ref="EV23">INDEX(EV26:EV34,$K$22)</f>
        <v>68.017456510043047</v>
      </c>
      <c r="EW23" s="56" cm="1">
        <f t="array" ref="EW23">INDEX(EW26:EW34,$K$22)</f>
        <v>56.927484062984171</v>
      </c>
      <c r="EX23" s="56" cm="1">
        <f t="array" ref="EX23">INDEX(EX26:EX34,$K$22)</f>
        <v>94.067273841776995</v>
      </c>
      <c r="EY23" s="56" cm="1">
        <f t="array" ref="EY23">INDEX(EY26:EY34,$K$22)</f>
        <v>31.496048351617283</v>
      </c>
      <c r="EZ23" s="56" cm="1">
        <f t="array" ref="EZ23">INDEX(EZ26:EZ34,$K$22)</f>
        <v>32.35043477773997</v>
      </c>
      <c r="FA23" s="56" cm="1">
        <f t="array" ref="FA23">INDEX(FA26:FA34,$K$22)</f>
        <v>95.867610316471215</v>
      </c>
      <c r="FB23" s="56" cm="1">
        <f t="array" ref="FB23">INDEX(FB26:FB34,$K$22)</f>
        <v>88.147950012113824</v>
      </c>
      <c r="FC23" s="56" cm="1">
        <f t="array" ref="FC23">INDEX(FC26:FC34,$K$22)</f>
        <v>81.179839262682535</v>
      </c>
      <c r="FD23" s="56" cm="1">
        <f t="array" ref="FD23">INDEX(FD26:FD34,$K$22)</f>
        <v>50.827842525647185</v>
      </c>
      <c r="FE23" s="56" cm="1">
        <f t="array" ref="FE23">INDEX(FE26:FE34,$K$22)</f>
        <v>33.579833831094142</v>
      </c>
      <c r="FF23" s="56" cm="1">
        <f t="array" ref="FF23">INDEX(FF26:FF34,$K$22)</f>
        <v>40.799417696546477</v>
      </c>
      <c r="FG23" s="56" cm="1">
        <f t="array" ref="FG23">INDEX(FG26:FG34,$K$22)</f>
        <v>85.095068242254115</v>
      </c>
      <c r="FH23" s="56" cm="1">
        <f t="array" ref="FH23">INDEX(FH26:FH34,$K$22)</f>
        <v>88.757736974305871</v>
      </c>
      <c r="FI23" s="56" cm="1">
        <f t="array" ref="FI23">INDEX(FI26:FI34,$K$22)</f>
        <v>32.04016250337903</v>
      </c>
      <c r="FJ23" s="56" cm="1">
        <f t="array" ref="FJ23">INDEX(FJ26:FJ34,$K$22)</f>
        <v>71.762632024560645</v>
      </c>
      <c r="FK23" s="56" cm="1">
        <f t="array" ref="FK23">INDEX(FK26:FK34,$K$22)</f>
        <v>89.603477134830129</v>
      </c>
      <c r="FL23" s="56" cm="1">
        <f t="array" ref="FL23">INDEX(FL26:FL34,$K$22)</f>
        <v>60.765487897351719</v>
      </c>
      <c r="FM23" s="56" cm="1">
        <f t="array" ref="FM23">INDEX(FM26:FM34,$K$22)</f>
        <v>96.780579195978646</v>
      </c>
      <c r="FN23" s="56" cm="1">
        <f t="array" ref="FN23">INDEX(FN26:FN34,$K$22)</f>
        <v>67.445325060671678</v>
      </c>
      <c r="FO23" s="56" cm="1">
        <f t="array" ref="FO23">INDEX(FO26:FO34,$K$22)</f>
        <v>58.536752860013664</v>
      </c>
      <c r="FP23" s="56" cm="1">
        <f t="array" ref="FP23">INDEX(FP26:FP34,$K$22)</f>
        <v>85.726749028780048</v>
      </c>
      <c r="FQ23" s="56" cm="1">
        <f t="array" ref="FQ23">INDEX(FQ26:FQ34,$K$22)</f>
        <v>96.097587488425106</v>
      </c>
      <c r="FR23" s="56" cm="1">
        <f t="array" ref="FR23">INDEX(FR26:FR34,$K$22)</f>
        <v>67.76390923718337</v>
      </c>
      <c r="FS23" s="56" cm="1">
        <f t="array" ref="FS23">INDEX(FS26:FS34,$K$22)</f>
        <v>79.819096199029644</v>
      </c>
      <c r="FT23" s="56" cm="1">
        <f t="array" ref="FT23">INDEX(FT26:FT34,$K$22)</f>
        <v>69.329577711709661</v>
      </c>
      <c r="FU23" s="56" cm="1">
        <f t="array" ref="FU23">INDEX(FU26:FU34,$K$22)</f>
        <v>93.662717344819129</v>
      </c>
      <c r="FV23" s="56" cm="1">
        <f t="array" ref="FV23">INDEX(FV26:FV34,$K$22)</f>
        <v>86.445199524119715</v>
      </c>
      <c r="FW23" s="56" cm="1">
        <f t="array" ref="FW23">INDEX(FW26:FW34,$K$22)</f>
        <v>53.983094377472064</v>
      </c>
      <c r="FX23" s="56" cm="1">
        <f t="array" ref="FX23">INDEX(FX26:FX34,$K$22)</f>
        <v>82.90225906665718</v>
      </c>
      <c r="FY23" s="56" cm="1">
        <f t="array" ref="FY23">INDEX(FY26:FY34,$K$22)</f>
        <v>57.388667136153217</v>
      </c>
      <c r="FZ23" s="56" cm="1">
        <f t="array" ref="FZ23">INDEX(FZ26:FZ34,$K$22)</f>
        <v>40.461103558453331</v>
      </c>
      <c r="GA23" s="56" cm="1">
        <f t="array" ref="GA23">INDEX(GA26:GA34,$K$22)</f>
        <v>28.590955011116094</v>
      </c>
      <c r="GB23" s="56" cm="1">
        <f t="array" ref="GB23">INDEX(GB26:GB34,$K$22)</f>
        <v>26.189715483916558</v>
      </c>
      <c r="GC23" s="56" cm="1">
        <f t="array" ref="GC23">INDEX(GC26:GC34,$K$22)</f>
        <v>28.138762209348762</v>
      </c>
      <c r="GD23" s="56" cm="1">
        <f t="array" ref="GD23">INDEX(GD26:GD34,$K$22)</f>
        <v>86.566888397360003</v>
      </c>
      <c r="GE23" s="56" cm="1">
        <f t="array" ref="GE23">INDEX(GE26:GE34,$K$22)</f>
        <v>35.638775385133656</v>
      </c>
      <c r="GF23" s="56" cm="1">
        <f t="array" ref="GF23">INDEX(GF26:GF34,$K$22)</f>
        <v>69.607391359155372</v>
      </c>
      <c r="GG23" s="56" cm="1">
        <f t="array" ref="GG23">INDEX(GG26:GG34,$K$22)</f>
        <v>38.960086847640085</v>
      </c>
      <c r="GH23" s="56" cm="1">
        <f t="array" ref="GH23">INDEX(GH26:GH34,$K$22)</f>
        <v>51.331795408475664</v>
      </c>
      <c r="GI23" s="56" cm="1">
        <f t="array" ref="GI23">INDEX(GI26:GI34,$K$22)</f>
        <v>53.847540717189659</v>
      </c>
      <c r="GJ23" s="56" cm="1">
        <f t="array" ref="GJ23">INDEX(GJ26:GJ34,$K$22)</f>
        <v>39.837090005584216</v>
      </c>
      <c r="GK23" s="56" cm="1">
        <f t="array" ref="GK23">INDEX(GK26:GK34,$K$22)</f>
        <v>79.415025554396834</v>
      </c>
      <c r="GL23" s="56" cm="1">
        <f t="array" ref="GL23">INDEX(GL26:GL34,$K$22)</f>
        <v>99.702031734700938</v>
      </c>
      <c r="GM23" s="56" cm="1">
        <f t="array" ref="GM23">INDEX(GM26:GM34,$K$22)</f>
        <v>73.415377431863462</v>
      </c>
      <c r="GN23" s="56" cm="1">
        <f t="array" ref="GN23">INDEX(GN26:GN34,$K$22)</f>
        <v>82.760584095206781</v>
      </c>
      <c r="GO23" s="56" cm="1">
        <f t="array" ref="GO23">INDEX(GO26:GO34,$K$22)</f>
        <v>41.657847324758251</v>
      </c>
      <c r="GP23" s="56" cm="1">
        <f t="array" ref="GP23">INDEX(GP26:GP34,$K$22)</f>
        <v>51.877892691255042</v>
      </c>
      <c r="GQ23" s="56" cm="1">
        <f t="array" ref="GQ23">INDEX(GQ26:GQ34,$K$22)</f>
        <v>43.595591704887958</v>
      </c>
      <c r="GR23" s="56" cm="1">
        <f t="array" ref="GR23">INDEX(GR26:GR34,$K$22)</f>
        <v>51.101117948128838</v>
      </c>
      <c r="GS23" s="56" cm="1">
        <f t="array" ref="GS23">INDEX(GS26:GS34,$K$22)</f>
        <v>71.832678676842818</v>
      </c>
      <c r="GT23" s="56" cm="1">
        <f t="array" ref="GT23">INDEX(GT26:GT34,$K$22)</f>
        <v>45.956013037488368</v>
      </c>
      <c r="GU23" s="56" cm="1">
        <f t="array" ref="GU23">INDEX(GU26:GU34,$K$22)</f>
        <v>64.730870423152737</v>
      </c>
      <c r="GV23" s="56" cm="1">
        <f t="array" ref="GV23">INDEX(GV26:GV34,$K$22)</f>
        <v>34.100566398713561</v>
      </c>
      <c r="GW23" s="56" cm="1">
        <f t="array" ref="GW23">INDEX(GW26:GW34,$K$22)</f>
        <v>33.211781481145231</v>
      </c>
      <c r="GX23" s="56" cm="1">
        <f t="array" ref="GX23">INDEX(GX26:GX34,$K$22)</f>
        <v>46.349875038004782</v>
      </c>
      <c r="GY23" s="56" cm="1">
        <f t="array" ref="GY23">INDEX(GY26:GY34,$K$22)</f>
        <v>86.250660508532889</v>
      </c>
      <c r="GZ23" s="56" cm="1">
        <f t="array" ref="GZ23">INDEX(GZ26:GZ34,$K$22)</f>
        <v>26.7897227464147</v>
      </c>
      <c r="HA23" s="56" cm="1">
        <f t="array" ref="HA23">INDEX(HA26:HA34,$K$22)</f>
        <v>82.862562875683651</v>
      </c>
      <c r="HB23" s="56" cm="1">
        <f t="array" ref="HB23">INDEX(HB26:HB34,$K$22)</f>
        <v>87.700206435933097</v>
      </c>
      <c r="HC23" s="56" cm="1">
        <f t="array" ref="HC23">INDEX(HC26:HC34,$K$22)</f>
        <v>77.664680899188738</v>
      </c>
      <c r="HD23" s="56" cm="1">
        <f t="array" ref="HD23">INDEX(HD26:HD34,$K$22)</f>
        <v>91.142252642100743</v>
      </c>
      <c r="HE23" s="56" cm="1">
        <f t="array" ref="HE23">INDEX(HE26:HE34,$K$22)</f>
        <v>78.450715275786948</v>
      </c>
      <c r="HF23" s="56" cm="1">
        <f t="array" ref="HF23">INDEX(HF26:HF34,$K$22)</f>
        <v>39.559558769046774</v>
      </c>
      <c r="HG23" s="56" cm="1">
        <f t="array" ref="HG23">INDEX(HG26:HG34,$K$22)</f>
        <v>79.271385987264892</v>
      </c>
      <c r="HH23" s="56" cm="1">
        <f t="array" ref="HH23">INDEX(HH26:HH34,$K$22)</f>
        <v>35.40925565273924</v>
      </c>
      <c r="HI23" s="56" cm="1">
        <f t="array" ref="HI23">INDEX(HI26:HI34,$K$22)</f>
        <v>93.405415122313087</v>
      </c>
      <c r="HJ23" s="56" cm="1">
        <f t="array" ref="HJ23">INDEX(HJ26:HJ34,$K$22)</f>
        <v>85.334149794255609</v>
      </c>
      <c r="HK23" s="56" cm="1">
        <f t="array" ref="HK23">INDEX(HK26:HK34,$K$22)</f>
        <v>79.543603707195956</v>
      </c>
      <c r="HL23" s="56" cm="1">
        <f t="array" ref="HL23">INDEX(HL26:HL34,$K$22)</f>
        <v>79.848818908035128</v>
      </c>
      <c r="HM23" s="56" cm="1">
        <f t="array" ref="HM23">INDEX(HM26:HM34,$K$22)</f>
        <v>36.799472582848061</v>
      </c>
      <c r="HN23" s="56" cm="1">
        <f t="array" ref="HN23">INDEX(HN26:HN34,$K$22)</f>
        <v>86.05138712793682</v>
      </c>
      <c r="HO23" s="56" cm="1">
        <f t="array" ref="HO23">INDEX(HO26:HO34,$K$22)</f>
        <v>44.657522872171455</v>
      </c>
      <c r="HP23" s="56" cm="1">
        <f t="array" ref="HP23">INDEX(HP26:HP34,$K$22)</f>
        <v>29.685900926397014</v>
      </c>
      <c r="HQ23" s="56" cm="1">
        <f t="array" ref="HQ23">INDEX(HQ26:HQ34,$K$22)</f>
        <v>93.76031320838608</v>
      </c>
      <c r="HR23" s="56" cm="1">
        <f t="array" ref="HR23">INDEX(HR26:HR34,$K$22)</f>
        <v>35.073019166556037</v>
      </c>
      <c r="HS23" s="56" cm="1">
        <f t="array" ref="HS23">INDEX(HS26:HS34,$K$22)</f>
        <v>98.404983437180533</v>
      </c>
      <c r="HT23" s="56" cm="1">
        <f t="array" ref="HT23">INDEX(HT26:HT34,$K$22)</f>
        <v>93.192136942341875</v>
      </c>
      <c r="HU23" s="56" cm="1">
        <f t="array" ref="HU23">INDEX(HU26:HU34,$K$22)</f>
        <v>66.971034954324423</v>
      </c>
      <c r="HV23" s="56" cm="1">
        <f t="array" ref="HV23">INDEX(HV26:HV34,$K$22)</f>
        <v>95.059449446873117</v>
      </c>
      <c r="HW23" s="56" cm="1">
        <f t="array" ref="HW23">INDEX(HW26:HW34,$K$22)</f>
        <v>29.619094954860582</v>
      </c>
      <c r="HX23" s="56" cm="1">
        <f t="array" ref="HX23">INDEX(HX26:HX34,$K$22)</f>
        <v>35.250953470740299</v>
      </c>
      <c r="HY23" s="56" cm="1">
        <f t="array" ref="HY23">INDEX(HY26:HY34,$K$22)</f>
        <v>58.982213670954899</v>
      </c>
      <c r="HZ23" s="56" cm="1">
        <f t="array" ref="HZ23">INDEX(HZ26:HZ34,$K$22)</f>
        <v>43.363036838581714</v>
      </c>
      <c r="IA23" s="56" cm="1">
        <f t="array" ref="IA23">INDEX(IA26:IA34,$K$22)</f>
        <v>96.082356750721914</v>
      </c>
      <c r="IB23" s="56" cm="1">
        <f t="array" ref="IB23">INDEX(IB26:IB34,$K$22)</f>
        <v>56.714996158989251</v>
      </c>
      <c r="IC23" s="56" cm="1">
        <f t="array" ref="IC23">INDEX(IC26:IC34,$K$22)</f>
        <v>86.146773880180476</v>
      </c>
      <c r="ID23" s="56" cm="1">
        <f t="array" ref="ID23">INDEX(ID26:ID34,$K$22)</f>
        <v>48.200030682443575</v>
      </c>
      <c r="IE23" s="56" cm="1">
        <f t="array" ref="IE23">INDEX(IE26:IE34,$K$22)</f>
        <v>88.048430670163214</v>
      </c>
      <c r="IF23" s="56" cm="1">
        <f t="array" ref="IF23">INDEX(IF26:IF34,$K$22)</f>
        <v>72.480213459642329</v>
      </c>
      <c r="IG23" s="56" cm="1">
        <f t="array" ref="IG23">INDEX(IG26:IG34,$K$22)</f>
        <v>72.021685211885384</v>
      </c>
      <c r="IH23" s="56" cm="1">
        <f t="array" ref="IH23">INDEX(IH26:IH34,$K$22)</f>
        <v>44.927845265300249</v>
      </c>
      <c r="II23" s="56" cm="1">
        <f t="array" ref="II23">INDEX(II26:II34,$K$22)</f>
        <v>70.956877018677361</v>
      </c>
      <c r="IJ23" s="56" cm="1">
        <f t="array" ref="IJ23">INDEX(IJ26:IJ34,$K$22)</f>
        <v>75.235536479910508</v>
      </c>
      <c r="IK23" s="56" cm="1">
        <f t="array" ref="IK23">INDEX(IK26:IK34,$K$22)</f>
        <v>75.485499035385232</v>
      </c>
      <c r="IL23" s="56" cm="1">
        <f t="array" ref="IL23">INDEX(IL26:IL34,$K$22)</f>
        <v>91.928441168313796</v>
      </c>
      <c r="IM23" s="56" cm="1">
        <f t="array" ref="IM23">INDEX(IM26:IM34,$K$22)</f>
        <v>67.749735712531418</v>
      </c>
      <c r="IN23" s="56" cm="1">
        <f t="array" ref="IN23">INDEX(IN26:IN34,$K$22)</f>
        <v>50.856449735273024</v>
      </c>
      <c r="IO23" s="56" cm="1">
        <f t="array" ref="IO23">INDEX(IO26:IO34,$K$22)</f>
        <v>61.677234421392058</v>
      </c>
      <c r="IP23" s="56" cm="1">
        <f t="array" ref="IP23">INDEX(IP26:IP34,$K$22)</f>
        <v>51.723381719714787</v>
      </c>
      <c r="IQ23" s="56" cm="1">
        <f t="array" ref="IQ23">INDEX(IQ26:IQ34,$K$22)</f>
        <v>57.350982984953937</v>
      </c>
      <c r="IR23" s="56" cm="1">
        <f t="array" ref="IR23">INDEX(IR26:IR34,$K$22)</f>
        <v>39.236485333876274</v>
      </c>
      <c r="IS23" s="56" cm="1">
        <f t="array" ref="IS23">INDEX(IS26:IS34,$K$22)</f>
        <v>65.320542529483532</v>
      </c>
      <c r="IT23" s="56" cm="1">
        <f t="array" ref="IT23">INDEX(IT26:IT34,$K$22)</f>
        <v>99.626969441280551</v>
      </c>
      <c r="IU23" s="56" cm="1">
        <f t="array" ref="IU23">INDEX(IU26:IU34,$K$22)</f>
        <v>56.20332395282103</v>
      </c>
      <c r="IV23" s="56" cm="1">
        <f t="array" ref="IV23">INDEX(IV26:IV34,$K$22)</f>
        <v>86.197107417741975</v>
      </c>
      <c r="IW23" s="56" cm="1">
        <f t="array" ref="IW23">INDEX(IW26:IW34,$K$22)</f>
        <v>60.262538910637218</v>
      </c>
      <c r="IX23" s="56" cm="1">
        <f t="array" ref="IX23">INDEX(IX26:IX34,$K$22)</f>
        <v>62.805097409848834</v>
      </c>
      <c r="IY23" s="56" cm="1">
        <f t="array" ref="IY23">INDEX(IY26:IY34,$K$22)</f>
        <v>30.982834625206358</v>
      </c>
      <c r="IZ23" s="56" cm="1">
        <f t="array" ref="IZ23">INDEX(IZ26:IZ34,$K$22)</f>
        <v>85.040175552418333</v>
      </c>
      <c r="JA23" s="56" cm="1">
        <f t="array" ref="JA23">INDEX(JA26:JA34,$K$22)</f>
        <v>46.002323530366148</v>
      </c>
      <c r="JB23" s="56" cm="1">
        <f t="array" ref="JB23">INDEX(JB26:JB34,$K$22)</f>
        <v>46.681627715449267</v>
      </c>
      <c r="JC23" s="56" cm="1">
        <f t="array" ref="JC23">INDEX(JC26:JC34,$K$22)</f>
        <v>49.334345565546506</v>
      </c>
      <c r="JD23" s="56" cm="1">
        <f t="array" ref="JD23">INDEX(JD26:JD34,$K$22)</f>
        <v>99.420303636126889</v>
      </c>
      <c r="JE23" s="56" cm="1">
        <f t="array" ref="JE23">INDEX(JE26:JE34,$K$22)</f>
        <v>35.02194698927196</v>
      </c>
      <c r="JF23" s="56" cm="1">
        <f t="array" ref="JF23">INDEX(JF26:JF34,$K$22)</f>
        <v>87.747193279533093</v>
      </c>
      <c r="JG23" s="56" cm="1">
        <f t="array" ref="JG23">INDEX(JG26:JG34,$K$22)</f>
        <v>38.818884111676077</v>
      </c>
      <c r="JH23" s="56" cm="1">
        <f t="array" ref="JH23">INDEX(JH26:JH34,$K$22)</f>
        <v>33.721977795643419</v>
      </c>
      <c r="JI23" s="56" cm="1">
        <f t="array" ref="JI23">INDEX(JI26:JI34,$K$22)</f>
        <v>70.087282799034625</v>
      </c>
      <c r="JJ23" s="56" cm="1">
        <f t="array" ref="JJ23">INDEX(JJ26:JJ34,$K$22)</f>
        <v>93.704641031653296</v>
      </c>
      <c r="JK23" s="56" cm="1">
        <f t="array" ref="JK23">INDEX(JK26:JK34,$K$22)</f>
        <v>30.170417724868127</v>
      </c>
      <c r="JL23" s="56" cm="1">
        <f t="array" ref="JL23">INDEX(JL26:JL34,$K$22)</f>
        <v>68.092881144544435</v>
      </c>
      <c r="JM23" s="56" cm="1">
        <f t="array" ref="JM23">INDEX(JM26:JM34,$K$22)</f>
        <v>25.537814147074258</v>
      </c>
      <c r="JN23" s="56" cm="1">
        <f t="array" ref="JN23">INDEX(JN26:JN34,$K$22)</f>
        <v>55.841261083653684</v>
      </c>
      <c r="JO23" s="56" cm="1">
        <f t="array" ref="JO23">INDEX(JO26:JO34,$K$22)</f>
        <v>90.965022122085145</v>
      </c>
      <c r="JP23" s="56" cm="1">
        <f t="array" ref="JP23">INDEX(JP26:JP34,$K$22)</f>
        <v>37.17016946559535</v>
      </c>
      <c r="JQ23" s="56" cm="1">
        <f t="array" ref="JQ23">INDEX(JQ26:JQ34,$K$22)</f>
        <v>89.024832797795739</v>
      </c>
      <c r="JR23" s="56" cm="1">
        <f t="array" ref="JR23">INDEX(JR26:JR34,$K$22)</f>
        <v>87.380124291451949</v>
      </c>
      <c r="JS23" s="56" cm="1">
        <f t="array" ref="JS23">INDEX(JS26:JS34,$K$22)</f>
        <v>37.738202885853042</v>
      </c>
      <c r="JT23" s="56" cm="1">
        <f t="array" ref="JT23">INDEX(JT26:JT34,$K$22)</f>
        <v>88.817530809548842</v>
      </c>
      <c r="JU23" s="56" cm="1">
        <f t="array" ref="JU23">INDEX(JU26:JU34,$K$22)</f>
        <v>26.707503457429905</v>
      </c>
      <c r="JV23" s="56" cm="1">
        <f t="array" ref="JV23">INDEX(JV26:JV34,$K$22)</f>
        <v>88.610375802917957</v>
      </c>
      <c r="JW23" s="56" cm="1">
        <f t="array" ref="JW23">INDEX(JW26:JW34,$K$22)</f>
        <v>57.743226557866286</v>
      </c>
      <c r="JX23" s="56" cm="1">
        <f t="array" ref="JX23">INDEX(JX26:JX34,$K$22)</f>
        <v>33.042796317170854</v>
      </c>
      <c r="JY23" s="56" cm="1">
        <f t="array" ref="JY23">INDEX(JY26:JY34,$K$22)</f>
        <v>34.90157226088418</v>
      </c>
      <c r="JZ23" s="56" cm="1">
        <f t="array" ref="JZ23">INDEX(JZ26:JZ34,$K$22)</f>
        <v>92.783006699209565</v>
      </c>
      <c r="KA23" s="56" cm="1">
        <f t="array" ref="KA23">INDEX(KA26:KA34,$K$22)</f>
        <v>95.375748780382935</v>
      </c>
      <c r="KB23" s="56" cm="1">
        <f t="array" ref="KB23">INDEX(KB26:KB34,$K$22)</f>
        <v>52.786535276359594</v>
      </c>
      <c r="KC23" s="56" cm="1">
        <f t="array" ref="KC23">INDEX(KC26:KC34,$K$22)</f>
        <v>85.086544344092431</v>
      </c>
      <c r="KD23" s="56" cm="1">
        <f t="array" ref="KD23">INDEX(KD26:KD34,$K$22)</f>
        <v>66.380424071080398</v>
      </c>
      <c r="KE23" s="56" cm="1">
        <f t="array" ref="KE23">INDEX(KE26:KE34,$K$22)</f>
        <v>44.464775597657145</v>
      </c>
      <c r="KF23" s="56" cm="1">
        <f t="array" ref="KF23">INDEX(KF26:KF34,$K$22)</f>
        <v>53.663819127296343</v>
      </c>
    </row>
    <row r="24" spans="2:292" outlineLevel="1" x14ac:dyDescent="0.35">
      <c r="D24" s="20">
        <v>0</v>
      </c>
      <c r="E24" s="13" t="s">
        <v>164</v>
      </c>
      <c r="J24" s="55" t="s">
        <v>161</v>
      </c>
      <c r="K24" s="58">
        <f t="shared" ref="K24:BV24" si="40">INT(K23*(1+$D24))</f>
        <v>41</v>
      </c>
      <c r="L24" s="58">
        <f t="shared" si="40"/>
        <v>37</v>
      </c>
      <c r="M24" s="58">
        <f t="shared" si="40"/>
        <v>51</v>
      </c>
      <c r="N24" s="58">
        <f t="shared" si="40"/>
        <v>74</v>
      </c>
      <c r="O24" s="58">
        <f t="shared" si="40"/>
        <v>36</v>
      </c>
      <c r="P24" s="58">
        <f t="shared" si="40"/>
        <v>33</v>
      </c>
      <c r="Q24" s="58">
        <f t="shared" si="40"/>
        <v>43</v>
      </c>
      <c r="R24" s="58">
        <f t="shared" si="40"/>
        <v>48</v>
      </c>
      <c r="S24" s="58">
        <f t="shared" si="40"/>
        <v>82</v>
      </c>
      <c r="T24" s="58">
        <f t="shared" si="40"/>
        <v>85</v>
      </c>
      <c r="U24" s="58">
        <f t="shared" si="40"/>
        <v>71</v>
      </c>
      <c r="V24" s="58">
        <f t="shared" si="40"/>
        <v>58</v>
      </c>
      <c r="W24" s="58">
        <f t="shared" si="40"/>
        <v>25</v>
      </c>
      <c r="X24" s="58">
        <f t="shared" si="40"/>
        <v>79</v>
      </c>
      <c r="Y24" s="58">
        <f t="shared" si="40"/>
        <v>86</v>
      </c>
      <c r="Z24" s="58">
        <f t="shared" si="40"/>
        <v>84</v>
      </c>
      <c r="AA24" s="58">
        <f t="shared" si="40"/>
        <v>69</v>
      </c>
      <c r="AB24" s="58">
        <f t="shared" si="40"/>
        <v>46</v>
      </c>
      <c r="AC24" s="58">
        <f t="shared" si="40"/>
        <v>37</v>
      </c>
      <c r="AD24" s="58">
        <f t="shared" si="40"/>
        <v>64</v>
      </c>
      <c r="AE24" s="58">
        <f t="shared" si="40"/>
        <v>26</v>
      </c>
      <c r="AF24" s="58">
        <f t="shared" si="40"/>
        <v>65</v>
      </c>
      <c r="AG24" s="58">
        <f t="shared" si="40"/>
        <v>29</v>
      </c>
      <c r="AH24" s="58">
        <f t="shared" si="40"/>
        <v>62</v>
      </c>
      <c r="AI24" s="58">
        <f t="shared" si="40"/>
        <v>31</v>
      </c>
      <c r="AJ24" s="58">
        <f t="shared" si="40"/>
        <v>65</v>
      </c>
      <c r="AK24" s="58">
        <f t="shared" si="40"/>
        <v>63</v>
      </c>
      <c r="AL24" s="58">
        <f t="shared" si="40"/>
        <v>34</v>
      </c>
      <c r="AM24" s="58">
        <f t="shared" si="40"/>
        <v>37</v>
      </c>
      <c r="AN24" s="58">
        <f t="shared" si="40"/>
        <v>35</v>
      </c>
      <c r="AO24" s="58">
        <f t="shared" si="40"/>
        <v>26</v>
      </c>
      <c r="AP24" s="58">
        <f t="shared" si="40"/>
        <v>64</v>
      </c>
      <c r="AQ24" s="58">
        <f t="shared" si="40"/>
        <v>47</v>
      </c>
      <c r="AR24" s="58">
        <f t="shared" si="40"/>
        <v>52</v>
      </c>
      <c r="AS24" s="58">
        <f t="shared" si="40"/>
        <v>50</v>
      </c>
      <c r="AT24" s="58">
        <f t="shared" si="40"/>
        <v>68</v>
      </c>
      <c r="AU24" s="58">
        <f t="shared" si="40"/>
        <v>81</v>
      </c>
      <c r="AV24" s="58">
        <f t="shared" si="40"/>
        <v>59</v>
      </c>
      <c r="AW24" s="58">
        <f t="shared" si="40"/>
        <v>76</v>
      </c>
      <c r="AX24" s="58">
        <f t="shared" si="40"/>
        <v>64</v>
      </c>
      <c r="AY24" s="58">
        <f t="shared" si="40"/>
        <v>87</v>
      </c>
      <c r="AZ24" s="58">
        <f t="shared" si="40"/>
        <v>54</v>
      </c>
      <c r="BA24" s="58">
        <f t="shared" si="40"/>
        <v>26</v>
      </c>
      <c r="BB24" s="58">
        <f t="shared" si="40"/>
        <v>70</v>
      </c>
      <c r="BC24" s="58">
        <f t="shared" si="40"/>
        <v>94</v>
      </c>
      <c r="BD24" s="58">
        <f t="shared" si="40"/>
        <v>45</v>
      </c>
      <c r="BE24" s="58">
        <f t="shared" si="40"/>
        <v>61</v>
      </c>
      <c r="BF24" s="58">
        <f t="shared" si="40"/>
        <v>54</v>
      </c>
      <c r="BG24" s="58">
        <f t="shared" si="40"/>
        <v>76</v>
      </c>
      <c r="BH24" s="58">
        <f t="shared" si="40"/>
        <v>97</v>
      </c>
      <c r="BI24" s="58">
        <f t="shared" si="40"/>
        <v>68</v>
      </c>
      <c r="BJ24" s="58">
        <f t="shared" si="40"/>
        <v>38</v>
      </c>
      <c r="BK24" s="58">
        <f t="shared" si="40"/>
        <v>49</v>
      </c>
      <c r="BL24" s="58">
        <f t="shared" si="40"/>
        <v>56</v>
      </c>
      <c r="BM24" s="58">
        <f t="shared" si="40"/>
        <v>47</v>
      </c>
      <c r="BN24" s="58">
        <f t="shared" si="40"/>
        <v>63</v>
      </c>
      <c r="BO24" s="58">
        <f t="shared" si="40"/>
        <v>72</v>
      </c>
      <c r="BP24" s="58">
        <f t="shared" si="40"/>
        <v>36</v>
      </c>
      <c r="BQ24" s="58">
        <f t="shared" si="40"/>
        <v>35</v>
      </c>
      <c r="BR24" s="58">
        <f t="shared" si="40"/>
        <v>40</v>
      </c>
      <c r="BS24" s="58">
        <f t="shared" si="40"/>
        <v>42</v>
      </c>
      <c r="BT24" s="58">
        <f t="shared" si="40"/>
        <v>38</v>
      </c>
      <c r="BU24" s="58">
        <f t="shared" si="40"/>
        <v>46</v>
      </c>
      <c r="BV24" s="58">
        <f t="shared" si="40"/>
        <v>81</v>
      </c>
      <c r="BW24" s="58">
        <f t="shared" ref="BW24:EH24" si="41">INT(BW23*(1+$D24))</f>
        <v>62</v>
      </c>
      <c r="BX24" s="58">
        <f t="shared" si="41"/>
        <v>41</v>
      </c>
      <c r="BY24" s="58">
        <f t="shared" si="41"/>
        <v>49</v>
      </c>
      <c r="BZ24" s="58">
        <f t="shared" si="41"/>
        <v>40</v>
      </c>
      <c r="CA24" s="58">
        <f t="shared" si="41"/>
        <v>31</v>
      </c>
      <c r="CB24" s="58">
        <f t="shared" si="41"/>
        <v>31</v>
      </c>
      <c r="CC24" s="58">
        <f t="shared" si="41"/>
        <v>29</v>
      </c>
      <c r="CD24" s="58">
        <f t="shared" si="41"/>
        <v>64</v>
      </c>
      <c r="CE24" s="58">
        <f t="shared" si="41"/>
        <v>38</v>
      </c>
      <c r="CF24" s="58">
        <f t="shared" si="41"/>
        <v>53</v>
      </c>
      <c r="CG24" s="58">
        <f t="shared" si="41"/>
        <v>92</v>
      </c>
      <c r="CH24" s="58">
        <f t="shared" si="41"/>
        <v>63</v>
      </c>
      <c r="CI24" s="58">
        <f t="shared" si="41"/>
        <v>63</v>
      </c>
      <c r="CJ24" s="58">
        <f t="shared" si="41"/>
        <v>62</v>
      </c>
      <c r="CK24" s="58">
        <f t="shared" si="41"/>
        <v>71</v>
      </c>
      <c r="CL24" s="58">
        <f t="shared" si="41"/>
        <v>38</v>
      </c>
      <c r="CM24" s="58">
        <f t="shared" si="41"/>
        <v>76</v>
      </c>
      <c r="CN24" s="58">
        <f t="shared" si="41"/>
        <v>89</v>
      </c>
      <c r="CO24" s="58">
        <f t="shared" si="41"/>
        <v>99</v>
      </c>
      <c r="CP24" s="58">
        <f t="shared" si="41"/>
        <v>66</v>
      </c>
      <c r="CQ24" s="58">
        <f t="shared" si="41"/>
        <v>76</v>
      </c>
      <c r="CR24" s="58">
        <f t="shared" si="41"/>
        <v>89</v>
      </c>
      <c r="CS24" s="58">
        <f t="shared" si="41"/>
        <v>86</v>
      </c>
      <c r="CT24" s="58">
        <f t="shared" si="41"/>
        <v>30</v>
      </c>
      <c r="CU24" s="58">
        <f t="shared" si="41"/>
        <v>61</v>
      </c>
      <c r="CV24" s="58">
        <f t="shared" si="41"/>
        <v>38</v>
      </c>
      <c r="CW24" s="58">
        <f t="shared" si="41"/>
        <v>76</v>
      </c>
      <c r="CX24" s="58">
        <f t="shared" si="41"/>
        <v>41</v>
      </c>
      <c r="CY24" s="58">
        <f t="shared" si="41"/>
        <v>25</v>
      </c>
      <c r="CZ24" s="58">
        <f t="shared" si="41"/>
        <v>86</v>
      </c>
      <c r="DA24" s="58">
        <f t="shared" si="41"/>
        <v>25</v>
      </c>
      <c r="DB24" s="58">
        <f t="shared" si="41"/>
        <v>82</v>
      </c>
      <c r="DC24" s="58">
        <f t="shared" si="41"/>
        <v>88</v>
      </c>
      <c r="DD24" s="58">
        <f t="shared" si="41"/>
        <v>62</v>
      </c>
      <c r="DE24" s="58">
        <f t="shared" si="41"/>
        <v>49</v>
      </c>
      <c r="DF24" s="58">
        <f t="shared" si="41"/>
        <v>80</v>
      </c>
      <c r="DG24" s="58">
        <f t="shared" si="41"/>
        <v>89</v>
      </c>
      <c r="DH24" s="58">
        <f t="shared" si="41"/>
        <v>76</v>
      </c>
      <c r="DI24" s="58">
        <f t="shared" si="41"/>
        <v>57</v>
      </c>
      <c r="DJ24" s="58">
        <f t="shared" si="41"/>
        <v>54</v>
      </c>
      <c r="DK24" s="58">
        <f t="shared" si="41"/>
        <v>72</v>
      </c>
      <c r="DL24" s="58">
        <f t="shared" si="41"/>
        <v>91</v>
      </c>
      <c r="DM24" s="58">
        <f t="shared" si="41"/>
        <v>94</v>
      </c>
      <c r="DN24" s="58">
        <f t="shared" si="41"/>
        <v>75</v>
      </c>
      <c r="DO24" s="58">
        <f t="shared" si="41"/>
        <v>61</v>
      </c>
      <c r="DP24" s="58">
        <f t="shared" si="41"/>
        <v>99</v>
      </c>
      <c r="DQ24" s="58">
        <f t="shared" si="41"/>
        <v>65</v>
      </c>
      <c r="DR24" s="58">
        <f t="shared" si="41"/>
        <v>37</v>
      </c>
      <c r="DS24" s="58">
        <f t="shared" si="41"/>
        <v>39</v>
      </c>
      <c r="DT24" s="58">
        <f t="shared" si="41"/>
        <v>82</v>
      </c>
      <c r="DU24" s="58">
        <f t="shared" si="41"/>
        <v>98</v>
      </c>
      <c r="DV24" s="58">
        <f t="shared" si="41"/>
        <v>44</v>
      </c>
      <c r="DW24" s="58">
        <f t="shared" si="41"/>
        <v>51</v>
      </c>
      <c r="DX24" s="58">
        <f t="shared" si="41"/>
        <v>52</v>
      </c>
      <c r="DY24" s="58">
        <f t="shared" si="41"/>
        <v>86</v>
      </c>
      <c r="DZ24" s="58">
        <f t="shared" si="41"/>
        <v>76</v>
      </c>
      <c r="EA24" s="58">
        <f t="shared" si="41"/>
        <v>60</v>
      </c>
      <c r="EB24" s="58">
        <f t="shared" si="41"/>
        <v>79</v>
      </c>
      <c r="EC24" s="58">
        <f t="shared" si="41"/>
        <v>40</v>
      </c>
      <c r="ED24" s="58">
        <f t="shared" si="41"/>
        <v>40</v>
      </c>
      <c r="EE24" s="58">
        <f t="shared" si="41"/>
        <v>65</v>
      </c>
      <c r="EF24" s="58">
        <f t="shared" si="41"/>
        <v>44</v>
      </c>
      <c r="EG24" s="58">
        <f t="shared" si="41"/>
        <v>31</v>
      </c>
      <c r="EH24" s="58">
        <f t="shared" si="41"/>
        <v>42</v>
      </c>
      <c r="EI24" s="58">
        <f t="shared" ref="EI24:GT24" si="42">INT(EI23*(1+$D24))</f>
        <v>61</v>
      </c>
      <c r="EJ24" s="58">
        <f t="shared" si="42"/>
        <v>32</v>
      </c>
      <c r="EK24" s="58">
        <f t="shared" si="42"/>
        <v>70</v>
      </c>
      <c r="EL24" s="58">
        <f t="shared" si="42"/>
        <v>61</v>
      </c>
      <c r="EM24" s="58">
        <f t="shared" si="42"/>
        <v>29</v>
      </c>
      <c r="EN24" s="58">
        <f t="shared" si="42"/>
        <v>28</v>
      </c>
      <c r="EO24" s="58">
        <f t="shared" si="42"/>
        <v>65</v>
      </c>
      <c r="EP24" s="58">
        <f t="shared" si="42"/>
        <v>46</v>
      </c>
      <c r="EQ24" s="58">
        <f t="shared" si="42"/>
        <v>89</v>
      </c>
      <c r="ER24" s="58">
        <f t="shared" si="42"/>
        <v>92</v>
      </c>
      <c r="ES24" s="58">
        <f t="shared" si="42"/>
        <v>90</v>
      </c>
      <c r="ET24" s="58">
        <f t="shared" si="42"/>
        <v>99</v>
      </c>
      <c r="EU24" s="58">
        <f t="shared" si="42"/>
        <v>49</v>
      </c>
      <c r="EV24" s="58">
        <f t="shared" si="42"/>
        <v>68</v>
      </c>
      <c r="EW24" s="58">
        <f t="shared" si="42"/>
        <v>56</v>
      </c>
      <c r="EX24" s="58">
        <f t="shared" si="42"/>
        <v>94</v>
      </c>
      <c r="EY24" s="58">
        <f t="shared" si="42"/>
        <v>31</v>
      </c>
      <c r="EZ24" s="58">
        <f t="shared" si="42"/>
        <v>32</v>
      </c>
      <c r="FA24" s="58">
        <f t="shared" si="42"/>
        <v>95</v>
      </c>
      <c r="FB24" s="58">
        <f t="shared" si="42"/>
        <v>88</v>
      </c>
      <c r="FC24" s="58">
        <f t="shared" si="42"/>
        <v>81</v>
      </c>
      <c r="FD24" s="58">
        <f t="shared" si="42"/>
        <v>50</v>
      </c>
      <c r="FE24" s="58">
        <f t="shared" si="42"/>
        <v>33</v>
      </c>
      <c r="FF24" s="58">
        <f t="shared" si="42"/>
        <v>40</v>
      </c>
      <c r="FG24" s="58">
        <f t="shared" si="42"/>
        <v>85</v>
      </c>
      <c r="FH24" s="58">
        <f t="shared" si="42"/>
        <v>88</v>
      </c>
      <c r="FI24" s="58">
        <f t="shared" si="42"/>
        <v>32</v>
      </c>
      <c r="FJ24" s="58">
        <f t="shared" si="42"/>
        <v>71</v>
      </c>
      <c r="FK24" s="58">
        <f t="shared" si="42"/>
        <v>89</v>
      </c>
      <c r="FL24" s="58">
        <f t="shared" si="42"/>
        <v>60</v>
      </c>
      <c r="FM24" s="58">
        <f t="shared" si="42"/>
        <v>96</v>
      </c>
      <c r="FN24" s="58">
        <f t="shared" si="42"/>
        <v>67</v>
      </c>
      <c r="FO24" s="58">
        <f t="shared" si="42"/>
        <v>58</v>
      </c>
      <c r="FP24" s="58">
        <f t="shared" si="42"/>
        <v>85</v>
      </c>
      <c r="FQ24" s="58">
        <f t="shared" si="42"/>
        <v>96</v>
      </c>
      <c r="FR24" s="58">
        <f t="shared" si="42"/>
        <v>67</v>
      </c>
      <c r="FS24" s="58">
        <f t="shared" si="42"/>
        <v>79</v>
      </c>
      <c r="FT24" s="58">
        <f t="shared" si="42"/>
        <v>69</v>
      </c>
      <c r="FU24" s="58">
        <f t="shared" si="42"/>
        <v>93</v>
      </c>
      <c r="FV24" s="58">
        <f t="shared" si="42"/>
        <v>86</v>
      </c>
      <c r="FW24" s="58">
        <f t="shared" si="42"/>
        <v>53</v>
      </c>
      <c r="FX24" s="58">
        <f t="shared" si="42"/>
        <v>82</v>
      </c>
      <c r="FY24" s="58">
        <f t="shared" si="42"/>
        <v>57</v>
      </c>
      <c r="FZ24" s="58">
        <f t="shared" si="42"/>
        <v>40</v>
      </c>
      <c r="GA24" s="58">
        <f t="shared" si="42"/>
        <v>28</v>
      </c>
      <c r="GB24" s="58">
        <f t="shared" si="42"/>
        <v>26</v>
      </c>
      <c r="GC24" s="58">
        <f t="shared" si="42"/>
        <v>28</v>
      </c>
      <c r="GD24" s="58">
        <f t="shared" si="42"/>
        <v>86</v>
      </c>
      <c r="GE24" s="58">
        <f t="shared" si="42"/>
        <v>35</v>
      </c>
      <c r="GF24" s="58">
        <f t="shared" si="42"/>
        <v>69</v>
      </c>
      <c r="GG24" s="58">
        <f t="shared" si="42"/>
        <v>38</v>
      </c>
      <c r="GH24" s="58">
        <f t="shared" si="42"/>
        <v>51</v>
      </c>
      <c r="GI24" s="58">
        <f t="shared" si="42"/>
        <v>53</v>
      </c>
      <c r="GJ24" s="58">
        <f t="shared" si="42"/>
        <v>39</v>
      </c>
      <c r="GK24" s="58">
        <f t="shared" si="42"/>
        <v>79</v>
      </c>
      <c r="GL24" s="58">
        <f t="shared" si="42"/>
        <v>99</v>
      </c>
      <c r="GM24" s="58">
        <f t="shared" si="42"/>
        <v>73</v>
      </c>
      <c r="GN24" s="58">
        <f t="shared" si="42"/>
        <v>82</v>
      </c>
      <c r="GO24" s="58">
        <f t="shared" si="42"/>
        <v>41</v>
      </c>
      <c r="GP24" s="58">
        <f t="shared" si="42"/>
        <v>51</v>
      </c>
      <c r="GQ24" s="58">
        <f t="shared" si="42"/>
        <v>43</v>
      </c>
      <c r="GR24" s="58">
        <f t="shared" si="42"/>
        <v>51</v>
      </c>
      <c r="GS24" s="58">
        <f t="shared" si="42"/>
        <v>71</v>
      </c>
      <c r="GT24" s="58">
        <f t="shared" si="42"/>
        <v>45</v>
      </c>
      <c r="GU24" s="58">
        <f t="shared" ref="GU24:JF24" si="43">INT(GU23*(1+$D24))</f>
        <v>64</v>
      </c>
      <c r="GV24" s="58">
        <f t="shared" si="43"/>
        <v>34</v>
      </c>
      <c r="GW24" s="58">
        <f t="shared" si="43"/>
        <v>33</v>
      </c>
      <c r="GX24" s="58">
        <f t="shared" si="43"/>
        <v>46</v>
      </c>
      <c r="GY24" s="58">
        <f t="shared" si="43"/>
        <v>86</v>
      </c>
      <c r="GZ24" s="58">
        <f t="shared" si="43"/>
        <v>26</v>
      </c>
      <c r="HA24" s="58">
        <f t="shared" si="43"/>
        <v>82</v>
      </c>
      <c r="HB24" s="58">
        <f t="shared" si="43"/>
        <v>87</v>
      </c>
      <c r="HC24" s="58">
        <f t="shared" si="43"/>
        <v>77</v>
      </c>
      <c r="HD24" s="58">
        <f t="shared" si="43"/>
        <v>91</v>
      </c>
      <c r="HE24" s="58">
        <f t="shared" si="43"/>
        <v>78</v>
      </c>
      <c r="HF24" s="58">
        <f t="shared" si="43"/>
        <v>39</v>
      </c>
      <c r="HG24" s="58">
        <f t="shared" si="43"/>
        <v>79</v>
      </c>
      <c r="HH24" s="58">
        <f t="shared" si="43"/>
        <v>35</v>
      </c>
      <c r="HI24" s="58">
        <f t="shared" si="43"/>
        <v>93</v>
      </c>
      <c r="HJ24" s="58">
        <f t="shared" si="43"/>
        <v>85</v>
      </c>
      <c r="HK24" s="58">
        <f t="shared" si="43"/>
        <v>79</v>
      </c>
      <c r="HL24" s="58">
        <f t="shared" si="43"/>
        <v>79</v>
      </c>
      <c r="HM24" s="58">
        <f t="shared" si="43"/>
        <v>36</v>
      </c>
      <c r="HN24" s="58">
        <f t="shared" si="43"/>
        <v>86</v>
      </c>
      <c r="HO24" s="58">
        <f t="shared" si="43"/>
        <v>44</v>
      </c>
      <c r="HP24" s="58">
        <f t="shared" si="43"/>
        <v>29</v>
      </c>
      <c r="HQ24" s="58">
        <f t="shared" si="43"/>
        <v>93</v>
      </c>
      <c r="HR24" s="58">
        <f t="shared" si="43"/>
        <v>35</v>
      </c>
      <c r="HS24" s="58">
        <f t="shared" si="43"/>
        <v>98</v>
      </c>
      <c r="HT24" s="58">
        <f t="shared" si="43"/>
        <v>93</v>
      </c>
      <c r="HU24" s="58">
        <f t="shared" si="43"/>
        <v>66</v>
      </c>
      <c r="HV24" s="58">
        <f t="shared" si="43"/>
        <v>95</v>
      </c>
      <c r="HW24" s="58">
        <f t="shared" si="43"/>
        <v>29</v>
      </c>
      <c r="HX24" s="58">
        <f t="shared" si="43"/>
        <v>35</v>
      </c>
      <c r="HY24" s="58">
        <f t="shared" si="43"/>
        <v>58</v>
      </c>
      <c r="HZ24" s="58">
        <f t="shared" si="43"/>
        <v>43</v>
      </c>
      <c r="IA24" s="58">
        <f t="shared" si="43"/>
        <v>96</v>
      </c>
      <c r="IB24" s="58">
        <f t="shared" si="43"/>
        <v>56</v>
      </c>
      <c r="IC24" s="58">
        <f t="shared" si="43"/>
        <v>86</v>
      </c>
      <c r="ID24" s="58">
        <f t="shared" si="43"/>
        <v>48</v>
      </c>
      <c r="IE24" s="58">
        <f t="shared" si="43"/>
        <v>88</v>
      </c>
      <c r="IF24" s="58">
        <f t="shared" si="43"/>
        <v>72</v>
      </c>
      <c r="IG24" s="58">
        <f t="shared" si="43"/>
        <v>72</v>
      </c>
      <c r="IH24" s="58">
        <f t="shared" si="43"/>
        <v>44</v>
      </c>
      <c r="II24" s="58">
        <f t="shared" si="43"/>
        <v>70</v>
      </c>
      <c r="IJ24" s="58">
        <f t="shared" si="43"/>
        <v>75</v>
      </c>
      <c r="IK24" s="58">
        <f t="shared" si="43"/>
        <v>75</v>
      </c>
      <c r="IL24" s="58">
        <f t="shared" si="43"/>
        <v>91</v>
      </c>
      <c r="IM24" s="58">
        <f t="shared" si="43"/>
        <v>67</v>
      </c>
      <c r="IN24" s="58">
        <f t="shared" si="43"/>
        <v>50</v>
      </c>
      <c r="IO24" s="58">
        <f t="shared" si="43"/>
        <v>61</v>
      </c>
      <c r="IP24" s="58">
        <f t="shared" si="43"/>
        <v>51</v>
      </c>
      <c r="IQ24" s="58">
        <f t="shared" si="43"/>
        <v>57</v>
      </c>
      <c r="IR24" s="58">
        <f t="shared" si="43"/>
        <v>39</v>
      </c>
      <c r="IS24" s="58">
        <f t="shared" si="43"/>
        <v>65</v>
      </c>
      <c r="IT24" s="58">
        <f t="shared" si="43"/>
        <v>99</v>
      </c>
      <c r="IU24" s="58">
        <f t="shared" si="43"/>
        <v>56</v>
      </c>
      <c r="IV24" s="58">
        <f t="shared" si="43"/>
        <v>86</v>
      </c>
      <c r="IW24" s="58">
        <f t="shared" si="43"/>
        <v>60</v>
      </c>
      <c r="IX24" s="58">
        <f t="shared" si="43"/>
        <v>62</v>
      </c>
      <c r="IY24" s="58">
        <f t="shared" si="43"/>
        <v>30</v>
      </c>
      <c r="IZ24" s="58">
        <f t="shared" si="43"/>
        <v>85</v>
      </c>
      <c r="JA24" s="58">
        <f t="shared" si="43"/>
        <v>46</v>
      </c>
      <c r="JB24" s="58">
        <f t="shared" si="43"/>
        <v>46</v>
      </c>
      <c r="JC24" s="58">
        <f t="shared" si="43"/>
        <v>49</v>
      </c>
      <c r="JD24" s="58">
        <f t="shared" si="43"/>
        <v>99</v>
      </c>
      <c r="JE24" s="58">
        <f t="shared" si="43"/>
        <v>35</v>
      </c>
      <c r="JF24" s="58">
        <f t="shared" si="43"/>
        <v>87</v>
      </c>
      <c r="JG24" s="58">
        <f t="shared" ref="JG24:KF24" si="44">INT(JG23*(1+$D24))</f>
        <v>38</v>
      </c>
      <c r="JH24" s="58">
        <f t="shared" si="44"/>
        <v>33</v>
      </c>
      <c r="JI24" s="58">
        <f t="shared" si="44"/>
        <v>70</v>
      </c>
      <c r="JJ24" s="58">
        <f t="shared" si="44"/>
        <v>93</v>
      </c>
      <c r="JK24" s="58">
        <f t="shared" si="44"/>
        <v>30</v>
      </c>
      <c r="JL24" s="58">
        <f t="shared" si="44"/>
        <v>68</v>
      </c>
      <c r="JM24" s="58">
        <f t="shared" si="44"/>
        <v>25</v>
      </c>
      <c r="JN24" s="58">
        <f t="shared" si="44"/>
        <v>55</v>
      </c>
      <c r="JO24" s="58">
        <f t="shared" si="44"/>
        <v>90</v>
      </c>
      <c r="JP24" s="58">
        <f t="shared" si="44"/>
        <v>37</v>
      </c>
      <c r="JQ24" s="58">
        <f t="shared" si="44"/>
        <v>89</v>
      </c>
      <c r="JR24" s="58">
        <f t="shared" si="44"/>
        <v>87</v>
      </c>
      <c r="JS24" s="58">
        <f t="shared" si="44"/>
        <v>37</v>
      </c>
      <c r="JT24" s="58">
        <f t="shared" si="44"/>
        <v>88</v>
      </c>
      <c r="JU24" s="58">
        <f t="shared" si="44"/>
        <v>26</v>
      </c>
      <c r="JV24" s="58">
        <f t="shared" si="44"/>
        <v>88</v>
      </c>
      <c r="JW24" s="58">
        <f t="shared" si="44"/>
        <v>57</v>
      </c>
      <c r="JX24" s="58">
        <f t="shared" si="44"/>
        <v>33</v>
      </c>
      <c r="JY24" s="58">
        <f t="shared" si="44"/>
        <v>34</v>
      </c>
      <c r="JZ24" s="58">
        <f t="shared" si="44"/>
        <v>92</v>
      </c>
      <c r="KA24" s="58">
        <f t="shared" si="44"/>
        <v>95</v>
      </c>
      <c r="KB24" s="58">
        <f t="shared" si="44"/>
        <v>52</v>
      </c>
      <c r="KC24" s="58">
        <f t="shared" si="44"/>
        <v>85</v>
      </c>
      <c r="KD24" s="58">
        <f t="shared" si="44"/>
        <v>66</v>
      </c>
      <c r="KE24" s="58">
        <f t="shared" si="44"/>
        <v>44</v>
      </c>
      <c r="KF24" s="58">
        <f t="shared" si="44"/>
        <v>53</v>
      </c>
    </row>
    <row r="25" spans="2:292" outlineLevel="1" x14ac:dyDescent="0.35"/>
    <row r="26" spans="2:292" outlineLevel="1" x14ac:dyDescent="0.35">
      <c r="D26" s="59"/>
      <c r="E26" s="13" t="s">
        <v>164</v>
      </c>
      <c r="J26" s="15" t="s">
        <v>31</v>
      </c>
      <c r="K26" s="14">
        <v>41.267534526977848</v>
      </c>
      <c r="L26" s="14">
        <v>37.692788150254827</v>
      </c>
      <c r="M26" s="14">
        <v>51.68471754049876</v>
      </c>
      <c r="N26" s="14">
        <v>74.186883902726919</v>
      </c>
      <c r="O26" s="14">
        <v>36.725640453622979</v>
      </c>
      <c r="P26" s="14">
        <v>33.919620643233102</v>
      </c>
      <c r="Q26" s="14">
        <v>43.157100820993989</v>
      </c>
      <c r="R26" s="14">
        <v>48.293766785987046</v>
      </c>
      <c r="S26" s="14">
        <v>82.842122407946533</v>
      </c>
      <c r="T26" s="14">
        <v>85.14149072688096</v>
      </c>
      <c r="U26" s="14">
        <v>71.974816357502746</v>
      </c>
      <c r="V26" s="14">
        <v>58.511832594541538</v>
      </c>
      <c r="W26" s="14">
        <v>25.54806242110914</v>
      </c>
      <c r="X26" s="14">
        <v>79.805799609355674</v>
      </c>
      <c r="Y26" s="14">
        <v>86.091435780688897</v>
      </c>
      <c r="Z26" s="14">
        <v>84.709526672991785</v>
      </c>
      <c r="AA26" s="14">
        <v>69.221061402981903</v>
      </c>
      <c r="AB26" s="14">
        <v>46.350017884270947</v>
      </c>
      <c r="AC26" s="14">
        <v>37.957815688717325</v>
      </c>
      <c r="AD26" s="14">
        <v>64.726348195166977</v>
      </c>
      <c r="AE26" s="14">
        <v>26.716842158788701</v>
      </c>
      <c r="AF26" s="14">
        <v>65.34931979942796</v>
      </c>
      <c r="AG26" s="14">
        <v>29.069378744409658</v>
      </c>
      <c r="AH26" s="14">
        <v>62.161902791647435</v>
      </c>
      <c r="AI26" s="14">
        <v>31.902973571604754</v>
      </c>
      <c r="AJ26" s="14">
        <v>65.734663037548458</v>
      </c>
      <c r="AK26" s="14">
        <v>63.315313244463766</v>
      </c>
      <c r="AL26" s="14">
        <v>34.021791209015618</v>
      </c>
      <c r="AM26" s="14">
        <v>37.781184862920568</v>
      </c>
      <c r="AN26" s="14">
        <v>35.933025533964511</v>
      </c>
      <c r="AO26" s="14">
        <v>26.220593415736182</v>
      </c>
      <c r="AP26" s="14">
        <v>64.310951998819874</v>
      </c>
      <c r="AQ26" s="14">
        <v>47.312349612641725</v>
      </c>
      <c r="AR26" s="14">
        <v>52.920734246513426</v>
      </c>
      <c r="AS26" s="14">
        <v>50.073916606901584</v>
      </c>
      <c r="AT26" s="14">
        <v>68.16187148488585</v>
      </c>
      <c r="AU26" s="14">
        <v>81.771783083279146</v>
      </c>
      <c r="AV26" s="14">
        <v>59.102269984908553</v>
      </c>
      <c r="AW26" s="14">
        <v>76.179940821801623</v>
      </c>
      <c r="AX26" s="14">
        <v>64.2694973826612</v>
      </c>
      <c r="AY26" s="14">
        <v>87.769885698732011</v>
      </c>
      <c r="AZ26" s="14">
        <v>54.459036730472086</v>
      </c>
      <c r="BA26" s="14">
        <v>26.065621473044065</v>
      </c>
      <c r="BB26" s="14">
        <v>70.319736827636078</v>
      </c>
      <c r="BC26" s="14">
        <v>94.036111485900904</v>
      </c>
      <c r="BD26" s="14">
        <v>45.475474362884164</v>
      </c>
      <c r="BE26" s="14">
        <v>61.246484042094217</v>
      </c>
      <c r="BF26" s="14">
        <v>54.716249870380075</v>
      </c>
      <c r="BG26" s="14">
        <v>76.004108659833648</v>
      </c>
      <c r="BH26" s="14">
        <v>97.036792805115567</v>
      </c>
      <c r="BI26" s="14">
        <v>68.863624185849133</v>
      </c>
      <c r="BJ26" s="14">
        <v>38.708615583658904</v>
      </c>
      <c r="BK26" s="14">
        <v>49.368029616049554</v>
      </c>
      <c r="BL26" s="14">
        <v>56.301250888842148</v>
      </c>
      <c r="BM26" s="14">
        <v>47.224234219433313</v>
      </c>
      <c r="BN26" s="14">
        <v>63.673199650586653</v>
      </c>
      <c r="BO26" s="14">
        <v>72.997662577474216</v>
      </c>
      <c r="BP26" s="14">
        <v>36.284059319583896</v>
      </c>
      <c r="BQ26" s="14">
        <v>35.060016502856449</v>
      </c>
      <c r="BR26" s="14">
        <v>40.5012911798282</v>
      </c>
      <c r="BS26" s="14">
        <v>42.775479636416847</v>
      </c>
      <c r="BT26" s="14">
        <v>38.981664743965773</v>
      </c>
      <c r="BU26" s="14">
        <v>46.281631507226237</v>
      </c>
      <c r="BV26" s="14">
        <v>81.927311054571177</v>
      </c>
      <c r="BW26" s="14">
        <v>62.651872800416427</v>
      </c>
      <c r="BX26" s="14">
        <v>41.494072073122766</v>
      </c>
      <c r="BY26" s="14">
        <v>49.205617857190624</v>
      </c>
      <c r="BZ26" s="14">
        <v>40.966012772767598</v>
      </c>
      <c r="CA26" s="14">
        <v>31.093626563377818</v>
      </c>
      <c r="CB26" s="14">
        <v>31.353246666376545</v>
      </c>
      <c r="CC26" s="14">
        <v>29.039339533814235</v>
      </c>
      <c r="CD26" s="14">
        <v>64.61592885187504</v>
      </c>
      <c r="CE26" s="14">
        <v>38.431090374031442</v>
      </c>
      <c r="CF26" s="14">
        <v>53.284931044446914</v>
      </c>
      <c r="CG26" s="14">
        <v>92.759735147791389</v>
      </c>
      <c r="CH26" s="14">
        <v>63.836567574091255</v>
      </c>
      <c r="CI26" s="14">
        <v>63.608658633629922</v>
      </c>
      <c r="CJ26" s="14">
        <v>62.564720143608824</v>
      </c>
      <c r="CK26" s="14">
        <v>71.34718872056564</v>
      </c>
      <c r="CL26" s="14">
        <v>38.873669046986372</v>
      </c>
      <c r="CM26" s="14">
        <v>76.797941029801791</v>
      </c>
      <c r="CN26" s="14">
        <v>89.903081421101248</v>
      </c>
      <c r="CO26" s="14">
        <v>99.399498956289563</v>
      </c>
      <c r="CP26" s="14">
        <v>66.666319390225027</v>
      </c>
      <c r="CQ26" s="14">
        <v>76.477055525302063</v>
      </c>
      <c r="CR26" s="14">
        <v>89.835528127870575</v>
      </c>
      <c r="CS26" s="14">
        <v>86.489738984588826</v>
      </c>
      <c r="CT26" s="14">
        <v>30.07480969392843</v>
      </c>
      <c r="CU26" s="14">
        <v>61.053672420725569</v>
      </c>
      <c r="CV26" s="14">
        <v>38.391809397129151</v>
      </c>
      <c r="CW26" s="14">
        <v>76.58420777346825</v>
      </c>
      <c r="CX26" s="14">
        <v>41.478213137426224</v>
      </c>
      <c r="CY26" s="14">
        <v>25.51908553784471</v>
      </c>
      <c r="CZ26" s="14">
        <v>86.352192670309734</v>
      </c>
      <c r="DA26" s="14">
        <v>25.814181076297508</v>
      </c>
      <c r="DB26" s="14">
        <v>82.770244030602314</v>
      </c>
      <c r="DC26" s="14">
        <v>88.902700638551536</v>
      </c>
      <c r="DD26" s="14">
        <v>62.849926989907267</v>
      </c>
      <c r="DE26" s="14">
        <v>49.212767828626077</v>
      </c>
      <c r="DF26" s="14">
        <v>80.982708817458189</v>
      </c>
      <c r="DG26" s="14">
        <v>89.298874189450103</v>
      </c>
      <c r="DH26" s="14">
        <v>76.603988342597205</v>
      </c>
      <c r="DI26" s="14">
        <v>57.812882273773923</v>
      </c>
      <c r="DJ26" s="14">
        <v>54.369544692582792</v>
      </c>
      <c r="DK26" s="14">
        <v>72.522673218778479</v>
      </c>
      <c r="DL26" s="14">
        <v>91.387313025700252</v>
      </c>
      <c r="DM26" s="14">
        <v>94.348079533400238</v>
      </c>
      <c r="DN26" s="14">
        <v>75.328720466165421</v>
      </c>
      <c r="DO26" s="14">
        <v>61.590533321066999</v>
      </c>
      <c r="DP26" s="14">
        <v>99.642699508204885</v>
      </c>
      <c r="DQ26" s="14">
        <v>65.027677059475721</v>
      </c>
      <c r="DR26" s="14">
        <v>37.907064978098383</v>
      </c>
      <c r="DS26" s="14">
        <v>39.52550505359973</v>
      </c>
      <c r="DT26" s="14">
        <v>82.183478902131696</v>
      </c>
      <c r="DU26" s="14">
        <v>98.105067663453909</v>
      </c>
      <c r="DV26" s="14">
        <v>44.849062725204902</v>
      </c>
      <c r="DW26" s="14">
        <v>51.008419249077889</v>
      </c>
      <c r="DX26" s="14">
        <v>52.524385225859561</v>
      </c>
      <c r="DY26" s="14">
        <v>86.484672242886916</v>
      </c>
      <c r="DZ26" s="14">
        <v>76.226972303157353</v>
      </c>
      <c r="EA26" s="14">
        <v>60.369898814227284</v>
      </c>
      <c r="EB26" s="14">
        <v>79.338851229010928</v>
      </c>
      <c r="EC26" s="14">
        <v>40.556773906078497</v>
      </c>
      <c r="ED26" s="14">
        <v>40.006142358775932</v>
      </c>
      <c r="EE26" s="14">
        <v>65.808272194008538</v>
      </c>
      <c r="EF26" s="14">
        <v>44.55640083839446</v>
      </c>
      <c r="EG26" s="14">
        <v>31.543556199112675</v>
      </c>
      <c r="EH26" s="14">
        <v>42.772880096055545</v>
      </c>
      <c r="EI26" s="14">
        <v>61.740802317523602</v>
      </c>
      <c r="EJ26" s="14">
        <v>32.474626899318103</v>
      </c>
      <c r="EK26" s="14">
        <v>70.649436897410993</v>
      </c>
      <c r="EL26" s="14">
        <v>61.142256956405369</v>
      </c>
      <c r="EM26" s="14">
        <v>29.112544715088728</v>
      </c>
      <c r="EN26" s="14">
        <v>28.792696967386384</v>
      </c>
      <c r="EO26" s="14">
        <v>65.96141239711126</v>
      </c>
      <c r="EP26" s="14">
        <v>46.213952739870919</v>
      </c>
      <c r="EQ26" s="14">
        <v>89.874837423367467</v>
      </c>
      <c r="ER26" s="14">
        <v>92.000963773746079</v>
      </c>
      <c r="ES26" s="14">
        <v>90.015898803127143</v>
      </c>
      <c r="ET26" s="14">
        <v>99.865154814413998</v>
      </c>
      <c r="EU26" s="14">
        <v>49.69390488121018</v>
      </c>
      <c r="EV26" s="14">
        <v>68.017456510043047</v>
      </c>
      <c r="EW26" s="14">
        <v>56.927484062984171</v>
      </c>
      <c r="EX26" s="14">
        <v>94.067273841776995</v>
      </c>
      <c r="EY26" s="14">
        <v>31.496048351617283</v>
      </c>
      <c r="EZ26" s="14">
        <v>32.35043477773997</v>
      </c>
      <c r="FA26" s="14">
        <v>95.867610316471215</v>
      </c>
      <c r="FB26" s="14">
        <v>88.147950012113824</v>
      </c>
      <c r="FC26" s="14">
        <v>81.179839262682535</v>
      </c>
      <c r="FD26" s="14">
        <v>50.827842525647185</v>
      </c>
      <c r="FE26" s="14">
        <v>33.579833831094142</v>
      </c>
      <c r="FF26" s="14">
        <v>40.799417696546477</v>
      </c>
      <c r="FG26" s="14">
        <v>85.095068242254115</v>
      </c>
      <c r="FH26" s="14">
        <v>88.757736974305871</v>
      </c>
      <c r="FI26" s="14">
        <v>32.04016250337903</v>
      </c>
      <c r="FJ26" s="14">
        <v>71.762632024560645</v>
      </c>
      <c r="FK26" s="14">
        <v>89.603477134830129</v>
      </c>
      <c r="FL26" s="14">
        <v>60.765487897351719</v>
      </c>
      <c r="FM26" s="14">
        <v>96.780579195978646</v>
      </c>
      <c r="FN26" s="14">
        <v>67.445325060671678</v>
      </c>
      <c r="FO26" s="14">
        <v>58.536752860013664</v>
      </c>
      <c r="FP26" s="14">
        <v>85.726749028780048</v>
      </c>
      <c r="FQ26" s="14">
        <v>96.097587488425106</v>
      </c>
      <c r="FR26" s="14">
        <v>67.76390923718337</v>
      </c>
      <c r="FS26" s="14">
        <v>79.819096199029644</v>
      </c>
      <c r="FT26" s="14">
        <v>69.329577711709661</v>
      </c>
      <c r="FU26" s="14">
        <v>93.662717344819129</v>
      </c>
      <c r="FV26" s="14">
        <v>86.445199524119715</v>
      </c>
      <c r="FW26" s="14">
        <v>53.983094377472064</v>
      </c>
      <c r="FX26" s="14">
        <v>82.90225906665718</v>
      </c>
      <c r="FY26" s="14">
        <v>57.388667136153217</v>
      </c>
      <c r="FZ26" s="14">
        <v>40.461103558453331</v>
      </c>
      <c r="GA26" s="14">
        <v>28.590955011116094</v>
      </c>
      <c r="GB26" s="14">
        <v>26.189715483916558</v>
      </c>
      <c r="GC26" s="14">
        <v>28.138762209348762</v>
      </c>
      <c r="GD26" s="14">
        <v>86.566888397360003</v>
      </c>
      <c r="GE26" s="14">
        <v>35.638775385133656</v>
      </c>
      <c r="GF26" s="14">
        <v>69.607391359155372</v>
      </c>
      <c r="GG26" s="14">
        <v>38.960086847640085</v>
      </c>
      <c r="GH26" s="14">
        <v>51.331795408475664</v>
      </c>
      <c r="GI26" s="14">
        <v>53.847540717189659</v>
      </c>
      <c r="GJ26" s="14">
        <v>39.837090005584216</v>
      </c>
      <c r="GK26" s="14">
        <v>79.415025554396834</v>
      </c>
      <c r="GL26" s="14">
        <v>99.702031734700938</v>
      </c>
      <c r="GM26" s="14">
        <v>73.415377431863462</v>
      </c>
      <c r="GN26" s="14">
        <v>82.760584095206781</v>
      </c>
      <c r="GO26" s="14">
        <v>41.657847324758251</v>
      </c>
      <c r="GP26" s="14">
        <v>51.877892691255042</v>
      </c>
      <c r="GQ26" s="14">
        <v>43.595591704887958</v>
      </c>
      <c r="GR26" s="14">
        <v>51.101117948128838</v>
      </c>
      <c r="GS26" s="14">
        <v>71.832678676842818</v>
      </c>
      <c r="GT26" s="14">
        <v>45.956013037488368</v>
      </c>
      <c r="GU26" s="14">
        <v>64.730870423152737</v>
      </c>
      <c r="GV26" s="14">
        <v>34.100566398713561</v>
      </c>
      <c r="GW26" s="14">
        <v>33.211781481145231</v>
      </c>
      <c r="GX26" s="14">
        <v>46.349875038004782</v>
      </c>
      <c r="GY26" s="14">
        <v>86.250660508532889</v>
      </c>
      <c r="GZ26" s="14">
        <v>26.7897227464147</v>
      </c>
      <c r="HA26" s="14">
        <v>82.862562875683651</v>
      </c>
      <c r="HB26" s="14">
        <v>87.700206435933097</v>
      </c>
      <c r="HC26" s="14">
        <v>77.664680899188738</v>
      </c>
      <c r="HD26" s="14">
        <v>91.142252642100743</v>
      </c>
      <c r="HE26" s="14">
        <v>78.450715275786948</v>
      </c>
      <c r="HF26" s="14">
        <v>39.559558769046774</v>
      </c>
      <c r="HG26" s="14">
        <v>79.271385987264892</v>
      </c>
      <c r="HH26" s="14">
        <v>35.40925565273924</v>
      </c>
      <c r="HI26" s="14">
        <v>93.405415122313087</v>
      </c>
      <c r="HJ26" s="14">
        <v>85.334149794255609</v>
      </c>
      <c r="HK26" s="14">
        <v>79.543603707195956</v>
      </c>
      <c r="HL26" s="14">
        <v>79.848818908035128</v>
      </c>
      <c r="HM26" s="14">
        <v>36.799472582848061</v>
      </c>
      <c r="HN26" s="14">
        <v>86.05138712793682</v>
      </c>
      <c r="HO26" s="14">
        <v>44.657522872171455</v>
      </c>
      <c r="HP26" s="14">
        <v>29.685900926397014</v>
      </c>
      <c r="HQ26" s="14">
        <v>93.76031320838608</v>
      </c>
      <c r="HR26" s="14">
        <v>35.073019166556037</v>
      </c>
      <c r="HS26" s="14">
        <v>98.404983437180533</v>
      </c>
      <c r="HT26" s="14">
        <v>93.192136942341875</v>
      </c>
      <c r="HU26" s="14">
        <v>66.971034954324423</v>
      </c>
      <c r="HV26" s="14">
        <v>95.059449446873117</v>
      </c>
      <c r="HW26" s="14">
        <v>29.619094954860582</v>
      </c>
      <c r="HX26" s="14">
        <v>35.250953470740299</v>
      </c>
      <c r="HY26" s="14">
        <v>58.982213670954899</v>
      </c>
      <c r="HZ26" s="14">
        <v>43.363036838581714</v>
      </c>
      <c r="IA26" s="14">
        <v>96.082356750721914</v>
      </c>
      <c r="IB26" s="14">
        <v>56.714996158989251</v>
      </c>
      <c r="IC26" s="14">
        <v>86.146773880180476</v>
      </c>
      <c r="ID26" s="14">
        <v>48.200030682443575</v>
      </c>
      <c r="IE26" s="14">
        <v>88.048430670163214</v>
      </c>
      <c r="IF26" s="14">
        <v>72.480213459642329</v>
      </c>
      <c r="IG26" s="14">
        <v>72.021685211885384</v>
      </c>
      <c r="IH26" s="14">
        <v>44.927845265300249</v>
      </c>
      <c r="II26" s="14">
        <v>70.956877018677361</v>
      </c>
      <c r="IJ26" s="14">
        <v>75.235536479910508</v>
      </c>
      <c r="IK26" s="14">
        <v>75.485499035385232</v>
      </c>
      <c r="IL26" s="14">
        <v>91.928441168313796</v>
      </c>
      <c r="IM26" s="14">
        <v>67.749735712531418</v>
      </c>
      <c r="IN26" s="14">
        <v>50.856449735273024</v>
      </c>
      <c r="IO26" s="14">
        <v>61.677234421392058</v>
      </c>
      <c r="IP26" s="14">
        <v>51.723381719714787</v>
      </c>
      <c r="IQ26" s="14">
        <v>57.350982984953937</v>
      </c>
      <c r="IR26" s="14">
        <v>39.236485333876274</v>
      </c>
      <c r="IS26" s="14">
        <v>65.320542529483532</v>
      </c>
      <c r="IT26" s="14">
        <v>99.626969441280551</v>
      </c>
      <c r="IU26" s="14">
        <v>56.20332395282103</v>
      </c>
      <c r="IV26" s="14">
        <v>86.197107417741975</v>
      </c>
      <c r="IW26" s="14">
        <v>60.262538910637218</v>
      </c>
      <c r="IX26" s="14">
        <v>62.805097409848834</v>
      </c>
      <c r="IY26" s="14">
        <v>30.982834625206358</v>
      </c>
      <c r="IZ26" s="14">
        <v>85.040175552418333</v>
      </c>
      <c r="JA26" s="14">
        <v>46.002323530366148</v>
      </c>
      <c r="JB26" s="14">
        <v>46.681627715449267</v>
      </c>
      <c r="JC26" s="14">
        <v>49.334345565546506</v>
      </c>
      <c r="JD26" s="14">
        <v>99.420303636126889</v>
      </c>
      <c r="JE26" s="14">
        <v>35.02194698927196</v>
      </c>
      <c r="JF26" s="14">
        <v>87.747193279533093</v>
      </c>
      <c r="JG26" s="14">
        <v>38.818884111676077</v>
      </c>
      <c r="JH26" s="14">
        <v>33.721977795643419</v>
      </c>
      <c r="JI26" s="14">
        <v>70.087282799034625</v>
      </c>
      <c r="JJ26" s="14">
        <v>93.704641031653296</v>
      </c>
      <c r="JK26" s="14">
        <v>30.170417724868127</v>
      </c>
      <c r="JL26" s="14">
        <v>68.092881144544435</v>
      </c>
      <c r="JM26" s="14">
        <v>25.537814147074258</v>
      </c>
      <c r="JN26" s="14">
        <v>55.841261083653684</v>
      </c>
      <c r="JO26" s="14">
        <v>90.965022122085145</v>
      </c>
      <c r="JP26" s="14">
        <v>37.17016946559535</v>
      </c>
      <c r="JQ26" s="14">
        <v>89.024832797795739</v>
      </c>
      <c r="JR26" s="14">
        <v>87.380124291451949</v>
      </c>
      <c r="JS26" s="14">
        <v>37.738202885853042</v>
      </c>
      <c r="JT26" s="14">
        <v>88.817530809548842</v>
      </c>
      <c r="JU26" s="14">
        <v>26.707503457429905</v>
      </c>
      <c r="JV26" s="14">
        <v>88.610375802917957</v>
      </c>
      <c r="JW26" s="14">
        <v>57.743226557866286</v>
      </c>
      <c r="JX26" s="14">
        <v>33.042796317170854</v>
      </c>
      <c r="JY26" s="14">
        <v>34.90157226088418</v>
      </c>
      <c r="JZ26" s="14">
        <v>92.783006699209565</v>
      </c>
      <c r="KA26" s="14">
        <v>95.375748780382935</v>
      </c>
      <c r="KB26" s="14">
        <v>52.786535276359594</v>
      </c>
      <c r="KC26" s="14">
        <v>85.086544344092431</v>
      </c>
      <c r="KD26" s="14">
        <v>66.380424071080398</v>
      </c>
      <c r="KE26" s="14">
        <v>44.464775597657145</v>
      </c>
      <c r="KF26" s="14">
        <v>53.663819127296343</v>
      </c>
    </row>
    <row r="27" spans="2:292" outlineLevel="1" x14ac:dyDescent="0.35">
      <c r="E27" s="13" t="s">
        <v>164</v>
      </c>
      <c r="J27" s="15" t="s">
        <v>32</v>
      </c>
      <c r="K27" s="14">
        <v>55</v>
      </c>
      <c r="L27" s="14">
        <v>55</v>
      </c>
      <c r="M27" s="14">
        <v>55</v>
      </c>
      <c r="N27" s="14">
        <v>55</v>
      </c>
      <c r="O27" s="14">
        <v>55</v>
      </c>
      <c r="P27" s="14">
        <v>55</v>
      </c>
      <c r="Q27" s="14">
        <v>55</v>
      </c>
      <c r="R27" s="14">
        <v>55</v>
      </c>
      <c r="S27" s="14">
        <v>55</v>
      </c>
      <c r="T27" s="14">
        <v>55</v>
      </c>
      <c r="U27" s="14">
        <v>55</v>
      </c>
      <c r="V27" s="14">
        <v>55</v>
      </c>
      <c r="W27" s="14">
        <v>55</v>
      </c>
      <c r="X27" s="14">
        <v>55</v>
      </c>
      <c r="Y27" s="14">
        <v>55</v>
      </c>
      <c r="Z27" s="14">
        <v>55</v>
      </c>
      <c r="AA27" s="14">
        <v>55</v>
      </c>
      <c r="AB27" s="14">
        <v>55</v>
      </c>
      <c r="AC27" s="14">
        <v>55</v>
      </c>
      <c r="AD27" s="14">
        <v>55</v>
      </c>
      <c r="AE27" s="14">
        <v>55</v>
      </c>
      <c r="AF27" s="14">
        <v>55</v>
      </c>
      <c r="AG27" s="14">
        <v>55</v>
      </c>
      <c r="AH27" s="14">
        <v>55</v>
      </c>
      <c r="AI27" s="14">
        <v>55</v>
      </c>
      <c r="AJ27" s="14">
        <v>55</v>
      </c>
      <c r="AK27" s="14">
        <v>55</v>
      </c>
      <c r="AL27" s="14">
        <v>55</v>
      </c>
      <c r="AM27" s="14">
        <v>55</v>
      </c>
      <c r="AN27" s="14">
        <v>55</v>
      </c>
      <c r="AO27" s="14">
        <v>55</v>
      </c>
      <c r="AP27" s="14">
        <v>55</v>
      </c>
      <c r="AQ27" s="14">
        <v>55</v>
      </c>
      <c r="AR27" s="14">
        <v>55</v>
      </c>
      <c r="AS27" s="14">
        <v>55</v>
      </c>
      <c r="AT27" s="14">
        <v>55</v>
      </c>
      <c r="AU27" s="14">
        <v>55</v>
      </c>
      <c r="AV27" s="14">
        <v>55</v>
      </c>
      <c r="AW27" s="14">
        <v>55</v>
      </c>
      <c r="AX27" s="14">
        <v>55</v>
      </c>
      <c r="AY27" s="14">
        <v>55</v>
      </c>
      <c r="AZ27" s="14">
        <v>55</v>
      </c>
      <c r="BA27" s="14">
        <v>55</v>
      </c>
      <c r="BB27" s="14">
        <v>55</v>
      </c>
      <c r="BC27" s="14">
        <v>55</v>
      </c>
      <c r="BD27" s="14">
        <v>55</v>
      </c>
      <c r="BE27" s="14">
        <v>55</v>
      </c>
      <c r="BF27" s="14">
        <v>55</v>
      </c>
      <c r="BG27" s="14">
        <v>55</v>
      </c>
      <c r="BH27" s="14">
        <v>55</v>
      </c>
      <c r="BI27" s="14">
        <v>55</v>
      </c>
      <c r="BJ27" s="14">
        <v>55</v>
      </c>
      <c r="BK27" s="14">
        <v>55</v>
      </c>
      <c r="BL27" s="14">
        <v>55</v>
      </c>
      <c r="BM27" s="14">
        <v>55</v>
      </c>
      <c r="BN27" s="14">
        <v>55</v>
      </c>
      <c r="BO27" s="14">
        <v>55</v>
      </c>
      <c r="BP27" s="14">
        <v>55</v>
      </c>
      <c r="BQ27" s="14">
        <v>55</v>
      </c>
      <c r="BR27" s="14">
        <v>55</v>
      </c>
      <c r="BS27" s="14">
        <v>55</v>
      </c>
      <c r="BT27" s="14">
        <v>55</v>
      </c>
      <c r="BU27" s="14">
        <v>55</v>
      </c>
      <c r="BV27" s="14">
        <v>55</v>
      </c>
      <c r="BW27" s="14">
        <v>55</v>
      </c>
      <c r="BX27" s="14">
        <v>55</v>
      </c>
      <c r="BY27" s="14">
        <v>55</v>
      </c>
      <c r="BZ27" s="14">
        <v>55</v>
      </c>
      <c r="CA27" s="14">
        <v>55</v>
      </c>
      <c r="CB27" s="14">
        <v>55</v>
      </c>
      <c r="CC27" s="14">
        <v>55</v>
      </c>
      <c r="CD27" s="14">
        <v>55</v>
      </c>
      <c r="CE27" s="14">
        <v>55</v>
      </c>
      <c r="CF27" s="14">
        <v>55</v>
      </c>
      <c r="CG27" s="14">
        <v>55</v>
      </c>
      <c r="CH27" s="14">
        <v>55</v>
      </c>
      <c r="CI27" s="14">
        <v>55</v>
      </c>
      <c r="CJ27" s="14">
        <v>55</v>
      </c>
      <c r="CK27" s="14">
        <v>55</v>
      </c>
      <c r="CL27" s="14">
        <v>55</v>
      </c>
      <c r="CM27" s="14">
        <v>55</v>
      </c>
      <c r="CN27" s="14">
        <v>55</v>
      </c>
      <c r="CO27" s="14">
        <v>55</v>
      </c>
      <c r="CP27" s="14">
        <v>55</v>
      </c>
      <c r="CQ27" s="14">
        <v>55</v>
      </c>
      <c r="CR27" s="14">
        <v>55</v>
      </c>
      <c r="CS27" s="14">
        <v>55</v>
      </c>
      <c r="CT27" s="14">
        <v>55</v>
      </c>
      <c r="CU27" s="14">
        <v>55</v>
      </c>
      <c r="CV27" s="14">
        <v>55</v>
      </c>
      <c r="CW27" s="14">
        <v>55</v>
      </c>
      <c r="CX27" s="14">
        <v>55</v>
      </c>
      <c r="CY27" s="14">
        <v>55</v>
      </c>
      <c r="CZ27" s="14">
        <v>55</v>
      </c>
      <c r="DA27" s="14">
        <v>55</v>
      </c>
      <c r="DB27" s="14">
        <v>55</v>
      </c>
      <c r="DC27" s="14">
        <v>55</v>
      </c>
      <c r="DD27" s="14">
        <v>55</v>
      </c>
      <c r="DE27" s="14">
        <v>55</v>
      </c>
      <c r="DF27" s="14">
        <v>55</v>
      </c>
      <c r="DG27" s="14">
        <v>55</v>
      </c>
      <c r="DH27" s="14">
        <v>55</v>
      </c>
      <c r="DI27" s="14">
        <v>55</v>
      </c>
      <c r="DJ27" s="14">
        <v>55</v>
      </c>
      <c r="DK27" s="14">
        <v>55</v>
      </c>
      <c r="DL27" s="14">
        <v>55</v>
      </c>
      <c r="DM27" s="14">
        <v>55</v>
      </c>
      <c r="DN27" s="14">
        <v>55</v>
      </c>
      <c r="DO27" s="14">
        <v>55</v>
      </c>
      <c r="DP27" s="14">
        <v>55</v>
      </c>
      <c r="DQ27" s="14">
        <v>55</v>
      </c>
      <c r="DR27" s="14">
        <v>55</v>
      </c>
      <c r="DS27" s="14">
        <v>55</v>
      </c>
      <c r="DT27" s="14">
        <v>55</v>
      </c>
      <c r="DU27" s="14">
        <v>55</v>
      </c>
      <c r="DV27" s="14">
        <v>55</v>
      </c>
      <c r="DW27" s="14">
        <v>55</v>
      </c>
      <c r="DX27" s="14">
        <v>55</v>
      </c>
      <c r="DY27" s="14">
        <v>55</v>
      </c>
      <c r="DZ27" s="14">
        <v>55</v>
      </c>
      <c r="EA27" s="14">
        <v>55</v>
      </c>
      <c r="EB27" s="14">
        <v>55</v>
      </c>
      <c r="EC27" s="14">
        <v>55</v>
      </c>
      <c r="ED27" s="14">
        <v>55</v>
      </c>
      <c r="EE27" s="14">
        <v>55</v>
      </c>
      <c r="EF27" s="14">
        <v>55</v>
      </c>
      <c r="EG27" s="14">
        <v>55</v>
      </c>
      <c r="EH27" s="14">
        <v>55</v>
      </c>
      <c r="EI27" s="14">
        <v>55</v>
      </c>
      <c r="EJ27" s="14">
        <v>55</v>
      </c>
      <c r="EK27" s="14">
        <v>55</v>
      </c>
      <c r="EL27" s="14">
        <v>55</v>
      </c>
      <c r="EM27" s="14">
        <v>55</v>
      </c>
      <c r="EN27" s="14">
        <v>55</v>
      </c>
      <c r="EO27" s="14">
        <v>55</v>
      </c>
      <c r="EP27" s="14">
        <v>55</v>
      </c>
      <c r="EQ27" s="14">
        <v>55</v>
      </c>
      <c r="ER27" s="14">
        <v>55</v>
      </c>
      <c r="ES27" s="14">
        <v>55</v>
      </c>
      <c r="ET27" s="14">
        <v>55</v>
      </c>
      <c r="EU27" s="14">
        <v>55</v>
      </c>
      <c r="EV27" s="14">
        <v>55</v>
      </c>
      <c r="EW27" s="14">
        <v>55</v>
      </c>
      <c r="EX27" s="14">
        <v>55</v>
      </c>
      <c r="EY27" s="14">
        <v>55</v>
      </c>
      <c r="EZ27" s="14">
        <v>55</v>
      </c>
      <c r="FA27" s="14">
        <v>55</v>
      </c>
      <c r="FB27" s="14">
        <v>55</v>
      </c>
      <c r="FC27" s="14">
        <v>55</v>
      </c>
      <c r="FD27" s="14">
        <v>55</v>
      </c>
      <c r="FE27" s="14">
        <v>55</v>
      </c>
      <c r="FF27" s="14">
        <v>55</v>
      </c>
      <c r="FG27" s="14">
        <v>55</v>
      </c>
      <c r="FH27" s="14">
        <v>55</v>
      </c>
      <c r="FI27" s="14">
        <v>55</v>
      </c>
      <c r="FJ27" s="14">
        <v>55</v>
      </c>
      <c r="FK27" s="14">
        <v>55</v>
      </c>
      <c r="FL27" s="14">
        <v>55</v>
      </c>
      <c r="FM27" s="14">
        <v>55</v>
      </c>
      <c r="FN27" s="14">
        <v>55</v>
      </c>
      <c r="FO27" s="14">
        <v>55</v>
      </c>
      <c r="FP27" s="14">
        <v>55</v>
      </c>
      <c r="FQ27" s="14">
        <v>55</v>
      </c>
      <c r="FR27" s="14">
        <v>55</v>
      </c>
      <c r="FS27" s="14">
        <v>55</v>
      </c>
      <c r="FT27" s="14">
        <v>55</v>
      </c>
      <c r="FU27" s="14">
        <v>55</v>
      </c>
      <c r="FV27" s="14">
        <v>55</v>
      </c>
      <c r="FW27" s="14">
        <v>55</v>
      </c>
      <c r="FX27" s="14">
        <v>55</v>
      </c>
      <c r="FY27" s="14">
        <v>55</v>
      </c>
      <c r="FZ27" s="14">
        <v>55</v>
      </c>
      <c r="GA27" s="14">
        <v>55</v>
      </c>
      <c r="GB27" s="14">
        <v>55</v>
      </c>
      <c r="GC27" s="14">
        <v>55</v>
      </c>
      <c r="GD27" s="14">
        <v>55</v>
      </c>
      <c r="GE27" s="14">
        <v>55</v>
      </c>
      <c r="GF27" s="14">
        <v>55</v>
      </c>
      <c r="GG27" s="14">
        <v>55</v>
      </c>
      <c r="GH27" s="14">
        <v>55</v>
      </c>
      <c r="GI27" s="14">
        <v>55</v>
      </c>
      <c r="GJ27" s="14">
        <v>55</v>
      </c>
      <c r="GK27" s="14">
        <v>55</v>
      </c>
      <c r="GL27" s="14">
        <v>55</v>
      </c>
      <c r="GM27" s="14">
        <v>55</v>
      </c>
      <c r="GN27" s="14">
        <v>55</v>
      </c>
      <c r="GO27" s="14">
        <v>55</v>
      </c>
      <c r="GP27" s="14">
        <v>55</v>
      </c>
      <c r="GQ27" s="14">
        <v>55</v>
      </c>
      <c r="GR27" s="14">
        <v>55</v>
      </c>
      <c r="GS27" s="14">
        <v>55</v>
      </c>
      <c r="GT27" s="14">
        <v>55</v>
      </c>
      <c r="GU27" s="14">
        <v>55</v>
      </c>
      <c r="GV27" s="14">
        <v>55</v>
      </c>
      <c r="GW27" s="14">
        <v>55</v>
      </c>
      <c r="GX27" s="14">
        <v>55</v>
      </c>
      <c r="GY27" s="14">
        <v>55</v>
      </c>
      <c r="GZ27" s="14">
        <v>55</v>
      </c>
      <c r="HA27" s="14">
        <v>55</v>
      </c>
      <c r="HB27" s="14">
        <v>55</v>
      </c>
      <c r="HC27" s="14">
        <v>55</v>
      </c>
      <c r="HD27" s="14">
        <v>55</v>
      </c>
      <c r="HE27" s="14">
        <v>55</v>
      </c>
      <c r="HF27" s="14">
        <v>55</v>
      </c>
      <c r="HG27" s="14">
        <v>55</v>
      </c>
      <c r="HH27" s="14">
        <v>55</v>
      </c>
      <c r="HI27" s="14">
        <v>55</v>
      </c>
      <c r="HJ27" s="14">
        <v>55</v>
      </c>
      <c r="HK27" s="14">
        <v>55</v>
      </c>
      <c r="HL27" s="14">
        <v>55</v>
      </c>
      <c r="HM27" s="14">
        <v>55</v>
      </c>
      <c r="HN27" s="14">
        <v>55</v>
      </c>
      <c r="HO27" s="14">
        <v>55</v>
      </c>
      <c r="HP27" s="14">
        <v>55</v>
      </c>
      <c r="HQ27" s="14">
        <v>55</v>
      </c>
      <c r="HR27" s="14">
        <v>55</v>
      </c>
      <c r="HS27" s="14">
        <v>55</v>
      </c>
      <c r="HT27" s="14">
        <v>55</v>
      </c>
      <c r="HU27" s="14">
        <v>55</v>
      </c>
      <c r="HV27" s="14">
        <v>55</v>
      </c>
      <c r="HW27" s="14">
        <v>55</v>
      </c>
      <c r="HX27" s="14">
        <v>55</v>
      </c>
      <c r="HY27" s="14">
        <v>55</v>
      </c>
      <c r="HZ27" s="14">
        <v>55</v>
      </c>
      <c r="IA27" s="14">
        <v>55</v>
      </c>
      <c r="IB27" s="14">
        <v>55</v>
      </c>
      <c r="IC27" s="14">
        <v>55</v>
      </c>
      <c r="ID27" s="14">
        <v>55</v>
      </c>
      <c r="IE27" s="14">
        <v>55</v>
      </c>
      <c r="IF27" s="14">
        <v>55</v>
      </c>
      <c r="IG27" s="14">
        <v>55</v>
      </c>
      <c r="IH27" s="14">
        <v>55</v>
      </c>
      <c r="II27" s="14">
        <v>55</v>
      </c>
      <c r="IJ27" s="14">
        <v>55</v>
      </c>
      <c r="IK27" s="14">
        <v>55</v>
      </c>
      <c r="IL27" s="14">
        <v>55</v>
      </c>
      <c r="IM27" s="14">
        <v>55</v>
      </c>
      <c r="IN27" s="14">
        <v>55</v>
      </c>
      <c r="IO27" s="14">
        <v>55</v>
      </c>
      <c r="IP27" s="14">
        <v>55</v>
      </c>
      <c r="IQ27" s="14">
        <v>55</v>
      </c>
      <c r="IR27" s="14">
        <v>55</v>
      </c>
      <c r="IS27" s="14">
        <v>55</v>
      </c>
      <c r="IT27" s="14">
        <v>55</v>
      </c>
      <c r="IU27" s="14">
        <v>55</v>
      </c>
      <c r="IV27" s="14">
        <v>55</v>
      </c>
      <c r="IW27" s="14">
        <v>55</v>
      </c>
      <c r="IX27" s="14">
        <v>55</v>
      </c>
      <c r="IY27" s="14">
        <v>55</v>
      </c>
      <c r="IZ27" s="14">
        <v>55</v>
      </c>
      <c r="JA27" s="14">
        <v>55</v>
      </c>
      <c r="JB27" s="14">
        <v>55</v>
      </c>
      <c r="JC27" s="14">
        <v>55</v>
      </c>
      <c r="JD27" s="14">
        <v>55</v>
      </c>
      <c r="JE27" s="14">
        <v>55</v>
      </c>
      <c r="JF27" s="14">
        <v>55</v>
      </c>
      <c r="JG27" s="14">
        <v>55</v>
      </c>
      <c r="JH27" s="14">
        <v>55</v>
      </c>
      <c r="JI27" s="14">
        <v>55</v>
      </c>
      <c r="JJ27" s="14">
        <v>55</v>
      </c>
      <c r="JK27" s="14">
        <v>55</v>
      </c>
      <c r="JL27" s="14">
        <v>55</v>
      </c>
      <c r="JM27" s="14">
        <v>55</v>
      </c>
      <c r="JN27" s="14">
        <v>55</v>
      </c>
      <c r="JO27" s="14">
        <v>55</v>
      </c>
      <c r="JP27" s="14">
        <v>55</v>
      </c>
      <c r="JQ27" s="14">
        <v>55</v>
      </c>
      <c r="JR27" s="14">
        <v>55</v>
      </c>
      <c r="JS27" s="14">
        <v>55</v>
      </c>
      <c r="JT27" s="14">
        <v>55</v>
      </c>
      <c r="JU27" s="14">
        <v>55</v>
      </c>
      <c r="JV27" s="14">
        <v>55</v>
      </c>
      <c r="JW27" s="14">
        <v>55</v>
      </c>
      <c r="JX27" s="14">
        <v>55</v>
      </c>
      <c r="JY27" s="14">
        <v>55</v>
      </c>
      <c r="JZ27" s="14">
        <v>55</v>
      </c>
      <c r="KA27" s="14">
        <v>55</v>
      </c>
      <c r="KB27" s="14">
        <v>55</v>
      </c>
      <c r="KC27" s="14">
        <v>55</v>
      </c>
      <c r="KD27" s="14">
        <v>55</v>
      </c>
      <c r="KE27" s="14">
        <v>55</v>
      </c>
      <c r="KF27" s="14">
        <v>55</v>
      </c>
    </row>
    <row r="28" spans="2:292" outlineLevel="1" x14ac:dyDescent="0.35">
      <c r="E28" s="13" t="s">
        <v>164</v>
      </c>
      <c r="J28" s="15" t="s">
        <v>33</v>
      </c>
      <c r="K28" s="14">
        <v>40</v>
      </c>
      <c r="L28" s="14">
        <v>40</v>
      </c>
      <c r="M28" s="14">
        <v>40</v>
      </c>
      <c r="N28" s="14">
        <v>40</v>
      </c>
      <c r="O28" s="14">
        <v>40</v>
      </c>
      <c r="P28" s="14">
        <v>40</v>
      </c>
      <c r="Q28" s="14">
        <v>40</v>
      </c>
      <c r="R28" s="14">
        <v>40</v>
      </c>
      <c r="S28" s="14">
        <v>40</v>
      </c>
      <c r="T28" s="14">
        <v>40</v>
      </c>
      <c r="U28" s="14">
        <v>40</v>
      </c>
      <c r="V28" s="14">
        <v>40</v>
      </c>
      <c r="W28" s="14">
        <v>40</v>
      </c>
      <c r="X28" s="14">
        <v>40</v>
      </c>
      <c r="Y28" s="14">
        <v>40</v>
      </c>
      <c r="Z28" s="14">
        <v>40</v>
      </c>
      <c r="AA28" s="14">
        <v>40</v>
      </c>
      <c r="AB28" s="14">
        <v>40</v>
      </c>
      <c r="AC28" s="14">
        <v>40</v>
      </c>
      <c r="AD28" s="14">
        <v>40</v>
      </c>
      <c r="AE28" s="14">
        <v>40</v>
      </c>
      <c r="AF28" s="14">
        <v>40</v>
      </c>
      <c r="AG28" s="14">
        <v>40</v>
      </c>
      <c r="AH28" s="14">
        <v>40</v>
      </c>
      <c r="AI28" s="14">
        <v>40</v>
      </c>
      <c r="AJ28" s="14">
        <v>40</v>
      </c>
      <c r="AK28" s="14">
        <v>40</v>
      </c>
      <c r="AL28" s="14">
        <v>40</v>
      </c>
      <c r="AM28" s="14">
        <v>40</v>
      </c>
      <c r="AN28" s="14">
        <v>40</v>
      </c>
      <c r="AO28" s="14">
        <v>40</v>
      </c>
      <c r="AP28" s="14">
        <v>40</v>
      </c>
      <c r="AQ28" s="14">
        <v>40</v>
      </c>
      <c r="AR28" s="14">
        <v>40</v>
      </c>
      <c r="AS28" s="14">
        <v>40</v>
      </c>
      <c r="AT28" s="14">
        <v>40</v>
      </c>
      <c r="AU28" s="14">
        <v>40</v>
      </c>
      <c r="AV28" s="14">
        <v>40</v>
      </c>
      <c r="AW28" s="14">
        <v>40</v>
      </c>
      <c r="AX28" s="14">
        <v>40</v>
      </c>
      <c r="AY28" s="14">
        <v>40</v>
      </c>
      <c r="AZ28" s="14">
        <v>40</v>
      </c>
      <c r="BA28" s="14">
        <v>40</v>
      </c>
      <c r="BB28" s="14">
        <v>40</v>
      </c>
      <c r="BC28" s="14">
        <v>40</v>
      </c>
      <c r="BD28" s="14">
        <v>40</v>
      </c>
      <c r="BE28" s="14">
        <v>40</v>
      </c>
      <c r="BF28" s="14">
        <v>40</v>
      </c>
      <c r="BG28" s="14">
        <v>40</v>
      </c>
      <c r="BH28" s="14">
        <v>40</v>
      </c>
      <c r="BI28" s="14">
        <v>40</v>
      </c>
      <c r="BJ28" s="14">
        <v>40</v>
      </c>
      <c r="BK28" s="14">
        <v>40</v>
      </c>
      <c r="BL28" s="14">
        <v>40</v>
      </c>
      <c r="BM28" s="14">
        <v>40</v>
      </c>
      <c r="BN28" s="14">
        <v>40</v>
      </c>
      <c r="BO28" s="14">
        <v>40</v>
      </c>
      <c r="BP28" s="14">
        <v>40</v>
      </c>
      <c r="BQ28" s="14">
        <v>40</v>
      </c>
      <c r="BR28" s="14">
        <v>40</v>
      </c>
      <c r="BS28" s="14">
        <v>40</v>
      </c>
      <c r="BT28" s="14">
        <v>40</v>
      </c>
      <c r="BU28" s="14">
        <v>40</v>
      </c>
      <c r="BV28" s="14">
        <v>40</v>
      </c>
      <c r="BW28" s="14">
        <v>40</v>
      </c>
      <c r="BX28" s="14">
        <v>40</v>
      </c>
      <c r="BY28" s="14">
        <v>40</v>
      </c>
      <c r="BZ28" s="14">
        <v>40</v>
      </c>
      <c r="CA28" s="14">
        <v>40</v>
      </c>
      <c r="CB28" s="14">
        <v>40</v>
      </c>
      <c r="CC28" s="14">
        <v>40</v>
      </c>
      <c r="CD28" s="14">
        <v>40</v>
      </c>
      <c r="CE28" s="14">
        <v>40</v>
      </c>
      <c r="CF28" s="14">
        <v>40</v>
      </c>
      <c r="CG28" s="14">
        <v>40</v>
      </c>
      <c r="CH28" s="14">
        <v>40</v>
      </c>
      <c r="CI28" s="14">
        <v>40</v>
      </c>
      <c r="CJ28" s="14">
        <v>40</v>
      </c>
      <c r="CK28" s="14">
        <v>40</v>
      </c>
      <c r="CL28" s="14">
        <v>40</v>
      </c>
      <c r="CM28" s="14">
        <v>40</v>
      </c>
      <c r="CN28" s="14">
        <v>40</v>
      </c>
      <c r="CO28" s="14">
        <v>40</v>
      </c>
      <c r="CP28" s="14">
        <v>40</v>
      </c>
      <c r="CQ28" s="14">
        <v>40</v>
      </c>
      <c r="CR28" s="14">
        <v>40</v>
      </c>
      <c r="CS28" s="14">
        <v>40</v>
      </c>
      <c r="CT28" s="14">
        <v>40</v>
      </c>
      <c r="CU28" s="14">
        <v>40</v>
      </c>
      <c r="CV28" s="14">
        <v>40</v>
      </c>
      <c r="CW28" s="14">
        <v>40</v>
      </c>
      <c r="CX28" s="14">
        <v>40</v>
      </c>
      <c r="CY28" s="14">
        <v>40</v>
      </c>
      <c r="CZ28" s="14">
        <v>40</v>
      </c>
      <c r="DA28" s="14">
        <v>40</v>
      </c>
      <c r="DB28" s="14">
        <v>40</v>
      </c>
      <c r="DC28" s="14">
        <v>40</v>
      </c>
      <c r="DD28" s="14">
        <v>40</v>
      </c>
      <c r="DE28" s="14">
        <v>40</v>
      </c>
      <c r="DF28" s="14">
        <v>40</v>
      </c>
      <c r="DG28" s="14">
        <v>40</v>
      </c>
      <c r="DH28" s="14">
        <v>40</v>
      </c>
      <c r="DI28" s="14">
        <v>40</v>
      </c>
      <c r="DJ28" s="14">
        <v>40</v>
      </c>
      <c r="DK28" s="14">
        <v>40</v>
      </c>
      <c r="DL28" s="14">
        <v>40</v>
      </c>
      <c r="DM28" s="14">
        <v>40</v>
      </c>
      <c r="DN28" s="14">
        <v>40</v>
      </c>
      <c r="DO28" s="14">
        <v>40</v>
      </c>
      <c r="DP28" s="14">
        <v>40</v>
      </c>
      <c r="DQ28" s="14">
        <v>40</v>
      </c>
      <c r="DR28" s="14">
        <v>40</v>
      </c>
      <c r="DS28" s="14">
        <v>40</v>
      </c>
      <c r="DT28" s="14">
        <v>40</v>
      </c>
      <c r="DU28" s="14">
        <v>40</v>
      </c>
      <c r="DV28" s="14">
        <v>40</v>
      </c>
      <c r="DW28" s="14">
        <v>40</v>
      </c>
      <c r="DX28" s="14">
        <v>40</v>
      </c>
      <c r="DY28" s="14">
        <v>40</v>
      </c>
      <c r="DZ28" s="14">
        <v>40</v>
      </c>
      <c r="EA28" s="14">
        <v>40</v>
      </c>
      <c r="EB28" s="14">
        <v>40</v>
      </c>
      <c r="EC28" s="14">
        <v>40</v>
      </c>
      <c r="ED28" s="14">
        <v>40</v>
      </c>
      <c r="EE28" s="14">
        <v>40</v>
      </c>
      <c r="EF28" s="14">
        <v>40</v>
      </c>
      <c r="EG28" s="14">
        <v>40</v>
      </c>
      <c r="EH28" s="14">
        <v>40</v>
      </c>
      <c r="EI28" s="14">
        <v>40</v>
      </c>
      <c r="EJ28" s="14">
        <v>40</v>
      </c>
      <c r="EK28" s="14">
        <v>40</v>
      </c>
      <c r="EL28" s="14">
        <v>40</v>
      </c>
      <c r="EM28" s="14">
        <v>40</v>
      </c>
      <c r="EN28" s="14">
        <v>40</v>
      </c>
      <c r="EO28" s="14">
        <v>40</v>
      </c>
      <c r="EP28" s="14">
        <v>40</v>
      </c>
      <c r="EQ28" s="14">
        <v>40</v>
      </c>
      <c r="ER28" s="14">
        <v>40</v>
      </c>
      <c r="ES28" s="14">
        <v>40</v>
      </c>
      <c r="ET28" s="14">
        <v>40</v>
      </c>
      <c r="EU28" s="14">
        <v>40</v>
      </c>
      <c r="EV28" s="14">
        <v>40</v>
      </c>
      <c r="EW28" s="14">
        <v>40</v>
      </c>
      <c r="EX28" s="14">
        <v>40</v>
      </c>
      <c r="EY28" s="14">
        <v>40</v>
      </c>
      <c r="EZ28" s="14">
        <v>40</v>
      </c>
      <c r="FA28" s="14">
        <v>40</v>
      </c>
      <c r="FB28" s="14">
        <v>40</v>
      </c>
      <c r="FC28" s="14">
        <v>40</v>
      </c>
      <c r="FD28" s="14">
        <v>40</v>
      </c>
      <c r="FE28" s="14">
        <v>40</v>
      </c>
      <c r="FF28" s="14">
        <v>40</v>
      </c>
      <c r="FG28" s="14">
        <v>40</v>
      </c>
      <c r="FH28" s="14">
        <v>40</v>
      </c>
      <c r="FI28" s="14">
        <v>40</v>
      </c>
      <c r="FJ28" s="14">
        <v>40</v>
      </c>
      <c r="FK28" s="14">
        <v>40</v>
      </c>
      <c r="FL28" s="14">
        <v>40</v>
      </c>
      <c r="FM28" s="14">
        <v>40</v>
      </c>
      <c r="FN28" s="14">
        <v>40</v>
      </c>
      <c r="FO28" s="14">
        <v>40</v>
      </c>
      <c r="FP28" s="14">
        <v>40</v>
      </c>
      <c r="FQ28" s="14">
        <v>40</v>
      </c>
      <c r="FR28" s="14">
        <v>40</v>
      </c>
      <c r="FS28" s="14">
        <v>40</v>
      </c>
      <c r="FT28" s="14">
        <v>40</v>
      </c>
      <c r="FU28" s="14">
        <v>40</v>
      </c>
      <c r="FV28" s="14">
        <v>40</v>
      </c>
      <c r="FW28" s="14">
        <v>40</v>
      </c>
      <c r="FX28" s="14">
        <v>40</v>
      </c>
      <c r="FY28" s="14">
        <v>40</v>
      </c>
      <c r="FZ28" s="14">
        <v>40</v>
      </c>
      <c r="GA28" s="14">
        <v>40</v>
      </c>
      <c r="GB28" s="14">
        <v>40</v>
      </c>
      <c r="GC28" s="14">
        <v>40</v>
      </c>
      <c r="GD28" s="14">
        <v>40</v>
      </c>
      <c r="GE28" s="14">
        <v>40</v>
      </c>
      <c r="GF28" s="14">
        <v>40</v>
      </c>
      <c r="GG28" s="14">
        <v>40</v>
      </c>
      <c r="GH28" s="14">
        <v>40</v>
      </c>
      <c r="GI28" s="14">
        <v>40</v>
      </c>
      <c r="GJ28" s="14">
        <v>40</v>
      </c>
      <c r="GK28" s="14">
        <v>40</v>
      </c>
      <c r="GL28" s="14">
        <v>40</v>
      </c>
      <c r="GM28" s="14">
        <v>40</v>
      </c>
      <c r="GN28" s="14">
        <v>40</v>
      </c>
      <c r="GO28" s="14">
        <v>40</v>
      </c>
      <c r="GP28" s="14">
        <v>40</v>
      </c>
      <c r="GQ28" s="14">
        <v>40</v>
      </c>
      <c r="GR28" s="14">
        <v>40</v>
      </c>
      <c r="GS28" s="14">
        <v>40</v>
      </c>
      <c r="GT28" s="14">
        <v>40</v>
      </c>
      <c r="GU28" s="14">
        <v>40</v>
      </c>
      <c r="GV28" s="14">
        <v>40</v>
      </c>
      <c r="GW28" s="14">
        <v>40</v>
      </c>
      <c r="GX28" s="14">
        <v>40</v>
      </c>
      <c r="GY28" s="14">
        <v>40</v>
      </c>
      <c r="GZ28" s="14">
        <v>40</v>
      </c>
      <c r="HA28" s="14">
        <v>40</v>
      </c>
      <c r="HB28" s="14">
        <v>40</v>
      </c>
      <c r="HC28" s="14">
        <v>40</v>
      </c>
      <c r="HD28" s="14">
        <v>40</v>
      </c>
      <c r="HE28" s="14">
        <v>40</v>
      </c>
      <c r="HF28" s="14">
        <v>40</v>
      </c>
      <c r="HG28" s="14">
        <v>40</v>
      </c>
      <c r="HH28" s="14">
        <v>40</v>
      </c>
      <c r="HI28" s="14">
        <v>40</v>
      </c>
      <c r="HJ28" s="14">
        <v>40</v>
      </c>
      <c r="HK28" s="14">
        <v>40</v>
      </c>
      <c r="HL28" s="14">
        <v>40</v>
      </c>
      <c r="HM28" s="14">
        <v>40</v>
      </c>
      <c r="HN28" s="14">
        <v>40</v>
      </c>
      <c r="HO28" s="14">
        <v>40</v>
      </c>
      <c r="HP28" s="14">
        <v>40</v>
      </c>
      <c r="HQ28" s="14">
        <v>40</v>
      </c>
      <c r="HR28" s="14">
        <v>40</v>
      </c>
      <c r="HS28" s="14">
        <v>40</v>
      </c>
      <c r="HT28" s="14">
        <v>40</v>
      </c>
      <c r="HU28" s="14">
        <v>40</v>
      </c>
      <c r="HV28" s="14">
        <v>40</v>
      </c>
      <c r="HW28" s="14">
        <v>40</v>
      </c>
      <c r="HX28" s="14">
        <v>40</v>
      </c>
      <c r="HY28" s="14">
        <v>40</v>
      </c>
      <c r="HZ28" s="14">
        <v>40</v>
      </c>
      <c r="IA28" s="14">
        <v>40</v>
      </c>
      <c r="IB28" s="14">
        <v>40</v>
      </c>
      <c r="IC28" s="14">
        <v>40</v>
      </c>
      <c r="ID28" s="14">
        <v>40</v>
      </c>
      <c r="IE28" s="14">
        <v>40</v>
      </c>
      <c r="IF28" s="14">
        <v>40</v>
      </c>
      <c r="IG28" s="14">
        <v>40</v>
      </c>
      <c r="IH28" s="14">
        <v>40</v>
      </c>
      <c r="II28" s="14">
        <v>40</v>
      </c>
      <c r="IJ28" s="14">
        <v>40</v>
      </c>
      <c r="IK28" s="14">
        <v>40</v>
      </c>
      <c r="IL28" s="14">
        <v>40</v>
      </c>
      <c r="IM28" s="14">
        <v>40</v>
      </c>
      <c r="IN28" s="14">
        <v>40</v>
      </c>
      <c r="IO28" s="14">
        <v>40</v>
      </c>
      <c r="IP28" s="14">
        <v>40</v>
      </c>
      <c r="IQ28" s="14">
        <v>40</v>
      </c>
      <c r="IR28" s="14">
        <v>40</v>
      </c>
      <c r="IS28" s="14">
        <v>40</v>
      </c>
      <c r="IT28" s="14">
        <v>40</v>
      </c>
      <c r="IU28" s="14">
        <v>40</v>
      </c>
      <c r="IV28" s="14">
        <v>40</v>
      </c>
      <c r="IW28" s="14">
        <v>40</v>
      </c>
      <c r="IX28" s="14">
        <v>40</v>
      </c>
      <c r="IY28" s="14">
        <v>40</v>
      </c>
      <c r="IZ28" s="14">
        <v>40</v>
      </c>
      <c r="JA28" s="14">
        <v>40</v>
      </c>
      <c r="JB28" s="14">
        <v>40</v>
      </c>
      <c r="JC28" s="14">
        <v>40</v>
      </c>
      <c r="JD28" s="14">
        <v>40</v>
      </c>
      <c r="JE28" s="14">
        <v>40</v>
      </c>
      <c r="JF28" s="14">
        <v>40</v>
      </c>
      <c r="JG28" s="14">
        <v>40</v>
      </c>
      <c r="JH28" s="14">
        <v>40</v>
      </c>
      <c r="JI28" s="14">
        <v>40</v>
      </c>
      <c r="JJ28" s="14">
        <v>40</v>
      </c>
      <c r="JK28" s="14">
        <v>40</v>
      </c>
      <c r="JL28" s="14">
        <v>40</v>
      </c>
      <c r="JM28" s="14">
        <v>40</v>
      </c>
      <c r="JN28" s="14">
        <v>40</v>
      </c>
      <c r="JO28" s="14">
        <v>40</v>
      </c>
      <c r="JP28" s="14">
        <v>40</v>
      </c>
      <c r="JQ28" s="14">
        <v>40</v>
      </c>
      <c r="JR28" s="14">
        <v>40</v>
      </c>
      <c r="JS28" s="14">
        <v>40</v>
      </c>
      <c r="JT28" s="14">
        <v>40</v>
      </c>
      <c r="JU28" s="14">
        <v>40</v>
      </c>
      <c r="JV28" s="14">
        <v>40</v>
      </c>
      <c r="JW28" s="14">
        <v>40</v>
      </c>
      <c r="JX28" s="14">
        <v>40</v>
      </c>
      <c r="JY28" s="14">
        <v>40</v>
      </c>
      <c r="JZ28" s="14">
        <v>40</v>
      </c>
      <c r="KA28" s="14">
        <v>40</v>
      </c>
      <c r="KB28" s="14">
        <v>40</v>
      </c>
      <c r="KC28" s="14">
        <v>40</v>
      </c>
      <c r="KD28" s="14">
        <v>40</v>
      </c>
      <c r="KE28" s="14">
        <v>40</v>
      </c>
      <c r="KF28" s="14">
        <v>40</v>
      </c>
    </row>
    <row r="29" spans="2:292" outlineLevel="1" x14ac:dyDescent="0.35">
      <c r="E29" s="13" t="s">
        <v>164</v>
      </c>
      <c r="J29" s="15" t="s">
        <v>34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  <c r="JA29" s="14"/>
      <c r="JB29" s="14"/>
      <c r="JC29" s="14"/>
      <c r="JD29" s="14"/>
      <c r="JE29" s="1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  <c r="KE29" s="14"/>
      <c r="KF29" s="14"/>
    </row>
    <row r="30" spans="2:292" outlineLevel="1" x14ac:dyDescent="0.35">
      <c r="E30" s="13" t="s">
        <v>164</v>
      </c>
      <c r="J30" s="15" t="s">
        <v>34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  <c r="IT30" s="14"/>
      <c r="IU30" s="14"/>
      <c r="IV30" s="14"/>
      <c r="IW30" s="14"/>
      <c r="IX30" s="14"/>
      <c r="IY30" s="14"/>
      <c r="IZ30" s="14"/>
      <c r="JA30" s="14"/>
      <c r="JB30" s="14"/>
      <c r="JC30" s="14"/>
      <c r="JD30" s="14"/>
      <c r="JE30" s="14"/>
      <c r="JF30" s="14"/>
      <c r="JG30" s="14"/>
      <c r="JH30" s="14"/>
      <c r="JI30" s="14"/>
      <c r="JJ30" s="14"/>
      <c r="JK30" s="14"/>
      <c r="JL30" s="14"/>
      <c r="JM30" s="14"/>
      <c r="JN30" s="14"/>
      <c r="JO30" s="14"/>
      <c r="JP30" s="14"/>
      <c r="JQ30" s="14"/>
      <c r="JR30" s="14"/>
      <c r="JS30" s="14"/>
      <c r="JT30" s="14"/>
      <c r="JU30" s="14"/>
      <c r="JV30" s="14"/>
      <c r="JW30" s="14"/>
      <c r="JX30" s="14"/>
      <c r="JY30" s="14"/>
      <c r="JZ30" s="14"/>
      <c r="KA30" s="14"/>
      <c r="KB30" s="14"/>
      <c r="KC30" s="14"/>
      <c r="KD30" s="14"/>
      <c r="KE30" s="14"/>
      <c r="KF30" s="14"/>
    </row>
    <row r="31" spans="2:292" outlineLevel="1" x14ac:dyDescent="0.35">
      <c r="E31" s="13" t="s">
        <v>164</v>
      </c>
      <c r="J31" s="15" t="s">
        <v>34</v>
      </c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  <c r="IT31" s="14"/>
      <c r="IU31" s="14"/>
      <c r="IV31" s="14"/>
      <c r="IW31" s="14"/>
      <c r="IX31" s="14"/>
      <c r="IY31" s="14"/>
      <c r="IZ31" s="14"/>
      <c r="JA31" s="14"/>
      <c r="JB31" s="14"/>
      <c r="JC31" s="14"/>
      <c r="JD31" s="14"/>
      <c r="JE31" s="14"/>
      <c r="JF31" s="14"/>
      <c r="JG31" s="14"/>
      <c r="JH31" s="14"/>
      <c r="JI31" s="14"/>
      <c r="JJ31" s="14"/>
      <c r="JK31" s="14"/>
      <c r="JL31" s="14"/>
      <c r="JM31" s="14"/>
      <c r="JN31" s="14"/>
      <c r="JO31" s="14"/>
      <c r="JP31" s="14"/>
      <c r="JQ31" s="14"/>
      <c r="JR31" s="14"/>
      <c r="JS31" s="14"/>
      <c r="JT31" s="14"/>
      <c r="JU31" s="14"/>
      <c r="JV31" s="14"/>
      <c r="JW31" s="14"/>
      <c r="JX31" s="14"/>
      <c r="JY31" s="14"/>
      <c r="JZ31" s="14"/>
      <c r="KA31" s="14"/>
      <c r="KB31" s="14"/>
      <c r="KC31" s="14"/>
      <c r="KD31" s="14"/>
      <c r="KE31" s="14"/>
      <c r="KF31" s="14"/>
    </row>
    <row r="32" spans="2:292" outlineLevel="1" x14ac:dyDescent="0.35">
      <c r="E32" s="13" t="s">
        <v>164</v>
      </c>
      <c r="J32" s="15" t="s">
        <v>34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  <c r="IT32" s="14"/>
      <c r="IU32" s="14"/>
      <c r="IV32" s="14"/>
      <c r="IW32" s="14"/>
      <c r="IX32" s="14"/>
      <c r="IY32" s="14"/>
      <c r="IZ32" s="14"/>
      <c r="JA32" s="14"/>
      <c r="JB32" s="14"/>
      <c r="JC32" s="14"/>
      <c r="JD32" s="14"/>
      <c r="JE32" s="14"/>
      <c r="JF32" s="14"/>
      <c r="JG32" s="14"/>
      <c r="JH32" s="14"/>
      <c r="JI32" s="14"/>
      <c r="JJ32" s="14"/>
      <c r="JK32" s="14"/>
      <c r="JL32" s="14"/>
      <c r="JM32" s="14"/>
      <c r="JN32" s="14"/>
      <c r="JO32" s="14"/>
      <c r="JP32" s="14"/>
      <c r="JQ32" s="14"/>
      <c r="JR32" s="14"/>
      <c r="JS32" s="14"/>
      <c r="JT32" s="14"/>
      <c r="JU32" s="14"/>
      <c r="JV32" s="14"/>
      <c r="JW32" s="14"/>
      <c r="JX32" s="14"/>
      <c r="JY32" s="14"/>
      <c r="JZ32" s="14"/>
      <c r="KA32" s="14"/>
      <c r="KB32" s="14"/>
      <c r="KC32" s="14"/>
      <c r="KD32" s="14"/>
      <c r="KE32" s="14"/>
      <c r="KF32" s="14"/>
    </row>
    <row r="33" spans="4:293" outlineLevel="1" x14ac:dyDescent="0.35">
      <c r="E33" s="13" t="s">
        <v>164</v>
      </c>
      <c r="J33" s="15" t="s">
        <v>34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s="14"/>
      <c r="CM33" s="14"/>
      <c r="CN33" s="14"/>
      <c r="CO33" s="14"/>
      <c r="CP33" s="14"/>
      <c r="CQ33" s="14"/>
      <c r="CR33" s="14"/>
      <c r="CS33" s="14"/>
      <c r="CT33" s="14"/>
      <c r="CU33" s="14"/>
      <c r="CV33" s="14"/>
      <c r="CW33" s="14"/>
      <c r="CX33" s="14"/>
      <c r="CY33" s="14"/>
      <c r="CZ33" s="14"/>
      <c r="DA33" s="14"/>
      <c r="DB33" s="14"/>
      <c r="DC33" s="14"/>
      <c r="DD33" s="14"/>
      <c r="DE33" s="14"/>
      <c r="DF33" s="14"/>
      <c r="DG33" s="14"/>
      <c r="DH33" s="14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  <c r="HQ33" s="14"/>
      <c r="HR33" s="14"/>
      <c r="HS33" s="14"/>
      <c r="HT33" s="14"/>
      <c r="HU33" s="14"/>
      <c r="HV33" s="14"/>
      <c r="HW33" s="14"/>
      <c r="HX33" s="14"/>
      <c r="HY33" s="14"/>
      <c r="HZ33" s="14"/>
      <c r="IA33" s="14"/>
      <c r="IB33" s="14"/>
      <c r="IC33" s="14"/>
      <c r="ID33" s="14"/>
      <c r="IE33" s="14"/>
      <c r="IF33" s="14"/>
      <c r="IG33" s="14"/>
      <c r="IH33" s="14"/>
      <c r="II33" s="14"/>
      <c r="IJ33" s="14"/>
      <c r="IK33" s="14"/>
      <c r="IL33" s="14"/>
      <c r="IM33" s="14"/>
      <c r="IN33" s="14"/>
      <c r="IO33" s="14"/>
      <c r="IP33" s="14"/>
      <c r="IQ33" s="14"/>
      <c r="IR33" s="14"/>
      <c r="IS33" s="14"/>
      <c r="IT33" s="14"/>
      <c r="IU33" s="14"/>
      <c r="IV33" s="14"/>
      <c r="IW33" s="14"/>
      <c r="IX33" s="14"/>
      <c r="IY33" s="14"/>
      <c r="IZ33" s="14"/>
      <c r="JA33" s="14"/>
      <c r="JB33" s="14"/>
      <c r="JC33" s="14"/>
      <c r="JD33" s="14"/>
      <c r="JE33" s="14"/>
      <c r="JF33" s="14"/>
      <c r="JG33" s="14"/>
      <c r="JH33" s="14"/>
      <c r="JI33" s="14"/>
      <c r="JJ33" s="14"/>
      <c r="JK33" s="14"/>
      <c r="JL33" s="14"/>
      <c r="JM33" s="14"/>
      <c r="JN33" s="14"/>
      <c r="JO33" s="14"/>
      <c r="JP33" s="14"/>
      <c r="JQ33" s="14"/>
      <c r="JR33" s="14"/>
      <c r="JS33" s="14"/>
      <c r="JT33" s="14"/>
      <c r="JU33" s="14"/>
      <c r="JV33" s="14"/>
      <c r="JW33" s="14"/>
      <c r="JX33" s="14"/>
      <c r="JY33" s="14"/>
      <c r="JZ33" s="14"/>
      <c r="KA33" s="14"/>
      <c r="KB33" s="14"/>
      <c r="KC33" s="14"/>
      <c r="KD33" s="14"/>
      <c r="KE33" s="14"/>
      <c r="KF33" s="14"/>
    </row>
    <row r="34" spans="4:293" outlineLevel="1" x14ac:dyDescent="0.35">
      <c r="E34" s="13" t="s">
        <v>164</v>
      </c>
      <c r="J34" s="15" t="s">
        <v>34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s="14"/>
      <c r="CM34" s="14"/>
      <c r="CN34" s="14"/>
      <c r="CO34" s="14"/>
      <c r="CP34" s="14"/>
      <c r="CQ34" s="14"/>
      <c r="CR34" s="14"/>
      <c r="CS34" s="14"/>
      <c r="CT34" s="14"/>
      <c r="CU34" s="14"/>
      <c r="CV34" s="14"/>
      <c r="CW34" s="14"/>
      <c r="CX34" s="14"/>
      <c r="CY34" s="14"/>
      <c r="CZ34" s="14"/>
      <c r="DA34" s="14"/>
      <c r="DB34" s="14"/>
      <c r="DC34" s="14"/>
      <c r="DD34" s="14"/>
      <c r="DE34" s="14"/>
      <c r="DF34" s="14"/>
      <c r="DG34" s="14"/>
      <c r="DH34" s="14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  <c r="HQ34" s="14"/>
      <c r="HR34" s="14"/>
      <c r="HS34" s="14"/>
      <c r="HT34" s="14"/>
      <c r="HU34" s="14"/>
      <c r="HV34" s="14"/>
      <c r="HW34" s="14"/>
      <c r="HX34" s="14"/>
      <c r="HY34" s="14"/>
      <c r="HZ34" s="14"/>
      <c r="IA34" s="14"/>
      <c r="IB34" s="14"/>
      <c r="IC34" s="14"/>
      <c r="ID34" s="14"/>
      <c r="IE34" s="14"/>
      <c r="IF34" s="14"/>
      <c r="IG34" s="14"/>
      <c r="IH34" s="14"/>
      <c r="II34" s="14"/>
      <c r="IJ34" s="14"/>
      <c r="IK34" s="14"/>
      <c r="IL34" s="14"/>
      <c r="IM34" s="14"/>
      <c r="IN34" s="14"/>
      <c r="IO34" s="14"/>
      <c r="IP34" s="14"/>
      <c r="IQ34" s="14"/>
      <c r="IR34" s="14"/>
      <c r="IS34" s="14"/>
      <c r="IT34" s="14"/>
      <c r="IU34" s="14"/>
      <c r="IV34" s="14"/>
      <c r="IW34" s="14"/>
      <c r="IX34" s="14"/>
      <c r="IY34" s="14"/>
      <c r="IZ34" s="14"/>
      <c r="JA34" s="14"/>
      <c r="JB34" s="14"/>
      <c r="JC34" s="14"/>
      <c r="JD34" s="14"/>
      <c r="JE34" s="14"/>
      <c r="JF34" s="14"/>
      <c r="JG34" s="14"/>
      <c r="JH34" s="14"/>
      <c r="JI34" s="14"/>
      <c r="JJ34" s="14"/>
      <c r="JK34" s="14"/>
      <c r="JL34" s="14"/>
      <c r="JM34" s="14"/>
      <c r="JN34" s="14"/>
      <c r="JO34" s="14"/>
      <c r="JP34" s="14"/>
      <c r="JQ34" s="14"/>
      <c r="JR34" s="14"/>
      <c r="JS34" s="14"/>
      <c r="JT34" s="14"/>
      <c r="JU34" s="14"/>
      <c r="JV34" s="14"/>
      <c r="JW34" s="14"/>
      <c r="JX34" s="14"/>
      <c r="JY34" s="14"/>
      <c r="JZ34" s="14"/>
      <c r="KA34" s="14"/>
      <c r="KB34" s="14"/>
      <c r="KC34" s="14"/>
      <c r="KD34" s="14"/>
      <c r="KE34" s="14"/>
      <c r="KF34" s="14"/>
    </row>
    <row r="35" spans="4:293" outlineLevel="1" x14ac:dyDescent="0.35"/>
    <row r="36" spans="4:293" outlineLevel="1" x14ac:dyDescent="0.35">
      <c r="H36" s="19" t="s">
        <v>163</v>
      </c>
      <c r="I36" s="19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7"/>
      <c r="GB36" s="17"/>
      <c r="GC36" s="17"/>
      <c r="GD36" s="17"/>
      <c r="GE36" s="17"/>
      <c r="GF36" s="17"/>
      <c r="GG36" s="17"/>
      <c r="GH36" s="17"/>
      <c r="GI36" s="17"/>
      <c r="GJ36" s="17"/>
      <c r="GK36" s="17"/>
      <c r="GL36" s="17"/>
      <c r="GM36" s="17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7"/>
      <c r="GY36" s="17"/>
      <c r="GZ36" s="17"/>
      <c r="HA36" s="17"/>
      <c r="HB36" s="17"/>
      <c r="HC36" s="17"/>
      <c r="HD36" s="17"/>
      <c r="HE36" s="17"/>
      <c r="HF36" s="17"/>
      <c r="HG36" s="17"/>
      <c r="HH36" s="17"/>
      <c r="HI36" s="17"/>
      <c r="HJ36" s="17"/>
      <c r="HK36" s="17"/>
      <c r="HL36" s="17"/>
      <c r="HM36" s="17"/>
      <c r="HN36" s="17"/>
      <c r="HO36" s="17"/>
      <c r="HP36" s="17"/>
      <c r="HQ36" s="17"/>
      <c r="HR36" s="17"/>
      <c r="HS36" s="17"/>
      <c r="HT36" s="17"/>
      <c r="HU36" s="17"/>
      <c r="HV36" s="17"/>
      <c r="HW36" s="17"/>
      <c r="HX36" s="17"/>
      <c r="HY36" s="17"/>
      <c r="HZ36" s="17"/>
      <c r="IA36" s="17"/>
      <c r="IB36" s="17"/>
      <c r="IC36" s="17"/>
      <c r="ID36" s="17"/>
      <c r="IE36" s="17"/>
      <c r="IF36" s="17"/>
      <c r="IG36" s="17"/>
      <c r="IH36" s="17"/>
      <c r="II36" s="17"/>
      <c r="IJ36" s="17"/>
      <c r="IK36" s="17"/>
      <c r="IL36" s="17"/>
      <c r="IM36" s="17"/>
      <c r="IN36" s="17"/>
      <c r="IO36" s="17"/>
      <c r="IP36" s="17"/>
      <c r="IQ36" s="17"/>
      <c r="IR36" s="17"/>
      <c r="IS36" s="17"/>
      <c r="IT36" s="17"/>
      <c r="IU36" s="17"/>
      <c r="IV36" s="17"/>
      <c r="IW36" s="17"/>
      <c r="IX36" s="17"/>
      <c r="IY36" s="17"/>
      <c r="IZ36" s="17"/>
      <c r="JA36" s="17"/>
      <c r="JB36" s="17"/>
      <c r="JC36" s="17"/>
      <c r="JD36" s="17"/>
      <c r="JE36" s="17"/>
      <c r="JF36" s="17"/>
      <c r="JG36" s="17"/>
      <c r="JH36" s="17"/>
      <c r="JI36" s="17"/>
      <c r="JJ36" s="17"/>
      <c r="JK36" s="17"/>
      <c r="JL36" s="17"/>
      <c r="JM36" s="17"/>
      <c r="JN36" s="17"/>
      <c r="JO36" s="17"/>
      <c r="JP36" s="17"/>
      <c r="JQ36" s="17"/>
      <c r="JR36" s="17"/>
      <c r="JS36" s="17"/>
      <c r="JT36" s="17"/>
      <c r="JU36" s="17"/>
      <c r="JV36" s="17"/>
      <c r="JW36" s="17"/>
      <c r="JX36" s="17"/>
      <c r="JY36" s="17"/>
      <c r="JZ36" s="17"/>
      <c r="KA36" s="17"/>
      <c r="KB36" s="17"/>
      <c r="KC36" s="17"/>
      <c r="KD36" s="17"/>
      <c r="KE36" s="17"/>
      <c r="KF36" s="17"/>
    </row>
    <row r="37" spans="4:293" outlineLevel="1" x14ac:dyDescent="0.35"/>
    <row r="38" spans="4:293" outlineLevel="1" x14ac:dyDescent="0.35">
      <c r="J38" s="18" t="s">
        <v>29</v>
      </c>
      <c r="K38" s="18">
        <f>Control!H18</f>
        <v>1</v>
      </c>
      <c r="L38" s="13" t="str" cm="1">
        <f t="array" ref="L38">INDEX(J42:J50,K38)</f>
        <v>Base case</v>
      </c>
    </row>
    <row r="39" spans="4:293" outlineLevel="1" x14ac:dyDescent="0.35">
      <c r="E39" s="13" t="s">
        <v>166</v>
      </c>
      <c r="J39" s="13" t="s">
        <v>30</v>
      </c>
      <c r="K39" s="61" cm="1">
        <f t="array" ref="K39">INDEX(K42:K50,$K$38)</f>
        <v>2.35</v>
      </c>
      <c r="L39" s="61" cm="1">
        <f t="array" ref="L39">INDEX(L42:L50,$K$38)</f>
        <v>2.35</v>
      </c>
      <c r="M39" s="61" cm="1">
        <f t="array" ref="M39">INDEX(M42:M50,$K$38)</f>
        <v>2.35</v>
      </c>
      <c r="N39" s="61" cm="1">
        <f t="array" ref="N39">INDEX(N42:N50,$K$38)</f>
        <v>2.35</v>
      </c>
      <c r="O39" s="61" cm="1">
        <f t="array" ref="O39">INDEX(O42:O50,$K$38)</f>
        <v>2.35</v>
      </c>
      <c r="P39" s="61" cm="1">
        <f t="array" ref="P39">INDEX(P42:P50,$K$38)</f>
        <v>2.35</v>
      </c>
      <c r="Q39" s="61" cm="1">
        <f t="array" ref="Q39">INDEX(Q42:Q50,$K$38)</f>
        <v>2.2999999999999998</v>
      </c>
      <c r="R39" s="61" cm="1">
        <f t="array" ref="R39">INDEX(R42:R50,$K$38)</f>
        <v>2.2999999999999998</v>
      </c>
      <c r="S39" s="61" cm="1">
        <f t="array" ref="S39">INDEX(S42:S50,$K$38)</f>
        <v>2.2999999999999998</v>
      </c>
      <c r="T39" s="61" cm="1">
        <f t="array" ref="T39">INDEX(T42:T50,$K$38)</f>
        <v>2.2999999999999998</v>
      </c>
      <c r="U39" s="61" cm="1">
        <f t="array" ref="U39">INDEX(U42:U50,$K$38)</f>
        <v>2.2999999999999998</v>
      </c>
      <c r="V39" s="61" cm="1">
        <f t="array" ref="V39">INDEX(V42:V50,$K$38)</f>
        <v>2.2999999999999998</v>
      </c>
      <c r="W39" s="61" cm="1">
        <f t="array" ref="W39">INDEX(W42:W50,$K$38)</f>
        <v>2.2999999999999998</v>
      </c>
      <c r="X39" s="61" cm="1">
        <f t="array" ref="X39">INDEX(X42:X50,$K$38)</f>
        <v>2.2999999999999998</v>
      </c>
      <c r="Y39" s="61" cm="1">
        <f t="array" ref="Y39">INDEX(Y42:Y50,$K$38)</f>
        <v>2.25</v>
      </c>
      <c r="Z39" s="61" cm="1">
        <f t="array" ref="Z39">INDEX(Z42:Z50,$K$38)</f>
        <v>2.25</v>
      </c>
      <c r="AA39" s="61" cm="1">
        <f t="array" ref="AA39">INDEX(AA42:AA50,$K$38)</f>
        <v>2.25</v>
      </c>
      <c r="AB39" s="61" cm="1">
        <f t="array" ref="AB39">INDEX(AB42:AB50,$K$38)</f>
        <v>2.25</v>
      </c>
      <c r="AC39" s="61" cm="1">
        <f t="array" ref="AC39">INDEX(AC42:AC50,$K$38)</f>
        <v>2.25</v>
      </c>
      <c r="AD39" s="61" cm="1">
        <f t="array" ref="AD39">INDEX(AD42:AD50,$K$38)</f>
        <v>2.25</v>
      </c>
      <c r="AE39" s="61" cm="1">
        <f t="array" ref="AE39">INDEX(AE42:AE50,$K$38)</f>
        <v>2.25</v>
      </c>
      <c r="AF39" s="61" cm="1">
        <f t="array" ref="AF39">INDEX(AF42:AF50,$K$38)</f>
        <v>2.25</v>
      </c>
      <c r="AG39" s="61" cm="1">
        <f t="array" ref="AG39">INDEX(AG42:AG50,$K$38)</f>
        <v>2.25</v>
      </c>
      <c r="AH39" s="61" cm="1">
        <f t="array" ref="AH39">INDEX(AH42:AH50,$K$38)</f>
        <v>2.25</v>
      </c>
      <c r="AI39" s="61" cm="1">
        <f t="array" ref="AI39">INDEX(AI42:AI50,$K$38)</f>
        <v>2.25</v>
      </c>
      <c r="AJ39" s="61" cm="1">
        <f t="array" ref="AJ39">INDEX(AJ42:AJ50,$K$38)</f>
        <v>2.25</v>
      </c>
      <c r="AK39" s="61" cm="1">
        <f t="array" ref="AK39">INDEX(AK42:AK50,$K$38)</f>
        <v>2.25</v>
      </c>
      <c r="AL39" s="61" cm="1">
        <f t="array" ref="AL39">INDEX(AL42:AL50,$K$38)</f>
        <v>2.25</v>
      </c>
      <c r="AM39" s="61" cm="1">
        <f t="array" ref="AM39">INDEX(AM42:AM50,$K$38)</f>
        <v>2.25</v>
      </c>
      <c r="AN39" s="61" cm="1">
        <f t="array" ref="AN39">INDEX(AN42:AN50,$K$38)</f>
        <v>2.25</v>
      </c>
      <c r="AO39" s="61" cm="1">
        <f t="array" ref="AO39">INDEX(AO42:AO50,$K$38)</f>
        <v>2.25</v>
      </c>
      <c r="AP39" s="61" cm="1">
        <f t="array" ref="AP39">INDEX(AP42:AP50,$K$38)</f>
        <v>2.25</v>
      </c>
      <c r="AQ39" s="61" cm="1">
        <f t="array" ref="AQ39">INDEX(AQ42:AQ50,$K$38)</f>
        <v>2.25</v>
      </c>
      <c r="AR39" s="61" cm="1">
        <f t="array" ref="AR39">INDEX(AR42:AR50,$K$38)</f>
        <v>2.25</v>
      </c>
      <c r="AS39" s="61" cm="1">
        <f t="array" ref="AS39">INDEX(AS42:AS50,$K$38)</f>
        <v>2.25</v>
      </c>
      <c r="AT39" s="61" cm="1">
        <f t="array" ref="AT39">INDEX(AT42:AT50,$K$38)</f>
        <v>2.25</v>
      </c>
      <c r="AU39" s="61" cm="1">
        <f t="array" ref="AU39">INDEX(AU42:AU50,$K$38)</f>
        <v>2.25</v>
      </c>
      <c r="AV39" s="61" cm="1">
        <f t="array" ref="AV39">INDEX(AV42:AV50,$K$38)</f>
        <v>2.25</v>
      </c>
      <c r="AW39" s="61" cm="1">
        <f t="array" ref="AW39">INDEX(AW42:AW50,$K$38)</f>
        <v>2.25</v>
      </c>
      <c r="AX39" s="61" cm="1">
        <f t="array" ref="AX39">INDEX(AX42:AX50,$K$38)</f>
        <v>2.25</v>
      </c>
      <c r="AY39" s="61" cm="1">
        <f t="array" ref="AY39">INDEX(AY42:AY50,$K$38)</f>
        <v>2.25</v>
      </c>
      <c r="AZ39" s="61" cm="1">
        <f t="array" ref="AZ39">INDEX(AZ42:AZ50,$K$38)</f>
        <v>2.25</v>
      </c>
      <c r="BA39" s="61" cm="1">
        <f t="array" ref="BA39">INDEX(BA42:BA50,$K$38)</f>
        <v>2.25</v>
      </c>
      <c r="BB39" s="61" cm="1">
        <f t="array" ref="BB39">INDEX(BB42:BB50,$K$38)</f>
        <v>2.25</v>
      </c>
      <c r="BC39" s="61" cm="1">
        <f t="array" ref="BC39">INDEX(BC42:BC50,$K$38)</f>
        <v>2.25</v>
      </c>
      <c r="BD39" s="61" cm="1">
        <f t="array" ref="BD39">INDEX(BD42:BD50,$K$38)</f>
        <v>2.25</v>
      </c>
      <c r="BE39" s="61" cm="1">
        <f t="array" ref="BE39">INDEX(BE42:BE50,$K$38)</f>
        <v>2.25</v>
      </c>
      <c r="BF39" s="61" cm="1">
        <f t="array" ref="BF39">INDEX(BF42:BF50,$K$38)</f>
        <v>2.25</v>
      </c>
      <c r="BG39" s="61" cm="1">
        <f t="array" ref="BG39">INDEX(BG42:BG50,$K$38)</f>
        <v>2.25</v>
      </c>
      <c r="BH39" s="61" cm="1">
        <f t="array" ref="BH39">INDEX(BH42:BH50,$K$38)</f>
        <v>2.25</v>
      </c>
      <c r="BI39" s="61" cm="1">
        <f t="array" ref="BI39">INDEX(BI42:BI50,$K$38)</f>
        <v>2.25</v>
      </c>
      <c r="BJ39" s="61" cm="1">
        <f t="array" ref="BJ39">INDEX(BJ42:BJ50,$K$38)</f>
        <v>2.25</v>
      </c>
      <c r="BK39" s="61" cm="1">
        <f t="array" ref="BK39">INDEX(BK42:BK50,$K$38)</f>
        <v>2.25</v>
      </c>
      <c r="BL39" s="61" cm="1">
        <f t="array" ref="BL39">INDEX(BL42:BL50,$K$38)</f>
        <v>2.25</v>
      </c>
      <c r="BM39" s="61" cm="1">
        <f t="array" ref="BM39">INDEX(BM42:BM50,$K$38)</f>
        <v>2.25</v>
      </c>
      <c r="BN39" s="61" cm="1">
        <f t="array" ref="BN39">INDEX(BN42:BN50,$K$38)</f>
        <v>2.25</v>
      </c>
      <c r="BO39" s="61" cm="1">
        <f t="array" ref="BO39">INDEX(BO42:BO50,$K$38)</f>
        <v>2.25</v>
      </c>
      <c r="BP39" s="61" cm="1">
        <f t="array" ref="BP39">INDEX(BP42:BP50,$K$38)</f>
        <v>2.25</v>
      </c>
      <c r="BQ39" s="61" cm="1">
        <f t="array" ref="BQ39">INDEX(BQ42:BQ50,$K$38)</f>
        <v>2.25</v>
      </c>
      <c r="BR39" s="61" cm="1">
        <f t="array" ref="BR39">INDEX(BR42:BR50,$K$38)</f>
        <v>2.25</v>
      </c>
      <c r="BS39" s="61" cm="1">
        <f t="array" ref="BS39">INDEX(BS42:BS50,$K$38)</f>
        <v>2.25</v>
      </c>
      <c r="BT39" s="61" cm="1">
        <f t="array" ref="BT39">INDEX(BT42:BT50,$K$38)</f>
        <v>2.25</v>
      </c>
      <c r="BU39" s="61" cm="1">
        <f t="array" ref="BU39">INDEX(BU42:BU50,$K$38)</f>
        <v>2.25</v>
      </c>
      <c r="BV39" s="61" cm="1">
        <f t="array" ref="BV39">INDEX(BV42:BV50,$K$38)</f>
        <v>2.25</v>
      </c>
      <c r="BW39" s="61" cm="1">
        <f t="array" ref="BW39">INDEX(BW42:BW50,$K$38)</f>
        <v>2.25</v>
      </c>
      <c r="BX39" s="61" cm="1">
        <f t="array" ref="BX39">INDEX(BX42:BX50,$K$38)</f>
        <v>2.25</v>
      </c>
      <c r="BY39" s="61" cm="1">
        <f t="array" ref="BY39">INDEX(BY42:BY50,$K$38)</f>
        <v>2.25</v>
      </c>
      <c r="BZ39" s="61" cm="1">
        <f t="array" ref="BZ39">INDEX(BZ42:BZ50,$K$38)</f>
        <v>2.25</v>
      </c>
      <c r="CA39" s="61" cm="1">
        <f t="array" ref="CA39">INDEX(CA42:CA50,$K$38)</f>
        <v>2.25</v>
      </c>
      <c r="CB39" s="61" cm="1">
        <f t="array" ref="CB39">INDEX(CB42:CB50,$K$38)</f>
        <v>2.25</v>
      </c>
      <c r="CC39" s="61" cm="1">
        <f t="array" ref="CC39">INDEX(CC42:CC50,$K$38)</f>
        <v>2.25</v>
      </c>
      <c r="CD39" s="61" cm="1">
        <f t="array" ref="CD39">INDEX(CD42:CD50,$K$38)</f>
        <v>2.25</v>
      </c>
      <c r="CE39" s="61" cm="1">
        <f t="array" ref="CE39">INDEX(CE42:CE50,$K$38)</f>
        <v>2.25</v>
      </c>
      <c r="CF39" s="61" cm="1">
        <f t="array" ref="CF39">INDEX(CF42:CF50,$K$38)</f>
        <v>2.25</v>
      </c>
      <c r="CG39" s="61" cm="1">
        <f t="array" ref="CG39">INDEX(CG42:CG50,$K$38)</f>
        <v>2.25</v>
      </c>
      <c r="CH39" s="61" cm="1">
        <f t="array" ref="CH39">INDEX(CH42:CH50,$K$38)</f>
        <v>2.25</v>
      </c>
      <c r="CI39" s="61" cm="1">
        <f t="array" ref="CI39">INDEX(CI42:CI50,$K$38)</f>
        <v>2.25</v>
      </c>
      <c r="CJ39" s="61" cm="1">
        <f t="array" ref="CJ39">INDEX(CJ42:CJ50,$K$38)</f>
        <v>2.25</v>
      </c>
      <c r="CK39" s="61" cm="1">
        <f t="array" ref="CK39">INDEX(CK42:CK50,$K$38)</f>
        <v>2.25</v>
      </c>
      <c r="CL39" s="61" cm="1">
        <f t="array" ref="CL39">INDEX(CL42:CL50,$K$38)</f>
        <v>2.25</v>
      </c>
      <c r="CM39" s="61" cm="1">
        <f t="array" ref="CM39">INDEX(CM42:CM50,$K$38)</f>
        <v>2.25</v>
      </c>
      <c r="CN39" s="61" cm="1">
        <f t="array" ref="CN39">INDEX(CN42:CN50,$K$38)</f>
        <v>2.25</v>
      </c>
      <c r="CO39" s="61" cm="1">
        <f t="array" ref="CO39">INDEX(CO42:CO50,$K$38)</f>
        <v>2.25</v>
      </c>
      <c r="CP39" s="61" cm="1">
        <f t="array" ref="CP39">INDEX(CP42:CP50,$K$38)</f>
        <v>2.25</v>
      </c>
      <c r="CQ39" s="61" cm="1">
        <f t="array" ref="CQ39">INDEX(CQ42:CQ50,$K$38)</f>
        <v>2.25</v>
      </c>
      <c r="CR39" s="61" cm="1">
        <f t="array" ref="CR39">INDEX(CR42:CR50,$K$38)</f>
        <v>2.25</v>
      </c>
      <c r="CS39" s="61" cm="1">
        <f t="array" ref="CS39">INDEX(CS42:CS50,$K$38)</f>
        <v>2.25</v>
      </c>
      <c r="CT39" s="61" cm="1">
        <f t="array" ref="CT39">INDEX(CT42:CT50,$K$38)</f>
        <v>2.25</v>
      </c>
      <c r="CU39" s="61" cm="1">
        <f t="array" ref="CU39">INDEX(CU42:CU50,$K$38)</f>
        <v>2.25</v>
      </c>
      <c r="CV39" s="61" cm="1">
        <f t="array" ref="CV39">INDEX(CV42:CV50,$K$38)</f>
        <v>2.25</v>
      </c>
      <c r="CW39" s="61" cm="1">
        <f t="array" ref="CW39">INDEX(CW42:CW50,$K$38)</f>
        <v>2.25</v>
      </c>
      <c r="CX39" s="61" cm="1">
        <f t="array" ref="CX39">INDEX(CX42:CX50,$K$38)</f>
        <v>2.25</v>
      </c>
      <c r="CY39" s="61" cm="1">
        <f t="array" ref="CY39">INDEX(CY42:CY50,$K$38)</f>
        <v>2.25</v>
      </c>
      <c r="CZ39" s="61" cm="1">
        <f t="array" ref="CZ39">INDEX(CZ42:CZ50,$K$38)</f>
        <v>2.25</v>
      </c>
      <c r="DA39" s="61" cm="1">
        <f t="array" ref="DA39">INDEX(DA42:DA50,$K$38)</f>
        <v>2.25</v>
      </c>
      <c r="DB39" s="61" cm="1">
        <f t="array" ref="DB39">INDEX(DB42:DB50,$K$38)</f>
        <v>2.25</v>
      </c>
      <c r="DC39" s="61" cm="1">
        <f t="array" ref="DC39">INDEX(DC42:DC50,$K$38)</f>
        <v>2.25</v>
      </c>
      <c r="DD39" s="61" cm="1">
        <f t="array" ref="DD39">INDEX(DD42:DD50,$K$38)</f>
        <v>2.25</v>
      </c>
      <c r="DE39" s="61" cm="1">
        <f t="array" ref="DE39">INDEX(DE42:DE50,$K$38)</f>
        <v>2.25</v>
      </c>
      <c r="DF39" s="61" cm="1">
        <f t="array" ref="DF39">INDEX(DF42:DF50,$K$38)</f>
        <v>2.25</v>
      </c>
      <c r="DG39" s="61" cm="1">
        <f t="array" ref="DG39">INDEX(DG42:DG50,$K$38)</f>
        <v>2.25</v>
      </c>
      <c r="DH39" s="61" cm="1">
        <f t="array" ref="DH39">INDEX(DH42:DH50,$K$38)</f>
        <v>2.25</v>
      </c>
      <c r="DI39" s="61" cm="1">
        <f t="array" ref="DI39">INDEX(DI42:DI50,$K$38)</f>
        <v>2.25</v>
      </c>
      <c r="DJ39" s="61" cm="1">
        <f t="array" ref="DJ39">INDEX(DJ42:DJ50,$K$38)</f>
        <v>2.25</v>
      </c>
      <c r="DK39" s="61" cm="1">
        <f t="array" ref="DK39">INDEX(DK42:DK50,$K$38)</f>
        <v>2.25</v>
      </c>
      <c r="DL39" s="61" cm="1">
        <f t="array" ref="DL39">INDEX(DL42:DL50,$K$38)</f>
        <v>2.25</v>
      </c>
      <c r="DM39" s="61" cm="1">
        <f t="array" ref="DM39">INDEX(DM42:DM50,$K$38)</f>
        <v>2.25</v>
      </c>
      <c r="DN39" s="61" cm="1">
        <f t="array" ref="DN39">INDEX(DN42:DN50,$K$38)</f>
        <v>2.25</v>
      </c>
      <c r="DO39" s="61" cm="1">
        <f t="array" ref="DO39">INDEX(DO42:DO50,$K$38)</f>
        <v>2.25</v>
      </c>
      <c r="DP39" s="61" cm="1">
        <f t="array" ref="DP39">INDEX(DP42:DP50,$K$38)</f>
        <v>2.25</v>
      </c>
      <c r="DQ39" s="61" cm="1">
        <f t="array" ref="DQ39">INDEX(DQ42:DQ50,$K$38)</f>
        <v>2.25</v>
      </c>
      <c r="DR39" s="61" cm="1">
        <f t="array" ref="DR39">INDEX(DR42:DR50,$K$38)</f>
        <v>2.25</v>
      </c>
      <c r="DS39" s="61" cm="1">
        <f t="array" ref="DS39">INDEX(DS42:DS50,$K$38)</f>
        <v>2.25</v>
      </c>
      <c r="DT39" s="61" cm="1">
        <f t="array" ref="DT39">INDEX(DT42:DT50,$K$38)</f>
        <v>2.25</v>
      </c>
      <c r="DU39" s="61" cm="1">
        <f t="array" ref="DU39">INDEX(DU42:DU50,$K$38)</f>
        <v>2.25</v>
      </c>
      <c r="DV39" s="61" cm="1">
        <f t="array" ref="DV39">INDEX(DV42:DV50,$K$38)</f>
        <v>2.25</v>
      </c>
      <c r="DW39" s="61" cm="1">
        <f t="array" ref="DW39">INDEX(DW42:DW50,$K$38)</f>
        <v>2.25</v>
      </c>
      <c r="DX39" s="61" cm="1">
        <f t="array" ref="DX39">INDEX(DX42:DX50,$K$38)</f>
        <v>2.25</v>
      </c>
      <c r="DY39" s="61" cm="1">
        <f t="array" ref="DY39">INDEX(DY42:DY50,$K$38)</f>
        <v>2.25</v>
      </c>
      <c r="DZ39" s="61" cm="1">
        <f t="array" ref="DZ39">INDEX(DZ42:DZ50,$K$38)</f>
        <v>2.25</v>
      </c>
      <c r="EA39" s="61" cm="1">
        <f t="array" ref="EA39">INDEX(EA42:EA50,$K$38)</f>
        <v>2.25</v>
      </c>
      <c r="EB39" s="61" cm="1">
        <f t="array" ref="EB39">INDEX(EB42:EB50,$K$38)</f>
        <v>2.25</v>
      </c>
      <c r="EC39" s="61" cm="1">
        <f t="array" ref="EC39">INDEX(EC42:EC50,$K$38)</f>
        <v>2.25</v>
      </c>
      <c r="ED39" s="61" cm="1">
        <f t="array" ref="ED39">INDEX(ED42:ED50,$K$38)</f>
        <v>2.25</v>
      </c>
      <c r="EE39" s="61" cm="1">
        <f t="array" ref="EE39">INDEX(EE42:EE50,$K$38)</f>
        <v>2.25</v>
      </c>
      <c r="EF39" s="61" cm="1">
        <f t="array" ref="EF39">INDEX(EF42:EF50,$K$38)</f>
        <v>2.25</v>
      </c>
      <c r="EG39" s="61" cm="1">
        <f t="array" ref="EG39">INDEX(EG42:EG50,$K$38)</f>
        <v>2.25</v>
      </c>
      <c r="EH39" s="61" cm="1">
        <f t="array" ref="EH39">INDEX(EH42:EH50,$K$38)</f>
        <v>2.25</v>
      </c>
      <c r="EI39" s="61" cm="1">
        <f t="array" ref="EI39">INDEX(EI42:EI50,$K$38)</f>
        <v>2.25</v>
      </c>
      <c r="EJ39" s="61" cm="1">
        <f t="array" ref="EJ39">INDEX(EJ42:EJ50,$K$38)</f>
        <v>2.25</v>
      </c>
      <c r="EK39" s="61" cm="1">
        <f t="array" ref="EK39">INDEX(EK42:EK50,$K$38)</f>
        <v>2.25</v>
      </c>
      <c r="EL39" s="61" cm="1">
        <f t="array" ref="EL39">INDEX(EL42:EL50,$K$38)</f>
        <v>2.25</v>
      </c>
      <c r="EM39" s="61" cm="1">
        <f t="array" ref="EM39">INDEX(EM42:EM50,$K$38)</f>
        <v>2.25</v>
      </c>
      <c r="EN39" s="61" cm="1">
        <f t="array" ref="EN39">INDEX(EN42:EN50,$K$38)</f>
        <v>2.25</v>
      </c>
      <c r="EO39" s="61" cm="1">
        <f t="array" ref="EO39">INDEX(EO42:EO50,$K$38)</f>
        <v>2.25</v>
      </c>
      <c r="EP39" s="61" cm="1">
        <f t="array" ref="EP39">INDEX(EP42:EP50,$K$38)</f>
        <v>2.25</v>
      </c>
      <c r="EQ39" s="61" cm="1">
        <f t="array" ref="EQ39">INDEX(EQ42:EQ50,$K$38)</f>
        <v>2.25</v>
      </c>
      <c r="ER39" s="61" cm="1">
        <f t="array" ref="ER39">INDEX(ER42:ER50,$K$38)</f>
        <v>2.25</v>
      </c>
      <c r="ES39" s="61" cm="1">
        <f t="array" ref="ES39">INDEX(ES42:ES50,$K$38)</f>
        <v>2.25</v>
      </c>
      <c r="ET39" s="61" cm="1">
        <f t="array" ref="ET39">INDEX(ET42:ET50,$K$38)</f>
        <v>2.25</v>
      </c>
      <c r="EU39" s="61" cm="1">
        <f t="array" ref="EU39">INDEX(EU42:EU50,$K$38)</f>
        <v>2.25</v>
      </c>
      <c r="EV39" s="61" cm="1">
        <f t="array" ref="EV39">INDEX(EV42:EV50,$K$38)</f>
        <v>2.25</v>
      </c>
      <c r="EW39" s="61" cm="1">
        <f t="array" ref="EW39">INDEX(EW42:EW50,$K$38)</f>
        <v>2.25</v>
      </c>
      <c r="EX39" s="61" cm="1">
        <f t="array" ref="EX39">INDEX(EX42:EX50,$K$38)</f>
        <v>2.25</v>
      </c>
      <c r="EY39" s="61" cm="1">
        <f t="array" ref="EY39">INDEX(EY42:EY50,$K$38)</f>
        <v>2.25</v>
      </c>
      <c r="EZ39" s="61" cm="1">
        <f t="array" ref="EZ39">INDEX(EZ42:EZ50,$K$38)</f>
        <v>2.25</v>
      </c>
      <c r="FA39" s="61" cm="1">
        <f t="array" ref="FA39">INDEX(FA42:FA50,$K$38)</f>
        <v>2.25</v>
      </c>
      <c r="FB39" s="61" cm="1">
        <f t="array" ref="FB39">INDEX(FB42:FB50,$K$38)</f>
        <v>2.25</v>
      </c>
      <c r="FC39" s="61" cm="1">
        <f t="array" ref="FC39">INDEX(FC42:FC50,$K$38)</f>
        <v>2.25</v>
      </c>
      <c r="FD39" s="61" cm="1">
        <f t="array" ref="FD39">INDEX(FD42:FD50,$K$38)</f>
        <v>2.25</v>
      </c>
      <c r="FE39" s="61" cm="1">
        <f t="array" ref="FE39">INDEX(FE42:FE50,$K$38)</f>
        <v>2.25</v>
      </c>
      <c r="FF39" s="61" cm="1">
        <f t="array" ref="FF39">INDEX(FF42:FF50,$K$38)</f>
        <v>2.25</v>
      </c>
      <c r="FG39" s="61" cm="1">
        <f t="array" ref="FG39">INDEX(FG42:FG50,$K$38)</f>
        <v>2.25</v>
      </c>
      <c r="FH39" s="61" cm="1">
        <f t="array" ref="FH39">INDEX(FH42:FH50,$K$38)</f>
        <v>2.25</v>
      </c>
      <c r="FI39" s="61" cm="1">
        <f t="array" ref="FI39">INDEX(FI42:FI50,$K$38)</f>
        <v>2.25</v>
      </c>
      <c r="FJ39" s="61" cm="1">
        <f t="array" ref="FJ39">INDEX(FJ42:FJ50,$K$38)</f>
        <v>2.25</v>
      </c>
      <c r="FK39" s="61" cm="1">
        <f t="array" ref="FK39">INDEX(FK42:FK50,$K$38)</f>
        <v>2.25</v>
      </c>
      <c r="FL39" s="61" cm="1">
        <f t="array" ref="FL39">INDEX(FL42:FL50,$K$38)</f>
        <v>2.25</v>
      </c>
      <c r="FM39" s="61" cm="1">
        <f t="array" ref="FM39">INDEX(FM42:FM50,$K$38)</f>
        <v>2.25</v>
      </c>
      <c r="FN39" s="61" cm="1">
        <f t="array" ref="FN39">INDEX(FN42:FN50,$K$38)</f>
        <v>2.25</v>
      </c>
      <c r="FO39" s="61" cm="1">
        <f t="array" ref="FO39">INDEX(FO42:FO50,$K$38)</f>
        <v>2.25</v>
      </c>
      <c r="FP39" s="61" cm="1">
        <f t="array" ref="FP39">INDEX(FP42:FP50,$K$38)</f>
        <v>2.25</v>
      </c>
      <c r="FQ39" s="61" cm="1">
        <f t="array" ref="FQ39">INDEX(FQ42:FQ50,$K$38)</f>
        <v>2.25</v>
      </c>
      <c r="FR39" s="61" cm="1">
        <f t="array" ref="FR39">INDEX(FR42:FR50,$K$38)</f>
        <v>2.25</v>
      </c>
      <c r="FS39" s="61" cm="1">
        <f t="array" ref="FS39">INDEX(FS42:FS50,$K$38)</f>
        <v>2.25</v>
      </c>
      <c r="FT39" s="61" cm="1">
        <f t="array" ref="FT39">INDEX(FT42:FT50,$K$38)</f>
        <v>2.25</v>
      </c>
      <c r="FU39" s="61" cm="1">
        <f t="array" ref="FU39">INDEX(FU42:FU50,$K$38)</f>
        <v>2.25</v>
      </c>
      <c r="FV39" s="61" cm="1">
        <f t="array" ref="FV39">INDEX(FV42:FV50,$K$38)</f>
        <v>2.25</v>
      </c>
      <c r="FW39" s="61" cm="1">
        <f t="array" ref="FW39">INDEX(FW42:FW50,$K$38)</f>
        <v>2.25</v>
      </c>
      <c r="FX39" s="61" cm="1">
        <f t="array" ref="FX39">INDEX(FX42:FX50,$K$38)</f>
        <v>2.25</v>
      </c>
      <c r="FY39" s="61" cm="1">
        <f t="array" ref="FY39">INDEX(FY42:FY50,$K$38)</f>
        <v>2.25</v>
      </c>
      <c r="FZ39" s="61" cm="1">
        <f t="array" ref="FZ39">INDEX(FZ42:FZ50,$K$38)</f>
        <v>2.25</v>
      </c>
      <c r="GA39" s="61" cm="1">
        <f t="array" ref="GA39">INDEX(GA42:GA50,$K$38)</f>
        <v>2.25</v>
      </c>
      <c r="GB39" s="61" cm="1">
        <f t="array" ref="GB39">INDEX(GB42:GB50,$K$38)</f>
        <v>2.25</v>
      </c>
      <c r="GC39" s="61" cm="1">
        <f t="array" ref="GC39">INDEX(GC42:GC50,$K$38)</f>
        <v>2.25</v>
      </c>
      <c r="GD39" s="61" cm="1">
        <f t="array" ref="GD39">INDEX(GD42:GD50,$K$38)</f>
        <v>2.25</v>
      </c>
      <c r="GE39" s="61" cm="1">
        <f t="array" ref="GE39">INDEX(GE42:GE50,$K$38)</f>
        <v>2.25</v>
      </c>
      <c r="GF39" s="61" cm="1">
        <f t="array" ref="GF39">INDEX(GF42:GF50,$K$38)</f>
        <v>2.25</v>
      </c>
      <c r="GG39" s="61" cm="1">
        <f t="array" ref="GG39">INDEX(GG42:GG50,$K$38)</f>
        <v>2.25</v>
      </c>
      <c r="GH39" s="61" cm="1">
        <f t="array" ref="GH39">INDEX(GH42:GH50,$K$38)</f>
        <v>2.25</v>
      </c>
      <c r="GI39" s="61" cm="1">
        <f t="array" ref="GI39">INDEX(GI42:GI50,$K$38)</f>
        <v>2.25</v>
      </c>
      <c r="GJ39" s="61" cm="1">
        <f t="array" ref="GJ39">INDEX(GJ42:GJ50,$K$38)</f>
        <v>2.25</v>
      </c>
      <c r="GK39" s="61" cm="1">
        <f t="array" ref="GK39">INDEX(GK42:GK50,$K$38)</f>
        <v>2.25</v>
      </c>
      <c r="GL39" s="61" cm="1">
        <f t="array" ref="GL39">INDEX(GL42:GL50,$K$38)</f>
        <v>2.25</v>
      </c>
      <c r="GM39" s="61" cm="1">
        <f t="array" ref="GM39">INDEX(GM42:GM50,$K$38)</f>
        <v>2.25</v>
      </c>
      <c r="GN39" s="61" cm="1">
        <f t="array" ref="GN39">INDEX(GN42:GN50,$K$38)</f>
        <v>2.25</v>
      </c>
      <c r="GO39" s="61" cm="1">
        <f t="array" ref="GO39">INDEX(GO42:GO50,$K$38)</f>
        <v>2.25</v>
      </c>
      <c r="GP39" s="61" cm="1">
        <f t="array" ref="GP39">INDEX(GP42:GP50,$K$38)</f>
        <v>2.25</v>
      </c>
      <c r="GQ39" s="61" cm="1">
        <f t="array" ref="GQ39">INDEX(GQ42:GQ50,$K$38)</f>
        <v>2.25</v>
      </c>
      <c r="GR39" s="61" cm="1">
        <f t="array" ref="GR39">INDEX(GR42:GR50,$K$38)</f>
        <v>2.25</v>
      </c>
      <c r="GS39" s="61" cm="1">
        <f t="array" ref="GS39">INDEX(GS42:GS50,$K$38)</f>
        <v>2.25</v>
      </c>
      <c r="GT39" s="61" cm="1">
        <f t="array" ref="GT39">INDEX(GT42:GT50,$K$38)</f>
        <v>2.25</v>
      </c>
      <c r="GU39" s="61" cm="1">
        <f t="array" ref="GU39">INDEX(GU42:GU50,$K$38)</f>
        <v>2.25</v>
      </c>
      <c r="GV39" s="61" cm="1">
        <f t="array" ref="GV39">INDEX(GV42:GV50,$K$38)</f>
        <v>2.25</v>
      </c>
      <c r="GW39" s="61" cm="1">
        <f t="array" ref="GW39">INDEX(GW42:GW50,$K$38)</f>
        <v>2.25</v>
      </c>
      <c r="GX39" s="61" cm="1">
        <f t="array" ref="GX39">INDEX(GX42:GX50,$K$38)</f>
        <v>2.25</v>
      </c>
      <c r="GY39" s="61" cm="1">
        <f t="array" ref="GY39">INDEX(GY42:GY50,$K$38)</f>
        <v>2.25</v>
      </c>
      <c r="GZ39" s="61" cm="1">
        <f t="array" ref="GZ39">INDEX(GZ42:GZ50,$K$38)</f>
        <v>2.25</v>
      </c>
      <c r="HA39" s="61" cm="1">
        <f t="array" ref="HA39">INDEX(HA42:HA50,$K$38)</f>
        <v>2.25</v>
      </c>
      <c r="HB39" s="61" cm="1">
        <f t="array" ref="HB39">INDEX(HB42:HB50,$K$38)</f>
        <v>2.25</v>
      </c>
      <c r="HC39" s="61" cm="1">
        <f t="array" ref="HC39">INDEX(HC42:HC50,$K$38)</f>
        <v>2.25</v>
      </c>
      <c r="HD39" s="61" cm="1">
        <f t="array" ref="HD39">INDEX(HD42:HD50,$K$38)</f>
        <v>2.25</v>
      </c>
      <c r="HE39" s="61" cm="1">
        <f t="array" ref="HE39">INDEX(HE42:HE50,$K$38)</f>
        <v>2.25</v>
      </c>
      <c r="HF39" s="61" cm="1">
        <f t="array" ref="HF39">INDEX(HF42:HF50,$K$38)</f>
        <v>2.25</v>
      </c>
      <c r="HG39" s="61" cm="1">
        <f t="array" ref="HG39">INDEX(HG42:HG50,$K$38)</f>
        <v>2.25</v>
      </c>
      <c r="HH39" s="61" cm="1">
        <f t="array" ref="HH39">INDEX(HH42:HH50,$K$38)</f>
        <v>2.25</v>
      </c>
      <c r="HI39" s="61" cm="1">
        <f t="array" ref="HI39">INDEX(HI42:HI50,$K$38)</f>
        <v>2.25</v>
      </c>
      <c r="HJ39" s="61" cm="1">
        <f t="array" ref="HJ39">INDEX(HJ42:HJ50,$K$38)</f>
        <v>2.25</v>
      </c>
      <c r="HK39" s="61" cm="1">
        <f t="array" ref="HK39">INDEX(HK42:HK50,$K$38)</f>
        <v>2.25</v>
      </c>
      <c r="HL39" s="61" cm="1">
        <f t="array" ref="HL39">INDEX(HL42:HL50,$K$38)</f>
        <v>2.25</v>
      </c>
      <c r="HM39" s="61" cm="1">
        <f t="array" ref="HM39">INDEX(HM42:HM50,$K$38)</f>
        <v>2.25</v>
      </c>
      <c r="HN39" s="61" cm="1">
        <f t="array" ref="HN39">INDEX(HN42:HN50,$K$38)</f>
        <v>2.25</v>
      </c>
      <c r="HO39" s="61" cm="1">
        <f t="array" ref="HO39">INDEX(HO42:HO50,$K$38)</f>
        <v>2.25</v>
      </c>
      <c r="HP39" s="61" cm="1">
        <f t="array" ref="HP39">INDEX(HP42:HP50,$K$38)</f>
        <v>2.25</v>
      </c>
      <c r="HQ39" s="61" cm="1">
        <f t="array" ref="HQ39">INDEX(HQ42:HQ50,$K$38)</f>
        <v>2.25</v>
      </c>
      <c r="HR39" s="61" cm="1">
        <f t="array" ref="HR39">INDEX(HR42:HR50,$K$38)</f>
        <v>2.25</v>
      </c>
      <c r="HS39" s="61" cm="1">
        <f t="array" ref="HS39">INDEX(HS42:HS50,$K$38)</f>
        <v>2.25</v>
      </c>
      <c r="HT39" s="61" cm="1">
        <f t="array" ref="HT39">INDEX(HT42:HT50,$K$38)</f>
        <v>2.25</v>
      </c>
      <c r="HU39" s="61" cm="1">
        <f t="array" ref="HU39">INDEX(HU42:HU50,$K$38)</f>
        <v>2.25</v>
      </c>
      <c r="HV39" s="61" cm="1">
        <f t="array" ref="HV39">INDEX(HV42:HV50,$K$38)</f>
        <v>2.25</v>
      </c>
      <c r="HW39" s="61" cm="1">
        <f t="array" ref="HW39">INDEX(HW42:HW50,$K$38)</f>
        <v>2.25</v>
      </c>
      <c r="HX39" s="61" cm="1">
        <f t="array" ref="HX39">INDEX(HX42:HX50,$K$38)</f>
        <v>2.25</v>
      </c>
      <c r="HY39" s="61" cm="1">
        <f t="array" ref="HY39">INDEX(HY42:HY50,$K$38)</f>
        <v>2.25</v>
      </c>
      <c r="HZ39" s="61" cm="1">
        <f t="array" ref="HZ39">INDEX(HZ42:HZ50,$K$38)</f>
        <v>2.25</v>
      </c>
      <c r="IA39" s="61" cm="1">
        <f t="array" ref="IA39">INDEX(IA42:IA50,$K$38)</f>
        <v>2.25</v>
      </c>
      <c r="IB39" s="61" cm="1">
        <f t="array" ref="IB39">INDEX(IB42:IB50,$K$38)</f>
        <v>2.25</v>
      </c>
      <c r="IC39" s="61" cm="1">
        <f t="array" ref="IC39">INDEX(IC42:IC50,$K$38)</f>
        <v>2.25</v>
      </c>
      <c r="ID39" s="61" cm="1">
        <f t="array" ref="ID39">INDEX(ID42:ID50,$K$38)</f>
        <v>2.25</v>
      </c>
      <c r="IE39" s="61" cm="1">
        <f t="array" ref="IE39">INDEX(IE42:IE50,$K$38)</f>
        <v>2.25</v>
      </c>
      <c r="IF39" s="61" cm="1">
        <f t="array" ref="IF39">INDEX(IF42:IF50,$K$38)</f>
        <v>2.25</v>
      </c>
      <c r="IG39" s="61" cm="1">
        <f t="array" ref="IG39">INDEX(IG42:IG50,$K$38)</f>
        <v>2.25</v>
      </c>
      <c r="IH39" s="61" cm="1">
        <f t="array" ref="IH39">INDEX(IH42:IH50,$K$38)</f>
        <v>2.25</v>
      </c>
      <c r="II39" s="61" cm="1">
        <f t="array" ref="II39">INDEX(II42:II50,$K$38)</f>
        <v>2.25</v>
      </c>
      <c r="IJ39" s="61" cm="1">
        <f t="array" ref="IJ39">INDEX(IJ42:IJ50,$K$38)</f>
        <v>2.25</v>
      </c>
      <c r="IK39" s="61" cm="1">
        <f t="array" ref="IK39">INDEX(IK42:IK50,$K$38)</f>
        <v>2.25</v>
      </c>
      <c r="IL39" s="61" cm="1">
        <f t="array" ref="IL39">INDEX(IL42:IL50,$K$38)</f>
        <v>2.25</v>
      </c>
      <c r="IM39" s="61" cm="1">
        <f t="array" ref="IM39">INDEX(IM42:IM50,$K$38)</f>
        <v>2.25</v>
      </c>
      <c r="IN39" s="61" cm="1">
        <f t="array" ref="IN39">INDEX(IN42:IN50,$K$38)</f>
        <v>2.25</v>
      </c>
      <c r="IO39" s="61" cm="1">
        <f t="array" ref="IO39">INDEX(IO42:IO50,$K$38)</f>
        <v>2.25</v>
      </c>
      <c r="IP39" s="61" cm="1">
        <f t="array" ref="IP39">INDEX(IP42:IP50,$K$38)</f>
        <v>2.25</v>
      </c>
      <c r="IQ39" s="61" cm="1">
        <f t="array" ref="IQ39">INDEX(IQ42:IQ50,$K$38)</f>
        <v>2.25</v>
      </c>
      <c r="IR39" s="61" cm="1">
        <f t="array" ref="IR39">INDEX(IR42:IR50,$K$38)</f>
        <v>2.25</v>
      </c>
      <c r="IS39" s="61" cm="1">
        <f t="array" ref="IS39">INDEX(IS42:IS50,$K$38)</f>
        <v>2.25</v>
      </c>
      <c r="IT39" s="61" cm="1">
        <f t="array" ref="IT39">INDEX(IT42:IT50,$K$38)</f>
        <v>2.25</v>
      </c>
      <c r="IU39" s="61" cm="1">
        <f t="array" ref="IU39">INDEX(IU42:IU50,$K$38)</f>
        <v>2.25</v>
      </c>
      <c r="IV39" s="61" cm="1">
        <f t="array" ref="IV39">INDEX(IV42:IV50,$K$38)</f>
        <v>2.25</v>
      </c>
      <c r="IW39" s="61" cm="1">
        <f t="array" ref="IW39">INDEX(IW42:IW50,$K$38)</f>
        <v>2.25</v>
      </c>
      <c r="IX39" s="61" cm="1">
        <f t="array" ref="IX39">INDEX(IX42:IX50,$K$38)</f>
        <v>2.25</v>
      </c>
      <c r="IY39" s="61" cm="1">
        <f t="array" ref="IY39">INDEX(IY42:IY50,$K$38)</f>
        <v>2.25</v>
      </c>
      <c r="IZ39" s="61" cm="1">
        <f t="array" ref="IZ39">INDEX(IZ42:IZ50,$K$38)</f>
        <v>2.25</v>
      </c>
      <c r="JA39" s="61" cm="1">
        <f t="array" ref="JA39">INDEX(JA42:JA50,$K$38)</f>
        <v>2.25</v>
      </c>
      <c r="JB39" s="61" cm="1">
        <f t="array" ref="JB39">INDEX(JB42:JB50,$K$38)</f>
        <v>2.25</v>
      </c>
      <c r="JC39" s="61" cm="1">
        <f t="array" ref="JC39">INDEX(JC42:JC50,$K$38)</f>
        <v>2.25</v>
      </c>
      <c r="JD39" s="61" cm="1">
        <f t="array" ref="JD39">INDEX(JD42:JD50,$K$38)</f>
        <v>2.25</v>
      </c>
      <c r="JE39" s="61" cm="1">
        <f t="array" ref="JE39">INDEX(JE42:JE50,$K$38)</f>
        <v>2.25</v>
      </c>
      <c r="JF39" s="61" cm="1">
        <f t="array" ref="JF39">INDEX(JF42:JF50,$K$38)</f>
        <v>2.25</v>
      </c>
      <c r="JG39" s="61" cm="1">
        <f t="array" ref="JG39">INDEX(JG42:JG50,$K$38)</f>
        <v>2.25</v>
      </c>
      <c r="JH39" s="61" cm="1">
        <f t="array" ref="JH39">INDEX(JH42:JH50,$K$38)</f>
        <v>2.25</v>
      </c>
      <c r="JI39" s="61" cm="1">
        <f t="array" ref="JI39">INDEX(JI42:JI50,$K$38)</f>
        <v>2.25</v>
      </c>
      <c r="JJ39" s="61" cm="1">
        <f t="array" ref="JJ39">INDEX(JJ42:JJ50,$K$38)</f>
        <v>2.25</v>
      </c>
      <c r="JK39" s="61" cm="1">
        <f t="array" ref="JK39">INDEX(JK42:JK50,$K$38)</f>
        <v>2.25</v>
      </c>
      <c r="JL39" s="61" cm="1">
        <f t="array" ref="JL39">INDEX(JL42:JL50,$K$38)</f>
        <v>2.25</v>
      </c>
      <c r="JM39" s="61" cm="1">
        <f t="array" ref="JM39">INDEX(JM42:JM50,$K$38)</f>
        <v>2.25</v>
      </c>
      <c r="JN39" s="61" cm="1">
        <f t="array" ref="JN39">INDEX(JN42:JN50,$K$38)</f>
        <v>2.25</v>
      </c>
      <c r="JO39" s="61" cm="1">
        <f t="array" ref="JO39">INDEX(JO42:JO50,$K$38)</f>
        <v>2.25</v>
      </c>
      <c r="JP39" s="61" cm="1">
        <f t="array" ref="JP39">INDEX(JP42:JP50,$K$38)</f>
        <v>2.25</v>
      </c>
      <c r="JQ39" s="61" cm="1">
        <f t="array" ref="JQ39">INDEX(JQ42:JQ50,$K$38)</f>
        <v>2.25</v>
      </c>
      <c r="JR39" s="61" cm="1">
        <f t="array" ref="JR39">INDEX(JR42:JR50,$K$38)</f>
        <v>2.25</v>
      </c>
      <c r="JS39" s="61" cm="1">
        <f t="array" ref="JS39">INDEX(JS42:JS50,$K$38)</f>
        <v>2.25</v>
      </c>
      <c r="JT39" s="61" cm="1">
        <f t="array" ref="JT39">INDEX(JT42:JT50,$K$38)</f>
        <v>2.25</v>
      </c>
      <c r="JU39" s="61" cm="1">
        <f t="array" ref="JU39">INDEX(JU42:JU50,$K$38)</f>
        <v>2.25</v>
      </c>
      <c r="JV39" s="61" cm="1">
        <f t="array" ref="JV39">INDEX(JV42:JV50,$K$38)</f>
        <v>2.25</v>
      </c>
      <c r="JW39" s="61" cm="1">
        <f t="array" ref="JW39">INDEX(JW42:JW50,$K$38)</f>
        <v>2.25</v>
      </c>
      <c r="JX39" s="61" cm="1">
        <f t="array" ref="JX39">INDEX(JX42:JX50,$K$38)</f>
        <v>2.25</v>
      </c>
      <c r="JY39" s="61" cm="1">
        <f t="array" ref="JY39">INDEX(JY42:JY50,$K$38)</f>
        <v>2.25</v>
      </c>
      <c r="JZ39" s="61" cm="1">
        <f t="array" ref="JZ39">INDEX(JZ42:JZ50,$K$38)</f>
        <v>2.25</v>
      </c>
      <c r="KA39" s="61" cm="1">
        <f t="array" ref="KA39">INDEX(KA42:KA50,$K$38)</f>
        <v>2.25</v>
      </c>
      <c r="KB39" s="61" cm="1">
        <f t="array" ref="KB39">INDEX(KB42:KB50,$K$38)</f>
        <v>2.25</v>
      </c>
      <c r="KC39" s="61" cm="1">
        <f t="array" ref="KC39">INDEX(KC42:KC50,$K$38)</f>
        <v>2.25</v>
      </c>
      <c r="KD39" s="61" cm="1">
        <f t="array" ref="KD39">INDEX(KD42:KD50,$K$38)</f>
        <v>2.25</v>
      </c>
      <c r="KE39" s="61" cm="1">
        <f t="array" ref="KE39">INDEX(KE42:KE50,$K$38)</f>
        <v>2.25</v>
      </c>
      <c r="KF39" s="61" cm="1">
        <f t="array" ref="KF39">INDEX(KF42:KF50,$K$38)</f>
        <v>2.25</v>
      </c>
    </row>
    <row r="40" spans="4:293" outlineLevel="1" x14ac:dyDescent="0.35">
      <c r="D40" s="20">
        <v>0</v>
      </c>
      <c r="E40" s="13" t="s">
        <v>166</v>
      </c>
      <c r="J40" s="55" t="s">
        <v>161</v>
      </c>
      <c r="K40" s="62">
        <f>K39*(1+$D40)</f>
        <v>2.35</v>
      </c>
      <c r="L40" s="62">
        <f t="shared" ref="L40:BW40" si="45">L39*(1+$D40)</f>
        <v>2.35</v>
      </c>
      <c r="M40" s="62">
        <f t="shared" si="45"/>
        <v>2.35</v>
      </c>
      <c r="N40" s="62">
        <f t="shared" si="45"/>
        <v>2.35</v>
      </c>
      <c r="O40" s="62">
        <f t="shared" si="45"/>
        <v>2.35</v>
      </c>
      <c r="P40" s="62">
        <f t="shared" si="45"/>
        <v>2.35</v>
      </c>
      <c r="Q40" s="62">
        <f t="shared" si="45"/>
        <v>2.2999999999999998</v>
      </c>
      <c r="R40" s="62">
        <f t="shared" si="45"/>
        <v>2.2999999999999998</v>
      </c>
      <c r="S40" s="62">
        <f t="shared" si="45"/>
        <v>2.2999999999999998</v>
      </c>
      <c r="T40" s="62">
        <f t="shared" si="45"/>
        <v>2.2999999999999998</v>
      </c>
      <c r="U40" s="62">
        <f t="shared" si="45"/>
        <v>2.2999999999999998</v>
      </c>
      <c r="V40" s="62">
        <f t="shared" si="45"/>
        <v>2.2999999999999998</v>
      </c>
      <c r="W40" s="62">
        <f t="shared" si="45"/>
        <v>2.2999999999999998</v>
      </c>
      <c r="X40" s="62">
        <f t="shared" si="45"/>
        <v>2.2999999999999998</v>
      </c>
      <c r="Y40" s="62">
        <f t="shared" si="45"/>
        <v>2.25</v>
      </c>
      <c r="Z40" s="62">
        <f t="shared" si="45"/>
        <v>2.25</v>
      </c>
      <c r="AA40" s="62">
        <f t="shared" si="45"/>
        <v>2.25</v>
      </c>
      <c r="AB40" s="62">
        <f t="shared" si="45"/>
        <v>2.25</v>
      </c>
      <c r="AC40" s="62">
        <f t="shared" si="45"/>
        <v>2.25</v>
      </c>
      <c r="AD40" s="62">
        <f t="shared" si="45"/>
        <v>2.25</v>
      </c>
      <c r="AE40" s="62">
        <f t="shared" si="45"/>
        <v>2.25</v>
      </c>
      <c r="AF40" s="62">
        <f t="shared" si="45"/>
        <v>2.25</v>
      </c>
      <c r="AG40" s="62">
        <f t="shared" si="45"/>
        <v>2.25</v>
      </c>
      <c r="AH40" s="62">
        <f t="shared" si="45"/>
        <v>2.25</v>
      </c>
      <c r="AI40" s="62">
        <f t="shared" si="45"/>
        <v>2.25</v>
      </c>
      <c r="AJ40" s="62">
        <f t="shared" si="45"/>
        <v>2.25</v>
      </c>
      <c r="AK40" s="62">
        <f t="shared" si="45"/>
        <v>2.25</v>
      </c>
      <c r="AL40" s="62">
        <f t="shared" si="45"/>
        <v>2.25</v>
      </c>
      <c r="AM40" s="62">
        <f t="shared" si="45"/>
        <v>2.25</v>
      </c>
      <c r="AN40" s="62">
        <f t="shared" si="45"/>
        <v>2.25</v>
      </c>
      <c r="AO40" s="62">
        <f t="shared" si="45"/>
        <v>2.25</v>
      </c>
      <c r="AP40" s="62">
        <f t="shared" si="45"/>
        <v>2.25</v>
      </c>
      <c r="AQ40" s="62">
        <f t="shared" si="45"/>
        <v>2.25</v>
      </c>
      <c r="AR40" s="62">
        <f t="shared" si="45"/>
        <v>2.25</v>
      </c>
      <c r="AS40" s="62">
        <f t="shared" si="45"/>
        <v>2.25</v>
      </c>
      <c r="AT40" s="62">
        <f t="shared" si="45"/>
        <v>2.25</v>
      </c>
      <c r="AU40" s="62">
        <f t="shared" si="45"/>
        <v>2.25</v>
      </c>
      <c r="AV40" s="62">
        <f t="shared" si="45"/>
        <v>2.25</v>
      </c>
      <c r="AW40" s="62">
        <f t="shared" si="45"/>
        <v>2.25</v>
      </c>
      <c r="AX40" s="62">
        <f t="shared" si="45"/>
        <v>2.25</v>
      </c>
      <c r="AY40" s="62">
        <f t="shared" si="45"/>
        <v>2.25</v>
      </c>
      <c r="AZ40" s="62">
        <f t="shared" si="45"/>
        <v>2.25</v>
      </c>
      <c r="BA40" s="62">
        <f t="shared" si="45"/>
        <v>2.25</v>
      </c>
      <c r="BB40" s="62">
        <f t="shared" si="45"/>
        <v>2.25</v>
      </c>
      <c r="BC40" s="62">
        <f t="shared" si="45"/>
        <v>2.25</v>
      </c>
      <c r="BD40" s="62">
        <f t="shared" si="45"/>
        <v>2.25</v>
      </c>
      <c r="BE40" s="62">
        <f t="shared" si="45"/>
        <v>2.25</v>
      </c>
      <c r="BF40" s="62">
        <f t="shared" si="45"/>
        <v>2.25</v>
      </c>
      <c r="BG40" s="62">
        <f t="shared" si="45"/>
        <v>2.25</v>
      </c>
      <c r="BH40" s="62">
        <f t="shared" si="45"/>
        <v>2.25</v>
      </c>
      <c r="BI40" s="62">
        <f t="shared" si="45"/>
        <v>2.25</v>
      </c>
      <c r="BJ40" s="62">
        <f t="shared" si="45"/>
        <v>2.25</v>
      </c>
      <c r="BK40" s="62">
        <f t="shared" si="45"/>
        <v>2.25</v>
      </c>
      <c r="BL40" s="62">
        <f t="shared" si="45"/>
        <v>2.25</v>
      </c>
      <c r="BM40" s="62">
        <f t="shared" si="45"/>
        <v>2.25</v>
      </c>
      <c r="BN40" s="62">
        <f t="shared" si="45"/>
        <v>2.25</v>
      </c>
      <c r="BO40" s="62">
        <f t="shared" si="45"/>
        <v>2.25</v>
      </c>
      <c r="BP40" s="62">
        <f t="shared" si="45"/>
        <v>2.25</v>
      </c>
      <c r="BQ40" s="62">
        <f t="shared" si="45"/>
        <v>2.25</v>
      </c>
      <c r="BR40" s="62">
        <f t="shared" si="45"/>
        <v>2.25</v>
      </c>
      <c r="BS40" s="62">
        <f t="shared" si="45"/>
        <v>2.25</v>
      </c>
      <c r="BT40" s="62">
        <f t="shared" si="45"/>
        <v>2.25</v>
      </c>
      <c r="BU40" s="62">
        <f t="shared" si="45"/>
        <v>2.25</v>
      </c>
      <c r="BV40" s="62">
        <f t="shared" si="45"/>
        <v>2.25</v>
      </c>
      <c r="BW40" s="62">
        <f t="shared" si="45"/>
        <v>2.25</v>
      </c>
      <c r="BX40" s="62">
        <f t="shared" ref="BX40:EI40" si="46">BX39*(1+$D40)</f>
        <v>2.25</v>
      </c>
      <c r="BY40" s="62">
        <f t="shared" si="46"/>
        <v>2.25</v>
      </c>
      <c r="BZ40" s="62">
        <f t="shared" si="46"/>
        <v>2.25</v>
      </c>
      <c r="CA40" s="62">
        <f t="shared" si="46"/>
        <v>2.25</v>
      </c>
      <c r="CB40" s="62">
        <f t="shared" si="46"/>
        <v>2.25</v>
      </c>
      <c r="CC40" s="62">
        <f t="shared" si="46"/>
        <v>2.25</v>
      </c>
      <c r="CD40" s="62">
        <f t="shared" si="46"/>
        <v>2.25</v>
      </c>
      <c r="CE40" s="62">
        <f t="shared" si="46"/>
        <v>2.25</v>
      </c>
      <c r="CF40" s="62">
        <f t="shared" si="46"/>
        <v>2.25</v>
      </c>
      <c r="CG40" s="62">
        <f t="shared" si="46"/>
        <v>2.25</v>
      </c>
      <c r="CH40" s="62">
        <f t="shared" si="46"/>
        <v>2.25</v>
      </c>
      <c r="CI40" s="62">
        <f t="shared" si="46"/>
        <v>2.25</v>
      </c>
      <c r="CJ40" s="62">
        <f t="shared" si="46"/>
        <v>2.25</v>
      </c>
      <c r="CK40" s="62">
        <f t="shared" si="46"/>
        <v>2.25</v>
      </c>
      <c r="CL40" s="62">
        <f t="shared" si="46"/>
        <v>2.25</v>
      </c>
      <c r="CM40" s="62">
        <f t="shared" si="46"/>
        <v>2.25</v>
      </c>
      <c r="CN40" s="62">
        <f t="shared" si="46"/>
        <v>2.25</v>
      </c>
      <c r="CO40" s="62">
        <f t="shared" si="46"/>
        <v>2.25</v>
      </c>
      <c r="CP40" s="62">
        <f t="shared" si="46"/>
        <v>2.25</v>
      </c>
      <c r="CQ40" s="62">
        <f t="shared" si="46"/>
        <v>2.25</v>
      </c>
      <c r="CR40" s="62">
        <f t="shared" si="46"/>
        <v>2.25</v>
      </c>
      <c r="CS40" s="62">
        <f t="shared" si="46"/>
        <v>2.25</v>
      </c>
      <c r="CT40" s="62">
        <f t="shared" si="46"/>
        <v>2.25</v>
      </c>
      <c r="CU40" s="62">
        <f t="shared" si="46"/>
        <v>2.25</v>
      </c>
      <c r="CV40" s="62">
        <f t="shared" si="46"/>
        <v>2.25</v>
      </c>
      <c r="CW40" s="62">
        <f t="shared" si="46"/>
        <v>2.25</v>
      </c>
      <c r="CX40" s="62">
        <f t="shared" si="46"/>
        <v>2.25</v>
      </c>
      <c r="CY40" s="62">
        <f t="shared" si="46"/>
        <v>2.25</v>
      </c>
      <c r="CZ40" s="62">
        <f t="shared" si="46"/>
        <v>2.25</v>
      </c>
      <c r="DA40" s="62">
        <f t="shared" si="46"/>
        <v>2.25</v>
      </c>
      <c r="DB40" s="62">
        <f t="shared" si="46"/>
        <v>2.25</v>
      </c>
      <c r="DC40" s="62">
        <f t="shared" si="46"/>
        <v>2.25</v>
      </c>
      <c r="DD40" s="62">
        <f t="shared" si="46"/>
        <v>2.25</v>
      </c>
      <c r="DE40" s="62">
        <f t="shared" si="46"/>
        <v>2.25</v>
      </c>
      <c r="DF40" s="62">
        <f t="shared" si="46"/>
        <v>2.25</v>
      </c>
      <c r="DG40" s="62">
        <f t="shared" si="46"/>
        <v>2.25</v>
      </c>
      <c r="DH40" s="62">
        <f t="shared" si="46"/>
        <v>2.25</v>
      </c>
      <c r="DI40" s="62">
        <f t="shared" si="46"/>
        <v>2.25</v>
      </c>
      <c r="DJ40" s="62">
        <f t="shared" si="46"/>
        <v>2.25</v>
      </c>
      <c r="DK40" s="62">
        <f t="shared" si="46"/>
        <v>2.25</v>
      </c>
      <c r="DL40" s="62">
        <f t="shared" si="46"/>
        <v>2.25</v>
      </c>
      <c r="DM40" s="62">
        <f t="shared" si="46"/>
        <v>2.25</v>
      </c>
      <c r="DN40" s="62">
        <f t="shared" si="46"/>
        <v>2.25</v>
      </c>
      <c r="DO40" s="62">
        <f t="shared" si="46"/>
        <v>2.25</v>
      </c>
      <c r="DP40" s="62">
        <f t="shared" si="46"/>
        <v>2.25</v>
      </c>
      <c r="DQ40" s="62">
        <f t="shared" si="46"/>
        <v>2.25</v>
      </c>
      <c r="DR40" s="62">
        <f t="shared" si="46"/>
        <v>2.25</v>
      </c>
      <c r="DS40" s="62">
        <f t="shared" si="46"/>
        <v>2.25</v>
      </c>
      <c r="DT40" s="62">
        <f t="shared" si="46"/>
        <v>2.25</v>
      </c>
      <c r="DU40" s="62">
        <f t="shared" si="46"/>
        <v>2.25</v>
      </c>
      <c r="DV40" s="62">
        <f t="shared" si="46"/>
        <v>2.25</v>
      </c>
      <c r="DW40" s="62">
        <f t="shared" si="46"/>
        <v>2.25</v>
      </c>
      <c r="DX40" s="62">
        <f t="shared" si="46"/>
        <v>2.25</v>
      </c>
      <c r="DY40" s="62">
        <f t="shared" si="46"/>
        <v>2.25</v>
      </c>
      <c r="DZ40" s="62">
        <f t="shared" si="46"/>
        <v>2.25</v>
      </c>
      <c r="EA40" s="62">
        <f t="shared" si="46"/>
        <v>2.25</v>
      </c>
      <c r="EB40" s="62">
        <f t="shared" si="46"/>
        <v>2.25</v>
      </c>
      <c r="EC40" s="62">
        <f t="shared" si="46"/>
        <v>2.25</v>
      </c>
      <c r="ED40" s="62">
        <f t="shared" si="46"/>
        <v>2.25</v>
      </c>
      <c r="EE40" s="62">
        <f t="shared" si="46"/>
        <v>2.25</v>
      </c>
      <c r="EF40" s="62">
        <f t="shared" si="46"/>
        <v>2.25</v>
      </c>
      <c r="EG40" s="62">
        <f t="shared" si="46"/>
        <v>2.25</v>
      </c>
      <c r="EH40" s="62">
        <f t="shared" si="46"/>
        <v>2.25</v>
      </c>
      <c r="EI40" s="62">
        <f t="shared" si="46"/>
        <v>2.25</v>
      </c>
      <c r="EJ40" s="62">
        <f t="shared" ref="EJ40:GU40" si="47">EJ39*(1+$D40)</f>
        <v>2.25</v>
      </c>
      <c r="EK40" s="62">
        <f t="shared" si="47"/>
        <v>2.25</v>
      </c>
      <c r="EL40" s="62">
        <f t="shared" si="47"/>
        <v>2.25</v>
      </c>
      <c r="EM40" s="62">
        <f t="shared" si="47"/>
        <v>2.25</v>
      </c>
      <c r="EN40" s="62">
        <f t="shared" si="47"/>
        <v>2.25</v>
      </c>
      <c r="EO40" s="62">
        <f t="shared" si="47"/>
        <v>2.25</v>
      </c>
      <c r="EP40" s="62">
        <f t="shared" si="47"/>
        <v>2.25</v>
      </c>
      <c r="EQ40" s="62">
        <f t="shared" si="47"/>
        <v>2.25</v>
      </c>
      <c r="ER40" s="62">
        <f t="shared" si="47"/>
        <v>2.25</v>
      </c>
      <c r="ES40" s="62">
        <f t="shared" si="47"/>
        <v>2.25</v>
      </c>
      <c r="ET40" s="62">
        <f t="shared" si="47"/>
        <v>2.25</v>
      </c>
      <c r="EU40" s="62">
        <f t="shared" si="47"/>
        <v>2.25</v>
      </c>
      <c r="EV40" s="62">
        <f t="shared" si="47"/>
        <v>2.25</v>
      </c>
      <c r="EW40" s="62">
        <f t="shared" si="47"/>
        <v>2.25</v>
      </c>
      <c r="EX40" s="62">
        <f t="shared" si="47"/>
        <v>2.25</v>
      </c>
      <c r="EY40" s="62">
        <f t="shared" si="47"/>
        <v>2.25</v>
      </c>
      <c r="EZ40" s="62">
        <f t="shared" si="47"/>
        <v>2.25</v>
      </c>
      <c r="FA40" s="62">
        <f t="shared" si="47"/>
        <v>2.25</v>
      </c>
      <c r="FB40" s="62">
        <f t="shared" si="47"/>
        <v>2.25</v>
      </c>
      <c r="FC40" s="62">
        <f t="shared" si="47"/>
        <v>2.25</v>
      </c>
      <c r="FD40" s="62">
        <f t="shared" si="47"/>
        <v>2.25</v>
      </c>
      <c r="FE40" s="62">
        <f t="shared" si="47"/>
        <v>2.25</v>
      </c>
      <c r="FF40" s="62">
        <f t="shared" si="47"/>
        <v>2.25</v>
      </c>
      <c r="FG40" s="62">
        <f t="shared" si="47"/>
        <v>2.25</v>
      </c>
      <c r="FH40" s="62">
        <f t="shared" si="47"/>
        <v>2.25</v>
      </c>
      <c r="FI40" s="62">
        <f t="shared" si="47"/>
        <v>2.25</v>
      </c>
      <c r="FJ40" s="62">
        <f t="shared" si="47"/>
        <v>2.25</v>
      </c>
      <c r="FK40" s="62">
        <f t="shared" si="47"/>
        <v>2.25</v>
      </c>
      <c r="FL40" s="62">
        <f t="shared" si="47"/>
        <v>2.25</v>
      </c>
      <c r="FM40" s="62">
        <f t="shared" si="47"/>
        <v>2.25</v>
      </c>
      <c r="FN40" s="62">
        <f t="shared" si="47"/>
        <v>2.25</v>
      </c>
      <c r="FO40" s="62">
        <f t="shared" si="47"/>
        <v>2.25</v>
      </c>
      <c r="FP40" s="62">
        <f t="shared" si="47"/>
        <v>2.25</v>
      </c>
      <c r="FQ40" s="62">
        <f t="shared" si="47"/>
        <v>2.25</v>
      </c>
      <c r="FR40" s="62">
        <f t="shared" si="47"/>
        <v>2.25</v>
      </c>
      <c r="FS40" s="62">
        <f t="shared" si="47"/>
        <v>2.25</v>
      </c>
      <c r="FT40" s="62">
        <f t="shared" si="47"/>
        <v>2.25</v>
      </c>
      <c r="FU40" s="62">
        <f t="shared" si="47"/>
        <v>2.25</v>
      </c>
      <c r="FV40" s="62">
        <f t="shared" si="47"/>
        <v>2.25</v>
      </c>
      <c r="FW40" s="62">
        <f t="shared" si="47"/>
        <v>2.25</v>
      </c>
      <c r="FX40" s="62">
        <f t="shared" si="47"/>
        <v>2.25</v>
      </c>
      <c r="FY40" s="62">
        <f t="shared" si="47"/>
        <v>2.25</v>
      </c>
      <c r="FZ40" s="62">
        <f t="shared" si="47"/>
        <v>2.25</v>
      </c>
      <c r="GA40" s="62">
        <f t="shared" si="47"/>
        <v>2.25</v>
      </c>
      <c r="GB40" s="62">
        <f t="shared" si="47"/>
        <v>2.25</v>
      </c>
      <c r="GC40" s="62">
        <f t="shared" si="47"/>
        <v>2.25</v>
      </c>
      <c r="GD40" s="62">
        <f t="shared" si="47"/>
        <v>2.25</v>
      </c>
      <c r="GE40" s="62">
        <f t="shared" si="47"/>
        <v>2.25</v>
      </c>
      <c r="GF40" s="62">
        <f t="shared" si="47"/>
        <v>2.25</v>
      </c>
      <c r="GG40" s="62">
        <f t="shared" si="47"/>
        <v>2.25</v>
      </c>
      <c r="GH40" s="62">
        <f t="shared" si="47"/>
        <v>2.25</v>
      </c>
      <c r="GI40" s="62">
        <f t="shared" si="47"/>
        <v>2.25</v>
      </c>
      <c r="GJ40" s="62">
        <f t="shared" si="47"/>
        <v>2.25</v>
      </c>
      <c r="GK40" s="62">
        <f t="shared" si="47"/>
        <v>2.25</v>
      </c>
      <c r="GL40" s="62">
        <f t="shared" si="47"/>
        <v>2.25</v>
      </c>
      <c r="GM40" s="62">
        <f t="shared" si="47"/>
        <v>2.25</v>
      </c>
      <c r="GN40" s="62">
        <f t="shared" si="47"/>
        <v>2.25</v>
      </c>
      <c r="GO40" s="62">
        <f t="shared" si="47"/>
        <v>2.25</v>
      </c>
      <c r="GP40" s="62">
        <f t="shared" si="47"/>
        <v>2.25</v>
      </c>
      <c r="GQ40" s="62">
        <f t="shared" si="47"/>
        <v>2.25</v>
      </c>
      <c r="GR40" s="62">
        <f t="shared" si="47"/>
        <v>2.25</v>
      </c>
      <c r="GS40" s="62">
        <f t="shared" si="47"/>
        <v>2.25</v>
      </c>
      <c r="GT40" s="62">
        <f t="shared" si="47"/>
        <v>2.25</v>
      </c>
      <c r="GU40" s="62">
        <f t="shared" si="47"/>
        <v>2.25</v>
      </c>
      <c r="GV40" s="62">
        <f t="shared" ref="GV40:JG40" si="48">GV39*(1+$D40)</f>
        <v>2.25</v>
      </c>
      <c r="GW40" s="62">
        <f t="shared" si="48"/>
        <v>2.25</v>
      </c>
      <c r="GX40" s="62">
        <f t="shared" si="48"/>
        <v>2.25</v>
      </c>
      <c r="GY40" s="62">
        <f t="shared" si="48"/>
        <v>2.25</v>
      </c>
      <c r="GZ40" s="62">
        <f t="shared" si="48"/>
        <v>2.25</v>
      </c>
      <c r="HA40" s="62">
        <f t="shared" si="48"/>
        <v>2.25</v>
      </c>
      <c r="HB40" s="62">
        <f t="shared" si="48"/>
        <v>2.25</v>
      </c>
      <c r="HC40" s="62">
        <f t="shared" si="48"/>
        <v>2.25</v>
      </c>
      <c r="HD40" s="62">
        <f t="shared" si="48"/>
        <v>2.25</v>
      </c>
      <c r="HE40" s="62">
        <f t="shared" si="48"/>
        <v>2.25</v>
      </c>
      <c r="HF40" s="62">
        <f t="shared" si="48"/>
        <v>2.25</v>
      </c>
      <c r="HG40" s="62">
        <f t="shared" si="48"/>
        <v>2.25</v>
      </c>
      <c r="HH40" s="62">
        <f t="shared" si="48"/>
        <v>2.25</v>
      </c>
      <c r="HI40" s="62">
        <f t="shared" si="48"/>
        <v>2.25</v>
      </c>
      <c r="HJ40" s="62">
        <f t="shared" si="48"/>
        <v>2.25</v>
      </c>
      <c r="HK40" s="62">
        <f t="shared" si="48"/>
        <v>2.25</v>
      </c>
      <c r="HL40" s="62">
        <f t="shared" si="48"/>
        <v>2.25</v>
      </c>
      <c r="HM40" s="62">
        <f t="shared" si="48"/>
        <v>2.25</v>
      </c>
      <c r="HN40" s="62">
        <f t="shared" si="48"/>
        <v>2.25</v>
      </c>
      <c r="HO40" s="62">
        <f t="shared" si="48"/>
        <v>2.25</v>
      </c>
      <c r="HP40" s="62">
        <f t="shared" si="48"/>
        <v>2.25</v>
      </c>
      <c r="HQ40" s="62">
        <f t="shared" si="48"/>
        <v>2.25</v>
      </c>
      <c r="HR40" s="62">
        <f t="shared" si="48"/>
        <v>2.25</v>
      </c>
      <c r="HS40" s="62">
        <f t="shared" si="48"/>
        <v>2.25</v>
      </c>
      <c r="HT40" s="62">
        <f t="shared" si="48"/>
        <v>2.25</v>
      </c>
      <c r="HU40" s="62">
        <f t="shared" si="48"/>
        <v>2.25</v>
      </c>
      <c r="HV40" s="62">
        <f t="shared" si="48"/>
        <v>2.25</v>
      </c>
      <c r="HW40" s="62">
        <f t="shared" si="48"/>
        <v>2.25</v>
      </c>
      <c r="HX40" s="62">
        <f t="shared" si="48"/>
        <v>2.25</v>
      </c>
      <c r="HY40" s="62">
        <f t="shared" si="48"/>
        <v>2.25</v>
      </c>
      <c r="HZ40" s="62">
        <f t="shared" si="48"/>
        <v>2.25</v>
      </c>
      <c r="IA40" s="62">
        <f t="shared" si="48"/>
        <v>2.25</v>
      </c>
      <c r="IB40" s="62">
        <f t="shared" si="48"/>
        <v>2.25</v>
      </c>
      <c r="IC40" s="62">
        <f t="shared" si="48"/>
        <v>2.25</v>
      </c>
      <c r="ID40" s="62">
        <f t="shared" si="48"/>
        <v>2.25</v>
      </c>
      <c r="IE40" s="62">
        <f t="shared" si="48"/>
        <v>2.25</v>
      </c>
      <c r="IF40" s="62">
        <f t="shared" si="48"/>
        <v>2.25</v>
      </c>
      <c r="IG40" s="62">
        <f t="shared" si="48"/>
        <v>2.25</v>
      </c>
      <c r="IH40" s="62">
        <f t="shared" si="48"/>
        <v>2.25</v>
      </c>
      <c r="II40" s="62">
        <f t="shared" si="48"/>
        <v>2.25</v>
      </c>
      <c r="IJ40" s="62">
        <f t="shared" si="48"/>
        <v>2.25</v>
      </c>
      <c r="IK40" s="62">
        <f t="shared" si="48"/>
        <v>2.25</v>
      </c>
      <c r="IL40" s="62">
        <f t="shared" si="48"/>
        <v>2.25</v>
      </c>
      <c r="IM40" s="62">
        <f t="shared" si="48"/>
        <v>2.25</v>
      </c>
      <c r="IN40" s="62">
        <f t="shared" si="48"/>
        <v>2.25</v>
      </c>
      <c r="IO40" s="62">
        <f t="shared" si="48"/>
        <v>2.25</v>
      </c>
      <c r="IP40" s="62">
        <f t="shared" si="48"/>
        <v>2.25</v>
      </c>
      <c r="IQ40" s="62">
        <f t="shared" si="48"/>
        <v>2.25</v>
      </c>
      <c r="IR40" s="62">
        <f t="shared" si="48"/>
        <v>2.25</v>
      </c>
      <c r="IS40" s="62">
        <f t="shared" si="48"/>
        <v>2.25</v>
      </c>
      <c r="IT40" s="62">
        <f t="shared" si="48"/>
        <v>2.25</v>
      </c>
      <c r="IU40" s="62">
        <f t="shared" si="48"/>
        <v>2.25</v>
      </c>
      <c r="IV40" s="62">
        <f t="shared" si="48"/>
        <v>2.25</v>
      </c>
      <c r="IW40" s="62">
        <f t="shared" si="48"/>
        <v>2.25</v>
      </c>
      <c r="IX40" s="62">
        <f t="shared" si="48"/>
        <v>2.25</v>
      </c>
      <c r="IY40" s="62">
        <f t="shared" si="48"/>
        <v>2.25</v>
      </c>
      <c r="IZ40" s="62">
        <f t="shared" si="48"/>
        <v>2.25</v>
      </c>
      <c r="JA40" s="62">
        <f t="shared" si="48"/>
        <v>2.25</v>
      </c>
      <c r="JB40" s="62">
        <f t="shared" si="48"/>
        <v>2.25</v>
      </c>
      <c r="JC40" s="62">
        <f t="shared" si="48"/>
        <v>2.25</v>
      </c>
      <c r="JD40" s="62">
        <f t="shared" si="48"/>
        <v>2.25</v>
      </c>
      <c r="JE40" s="62">
        <f t="shared" si="48"/>
        <v>2.25</v>
      </c>
      <c r="JF40" s="62">
        <f t="shared" si="48"/>
        <v>2.25</v>
      </c>
      <c r="JG40" s="62">
        <f t="shared" si="48"/>
        <v>2.25</v>
      </c>
      <c r="JH40" s="62">
        <f t="shared" ref="JH40:KF40" si="49">JH39*(1+$D40)</f>
        <v>2.25</v>
      </c>
      <c r="JI40" s="62">
        <f t="shared" si="49"/>
        <v>2.25</v>
      </c>
      <c r="JJ40" s="62">
        <f t="shared" si="49"/>
        <v>2.25</v>
      </c>
      <c r="JK40" s="62">
        <f t="shared" si="49"/>
        <v>2.25</v>
      </c>
      <c r="JL40" s="62">
        <f t="shared" si="49"/>
        <v>2.25</v>
      </c>
      <c r="JM40" s="62">
        <f t="shared" si="49"/>
        <v>2.25</v>
      </c>
      <c r="JN40" s="62">
        <f t="shared" si="49"/>
        <v>2.25</v>
      </c>
      <c r="JO40" s="62">
        <f t="shared" si="49"/>
        <v>2.25</v>
      </c>
      <c r="JP40" s="62">
        <f t="shared" si="49"/>
        <v>2.25</v>
      </c>
      <c r="JQ40" s="62">
        <f t="shared" si="49"/>
        <v>2.25</v>
      </c>
      <c r="JR40" s="62">
        <f t="shared" si="49"/>
        <v>2.25</v>
      </c>
      <c r="JS40" s="62">
        <f t="shared" si="49"/>
        <v>2.25</v>
      </c>
      <c r="JT40" s="62">
        <f t="shared" si="49"/>
        <v>2.25</v>
      </c>
      <c r="JU40" s="62">
        <f t="shared" si="49"/>
        <v>2.25</v>
      </c>
      <c r="JV40" s="62">
        <f t="shared" si="49"/>
        <v>2.25</v>
      </c>
      <c r="JW40" s="62">
        <f t="shared" si="49"/>
        <v>2.25</v>
      </c>
      <c r="JX40" s="62">
        <f t="shared" si="49"/>
        <v>2.25</v>
      </c>
      <c r="JY40" s="62">
        <f t="shared" si="49"/>
        <v>2.25</v>
      </c>
      <c r="JZ40" s="62">
        <f t="shared" si="49"/>
        <v>2.25</v>
      </c>
      <c r="KA40" s="62">
        <f t="shared" si="49"/>
        <v>2.25</v>
      </c>
      <c r="KB40" s="62">
        <f t="shared" si="49"/>
        <v>2.25</v>
      </c>
      <c r="KC40" s="62">
        <f t="shared" si="49"/>
        <v>2.25</v>
      </c>
      <c r="KD40" s="62">
        <f t="shared" si="49"/>
        <v>2.25</v>
      </c>
      <c r="KE40" s="62">
        <f t="shared" si="49"/>
        <v>2.25</v>
      </c>
      <c r="KF40" s="62">
        <f t="shared" si="49"/>
        <v>2.25</v>
      </c>
    </row>
    <row r="41" spans="4:293" outlineLevel="1" x14ac:dyDescent="0.35"/>
    <row r="42" spans="4:293" outlineLevel="1" x14ac:dyDescent="0.35">
      <c r="E42" s="13" t="s">
        <v>166</v>
      </c>
      <c r="J42" s="15" t="s">
        <v>31</v>
      </c>
      <c r="K42" s="23">
        <v>2.35</v>
      </c>
      <c r="L42" s="23">
        <v>2.35</v>
      </c>
      <c r="M42" s="23">
        <v>2.35</v>
      </c>
      <c r="N42" s="23">
        <v>2.35</v>
      </c>
      <c r="O42" s="23">
        <v>2.35</v>
      </c>
      <c r="P42" s="23">
        <v>2.35</v>
      </c>
      <c r="Q42" s="23">
        <v>2.2999999999999998</v>
      </c>
      <c r="R42" s="23">
        <v>2.2999999999999998</v>
      </c>
      <c r="S42" s="23">
        <v>2.2999999999999998</v>
      </c>
      <c r="T42" s="23">
        <v>2.2999999999999998</v>
      </c>
      <c r="U42" s="23">
        <v>2.2999999999999998</v>
      </c>
      <c r="V42" s="23">
        <v>2.2999999999999998</v>
      </c>
      <c r="W42" s="23">
        <v>2.2999999999999998</v>
      </c>
      <c r="X42" s="23">
        <v>2.2999999999999998</v>
      </c>
      <c r="Y42" s="23">
        <v>2.25</v>
      </c>
      <c r="Z42" s="23">
        <v>2.25</v>
      </c>
      <c r="AA42" s="23">
        <v>2.25</v>
      </c>
      <c r="AB42" s="23">
        <v>2.25</v>
      </c>
      <c r="AC42" s="23">
        <v>2.25</v>
      </c>
      <c r="AD42" s="23">
        <v>2.25</v>
      </c>
      <c r="AE42" s="23">
        <v>2.25</v>
      </c>
      <c r="AF42" s="23">
        <v>2.25</v>
      </c>
      <c r="AG42" s="23">
        <v>2.25</v>
      </c>
      <c r="AH42" s="23">
        <v>2.25</v>
      </c>
      <c r="AI42" s="23">
        <v>2.25</v>
      </c>
      <c r="AJ42" s="23">
        <v>2.25</v>
      </c>
      <c r="AK42" s="23">
        <v>2.25</v>
      </c>
      <c r="AL42" s="23">
        <v>2.25</v>
      </c>
      <c r="AM42" s="23">
        <v>2.25</v>
      </c>
      <c r="AN42" s="23">
        <v>2.25</v>
      </c>
      <c r="AO42" s="23">
        <v>2.25</v>
      </c>
      <c r="AP42" s="23">
        <v>2.25</v>
      </c>
      <c r="AQ42" s="23">
        <v>2.25</v>
      </c>
      <c r="AR42" s="23">
        <v>2.25</v>
      </c>
      <c r="AS42" s="23">
        <v>2.25</v>
      </c>
      <c r="AT42" s="23">
        <v>2.25</v>
      </c>
      <c r="AU42" s="23">
        <v>2.25</v>
      </c>
      <c r="AV42" s="23">
        <v>2.25</v>
      </c>
      <c r="AW42" s="23">
        <v>2.25</v>
      </c>
      <c r="AX42" s="23">
        <v>2.25</v>
      </c>
      <c r="AY42" s="23">
        <v>2.25</v>
      </c>
      <c r="AZ42" s="23">
        <v>2.25</v>
      </c>
      <c r="BA42" s="23">
        <v>2.25</v>
      </c>
      <c r="BB42" s="23">
        <v>2.25</v>
      </c>
      <c r="BC42" s="23">
        <v>2.25</v>
      </c>
      <c r="BD42" s="23">
        <v>2.25</v>
      </c>
      <c r="BE42" s="23">
        <v>2.25</v>
      </c>
      <c r="BF42" s="23">
        <v>2.25</v>
      </c>
      <c r="BG42" s="23">
        <v>2.25</v>
      </c>
      <c r="BH42" s="23">
        <v>2.25</v>
      </c>
      <c r="BI42" s="23">
        <v>2.25</v>
      </c>
      <c r="BJ42" s="23">
        <v>2.25</v>
      </c>
      <c r="BK42" s="23">
        <v>2.25</v>
      </c>
      <c r="BL42" s="23">
        <v>2.25</v>
      </c>
      <c r="BM42" s="23">
        <v>2.25</v>
      </c>
      <c r="BN42" s="23">
        <v>2.25</v>
      </c>
      <c r="BO42" s="23">
        <v>2.25</v>
      </c>
      <c r="BP42" s="23">
        <v>2.25</v>
      </c>
      <c r="BQ42" s="23">
        <v>2.25</v>
      </c>
      <c r="BR42" s="23">
        <v>2.25</v>
      </c>
      <c r="BS42" s="23">
        <v>2.25</v>
      </c>
      <c r="BT42" s="23">
        <v>2.25</v>
      </c>
      <c r="BU42" s="23">
        <v>2.25</v>
      </c>
      <c r="BV42" s="23">
        <v>2.25</v>
      </c>
      <c r="BW42" s="23">
        <v>2.25</v>
      </c>
      <c r="BX42" s="23">
        <v>2.25</v>
      </c>
      <c r="BY42" s="23">
        <v>2.25</v>
      </c>
      <c r="BZ42" s="23">
        <v>2.25</v>
      </c>
      <c r="CA42" s="23">
        <v>2.25</v>
      </c>
      <c r="CB42" s="23">
        <v>2.25</v>
      </c>
      <c r="CC42" s="23">
        <v>2.25</v>
      </c>
      <c r="CD42" s="23">
        <v>2.25</v>
      </c>
      <c r="CE42" s="23">
        <v>2.25</v>
      </c>
      <c r="CF42" s="23">
        <v>2.25</v>
      </c>
      <c r="CG42" s="23">
        <v>2.25</v>
      </c>
      <c r="CH42" s="23">
        <v>2.25</v>
      </c>
      <c r="CI42" s="23">
        <v>2.25</v>
      </c>
      <c r="CJ42" s="23">
        <v>2.25</v>
      </c>
      <c r="CK42" s="23">
        <v>2.25</v>
      </c>
      <c r="CL42" s="23">
        <v>2.25</v>
      </c>
      <c r="CM42" s="23">
        <v>2.25</v>
      </c>
      <c r="CN42" s="23">
        <v>2.25</v>
      </c>
      <c r="CO42" s="23">
        <v>2.25</v>
      </c>
      <c r="CP42" s="23">
        <v>2.25</v>
      </c>
      <c r="CQ42" s="23">
        <v>2.25</v>
      </c>
      <c r="CR42" s="23">
        <v>2.25</v>
      </c>
      <c r="CS42" s="23">
        <v>2.25</v>
      </c>
      <c r="CT42" s="23">
        <v>2.25</v>
      </c>
      <c r="CU42" s="23">
        <v>2.25</v>
      </c>
      <c r="CV42" s="23">
        <v>2.25</v>
      </c>
      <c r="CW42" s="23">
        <v>2.25</v>
      </c>
      <c r="CX42" s="23">
        <v>2.25</v>
      </c>
      <c r="CY42" s="23">
        <v>2.25</v>
      </c>
      <c r="CZ42" s="23">
        <v>2.25</v>
      </c>
      <c r="DA42" s="23">
        <v>2.25</v>
      </c>
      <c r="DB42" s="23">
        <v>2.25</v>
      </c>
      <c r="DC42" s="23">
        <v>2.25</v>
      </c>
      <c r="DD42" s="23">
        <v>2.25</v>
      </c>
      <c r="DE42" s="23">
        <v>2.25</v>
      </c>
      <c r="DF42" s="23">
        <v>2.25</v>
      </c>
      <c r="DG42" s="23">
        <v>2.25</v>
      </c>
      <c r="DH42" s="23">
        <v>2.25</v>
      </c>
      <c r="DI42" s="23">
        <v>2.25</v>
      </c>
      <c r="DJ42" s="23">
        <v>2.25</v>
      </c>
      <c r="DK42" s="23">
        <v>2.25</v>
      </c>
      <c r="DL42" s="23">
        <v>2.25</v>
      </c>
      <c r="DM42" s="23">
        <v>2.25</v>
      </c>
      <c r="DN42" s="23">
        <v>2.25</v>
      </c>
      <c r="DO42" s="23">
        <v>2.25</v>
      </c>
      <c r="DP42" s="23">
        <v>2.25</v>
      </c>
      <c r="DQ42" s="23">
        <v>2.25</v>
      </c>
      <c r="DR42" s="23">
        <v>2.25</v>
      </c>
      <c r="DS42" s="23">
        <v>2.25</v>
      </c>
      <c r="DT42" s="23">
        <v>2.25</v>
      </c>
      <c r="DU42" s="23">
        <v>2.25</v>
      </c>
      <c r="DV42" s="23">
        <v>2.25</v>
      </c>
      <c r="DW42" s="23">
        <v>2.25</v>
      </c>
      <c r="DX42" s="23">
        <v>2.25</v>
      </c>
      <c r="DY42" s="23">
        <v>2.25</v>
      </c>
      <c r="DZ42" s="23">
        <v>2.25</v>
      </c>
      <c r="EA42" s="23">
        <v>2.25</v>
      </c>
      <c r="EB42" s="23">
        <v>2.25</v>
      </c>
      <c r="EC42" s="23">
        <v>2.25</v>
      </c>
      <c r="ED42" s="23">
        <v>2.25</v>
      </c>
      <c r="EE42" s="23">
        <v>2.25</v>
      </c>
      <c r="EF42" s="23">
        <v>2.25</v>
      </c>
      <c r="EG42" s="23">
        <v>2.25</v>
      </c>
      <c r="EH42" s="23">
        <v>2.25</v>
      </c>
      <c r="EI42" s="23">
        <v>2.25</v>
      </c>
      <c r="EJ42" s="23">
        <v>2.25</v>
      </c>
      <c r="EK42" s="23">
        <v>2.25</v>
      </c>
      <c r="EL42" s="23">
        <v>2.25</v>
      </c>
      <c r="EM42" s="23">
        <v>2.25</v>
      </c>
      <c r="EN42" s="23">
        <v>2.25</v>
      </c>
      <c r="EO42" s="23">
        <v>2.25</v>
      </c>
      <c r="EP42" s="23">
        <v>2.25</v>
      </c>
      <c r="EQ42" s="23">
        <v>2.25</v>
      </c>
      <c r="ER42" s="23">
        <v>2.25</v>
      </c>
      <c r="ES42" s="23">
        <v>2.25</v>
      </c>
      <c r="ET42" s="23">
        <v>2.25</v>
      </c>
      <c r="EU42" s="23">
        <v>2.25</v>
      </c>
      <c r="EV42" s="23">
        <v>2.25</v>
      </c>
      <c r="EW42" s="23">
        <v>2.25</v>
      </c>
      <c r="EX42" s="23">
        <v>2.25</v>
      </c>
      <c r="EY42" s="23">
        <v>2.25</v>
      </c>
      <c r="EZ42" s="23">
        <v>2.25</v>
      </c>
      <c r="FA42" s="23">
        <v>2.25</v>
      </c>
      <c r="FB42" s="23">
        <v>2.25</v>
      </c>
      <c r="FC42" s="23">
        <v>2.25</v>
      </c>
      <c r="FD42" s="23">
        <v>2.25</v>
      </c>
      <c r="FE42" s="23">
        <v>2.25</v>
      </c>
      <c r="FF42" s="23">
        <v>2.25</v>
      </c>
      <c r="FG42" s="23">
        <v>2.25</v>
      </c>
      <c r="FH42" s="23">
        <v>2.25</v>
      </c>
      <c r="FI42" s="23">
        <v>2.25</v>
      </c>
      <c r="FJ42" s="23">
        <v>2.25</v>
      </c>
      <c r="FK42" s="23">
        <v>2.25</v>
      </c>
      <c r="FL42" s="23">
        <v>2.25</v>
      </c>
      <c r="FM42" s="23">
        <v>2.25</v>
      </c>
      <c r="FN42" s="23">
        <v>2.25</v>
      </c>
      <c r="FO42" s="23">
        <v>2.25</v>
      </c>
      <c r="FP42" s="23">
        <v>2.25</v>
      </c>
      <c r="FQ42" s="23">
        <v>2.25</v>
      </c>
      <c r="FR42" s="23">
        <v>2.25</v>
      </c>
      <c r="FS42" s="23">
        <v>2.25</v>
      </c>
      <c r="FT42" s="23">
        <v>2.25</v>
      </c>
      <c r="FU42" s="23">
        <v>2.25</v>
      </c>
      <c r="FV42" s="23">
        <v>2.25</v>
      </c>
      <c r="FW42" s="23">
        <v>2.25</v>
      </c>
      <c r="FX42" s="23">
        <v>2.25</v>
      </c>
      <c r="FY42" s="23">
        <v>2.25</v>
      </c>
      <c r="FZ42" s="23">
        <v>2.25</v>
      </c>
      <c r="GA42" s="23">
        <v>2.25</v>
      </c>
      <c r="GB42" s="23">
        <v>2.25</v>
      </c>
      <c r="GC42" s="23">
        <v>2.25</v>
      </c>
      <c r="GD42" s="23">
        <v>2.25</v>
      </c>
      <c r="GE42" s="23">
        <v>2.25</v>
      </c>
      <c r="GF42" s="23">
        <v>2.25</v>
      </c>
      <c r="GG42" s="23">
        <v>2.25</v>
      </c>
      <c r="GH42" s="23">
        <v>2.25</v>
      </c>
      <c r="GI42" s="23">
        <v>2.25</v>
      </c>
      <c r="GJ42" s="23">
        <v>2.25</v>
      </c>
      <c r="GK42" s="23">
        <v>2.25</v>
      </c>
      <c r="GL42" s="23">
        <v>2.25</v>
      </c>
      <c r="GM42" s="23">
        <v>2.25</v>
      </c>
      <c r="GN42" s="23">
        <v>2.25</v>
      </c>
      <c r="GO42" s="23">
        <v>2.25</v>
      </c>
      <c r="GP42" s="23">
        <v>2.25</v>
      </c>
      <c r="GQ42" s="23">
        <v>2.25</v>
      </c>
      <c r="GR42" s="23">
        <v>2.25</v>
      </c>
      <c r="GS42" s="23">
        <v>2.25</v>
      </c>
      <c r="GT42" s="23">
        <v>2.25</v>
      </c>
      <c r="GU42" s="23">
        <v>2.25</v>
      </c>
      <c r="GV42" s="23">
        <v>2.25</v>
      </c>
      <c r="GW42" s="23">
        <v>2.25</v>
      </c>
      <c r="GX42" s="23">
        <v>2.25</v>
      </c>
      <c r="GY42" s="23">
        <v>2.25</v>
      </c>
      <c r="GZ42" s="23">
        <v>2.25</v>
      </c>
      <c r="HA42" s="23">
        <v>2.25</v>
      </c>
      <c r="HB42" s="23">
        <v>2.25</v>
      </c>
      <c r="HC42" s="23">
        <v>2.25</v>
      </c>
      <c r="HD42" s="23">
        <v>2.25</v>
      </c>
      <c r="HE42" s="23">
        <v>2.25</v>
      </c>
      <c r="HF42" s="23">
        <v>2.25</v>
      </c>
      <c r="HG42" s="23">
        <v>2.25</v>
      </c>
      <c r="HH42" s="23">
        <v>2.25</v>
      </c>
      <c r="HI42" s="23">
        <v>2.25</v>
      </c>
      <c r="HJ42" s="23">
        <v>2.25</v>
      </c>
      <c r="HK42" s="23">
        <v>2.25</v>
      </c>
      <c r="HL42" s="23">
        <v>2.25</v>
      </c>
      <c r="HM42" s="23">
        <v>2.25</v>
      </c>
      <c r="HN42" s="23">
        <v>2.25</v>
      </c>
      <c r="HO42" s="23">
        <v>2.25</v>
      </c>
      <c r="HP42" s="23">
        <v>2.25</v>
      </c>
      <c r="HQ42" s="23">
        <v>2.25</v>
      </c>
      <c r="HR42" s="23">
        <v>2.25</v>
      </c>
      <c r="HS42" s="23">
        <v>2.25</v>
      </c>
      <c r="HT42" s="23">
        <v>2.25</v>
      </c>
      <c r="HU42" s="23">
        <v>2.25</v>
      </c>
      <c r="HV42" s="23">
        <v>2.25</v>
      </c>
      <c r="HW42" s="23">
        <v>2.25</v>
      </c>
      <c r="HX42" s="23">
        <v>2.25</v>
      </c>
      <c r="HY42" s="23">
        <v>2.25</v>
      </c>
      <c r="HZ42" s="23">
        <v>2.25</v>
      </c>
      <c r="IA42" s="23">
        <v>2.25</v>
      </c>
      <c r="IB42" s="23">
        <v>2.25</v>
      </c>
      <c r="IC42" s="23">
        <v>2.25</v>
      </c>
      <c r="ID42" s="23">
        <v>2.25</v>
      </c>
      <c r="IE42" s="23">
        <v>2.25</v>
      </c>
      <c r="IF42" s="23">
        <v>2.25</v>
      </c>
      <c r="IG42" s="23">
        <v>2.25</v>
      </c>
      <c r="IH42" s="23">
        <v>2.25</v>
      </c>
      <c r="II42" s="23">
        <v>2.25</v>
      </c>
      <c r="IJ42" s="23">
        <v>2.25</v>
      </c>
      <c r="IK42" s="23">
        <v>2.25</v>
      </c>
      <c r="IL42" s="23">
        <v>2.25</v>
      </c>
      <c r="IM42" s="23">
        <v>2.25</v>
      </c>
      <c r="IN42" s="23">
        <v>2.25</v>
      </c>
      <c r="IO42" s="23">
        <v>2.25</v>
      </c>
      <c r="IP42" s="23">
        <v>2.25</v>
      </c>
      <c r="IQ42" s="23">
        <v>2.25</v>
      </c>
      <c r="IR42" s="23">
        <v>2.25</v>
      </c>
      <c r="IS42" s="23">
        <v>2.25</v>
      </c>
      <c r="IT42" s="23">
        <v>2.25</v>
      </c>
      <c r="IU42" s="23">
        <v>2.25</v>
      </c>
      <c r="IV42" s="23">
        <v>2.25</v>
      </c>
      <c r="IW42" s="23">
        <v>2.25</v>
      </c>
      <c r="IX42" s="23">
        <v>2.25</v>
      </c>
      <c r="IY42" s="23">
        <v>2.25</v>
      </c>
      <c r="IZ42" s="23">
        <v>2.25</v>
      </c>
      <c r="JA42" s="23">
        <v>2.25</v>
      </c>
      <c r="JB42" s="23">
        <v>2.25</v>
      </c>
      <c r="JC42" s="23">
        <v>2.25</v>
      </c>
      <c r="JD42" s="23">
        <v>2.25</v>
      </c>
      <c r="JE42" s="23">
        <v>2.25</v>
      </c>
      <c r="JF42" s="23">
        <v>2.25</v>
      </c>
      <c r="JG42" s="23">
        <v>2.25</v>
      </c>
      <c r="JH42" s="23">
        <v>2.25</v>
      </c>
      <c r="JI42" s="23">
        <v>2.25</v>
      </c>
      <c r="JJ42" s="23">
        <v>2.25</v>
      </c>
      <c r="JK42" s="23">
        <v>2.25</v>
      </c>
      <c r="JL42" s="23">
        <v>2.25</v>
      </c>
      <c r="JM42" s="23">
        <v>2.25</v>
      </c>
      <c r="JN42" s="23">
        <v>2.25</v>
      </c>
      <c r="JO42" s="23">
        <v>2.25</v>
      </c>
      <c r="JP42" s="23">
        <v>2.25</v>
      </c>
      <c r="JQ42" s="23">
        <v>2.25</v>
      </c>
      <c r="JR42" s="23">
        <v>2.25</v>
      </c>
      <c r="JS42" s="23">
        <v>2.25</v>
      </c>
      <c r="JT42" s="23">
        <v>2.25</v>
      </c>
      <c r="JU42" s="23">
        <v>2.25</v>
      </c>
      <c r="JV42" s="23">
        <v>2.25</v>
      </c>
      <c r="JW42" s="23">
        <v>2.25</v>
      </c>
      <c r="JX42" s="23">
        <v>2.25</v>
      </c>
      <c r="JY42" s="23">
        <v>2.25</v>
      </c>
      <c r="JZ42" s="23">
        <v>2.25</v>
      </c>
      <c r="KA42" s="23">
        <v>2.25</v>
      </c>
      <c r="KB42" s="23">
        <v>2.25</v>
      </c>
      <c r="KC42" s="23">
        <v>2.25</v>
      </c>
      <c r="KD42" s="23">
        <v>2.25</v>
      </c>
      <c r="KE42" s="23">
        <v>2.25</v>
      </c>
      <c r="KF42" s="23">
        <v>2.25</v>
      </c>
      <c r="KG42" s="1"/>
    </row>
    <row r="43" spans="4:293" outlineLevel="1" x14ac:dyDescent="0.35">
      <c r="E43" s="13" t="s">
        <v>166</v>
      </c>
      <c r="J43" s="15" t="s">
        <v>32</v>
      </c>
      <c r="K43" s="23">
        <v>2.2999999999999998</v>
      </c>
      <c r="L43" s="23">
        <v>2.2999999999999998</v>
      </c>
      <c r="M43" s="23">
        <v>2.2999999999999998</v>
      </c>
      <c r="N43" s="23">
        <v>2.2999999999999998</v>
      </c>
      <c r="O43" s="23">
        <v>2.2999999999999998</v>
      </c>
      <c r="P43" s="23">
        <v>2.2999999999999998</v>
      </c>
      <c r="Q43" s="23">
        <v>2.0499999999999998</v>
      </c>
      <c r="R43" s="23">
        <v>2.0499999999999998</v>
      </c>
      <c r="S43" s="23">
        <v>2.0499999999999998</v>
      </c>
      <c r="T43" s="23">
        <v>2.0499999999999998</v>
      </c>
      <c r="U43" s="23">
        <v>2.0499999999999998</v>
      </c>
      <c r="V43" s="23">
        <v>2.0499999999999998</v>
      </c>
      <c r="W43" s="23">
        <v>2.0499999999999998</v>
      </c>
      <c r="X43" s="23">
        <v>2.0499999999999998</v>
      </c>
      <c r="Y43" s="23">
        <v>2.0499999999999998</v>
      </c>
      <c r="Z43" s="23">
        <v>2.0499999999999998</v>
      </c>
      <c r="AA43" s="23">
        <v>2.0499999999999998</v>
      </c>
      <c r="AB43" s="23">
        <v>2.0499999999999998</v>
      </c>
      <c r="AC43" s="23">
        <v>2.0499999999999998</v>
      </c>
      <c r="AD43" s="23">
        <v>2.0499999999999998</v>
      </c>
      <c r="AE43" s="23">
        <v>2.0499999999999998</v>
      </c>
      <c r="AF43" s="23">
        <v>2.0499999999999998</v>
      </c>
      <c r="AG43" s="23">
        <v>2.0499999999999998</v>
      </c>
      <c r="AH43" s="23">
        <v>2.0499999999999998</v>
      </c>
      <c r="AI43" s="23">
        <v>2.0499999999999998</v>
      </c>
      <c r="AJ43" s="23">
        <v>2.0499999999999998</v>
      </c>
      <c r="AK43" s="23">
        <v>2.0499999999999998</v>
      </c>
      <c r="AL43" s="23">
        <v>2.0499999999999998</v>
      </c>
      <c r="AM43" s="23">
        <v>2.0499999999999998</v>
      </c>
      <c r="AN43" s="23">
        <v>2.0499999999999998</v>
      </c>
      <c r="AO43" s="23">
        <v>2.0499999999999998</v>
      </c>
      <c r="AP43" s="23">
        <v>2.0499999999999998</v>
      </c>
      <c r="AQ43" s="23">
        <v>2.0499999999999998</v>
      </c>
      <c r="AR43" s="23">
        <v>2.0499999999999998</v>
      </c>
      <c r="AS43" s="23">
        <v>2.0499999999999998</v>
      </c>
      <c r="AT43" s="23">
        <v>2.0499999999999998</v>
      </c>
      <c r="AU43" s="23">
        <v>2.0499999999999998</v>
      </c>
      <c r="AV43" s="23">
        <v>2.0499999999999998</v>
      </c>
      <c r="AW43" s="23">
        <v>2.0499999999999998</v>
      </c>
      <c r="AX43" s="23">
        <v>2.0499999999999998</v>
      </c>
      <c r="AY43" s="23">
        <v>2.0499999999999998</v>
      </c>
      <c r="AZ43" s="23">
        <v>2.0499999999999998</v>
      </c>
      <c r="BA43" s="23">
        <v>2.0499999999999998</v>
      </c>
      <c r="BB43" s="23">
        <v>2.0499999999999998</v>
      </c>
      <c r="BC43" s="23">
        <v>2.0499999999999998</v>
      </c>
      <c r="BD43" s="23">
        <v>2.0499999999999998</v>
      </c>
      <c r="BE43" s="23">
        <v>2.0499999999999998</v>
      </c>
      <c r="BF43" s="23">
        <v>2.0499999999999998</v>
      </c>
      <c r="BG43" s="23">
        <v>2.0499999999999998</v>
      </c>
      <c r="BH43" s="23">
        <v>2.0499999999999998</v>
      </c>
      <c r="BI43" s="23">
        <v>2.0499999999999998</v>
      </c>
      <c r="BJ43" s="23">
        <v>2.0499999999999998</v>
      </c>
      <c r="BK43" s="23">
        <v>2.0499999999999998</v>
      </c>
      <c r="BL43" s="23">
        <v>2.0499999999999998</v>
      </c>
      <c r="BM43" s="23">
        <v>2.0499999999999998</v>
      </c>
      <c r="BN43" s="23">
        <v>2.0499999999999998</v>
      </c>
      <c r="BO43" s="23">
        <v>2.0499999999999998</v>
      </c>
      <c r="BP43" s="23">
        <v>2.0499999999999998</v>
      </c>
      <c r="BQ43" s="23">
        <v>2.0499999999999998</v>
      </c>
      <c r="BR43" s="23">
        <v>2.0499999999999998</v>
      </c>
      <c r="BS43" s="23">
        <v>2.0499999999999998</v>
      </c>
      <c r="BT43" s="23">
        <v>2.0499999999999998</v>
      </c>
      <c r="BU43" s="23">
        <v>2.0499999999999998</v>
      </c>
      <c r="BV43" s="23">
        <v>2.0499999999999998</v>
      </c>
      <c r="BW43" s="23">
        <v>2.0499999999999998</v>
      </c>
      <c r="BX43" s="23">
        <v>2.0499999999999998</v>
      </c>
      <c r="BY43" s="23">
        <v>2.0499999999999998</v>
      </c>
      <c r="BZ43" s="23">
        <v>2.0499999999999998</v>
      </c>
      <c r="CA43" s="23">
        <v>2.0499999999999998</v>
      </c>
      <c r="CB43" s="23">
        <v>2.0499999999999998</v>
      </c>
      <c r="CC43" s="23">
        <v>2.0499999999999998</v>
      </c>
      <c r="CD43" s="23">
        <v>2.0499999999999998</v>
      </c>
      <c r="CE43" s="23">
        <v>2.0499999999999998</v>
      </c>
      <c r="CF43" s="23">
        <v>2.0499999999999998</v>
      </c>
      <c r="CG43" s="23">
        <v>2.0499999999999998</v>
      </c>
      <c r="CH43" s="23">
        <v>2.0499999999999998</v>
      </c>
      <c r="CI43" s="23">
        <v>2.0499999999999998</v>
      </c>
      <c r="CJ43" s="23">
        <v>2.0499999999999998</v>
      </c>
      <c r="CK43" s="23">
        <v>2.0499999999999998</v>
      </c>
      <c r="CL43" s="23">
        <v>2.0499999999999998</v>
      </c>
      <c r="CM43" s="23">
        <v>2.0499999999999998</v>
      </c>
      <c r="CN43" s="23">
        <v>2.0499999999999998</v>
      </c>
      <c r="CO43" s="23">
        <v>2.0499999999999998</v>
      </c>
      <c r="CP43" s="23">
        <v>2.0499999999999998</v>
      </c>
      <c r="CQ43" s="23">
        <v>2.0499999999999998</v>
      </c>
      <c r="CR43" s="23">
        <v>2.0499999999999998</v>
      </c>
      <c r="CS43" s="23">
        <v>2.0499999999999998</v>
      </c>
      <c r="CT43" s="23">
        <v>2.0499999999999998</v>
      </c>
      <c r="CU43" s="23">
        <v>2.0499999999999998</v>
      </c>
      <c r="CV43" s="23">
        <v>2.0499999999999998</v>
      </c>
      <c r="CW43" s="23">
        <v>2.0499999999999998</v>
      </c>
      <c r="CX43" s="23">
        <v>2.0499999999999998</v>
      </c>
      <c r="CY43" s="23">
        <v>2.0499999999999998</v>
      </c>
      <c r="CZ43" s="23">
        <v>2.0499999999999998</v>
      </c>
      <c r="DA43" s="23">
        <v>2.0499999999999998</v>
      </c>
      <c r="DB43" s="23">
        <v>2.0499999999999998</v>
      </c>
      <c r="DC43" s="23">
        <v>2.0499999999999998</v>
      </c>
      <c r="DD43" s="23">
        <v>2.0499999999999998</v>
      </c>
      <c r="DE43" s="23">
        <v>2.0499999999999998</v>
      </c>
      <c r="DF43" s="23">
        <v>2.0499999999999998</v>
      </c>
      <c r="DG43" s="23">
        <v>2.0499999999999998</v>
      </c>
      <c r="DH43" s="23">
        <v>2.0499999999999998</v>
      </c>
      <c r="DI43" s="23">
        <v>2.0499999999999998</v>
      </c>
      <c r="DJ43" s="23">
        <v>2.0499999999999998</v>
      </c>
      <c r="DK43" s="23">
        <v>2.0499999999999998</v>
      </c>
      <c r="DL43" s="23">
        <v>2.0499999999999998</v>
      </c>
      <c r="DM43" s="23">
        <v>2.0499999999999998</v>
      </c>
      <c r="DN43" s="23">
        <v>2.0499999999999998</v>
      </c>
      <c r="DO43" s="23">
        <v>2.0499999999999998</v>
      </c>
      <c r="DP43" s="23">
        <v>2.0499999999999998</v>
      </c>
      <c r="DQ43" s="23">
        <v>2.0499999999999998</v>
      </c>
      <c r="DR43" s="23">
        <v>2.0499999999999998</v>
      </c>
      <c r="DS43" s="23">
        <v>2.0499999999999998</v>
      </c>
      <c r="DT43" s="23">
        <v>2.0499999999999998</v>
      </c>
      <c r="DU43" s="23">
        <v>2.0499999999999998</v>
      </c>
      <c r="DV43" s="23">
        <v>2.0499999999999998</v>
      </c>
      <c r="DW43" s="23">
        <v>2.0499999999999998</v>
      </c>
      <c r="DX43" s="23">
        <v>2.0499999999999998</v>
      </c>
      <c r="DY43" s="23">
        <v>2.0499999999999998</v>
      </c>
      <c r="DZ43" s="23">
        <v>2.0499999999999998</v>
      </c>
      <c r="EA43" s="23">
        <v>2.0499999999999998</v>
      </c>
      <c r="EB43" s="23">
        <v>2.0499999999999998</v>
      </c>
      <c r="EC43" s="23">
        <v>2.0499999999999998</v>
      </c>
      <c r="ED43" s="23">
        <v>2.0499999999999998</v>
      </c>
      <c r="EE43" s="23">
        <v>2.0499999999999998</v>
      </c>
      <c r="EF43" s="23">
        <v>2.0499999999999998</v>
      </c>
      <c r="EG43" s="23">
        <v>2.0499999999999998</v>
      </c>
      <c r="EH43" s="23">
        <v>2.0499999999999998</v>
      </c>
      <c r="EI43" s="23">
        <v>2.0499999999999998</v>
      </c>
      <c r="EJ43" s="23">
        <v>2.0499999999999998</v>
      </c>
      <c r="EK43" s="23">
        <v>2.0499999999999998</v>
      </c>
      <c r="EL43" s="23">
        <v>2.0499999999999998</v>
      </c>
      <c r="EM43" s="23">
        <v>2.0499999999999998</v>
      </c>
      <c r="EN43" s="23">
        <v>2.0499999999999998</v>
      </c>
      <c r="EO43" s="23">
        <v>2.0499999999999998</v>
      </c>
      <c r="EP43" s="23">
        <v>2.0499999999999998</v>
      </c>
      <c r="EQ43" s="23">
        <v>2.0499999999999998</v>
      </c>
      <c r="ER43" s="23">
        <v>2.0499999999999998</v>
      </c>
      <c r="ES43" s="23">
        <v>2.0499999999999998</v>
      </c>
      <c r="ET43" s="23">
        <v>2.0499999999999998</v>
      </c>
      <c r="EU43" s="23">
        <v>2.0499999999999998</v>
      </c>
      <c r="EV43" s="23">
        <v>2.0499999999999998</v>
      </c>
      <c r="EW43" s="23">
        <v>2.0499999999999998</v>
      </c>
      <c r="EX43" s="23">
        <v>2.0499999999999998</v>
      </c>
      <c r="EY43" s="23">
        <v>2.0499999999999998</v>
      </c>
      <c r="EZ43" s="23">
        <v>2.0499999999999998</v>
      </c>
      <c r="FA43" s="23">
        <v>2.0499999999999998</v>
      </c>
      <c r="FB43" s="23">
        <v>2.0499999999999998</v>
      </c>
      <c r="FC43" s="23">
        <v>2.0499999999999998</v>
      </c>
      <c r="FD43" s="23">
        <v>2.0499999999999998</v>
      </c>
      <c r="FE43" s="23">
        <v>2.0499999999999998</v>
      </c>
      <c r="FF43" s="23">
        <v>2.0499999999999998</v>
      </c>
      <c r="FG43" s="23">
        <v>2.0499999999999998</v>
      </c>
      <c r="FH43" s="23">
        <v>2.0499999999999998</v>
      </c>
      <c r="FI43" s="23">
        <v>2.0499999999999998</v>
      </c>
      <c r="FJ43" s="23">
        <v>2.0499999999999998</v>
      </c>
      <c r="FK43" s="23">
        <v>2.0499999999999998</v>
      </c>
      <c r="FL43" s="23">
        <v>2.0499999999999998</v>
      </c>
      <c r="FM43" s="23">
        <v>2.0499999999999998</v>
      </c>
      <c r="FN43" s="23">
        <v>2.0499999999999998</v>
      </c>
      <c r="FO43" s="23">
        <v>2.0499999999999998</v>
      </c>
      <c r="FP43" s="23">
        <v>2.0499999999999998</v>
      </c>
      <c r="FQ43" s="23">
        <v>2.0499999999999998</v>
      </c>
      <c r="FR43" s="23">
        <v>2.0499999999999998</v>
      </c>
      <c r="FS43" s="23">
        <v>2.0499999999999998</v>
      </c>
      <c r="FT43" s="23">
        <v>2.0499999999999998</v>
      </c>
      <c r="FU43" s="23">
        <v>2.0499999999999998</v>
      </c>
      <c r="FV43" s="23">
        <v>2.0499999999999998</v>
      </c>
      <c r="FW43" s="23">
        <v>2.0499999999999998</v>
      </c>
      <c r="FX43" s="23">
        <v>2.0499999999999998</v>
      </c>
      <c r="FY43" s="23">
        <v>2.0499999999999998</v>
      </c>
      <c r="FZ43" s="23">
        <v>2.0499999999999998</v>
      </c>
      <c r="GA43" s="23">
        <v>2.0499999999999998</v>
      </c>
      <c r="GB43" s="23">
        <v>2.0499999999999998</v>
      </c>
      <c r="GC43" s="23">
        <v>2.0499999999999998</v>
      </c>
      <c r="GD43" s="23">
        <v>2.0499999999999998</v>
      </c>
      <c r="GE43" s="23">
        <v>2.0499999999999998</v>
      </c>
      <c r="GF43" s="23">
        <v>2.0499999999999998</v>
      </c>
      <c r="GG43" s="23">
        <v>2.0499999999999998</v>
      </c>
      <c r="GH43" s="23">
        <v>2.0499999999999998</v>
      </c>
      <c r="GI43" s="23">
        <v>2.0499999999999998</v>
      </c>
      <c r="GJ43" s="23">
        <v>2.0499999999999998</v>
      </c>
      <c r="GK43" s="23">
        <v>2.0499999999999998</v>
      </c>
      <c r="GL43" s="23">
        <v>2.0499999999999998</v>
      </c>
      <c r="GM43" s="23">
        <v>2.0499999999999998</v>
      </c>
      <c r="GN43" s="23">
        <v>2.0499999999999998</v>
      </c>
      <c r="GO43" s="23">
        <v>2.0499999999999998</v>
      </c>
      <c r="GP43" s="23">
        <v>2.0499999999999998</v>
      </c>
      <c r="GQ43" s="23">
        <v>2.0499999999999998</v>
      </c>
      <c r="GR43" s="23">
        <v>2.0499999999999998</v>
      </c>
      <c r="GS43" s="23">
        <v>2.0499999999999998</v>
      </c>
      <c r="GT43" s="23">
        <v>2.0499999999999998</v>
      </c>
      <c r="GU43" s="23">
        <v>2.0499999999999998</v>
      </c>
      <c r="GV43" s="23">
        <v>2.0499999999999998</v>
      </c>
      <c r="GW43" s="23">
        <v>2.0499999999999998</v>
      </c>
      <c r="GX43" s="23">
        <v>2.0499999999999998</v>
      </c>
      <c r="GY43" s="23">
        <v>2.0499999999999998</v>
      </c>
      <c r="GZ43" s="23">
        <v>2.0499999999999998</v>
      </c>
      <c r="HA43" s="23">
        <v>2.0499999999999998</v>
      </c>
      <c r="HB43" s="23">
        <v>2.0499999999999998</v>
      </c>
      <c r="HC43" s="23">
        <v>2.0499999999999998</v>
      </c>
      <c r="HD43" s="23">
        <v>2.0499999999999998</v>
      </c>
      <c r="HE43" s="23">
        <v>2.0499999999999998</v>
      </c>
      <c r="HF43" s="23">
        <v>2.0499999999999998</v>
      </c>
      <c r="HG43" s="23">
        <v>2.0499999999999998</v>
      </c>
      <c r="HH43" s="23">
        <v>2.0499999999999998</v>
      </c>
      <c r="HI43" s="23">
        <v>2.0499999999999998</v>
      </c>
      <c r="HJ43" s="23">
        <v>2.0499999999999998</v>
      </c>
      <c r="HK43" s="23">
        <v>2.0499999999999998</v>
      </c>
      <c r="HL43" s="23">
        <v>2.0499999999999998</v>
      </c>
      <c r="HM43" s="23">
        <v>2.0499999999999998</v>
      </c>
      <c r="HN43" s="23">
        <v>2.0499999999999998</v>
      </c>
      <c r="HO43" s="23">
        <v>2.0499999999999998</v>
      </c>
      <c r="HP43" s="23">
        <v>2.0499999999999998</v>
      </c>
      <c r="HQ43" s="23">
        <v>2.0499999999999998</v>
      </c>
      <c r="HR43" s="23">
        <v>2.0499999999999998</v>
      </c>
      <c r="HS43" s="23">
        <v>2.0499999999999998</v>
      </c>
      <c r="HT43" s="23">
        <v>2.0499999999999998</v>
      </c>
      <c r="HU43" s="23">
        <v>2.0499999999999998</v>
      </c>
      <c r="HV43" s="23">
        <v>2.0499999999999998</v>
      </c>
      <c r="HW43" s="23">
        <v>2.0499999999999998</v>
      </c>
      <c r="HX43" s="23">
        <v>2.0499999999999998</v>
      </c>
      <c r="HY43" s="23">
        <v>2.0499999999999998</v>
      </c>
      <c r="HZ43" s="23">
        <v>2.0499999999999998</v>
      </c>
      <c r="IA43" s="23">
        <v>2.0499999999999998</v>
      </c>
      <c r="IB43" s="23">
        <v>2.0499999999999998</v>
      </c>
      <c r="IC43" s="23">
        <v>2.0499999999999998</v>
      </c>
      <c r="ID43" s="23">
        <v>2.0499999999999998</v>
      </c>
      <c r="IE43" s="23">
        <v>2.0499999999999998</v>
      </c>
      <c r="IF43" s="23">
        <v>2.0499999999999998</v>
      </c>
      <c r="IG43" s="23">
        <v>2.0499999999999998</v>
      </c>
      <c r="IH43" s="23">
        <v>2.0499999999999998</v>
      </c>
      <c r="II43" s="23">
        <v>2.0499999999999998</v>
      </c>
      <c r="IJ43" s="23">
        <v>2.0499999999999998</v>
      </c>
      <c r="IK43" s="23">
        <v>2.0499999999999998</v>
      </c>
      <c r="IL43" s="23">
        <v>2.0499999999999998</v>
      </c>
      <c r="IM43" s="23">
        <v>2.0499999999999998</v>
      </c>
      <c r="IN43" s="23">
        <v>2.0499999999999998</v>
      </c>
      <c r="IO43" s="23">
        <v>2.0499999999999998</v>
      </c>
      <c r="IP43" s="23">
        <v>2.0499999999999998</v>
      </c>
      <c r="IQ43" s="23">
        <v>2.0499999999999998</v>
      </c>
      <c r="IR43" s="23">
        <v>2.0499999999999998</v>
      </c>
      <c r="IS43" s="23">
        <v>2.0499999999999998</v>
      </c>
      <c r="IT43" s="23">
        <v>2.0499999999999998</v>
      </c>
      <c r="IU43" s="23">
        <v>2.0499999999999998</v>
      </c>
      <c r="IV43" s="23">
        <v>2.0499999999999998</v>
      </c>
      <c r="IW43" s="23">
        <v>2.0499999999999998</v>
      </c>
      <c r="IX43" s="23">
        <v>2.0499999999999998</v>
      </c>
      <c r="IY43" s="23">
        <v>2.0499999999999998</v>
      </c>
      <c r="IZ43" s="23">
        <v>2.0499999999999998</v>
      </c>
      <c r="JA43" s="23">
        <v>2.0499999999999998</v>
      </c>
      <c r="JB43" s="23">
        <v>2.0499999999999998</v>
      </c>
      <c r="JC43" s="23">
        <v>2.0499999999999998</v>
      </c>
      <c r="JD43" s="23">
        <v>2.0499999999999998</v>
      </c>
      <c r="JE43" s="23">
        <v>2.0499999999999998</v>
      </c>
      <c r="JF43" s="23">
        <v>2.0499999999999998</v>
      </c>
      <c r="JG43" s="23">
        <v>2.0499999999999998</v>
      </c>
      <c r="JH43" s="23">
        <v>2.0499999999999998</v>
      </c>
      <c r="JI43" s="23">
        <v>2.0499999999999998</v>
      </c>
      <c r="JJ43" s="23">
        <v>2.0499999999999998</v>
      </c>
      <c r="JK43" s="23">
        <v>2.0499999999999998</v>
      </c>
      <c r="JL43" s="23">
        <v>2.0499999999999998</v>
      </c>
      <c r="JM43" s="23">
        <v>2.0499999999999998</v>
      </c>
      <c r="JN43" s="23">
        <v>2.0499999999999998</v>
      </c>
      <c r="JO43" s="23">
        <v>2.0499999999999998</v>
      </c>
      <c r="JP43" s="23">
        <v>2.0499999999999998</v>
      </c>
      <c r="JQ43" s="23">
        <v>2.0499999999999998</v>
      </c>
      <c r="JR43" s="23">
        <v>2.0499999999999998</v>
      </c>
      <c r="JS43" s="23">
        <v>2.0499999999999998</v>
      </c>
      <c r="JT43" s="23">
        <v>2.0499999999999998</v>
      </c>
      <c r="JU43" s="23">
        <v>2.0499999999999998</v>
      </c>
      <c r="JV43" s="23">
        <v>2.0499999999999998</v>
      </c>
      <c r="JW43" s="23">
        <v>2.0499999999999998</v>
      </c>
      <c r="JX43" s="23">
        <v>2.0499999999999998</v>
      </c>
      <c r="JY43" s="23">
        <v>2.0499999999999998</v>
      </c>
      <c r="JZ43" s="23">
        <v>2.0499999999999998</v>
      </c>
      <c r="KA43" s="23">
        <v>2.0499999999999998</v>
      </c>
      <c r="KB43" s="23">
        <v>2.0499999999999998</v>
      </c>
      <c r="KC43" s="23">
        <v>2.0499999999999998</v>
      </c>
      <c r="KD43" s="23">
        <v>2.0499999999999998</v>
      </c>
      <c r="KE43" s="23">
        <v>2.0499999999999998</v>
      </c>
      <c r="KF43" s="23">
        <v>2.0499999999999998</v>
      </c>
    </row>
    <row r="44" spans="4:293" outlineLevel="1" x14ac:dyDescent="0.35">
      <c r="E44" s="13" t="s">
        <v>166</v>
      </c>
      <c r="J44" s="15" t="s">
        <v>33</v>
      </c>
      <c r="K44" s="23">
        <v>2.35</v>
      </c>
      <c r="L44" s="23">
        <v>2.3199999999999998</v>
      </c>
      <c r="M44" s="23">
        <v>2.29</v>
      </c>
      <c r="N44" s="23">
        <v>2.2599999999999998</v>
      </c>
      <c r="O44" s="23">
        <v>2.23</v>
      </c>
      <c r="P44" s="23">
        <v>2.2000000000000002</v>
      </c>
      <c r="Q44" s="23">
        <v>2.17</v>
      </c>
      <c r="R44" s="23">
        <v>2.14</v>
      </c>
      <c r="S44" s="23">
        <v>2.11</v>
      </c>
      <c r="T44" s="23">
        <v>2.08</v>
      </c>
      <c r="U44" s="23">
        <v>2.0499999999999998</v>
      </c>
      <c r="V44" s="23">
        <v>2.02</v>
      </c>
      <c r="W44" s="23">
        <v>2</v>
      </c>
      <c r="X44" s="23">
        <v>2</v>
      </c>
      <c r="Y44" s="23">
        <v>2</v>
      </c>
      <c r="Z44" s="23">
        <v>2</v>
      </c>
      <c r="AA44" s="23">
        <v>2</v>
      </c>
      <c r="AB44" s="23">
        <v>2</v>
      </c>
      <c r="AC44" s="23">
        <v>2</v>
      </c>
      <c r="AD44" s="23">
        <v>2</v>
      </c>
      <c r="AE44" s="23">
        <v>2</v>
      </c>
      <c r="AF44" s="23">
        <v>2</v>
      </c>
      <c r="AG44" s="23">
        <v>2</v>
      </c>
      <c r="AH44" s="23">
        <v>2</v>
      </c>
      <c r="AI44" s="23">
        <v>2</v>
      </c>
      <c r="AJ44" s="23">
        <v>2</v>
      </c>
      <c r="AK44" s="23">
        <v>2</v>
      </c>
      <c r="AL44" s="23">
        <v>2</v>
      </c>
      <c r="AM44" s="23">
        <v>2</v>
      </c>
      <c r="AN44" s="23">
        <v>2</v>
      </c>
      <c r="AO44" s="23">
        <v>2</v>
      </c>
      <c r="AP44" s="23">
        <v>2</v>
      </c>
      <c r="AQ44" s="23">
        <v>2</v>
      </c>
      <c r="AR44" s="23">
        <v>2</v>
      </c>
      <c r="AS44" s="23">
        <v>2</v>
      </c>
      <c r="AT44" s="23">
        <v>2</v>
      </c>
      <c r="AU44" s="23">
        <v>2</v>
      </c>
      <c r="AV44" s="23">
        <v>2</v>
      </c>
      <c r="AW44" s="23">
        <v>2</v>
      </c>
      <c r="AX44" s="23">
        <v>2</v>
      </c>
      <c r="AY44" s="23">
        <v>2</v>
      </c>
      <c r="AZ44" s="23">
        <v>2</v>
      </c>
      <c r="BA44" s="23">
        <v>2</v>
      </c>
      <c r="BB44" s="23">
        <v>2</v>
      </c>
      <c r="BC44" s="23">
        <v>2</v>
      </c>
      <c r="BD44" s="23">
        <v>2</v>
      </c>
      <c r="BE44" s="23">
        <v>2</v>
      </c>
      <c r="BF44" s="23">
        <v>2</v>
      </c>
      <c r="BG44" s="23">
        <v>2</v>
      </c>
      <c r="BH44" s="23">
        <v>2</v>
      </c>
      <c r="BI44" s="23">
        <v>2</v>
      </c>
      <c r="BJ44" s="23">
        <v>2</v>
      </c>
      <c r="BK44" s="23">
        <v>2</v>
      </c>
      <c r="BL44" s="23">
        <v>2</v>
      </c>
      <c r="BM44" s="23">
        <v>2</v>
      </c>
      <c r="BN44" s="23">
        <v>2</v>
      </c>
      <c r="BO44" s="23">
        <v>2</v>
      </c>
      <c r="BP44" s="23">
        <v>2</v>
      </c>
      <c r="BQ44" s="23">
        <v>2</v>
      </c>
      <c r="BR44" s="23">
        <v>2</v>
      </c>
      <c r="BS44" s="23">
        <v>2</v>
      </c>
      <c r="BT44" s="23">
        <v>2</v>
      </c>
      <c r="BU44" s="23">
        <v>2</v>
      </c>
      <c r="BV44" s="23">
        <v>2</v>
      </c>
      <c r="BW44" s="23">
        <v>2</v>
      </c>
      <c r="BX44" s="23">
        <v>2</v>
      </c>
      <c r="BY44" s="23">
        <v>2</v>
      </c>
      <c r="BZ44" s="23">
        <v>2</v>
      </c>
      <c r="CA44" s="23">
        <v>2</v>
      </c>
      <c r="CB44" s="23">
        <v>2</v>
      </c>
      <c r="CC44" s="23">
        <v>2</v>
      </c>
      <c r="CD44" s="23">
        <v>2</v>
      </c>
      <c r="CE44" s="23">
        <v>2</v>
      </c>
      <c r="CF44" s="23">
        <v>2</v>
      </c>
      <c r="CG44" s="23">
        <v>2</v>
      </c>
      <c r="CH44" s="23">
        <v>2</v>
      </c>
      <c r="CI44" s="23">
        <v>2</v>
      </c>
      <c r="CJ44" s="23">
        <v>2</v>
      </c>
      <c r="CK44" s="23">
        <v>2</v>
      </c>
      <c r="CL44" s="23">
        <v>2</v>
      </c>
      <c r="CM44" s="23">
        <v>2</v>
      </c>
      <c r="CN44" s="23">
        <v>2</v>
      </c>
      <c r="CO44" s="23">
        <v>2</v>
      </c>
      <c r="CP44" s="23">
        <v>2</v>
      </c>
      <c r="CQ44" s="23">
        <v>2</v>
      </c>
      <c r="CR44" s="23">
        <v>2</v>
      </c>
      <c r="CS44" s="23">
        <v>2</v>
      </c>
      <c r="CT44" s="23">
        <v>2</v>
      </c>
      <c r="CU44" s="23">
        <v>2</v>
      </c>
      <c r="CV44" s="23">
        <v>2</v>
      </c>
      <c r="CW44" s="23">
        <v>2</v>
      </c>
      <c r="CX44" s="23">
        <v>2</v>
      </c>
      <c r="CY44" s="23">
        <v>2</v>
      </c>
      <c r="CZ44" s="23">
        <v>2</v>
      </c>
      <c r="DA44" s="23">
        <v>2</v>
      </c>
      <c r="DB44" s="23">
        <v>2</v>
      </c>
      <c r="DC44" s="23">
        <v>2</v>
      </c>
      <c r="DD44" s="23">
        <v>2</v>
      </c>
      <c r="DE44" s="23">
        <v>2</v>
      </c>
      <c r="DF44" s="23">
        <v>2</v>
      </c>
      <c r="DG44" s="23">
        <v>2</v>
      </c>
      <c r="DH44" s="23">
        <v>2</v>
      </c>
      <c r="DI44" s="23">
        <v>2</v>
      </c>
      <c r="DJ44" s="23">
        <v>2</v>
      </c>
      <c r="DK44" s="23">
        <v>2</v>
      </c>
      <c r="DL44" s="23">
        <v>2</v>
      </c>
      <c r="DM44" s="23">
        <v>2</v>
      </c>
      <c r="DN44" s="23">
        <v>2</v>
      </c>
      <c r="DO44" s="23">
        <v>2</v>
      </c>
      <c r="DP44" s="23">
        <v>2</v>
      </c>
      <c r="DQ44" s="23">
        <v>2</v>
      </c>
      <c r="DR44" s="23">
        <v>2</v>
      </c>
      <c r="DS44" s="23">
        <v>2</v>
      </c>
      <c r="DT44" s="23">
        <v>2</v>
      </c>
      <c r="DU44" s="23">
        <v>2</v>
      </c>
      <c r="DV44" s="23">
        <v>2</v>
      </c>
      <c r="DW44" s="23">
        <v>2</v>
      </c>
      <c r="DX44" s="23">
        <v>2</v>
      </c>
      <c r="DY44" s="23">
        <v>2</v>
      </c>
      <c r="DZ44" s="23">
        <v>2</v>
      </c>
      <c r="EA44" s="23">
        <v>2</v>
      </c>
      <c r="EB44" s="23">
        <v>2</v>
      </c>
      <c r="EC44" s="23">
        <v>2</v>
      </c>
      <c r="ED44" s="23">
        <v>2</v>
      </c>
      <c r="EE44" s="23">
        <v>2</v>
      </c>
      <c r="EF44" s="23">
        <v>2</v>
      </c>
      <c r="EG44" s="23">
        <v>2</v>
      </c>
      <c r="EH44" s="23">
        <v>2</v>
      </c>
      <c r="EI44" s="23">
        <v>2</v>
      </c>
      <c r="EJ44" s="23">
        <v>2</v>
      </c>
      <c r="EK44" s="23">
        <v>2</v>
      </c>
      <c r="EL44" s="23">
        <v>2</v>
      </c>
      <c r="EM44" s="23">
        <v>2</v>
      </c>
      <c r="EN44" s="23">
        <v>2</v>
      </c>
      <c r="EO44" s="23">
        <v>2</v>
      </c>
      <c r="EP44" s="23">
        <v>2</v>
      </c>
      <c r="EQ44" s="23">
        <v>2</v>
      </c>
      <c r="ER44" s="23">
        <v>2</v>
      </c>
      <c r="ES44" s="23">
        <v>2</v>
      </c>
      <c r="ET44" s="23">
        <v>2</v>
      </c>
      <c r="EU44" s="23">
        <v>2</v>
      </c>
      <c r="EV44" s="23">
        <v>2</v>
      </c>
      <c r="EW44" s="23">
        <v>2</v>
      </c>
      <c r="EX44" s="23">
        <v>2</v>
      </c>
      <c r="EY44" s="23">
        <v>2</v>
      </c>
      <c r="EZ44" s="23">
        <v>2</v>
      </c>
      <c r="FA44" s="23">
        <v>2</v>
      </c>
      <c r="FB44" s="23">
        <v>2</v>
      </c>
      <c r="FC44" s="23">
        <v>2</v>
      </c>
      <c r="FD44" s="23">
        <v>2</v>
      </c>
      <c r="FE44" s="23">
        <v>2</v>
      </c>
      <c r="FF44" s="23">
        <v>2</v>
      </c>
      <c r="FG44" s="23">
        <v>2</v>
      </c>
      <c r="FH44" s="23">
        <v>2</v>
      </c>
      <c r="FI44" s="23">
        <v>2</v>
      </c>
      <c r="FJ44" s="23">
        <v>2</v>
      </c>
      <c r="FK44" s="23">
        <v>2</v>
      </c>
      <c r="FL44" s="23">
        <v>2</v>
      </c>
      <c r="FM44" s="23">
        <v>2</v>
      </c>
      <c r="FN44" s="23">
        <v>2</v>
      </c>
      <c r="FO44" s="23">
        <v>2</v>
      </c>
      <c r="FP44" s="23">
        <v>2</v>
      </c>
      <c r="FQ44" s="23">
        <v>2</v>
      </c>
      <c r="FR44" s="23">
        <v>2</v>
      </c>
      <c r="FS44" s="23">
        <v>2</v>
      </c>
      <c r="FT44" s="23">
        <v>2</v>
      </c>
      <c r="FU44" s="23">
        <v>2</v>
      </c>
      <c r="FV44" s="23">
        <v>2</v>
      </c>
      <c r="FW44" s="23">
        <v>2</v>
      </c>
      <c r="FX44" s="23">
        <v>2</v>
      </c>
      <c r="FY44" s="23">
        <v>2</v>
      </c>
      <c r="FZ44" s="23">
        <v>2</v>
      </c>
      <c r="GA44" s="23">
        <v>2</v>
      </c>
      <c r="GB44" s="23">
        <v>2</v>
      </c>
      <c r="GC44" s="23">
        <v>2</v>
      </c>
      <c r="GD44" s="23">
        <v>2</v>
      </c>
      <c r="GE44" s="23">
        <v>2</v>
      </c>
      <c r="GF44" s="23">
        <v>2</v>
      </c>
      <c r="GG44" s="23">
        <v>2</v>
      </c>
      <c r="GH44" s="23">
        <v>2</v>
      </c>
      <c r="GI44" s="23">
        <v>2</v>
      </c>
      <c r="GJ44" s="23">
        <v>2</v>
      </c>
      <c r="GK44" s="23">
        <v>2</v>
      </c>
      <c r="GL44" s="23">
        <v>2</v>
      </c>
      <c r="GM44" s="23">
        <v>2</v>
      </c>
      <c r="GN44" s="23">
        <v>2</v>
      </c>
      <c r="GO44" s="23">
        <v>2</v>
      </c>
      <c r="GP44" s="23">
        <v>2</v>
      </c>
      <c r="GQ44" s="23">
        <v>2</v>
      </c>
      <c r="GR44" s="23">
        <v>2</v>
      </c>
      <c r="GS44" s="23">
        <v>2</v>
      </c>
      <c r="GT44" s="23">
        <v>2</v>
      </c>
      <c r="GU44" s="23">
        <v>2</v>
      </c>
      <c r="GV44" s="23">
        <v>2</v>
      </c>
      <c r="GW44" s="23">
        <v>2</v>
      </c>
      <c r="GX44" s="23">
        <v>2</v>
      </c>
      <c r="GY44" s="23">
        <v>2</v>
      </c>
      <c r="GZ44" s="23">
        <v>2</v>
      </c>
      <c r="HA44" s="23">
        <v>2</v>
      </c>
      <c r="HB44" s="23">
        <v>2</v>
      </c>
      <c r="HC44" s="23">
        <v>2</v>
      </c>
      <c r="HD44" s="23">
        <v>2</v>
      </c>
      <c r="HE44" s="23">
        <v>2</v>
      </c>
      <c r="HF44" s="23">
        <v>2</v>
      </c>
      <c r="HG44" s="23">
        <v>2</v>
      </c>
      <c r="HH44" s="23">
        <v>2</v>
      </c>
      <c r="HI44" s="23">
        <v>2</v>
      </c>
      <c r="HJ44" s="23">
        <v>2</v>
      </c>
      <c r="HK44" s="23">
        <v>2</v>
      </c>
      <c r="HL44" s="23">
        <v>2</v>
      </c>
      <c r="HM44" s="23">
        <v>2</v>
      </c>
      <c r="HN44" s="23">
        <v>2</v>
      </c>
      <c r="HO44" s="23">
        <v>2</v>
      </c>
      <c r="HP44" s="23">
        <v>2</v>
      </c>
      <c r="HQ44" s="23">
        <v>2</v>
      </c>
      <c r="HR44" s="23">
        <v>2</v>
      </c>
      <c r="HS44" s="23">
        <v>2</v>
      </c>
      <c r="HT44" s="23">
        <v>2</v>
      </c>
      <c r="HU44" s="23">
        <v>2</v>
      </c>
      <c r="HV44" s="23">
        <v>2</v>
      </c>
      <c r="HW44" s="23">
        <v>2</v>
      </c>
      <c r="HX44" s="23">
        <v>2</v>
      </c>
      <c r="HY44" s="23">
        <v>2</v>
      </c>
      <c r="HZ44" s="23">
        <v>2</v>
      </c>
      <c r="IA44" s="23">
        <v>2</v>
      </c>
      <c r="IB44" s="23">
        <v>2</v>
      </c>
      <c r="IC44" s="23">
        <v>2</v>
      </c>
      <c r="ID44" s="23">
        <v>2</v>
      </c>
      <c r="IE44" s="23">
        <v>2</v>
      </c>
      <c r="IF44" s="23">
        <v>2</v>
      </c>
      <c r="IG44" s="23">
        <v>2</v>
      </c>
      <c r="IH44" s="23">
        <v>2</v>
      </c>
      <c r="II44" s="23">
        <v>2</v>
      </c>
      <c r="IJ44" s="23">
        <v>2</v>
      </c>
      <c r="IK44" s="23">
        <v>2</v>
      </c>
      <c r="IL44" s="23">
        <v>2</v>
      </c>
      <c r="IM44" s="23">
        <v>2</v>
      </c>
      <c r="IN44" s="23">
        <v>2</v>
      </c>
      <c r="IO44" s="23">
        <v>2</v>
      </c>
      <c r="IP44" s="23">
        <v>2</v>
      </c>
      <c r="IQ44" s="23">
        <v>2</v>
      </c>
      <c r="IR44" s="23">
        <v>2</v>
      </c>
      <c r="IS44" s="23">
        <v>2</v>
      </c>
      <c r="IT44" s="23">
        <v>2</v>
      </c>
      <c r="IU44" s="23">
        <v>2</v>
      </c>
      <c r="IV44" s="23">
        <v>2</v>
      </c>
      <c r="IW44" s="23">
        <v>2</v>
      </c>
      <c r="IX44" s="23">
        <v>2</v>
      </c>
      <c r="IY44" s="23">
        <v>2</v>
      </c>
      <c r="IZ44" s="23">
        <v>2</v>
      </c>
      <c r="JA44" s="23">
        <v>2</v>
      </c>
      <c r="JB44" s="23">
        <v>2</v>
      </c>
      <c r="JC44" s="23">
        <v>2</v>
      </c>
      <c r="JD44" s="23">
        <v>2</v>
      </c>
      <c r="JE44" s="23">
        <v>2</v>
      </c>
      <c r="JF44" s="23">
        <v>2</v>
      </c>
      <c r="JG44" s="23">
        <v>2</v>
      </c>
      <c r="JH44" s="23">
        <v>2</v>
      </c>
      <c r="JI44" s="23">
        <v>2</v>
      </c>
      <c r="JJ44" s="23">
        <v>2</v>
      </c>
      <c r="JK44" s="23">
        <v>2</v>
      </c>
      <c r="JL44" s="23">
        <v>2</v>
      </c>
      <c r="JM44" s="23">
        <v>2</v>
      </c>
      <c r="JN44" s="23">
        <v>2</v>
      </c>
      <c r="JO44" s="23">
        <v>2</v>
      </c>
      <c r="JP44" s="23">
        <v>2</v>
      </c>
      <c r="JQ44" s="23">
        <v>2</v>
      </c>
      <c r="JR44" s="23">
        <v>2</v>
      </c>
      <c r="JS44" s="23">
        <v>2</v>
      </c>
      <c r="JT44" s="23">
        <v>2</v>
      </c>
      <c r="JU44" s="23">
        <v>2</v>
      </c>
      <c r="JV44" s="23">
        <v>2</v>
      </c>
      <c r="JW44" s="23">
        <v>2</v>
      </c>
      <c r="JX44" s="23">
        <v>2</v>
      </c>
      <c r="JY44" s="23">
        <v>2</v>
      </c>
      <c r="JZ44" s="23">
        <v>2</v>
      </c>
      <c r="KA44" s="23">
        <v>2</v>
      </c>
      <c r="KB44" s="23">
        <v>2</v>
      </c>
      <c r="KC44" s="23">
        <v>2</v>
      </c>
      <c r="KD44" s="23">
        <v>2</v>
      </c>
      <c r="KE44" s="23">
        <v>2</v>
      </c>
      <c r="KF44" s="23">
        <v>2</v>
      </c>
    </row>
    <row r="45" spans="4:293" outlineLevel="1" x14ac:dyDescent="0.35">
      <c r="E45" s="13" t="s">
        <v>166</v>
      </c>
      <c r="J45" s="15" t="s">
        <v>34</v>
      </c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  <c r="EC45" s="23"/>
      <c r="ED45" s="23"/>
      <c r="EE45" s="23"/>
      <c r="EF45" s="23"/>
      <c r="EG45" s="23"/>
      <c r="EH45" s="23"/>
      <c r="EI45" s="23"/>
      <c r="EJ45" s="23"/>
      <c r="EK45" s="23"/>
      <c r="EL45" s="23"/>
      <c r="EM45" s="23"/>
      <c r="EN45" s="23"/>
      <c r="EO45" s="23"/>
      <c r="EP45" s="23"/>
      <c r="EQ45" s="23"/>
      <c r="ER45" s="23"/>
      <c r="ES45" s="23"/>
      <c r="ET45" s="23"/>
      <c r="EU45" s="23"/>
      <c r="EV45" s="23"/>
      <c r="EW45" s="23"/>
      <c r="EX45" s="23"/>
      <c r="EY45" s="23"/>
      <c r="EZ45" s="23"/>
      <c r="FA45" s="23"/>
      <c r="FB45" s="23"/>
      <c r="FC45" s="23"/>
      <c r="FD45" s="23"/>
      <c r="FE45" s="23"/>
      <c r="FF45" s="23"/>
      <c r="FG45" s="23"/>
      <c r="FH45" s="23"/>
      <c r="FI45" s="23"/>
      <c r="FJ45" s="23"/>
      <c r="FK45" s="23"/>
      <c r="FL45" s="23"/>
      <c r="FM45" s="23"/>
      <c r="FN45" s="23"/>
      <c r="FO45" s="23"/>
      <c r="FP45" s="23"/>
      <c r="FQ45" s="23"/>
      <c r="FR45" s="23"/>
      <c r="FS45" s="23"/>
      <c r="FT45" s="23"/>
      <c r="FU45" s="23"/>
      <c r="FV45" s="23"/>
      <c r="FW45" s="23"/>
      <c r="FX45" s="23"/>
      <c r="FY45" s="23"/>
      <c r="FZ45" s="23"/>
      <c r="GA45" s="23"/>
      <c r="GB45" s="23"/>
      <c r="GC45" s="23"/>
      <c r="GD45" s="23"/>
      <c r="GE45" s="23"/>
      <c r="GF45" s="23"/>
      <c r="GG45" s="23"/>
      <c r="GH45" s="23"/>
      <c r="GI45" s="23"/>
      <c r="GJ45" s="23"/>
      <c r="GK45" s="23"/>
      <c r="GL45" s="23"/>
      <c r="GM45" s="23"/>
      <c r="GN45" s="23"/>
      <c r="GO45" s="23"/>
      <c r="GP45" s="23"/>
      <c r="GQ45" s="23"/>
      <c r="GR45" s="23"/>
      <c r="GS45" s="23"/>
      <c r="GT45" s="23"/>
      <c r="GU45" s="23"/>
      <c r="GV45" s="23"/>
      <c r="GW45" s="23"/>
      <c r="GX45" s="23"/>
      <c r="GY45" s="23"/>
      <c r="GZ45" s="23"/>
      <c r="HA45" s="23"/>
      <c r="HB45" s="23"/>
      <c r="HC45" s="23"/>
      <c r="HD45" s="23"/>
      <c r="HE45" s="23"/>
      <c r="HF45" s="23"/>
      <c r="HG45" s="23"/>
      <c r="HH45" s="23"/>
      <c r="HI45" s="23"/>
      <c r="HJ45" s="23"/>
      <c r="HK45" s="23"/>
      <c r="HL45" s="23"/>
      <c r="HM45" s="23"/>
      <c r="HN45" s="23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  <c r="IY45" s="23"/>
      <c r="IZ45" s="23"/>
      <c r="JA45" s="23"/>
      <c r="JB45" s="23"/>
      <c r="JC45" s="23"/>
      <c r="JD45" s="23"/>
      <c r="JE45" s="23"/>
      <c r="JF45" s="23"/>
      <c r="JG45" s="23"/>
      <c r="JH45" s="23"/>
      <c r="JI45" s="23"/>
      <c r="JJ45" s="23"/>
      <c r="JK45" s="23"/>
      <c r="JL45" s="23"/>
      <c r="JM45" s="23"/>
      <c r="JN45" s="23"/>
      <c r="JO45" s="23"/>
      <c r="JP45" s="23"/>
      <c r="JQ45" s="23"/>
      <c r="JR45" s="23"/>
      <c r="JS45" s="23"/>
      <c r="JT45" s="23"/>
      <c r="JU45" s="23"/>
      <c r="JV45" s="23"/>
      <c r="JW45" s="23"/>
      <c r="JX45" s="23"/>
      <c r="JY45" s="23"/>
      <c r="JZ45" s="23"/>
      <c r="KA45" s="23"/>
      <c r="KB45" s="23"/>
      <c r="KC45" s="23"/>
      <c r="KD45" s="23"/>
      <c r="KE45" s="23"/>
      <c r="KF45" s="23"/>
    </row>
    <row r="46" spans="4:293" outlineLevel="1" x14ac:dyDescent="0.35">
      <c r="E46" s="13" t="s">
        <v>166</v>
      </c>
      <c r="J46" s="15" t="s">
        <v>34</v>
      </c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  <c r="EC46" s="23"/>
      <c r="ED46" s="23"/>
      <c r="EE46" s="23"/>
      <c r="EF46" s="23"/>
      <c r="EG46" s="23"/>
      <c r="EH46" s="23"/>
      <c r="EI46" s="23"/>
      <c r="EJ46" s="23"/>
      <c r="EK46" s="23"/>
      <c r="EL46" s="23"/>
      <c r="EM46" s="23"/>
      <c r="EN46" s="23"/>
      <c r="EO46" s="23"/>
      <c r="EP46" s="23"/>
      <c r="EQ46" s="23"/>
      <c r="ER46" s="23"/>
      <c r="ES46" s="23"/>
      <c r="ET46" s="23"/>
      <c r="EU46" s="23"/>
      <c r="EV46" s="23"/>
      <c r="EW46" s="23"/>
      <c r="EX46" s="23"/>
      <c r="EY46" s="23"/>
      <c r="EZ46" s="23"/>
      <c r="FA46" s="23"/>
      <c r="FB46" s="23"/>
      <c r="FC46" s="23"/>
      <c r="FD46" s="23"/>
      <c r="FE46" s="23"/>
      <c r="FF46" s="23"/>
      <c r="FG46" s="23"/>
      <c r="FH46" s="23"/>
      <c r="FI46" s="23"/>
      <c r="FJ46" s="23"/>
      <c r="FK46" s="23"/>
      <c r="FL46" s="23"/>
      <c r="FM46" s="23"/>
      <c r="FN46" s="23"/>
      <c r="FO46" s="23"/>
      <c r="FP46" s="23"/>
      <c r="FQ46" s="23"/>
      <c r="FR46" s="23"/>
      <c r="FS46" s="23"/>
      <c r="FT46" s="23"/>
      <c r="FU46" s="23"/>
      <c r="FV46" s="23"/>
      <c r="FW46" s="23"/>
      <c r="FX46" s="23"/>
      <c r="FY46" s="23"/>
      <c r="FZ46" s="23"/>
      <c r="GA46" s="23"/>
      <c r="GB46" s="23"/>
      <c r="GC46" s="23"/>
      <c r="GD46" s="23"/>
      <c r="GE46" s="23"/>
      <c r="GF46" s="23"/>
      <c r="GG46" s="23"/>
      <c r="GH46" s="23"/>
      <c r="GI46" s="23"/>
      <c r="GJ46" s="23"/>
      <c r="GK46" s="23"/>
      <c r="GL46" s="23"/>
      <c r="GM46" s="23"/>
      <c r="GN46" s="23"/>
      <c r="GO46" s="23"/>
      <c r="GP46" s="23"/>
      <c r="GQ46" s="23"/>
      <c r="GR46" s="23"/>
      <c r="GS46" s="23"/>
      <c r="GT46" s="23"/>
      <c r="GU46" s="23"/>
      <c r="GV46" s="23"/>
      <c r="GW46" s="23"/>
      <c r="GX46" s="23"/>
      <c r="GY46" s="23"/>
      <c r="GZ46" s="23"/>
      <c r="HA46" s="23"/>
      <c r="HB46" s="23"/>
      <c r="HC46" s="23"/>
      <c r="HD46" s="23"/>
      <c r="HE46" s="23"/>
      <c r="HF46" s="23"/>
      <c r="HG46" s="23"/>
      <c r="HH46" s="23"/>
      <c r="HI46" s="23"/>
      <c r="HJ46" s="23"/>
      <c r="HK46" s="23"/>
      <c r="HL46" s="23"/>
      <c r="HM46" s="23"/>
      <c r="HN46" s="23"/>
      <c r="HO46" s="23"/>
      <c r="HP46" s="23"/>
      <c r="HQ46" s="23"/>
      <c r="HR46" s="23"/>
      <c r="HS46" s="23"/>
      <c r="HT46" s="23"/>
      <c r="HU46" s="23"/>
      <c r="HV46" s="23"/>
      <c r="HW46" s="23"/>
      <c r="HX46" s="23"/>
      <c r="HY46" s="23"/>
      <c r="HZ46" s="23"/>
      <c r="IA46" s="23"/>
      <c r="IB46" s="23"/>
      <c r="IC46" s="23"/>
      <c r="ID46" s="23"/>
      <c r="IE46" s="23"/>
      <c r="IF46" s="23"/>
      <c r="IG46" s="23"/>
      <c r="IH46" s="23"/>
      <c r="II46" s="23"/>
      <c r="IJ46" s="23"/>
      <c r="IK46" s="23"/>
      <c r="IL46" s="23"/>
      <c r="IM46" s="23"/>
      <c r="IN46" s="23"/>
      <c r="IO46" s="23"/>
      <c r="IP46" s="23"/>
      <c r="IQ46" s="23"/>
      <c r="IR46" s="23"/>
      <c r="IS46" s="23"/>
      <c r="IT46" s="23"/>
      <c r="IU46" s="23"/>
      <c r="IV46" s="23"/>
      <c r="IW46" s="23"/>
      <c r="IX46" s="23"/>
      <c r="IY46" s="23"/>
      <c r="IZ46" s="23"/>
      <c r="JA46" s="23"/>
      <c r="JB46" s="23"/>
      <c r="JC46" s="23"/>
      <c r="JD46" s="23"/>
      <c r="JE46" s="23"/>
      <c r="JF46" s="23"/>
      <c r="JG46" s="23"/>
      <c r="JH46" s="23"/>
      <c r="JI46" s="23"/>
      <c r="JJ46" s="23"/>
      <c r="JK46" s="23"/>
      <c r="JL46" s="23"/>
      <c r="JM46" s="23"/>
      <c r="JN46" s="23"/>
      <c r="JO46" s="23"/>
      <c r="JP46" s="23"/>
      <c r="JQ46" s="23"/>
      <c r="JR46" s="23"/>
      <c r="JS46" s="23"/>
      <c r="JT46" s="23"/>
      <c r="JU46" s="23"/>
      <c r="JV46" s="23"/>
      <c r="JW46" s="23"/>
      <c r="JX46" s="23"/>
      <c r="JY46" s="23"/>
      <c r="JZ46" s="23"/>
      <c r="KA46" s="23"/>
      <c r="KB46" s="23"/>
      <c r="KC46" s="23"/>
      <c r="KD46" s="23"/>
      <c r="KE46" s="23"/>
      <c r="KF46" s="23"/>
    </row>
    <row r="47" spans="4:293" outlineLevel="1" x14ac:dyDescent="0.35">
      <c r="E47" s="13" t="s">
        <v>166</v>
      </c>
      <c r="J47" s="15" t="s">
        <v>34</v>
      </c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  <c r="EC47" s="23"/>
      <c r="ED47" s="23"/>
      <c r="EE47" s="23"/>
      <c r="EF47" s="23"/>
      <c r="EG47" s="23"/>
      <c r="EH47" s="23"/>
      <c r="EI47" s="23"/>
      <c r="EJ47" s="23"/>
      <c r="EK47" s="23"/>
      <c r="EL47" s="23"/>
      <c r="EM47" s="23"/>
      <c r="EN47" s="23"/>
      <c r="EO47" s="23"/>
      <c r="EP47" s="23"/>
      <c r="EQ47" s="23"/>
      <c r="ER47" s="23"/>
      <c r="ES47" s="23"/>
      <c r="ET47" s="23"/>
      <c r="EU47" s="23"/>
      <c r="EV47" s="23"/>
      <c r="EW47" s="23"/>
      <c r="EX47" s="23"/>
      <c r="EY47" s="23"/>
      <c r="EZ47" s="23"/>
      <c r="FA47" s="23"/>
      <c r="FB47" s="23"/>
      <c r="FC47" s="23"/>
      <c r="FD47" s="23"/>
      <c r="FE47" s="23"/>
      <c r="FF47" s="23"/>
      <c r="FG47" s="23"/>
      <c r="FH47" s="23"/>
      <c r="FI47" s="23"/>
      <c r="FJ47" s="23"/>
      <c r="FK47" s="23"/>
      <c r="FL47" s="23"/>
      <c r="FM47" s="23"/>
      <c r="FN47" s="23"/>
      <c r="FO47" s="23"/>
      <c r="FP47" s="23"/>
      <c r="FQ47" s="23"/>
      <c r="FR47" s="23"/>
      <c r="FS47" s="23"/>
      <c r="FT47" s="23"/>
      <c r="FU47" s="23"/>
      <c r="FV47" s="23"/>
      <c r="FW47" s="23"/>
      <c r="FX47" s="23"/>
      <c r="FY47" s="23"/>
      <c r="FZ47" s="23"/>
      <c r="GA47" s="23"/>
      <c r="GB47" s="23"/>
      <c r="GC47" s="23"/>
      <c r="GD47" s="23"/>
      <c r="GE47" s="23"/>
      <c r="GF47" s="23"/>
      <c r="GG47" s="23"/>
      <c r="GH47" s="23"/>
      <c r="GI47" s="23"/>
      <c r="GJ47" s="23"/>
      <c r="GK47" s="23"/>
      <c r="GL47" s="23"/>
      <c r="GM47" s="23"/>
      <c r="GN47" s="23"/>
      <c r="GO47" s="23"/>
      <c r="GP47" s="23"/>
      <c r="GQ47" s="23"/>
      <c r="GR47" s="23"/>
      <c r="GS47" s="23"/>
      <c r="GT47" s="23"/>
      <c r="GU47" s="23"/>
      <c r="GV47" s="23"/>
      <c r="GW47" s="23"/>
      <c r="GX47" s="23"/>
      <c r="GY47" s="23"/>
      <c r="GZ47" s="23"/>
      <c r="HA47" s="23"/>
      <c r="HB47" s="23"/>
      <c r="HC47" s="23"/>
      <c r="HD47" s="23"/>
      <c r="HE47" s="23"/>
      <c r="HF47" s="23"/>
      <c r="HG47" s="23"/>
      <c r="HH47" s="23"/>
      <c r="HI47" s="23"/>
      <c r="HJ47" s="23"/>
      <c r="HK47" s="23"/>
      <c r="HL47" s="23"/>
      <c r="HM47" s="23"/>
      <c r="HN47" s="23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  <c r="IY47" s="23"/>
      <c r="IZ47" s="23"/>
      <c r="JA47" s="23"/>
      <c r="JB47" s="23"/>
      <c r="JC47" s="23"/>
      <c r="JD47" s="23"/>
      <c r="JE47" s="23"/>
      <c r="JF47" s="23"/>
      <c r="JG47" s="23"/>
      <c r="JH47" s="23"/>
      <c r="JI47" s="23"/>
      <c r="JJ47" s="23"/>
      <c r="JK47" s="23"/>
      <c r="JL47" s="23"/>
      <c r="JM47" s="23"/>
      <c r="JN47" s="23"/>
      <c r="JO47" s="23"/>
      <c r="JP47" s="23"/>
      <c r="JQ47" s="23"/>
      <c r="JR47" s="23"/>
      <c r="JS47" s="23"/>
      <c r="JT47" s="23"/>
      <c r="JU47" s="23"/>
      <c r="JV47" s="23"/>
      <c r="JW47" s="23"/>
      <c r="JX47" s="23"/>
      <c r="JY47" s="23"/>
      <c r="JZ47" s="23"/>
      <c r="KA47" s="23"/>
      <c r="KB47" s="23"/>
      <c r="KC47" s="23"/>
      <c r="KD47" s="23"/>
      <c r="KE47" s="23"/>
      <c r="KF47" s="23"/>
    </row>
    <row r="48" spans="4:293" outlineLevel="1" x14ac:dyDescent="0.35">
      <c r="E48" s="13" t="s">
        <v>166</v>
      </c>
      <c r="J48" s="15" t="s">
        <v>34</v>
      </c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  <c r="EC48" s="23"/>
      <c r="ED48" s="23"/>
      <c r="EE48" s="23"/>
      <c r="EF48" s="23"/>
      <c r="EG48" s="23"/>
      <c r="EH48" s="23"/>
      <c r="EI48" s="23"/>
      <c r="EJ48" s="23"/>
      <c r="EK48" s="23"/>
      <c r="EL48" s="23"/>
      <c r="EM48" s="23"/>
      <c r="EN48" s="23"/>
      <c r="EO48" s="23"/>
      <c r="EP48" s="23"/>
      <c r="EQ48" s="23"/>
      <c r="ER48" s="23"/>
      <c r="ES48" s="23"/>
      <c r="ET48" s="23"/>
      <c r="EU48" s="23"/>
      <c r="EV48" s="23"/>
      <c r="EW48" s="23"/>
      <c r="EX48" s="23"/>
      <c r="EY48" s="23"/>
      <c r="EZ48" s="23"/>
      <c r="FA48" s="23"/>
      <c r="FB48" s="23"/>
      <c r="FC48" s="23"/>
      <c r="FD48" s="23"/>
      <c r="FE48" s="23"/>
      <c r="FF48" s="23"/>
      <c r="FG48" s="23"/>
      <c r="FH48" s="23"/>
      <c r="FI48" s="23"/>
      <c r="FJ48" s="23"/>
      <c r="FK48" s="23"/>
      <c r="FL48" s="23"/>
      <c r="FM48" s="23"/>
      <c r="FN48" s="23"/>
      <c r="FO48" s="23"/>
      <c r="FP48" s="23"/>
      <c r="FQ48" s="23"/>
      <c r="FR48" s="23"/>
      <c r="FS48" s="23"/>
      <c r="FT48" s="23"/>
      <c r="FU48" s="23"/>
      <c r="FV48" s="23"/>
      <c r="FW48" s="23"/>
      <c r="FX48" s="23"/>
      <c r="FY48" s="23"/>
      <c r="FZ48" s="23"/>
      <c r="GA48" s="23"/>
      <c r="GB48" s="23"/>
      <c r="GC48" s="23"/>
      <c r="GD48" s="23"/>
      <c r="GE48" s="23"/>
      <c r="GF48" s="23"/>
      <c r="GG48" s="23"/>
      <c r="GH48" s="23"/>
      <c r="GI48" s="23"/>
      <c r="GJ48" s="23"/>
      <c r="GK48" s="23"/>
      <c r="GL48" s="23"/>
      <c r="GM48" s="23"/>
      <c r="GN48" s="23"/>
      <c r="GO48" s="23"/>
      <c r="GP48" s="23"/>
      <c r="GQ48" s="23"/>
      <c r="GR48" s="23"/>
      <c r="GS48" s="23"/>
      <c r="GT48" s="23"/>
      <c r="GU48" s="23"/>
      <c r="GV48" s="23"/>
      <c r="GW48" s="23"/>
      <c r="GX48" s="23"/>
      <c r="GY48" s="23"/>
      <c r="GZ48" s="23"/>
      <c r="HA48" s="23"/>
      <c r="HB48" s="23"/>
      <c r="HC48" s="23"/>
      <c r="HD48" s="23"/>
      <c r="HE48" s="23"/>
      <c r="HF48" s="23"/>
      <c r="HG48" s="23"/>
      <c r="HH48" s="23"/>
      <c r="HI48" s="23"/>
      <c r="HJ48" s="23"/>
      <c r="HK48" s="23"/>
      <c r="HL48" s="23"/>
      <c r="HM48" s="23"/>
      <c r="HN48" s="23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  <c r="IY48" s="23"/>
      <c r="IZ48" s="23"/>
      <c r="JA48" s="23"/>
      <c r="JB48" s="23"/>
      <c r="JC48" s="23"/>
      <c r="JD48" s="23"/>
      <c r="JE48" s="23"/>
      <c r="JF48" s="23"/>
      <c r="JG48" s="23"/>
      <c r="JH48" s="23"/>
      <c r="JI48" s="23"/>
      <c r="JJ48" s="23"/>
      <c r="JK48" s="23"/>
      <c r="JL48" s="23"/>
      <c r="JM48" s="23"/>
      <c r="JN48" s="23"/>
      <c r="JO48" s="23"/>
      <c r="JP48" s="23"/>
      <c r="JQ48" s="23"/>
      <c r="JR48" s="23"/>
      <c r="JS48" s="23"/>
      <c r="JT48" s="23"/>
      <c r="JU48" s="23"/>
      <c r="JV48" s="23"/>
      <c r="JW48" s="23"/>
      <c r="JX48" s="23"/>
      <c r="JY48" s="23"/>
      <c r="JZ48" s="23"/>
      <c r="KA48" s="23"/>
      <c r="KB48" s="23"/>
      <c r="KC48" s="23"/>
      <c r="KD48" s="23"/>
      <c r="KE48" s="23"/>
      <c r="KF48" s="23"/>
    </row>
    <row r="49" spans="4:292" outlineLevel="1" x14ac:dyDescent="0.35">
      <c r="E49" s="13" t="s">
        <v>166</v>
      </c>
      <c r="J49" s="15" t="s">
        <v>34</v>
      </c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3"/>
      <c r="DV49" s="23"/>
      <c r="DW49" s="23"/>
      <c r="DX49" s="23"/>
      <c r="DY49" s="23"/>
      <c r="DZ49" s="23"/>
      <c r="EA49" s="23"/>
      <c r="EB49" s="23"/>
      <c r="EC49" s="23"/>
      <c r="ED49" s="23"/>
      <c r="EE49" s="23"/>
      <c r="EF49" s="23"/>
      <c r="EG49" s="23"/>
      <c r="EH49" s="23"/>
      <c r="EI49" s="23"/>
      <c r="EJ49" s="23"/>
      <c r="EK49" s="23"/>
      <c r="EL49" s="23"/>
      <c r="EM49" s="23"/>
      <c r="EN49" s="23"/>
      <c r="EO49" s="23"/>
      <c r="EP49" s="23"/>
      <c r="EQ49" s="23"/>
      <c r="ER49" s="23"/>
      <c r="ES49" s="23"/>
      <c r="ET49" s="23"/>
      <c r="EU49" s="23"/>
      <c r="EV49" s="23"/>
      <c r="EW49" s="23"/>
      <c r="EX49" s="23"/>
      <c r="EY49" s="23"/>
      <c r="EZ49" s="23"/>
      <c r="FA49" s="23"/>
      <c r="FB49" s="23"/>
      <c r="FC49" s="23"/>
      <c r="FD49" s="23"/>
      <c r="FE49" s="23"/>
      <c r="FF49" s="23"/>
      <c r="FG49" s="23"/>
      <c r="FH49" s="23"/>
      <c r="FI49" s="23"/>
      <c r="FJ49" s="23"/>
      <c r="FK49" s="23"/>
      <c r="FL49" s="23"/>
      <c r="FM49" s="23"/>
      <c r="FN49" s="23"/>
      <c r="FO49" s="23"/>
      <c r="FP49" s="23"/>
      <c r="FQ49" s="23"/>
      <c r="FR49" s="23"/>
      <c r="FS49" s="23"/>
      <c r="FT49" s="23"/>
      <c r="FU49" s="23"/>
      <c r="FV49" s="23"/>
      <c r="FW49" s="23"/>
      <c r="FX49" s="23"/>
      <c r="FY49" s="23"/>
      <c r="FZ49" s="23"/>
      <c r="GA49" s="23"/>
      <c r="GB49" s="23"/>
      <c r="GC49" s="23"/>
      <c r="GD49" s="23"/>
      <c r="GE49" s="23"/>
      <c r="GF49" s="23"/>
      <c r="GG49" s="23"/>
      <c r="GH49" s="23"/>
      <c r="GI49" s="23"/>
      <c r="GJ49" s="23"/>
      <c r="GK49" s="23"/>
      <c r="GL49" s="23"/>
      <c r="GM49" s="23"/>
      <c r="GN49" s="23"/>
      <c r="GO49" s="23"/>
      <c r="GP49" s="23"/>
      <c r="GQ49" s="23"/>
      <c r="GR49" s="23"/>
      <c r="GS49" s="23"/>
      <c r="GT49" s="23"/>
      <c r="GU49" s="23"/>
      <c r="GV49" s="23"/>
      <c r="GW49" s="23"/>
      <c r="GX49" s="23"/>
      <c r="GY49" s="23"/>
      <c r="GZ49" s="23"/>
      <c r="HA49" s="23"/>
      <c r="HB49" s="23"/>
      <c r="HC49" s="23"/>
      <c r="HD49" s="23"/>
      <c r="HE49" s="23"/>
      <c r="HF49" s="23"/>
      <c r="HG49" s="23"/>
      <c r="HH49" s="23"/>
      <c r="HI49" s="23"/>
      <c r="HJ49" s="23"/>
      <c r="HK49" s="23"/>
      <c r="HL49" s="23"/>
      <c r="HM49" s="23"/>
      <c r="HN49" s="23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  <c r="IY49" s="23"/>
      <c r="IZ49" s="23"/>
      <c r="JA49" s="23"/>
      <c r="JB49" s="23"/>
      <c r="JC49" s="23"/>
      <c r="JD49" s="23"/>
      <c r="JE49" s="23"/>
      <c r="JF49" s="23"/>
      <c r="JG49" s="23"/>
      <c r="JH49" s="23"/>
      <c r="JI49" s="23"/>
      <c r="JJ49" s="23"/>
      <c r="JK49" s="23"/>
      <c r="JL49" s="23"/>
      <c r="JM49" s="23"/>
      <c r="JN49" s="23"/>
      <c r="JO49" s="23"/>
      <c r="JP49" s="23"/>
      <c r="JQ49" s="23"/>
      <c r="JR49" s="23"/>
      <c r="JS49" s="23"/>
      <c r="JT49" s="23"/>
      <c r="JU49" s="23"/>
      <c r="JV49" s="23"/>
      <c r="JW49" s="23"/>
      <c r="JX49" s="23"/>
      <c r="JY49" s="23"/>
      <c r="JZ49" s="23"/>
      <c r="KA49" s="23"/>
      <c r="KB49" s="23"/>
      <c r="KC49" s="23"/>
      <c r="KD49" s="23"/>
      <c r="KE49" s="23"/>
      <c r="KF49" s="23"/>
    </row>
    <row r="50" spans="4:292" outlineLevel="1" x14ac:dyDescent="0.35">
      <c r="E50" s="13" t="s">
        <v>166</v>
      </c>
      <c r="J50" s="15" t="s">
        <v>34</v>
      </c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3"/>
      <c r="DV50" s="23"/>
      <c r="DW50" s="23"/>
      <c r="DX50" s="23"/>
      <c r="DY50" s="23"/>
      <c r="DZ50" s="23"/>
      <c r="EA50" s="23"/>
      <c r="EB50" s="23"/>
      <c r="EC50" s="23"/>
      <c r="ED50" s="23"/>
      <c r="EE50" s="23"/>
      <c r="EF50" s="23"/>
      <c r="EG50" s="23"/>
      <c r="EH50" s="23"/>
      <c r="EI50" s="23"/>
      <c r="EJ50" s="23"/>
      <c r="EK50" s="23"/>
      <c r="EL50" s="23"/>
      <c r="EM50" s="23"/>
      <c r="EN50" s="23"/>
      <c r="EO50" s="23"/>
      <c r="EP50" s="23"/>
      <c r="EQ50" s="23"/>
      <c r="ER50" s="23"/>
      <c r="ES50" s="23"/>
      <c r="ET50" s="23"/>
      <c r="EU50" s="23"/>
      <c r="EV50" s="23"/>
      <c r="EW50" s="23"/>
      <c r="EX50" s="23"/>
      <c r="EY50" s="23"/>
      <c r="EZ50" s="23"/>
      <c r="FA50" s="23"/>
      <c r="FB50" s="23"/>
      <c r="FC50" s="23"/>
      <c r="FD50" s="23"/>
      <c r="FE50" s="23"/>
      <c r="FF50" s="23"/>
      <c r="FG50" s="23"/>
      <c r="FH50" s="23"/>
      <c r="FI50" s="23"/>
      <c r="FJ50" s="23"/>
      <c r="FK50" s="23"/>
      <c r="FL50" s="23"/>
      <c r="FM50" s="23"/>
      <c r="FN50" s="23"/>
      <c r="FO50" s="23"/>
      <c r="FP50" s="23"/>
      <c r="FQ50" s="23"/>
      <c r="FR50" s="23"/>
      <c r="FS50" s="23"/>
      <c r="FT50" s="23"/>
      <c r="FU50" s="23"/>
      <c r="FV50" s="23"/>
      <c r="FW50" s="23"/>
      <c r="FX50" s="23"/>
      <c r="FY50" s="23"/>
      <c r="FZ50" s="23"/>
      <c r="GA50" s="23"/>
      <c r="GB50" s="23"/>
      <c r="GC50" s="23"/>
      <c r="GD50" s="23"/>
      <c r="GE50" s="23"/>
      <c r="GF50" s="23"/>
      <c r="GG50" s="23"/>
      <c r="GH50" s="23"/>
      <c r="GI50" s="23"/>
      <c r="GJ50" s="23"/>
      <c r="GK50" s="23"/>
      <c r="GL50" s="23"/>
      <c r="GM50" s="23"/>
      <c r="GN50" s="23"/>
      <c r="GO50" s="23"/>
      <c r="GP50" s="23"/>
      <c r="GQ50" s="23"/>
      <c r="GR50" s="23"/>
      <c r="GS50" s="23"/>
      <c r="GT50" s="23"/>
      <c r="GU50" s="23"/>
      <c r="GV50" s="23"/>
      <c r="GW50" s="23"/>
      <c r="GX50" s="23"/>
      <c r="GY50" s="23"/>
      <c r="GZ50" s="23"/>
      <c r="HA50" s="23"/>
      <c r="HB50" s="23"/>
      <c r="HC50" s="23"/>
      <c r="HD50" s="23"/>
      <c r="HE50" s="23"/>
      <c r="HF50" s="23"/>
      <c r="HG50" s="23"/>
      <c r="HH50" s="23"/>
      <c r="HI50" s="23"/>
      <c r="HJ50" s="23"/>
      <c r="HK50" s="23"/>
      <c r="HL50" s="23"/>
      <c r="HM50" s="23"/>
      <c r="HN50" s="23"/>
      <c r="HO50" s="23"/>
      <c r="HP50" s="23"/>
      <c r="HQ50" s="23"/>
      <c r="HR50" s="23"/>
      <c r="HS50" s="23"/>
      <c r="HT50" s="23"/>
      <c r="HU50" s="23"/>
      <c r="HV50" s="23"/>
      <c r="HW50" s="23"/>
      <c r="HX50" s="23"/>
      <c r="HY50" s="23"/>
      <c r="HZ50" s="23"/>
      <c r="IA50" s="23"/>
      <c r="IB50" s="23"/>
      <c r="IC50" s="23"/>
      <c r="ID50" s="23"/>
      <c r="IE50" s="23"/>
      <c r="IF50" s="23"/>
      <c r="IG50" s="23"/>
      <c r="IH50" s="23"/>
      <c r="II50" s="23"/>
      <c r="IJ50" s="23"/>
      <c r="IK50" s="23"/>
      <c r="IL50" s="23"/>
      <c r="IM50" s="23"/>
      <c r="IN50" s="23"/>
      <c r="IO50" s="23"/>
      <c r="IP50" s="23"/>
      <c r="IQ50" s="23"/>
      <c r="IR50" s="23"/>
      <c r="IS50" s="23"/>
      <c r="IT50" s="23"/>
      <c r="IU50" s="23"/>
      <c r="IV50" s="23"/>
      <c r="IW50" s="23"/>
      <c r="IX50" s="23"/>
      <c r="IY50" s="23"/>
      <c r="IZ50" s="23"/>
      <c r="JA50" s="23"/>
      <c r="JB50" s="23"/>
      <c r="JC50" s="23"/>
      <c r="JD50" s="23"/>
      <c r="JE50" s="23"/>
      <c r="JF50" s="23"/>
      <c r="JG50" s="23"/>
      <c r="JH50" s="23"/>
      <c r="JI50" s="23"/>
      <c r="JJ50" s="23"/>
      <c r="JK50" s="23"/>
      <c r="JL50" s="23"/>
      <c r="JM50" s="23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</row>
    <row r="51" spans="4:292" outlineLevel="1" x14ac:dyDescent="0.35"/>
    <row r="52" spans="4:292" outlineLevel="1" x14ac:dyDescent="0.35">
      <c r="H52" s="19" t="s">
        <v>165</v>
      </c>
      <c r="I52" s="19"/>
      <c r="J52" s="16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7"/>
      <c r="DP52" s="17"/>
      <c r="DQ52" s="17"/>
      <c r="DR52" s="17"/>
      <c r="DS52" s="17"/>
      <c r="DT52" s="17"/>
      <c r="DU52" s="17"/>
      <c r="DV52" s="17"/>
      <c r="DW52" s="17"/>
      <c r="DX52" s="17"/>
      <c r="DY52" s="17"/>
      <c r="DZ52" s="17"/>
      <c r="EA52" s="17"/>
      <c r="EB52" s="17"/>
      <c r="EC52" s="17"/>
      <c r="ED52" s="17"/>
      <c r="EE52" s="17"/>
      <c r="EF52" s="17"/>
      <c r="EG52" s="17"/>
      <c r="EH52" s="17"/>
      <c r="EI52" s="17"/>
      <c r="EJ52" s="17"/>
      <c r="EK52" s="17"/>
      <c r="EL52" s="17"/>
      <c r="EM52" s="17"/>
      <c r="EN52" s="17"/>
      <c r="EO52" s="17"/>
      <c r="EP52" s="17"/>
      <c r="EQ52" s="17"/>
      <c r="ER52" s="17"/>
      <c r="ES52" s="17"/>
      <c r="ET52" s="17"/>
      <c r="EU52" s="17"/>
      <c r="EV52" s="17"/>
      <c r="EW52" s="17"/>
      <c r="EX52" s="17"/>
      <c r="EY52" s="17"/>
      <c r="EZ52" s="17"/>
      <c r="FA52" s="17"/>
      <c r="FB52" s="17"/>
      <c r="FC52" s="17"/>
      <c r="FD52" s="17"/>
      <c r="FE52" s="17"/>
      <c r="FF52" s="17"/>
      <c r="FG52" s="17"/>
      <c r="FH52" s="17"/>
      <c r="FI52" s="17"/>
      <c r="FJ52" s="17"/>
      <c r="FK52" s="17"/>
      <c r="FL52" s="17"/>
      <c r="FM52" s="17"/>
      <c r="FN52" s="17"/>
      <c r="FO52" s="17"/>
      <c r="FP52" s="17"/>
      <c r="FQ52" s="17"/>
      <c r="FR52" s="17"/>
      <c r="FS52" s="17"/>
      <c r="FT52" s="17"/>
      <c r="FU52" s="17"/>
      <c r="FV52" s="17"/>
      <c r="FW52" s="17"/>
      <c r="FX52" s="17"/>
      <c r="FY52" s="17"/>
      <c r="FZ52" s="17"/>
      <c r="GA52" s="17"/>
      <c r="GB52" s="17"/>
      <c r="GC52" s="17"/>
      <c r="GD52" s="17"/>
      <c r="GE52" s="17"/>
      <c r="GF52" s="17"/>
      <c r="GG52" s="17"/>
      <c r="GH52" s="17"/>
      <c r="GI52" s="17"/>
      <c r="GJ52" s="17"/>
      <c r="GK52" s="17"/>
      <c r="GL52" s="17"/>
      <c r="GM52" s="17"/>
      <c r="GN52" s="17"/>
      <c r="GO52" s="17"/>
      <c r="GP52" s="17"/>
      <c r="GQ52" s="17"/>
      <c r="GR52" s="17"/>
      <c r="GS52" s="17"/>
      <c r="GT52" s="17"/>
      <c r="GU52" s="17"/>
      <c r="GV52" s="17"/>
      <c r="GW52" s="17"/>
      <c r="GX52" s="17"/>
      <c r="GY52" s="17"/>
      <c r="GZ52" s="17"/>
      <c r="HA52" s="17"/>
      <c r="HB52" s="17"/>
      <c r="HC52" s="17"/>
      <c r="HD52" s="17"/>
      <c r="HE52" s="17"/>
      <c r="HF52" s="17"/>
      <c r="HG52" s="17"/>
      <c r="HH52" s="17"/>
      <c r="HI52" s="17"/>
      <c r="HJ52" s="17"/>
      <c r="HK52" s="17"/>
      <c r="HL52" s="17"/>
      <c r="HM52" s="17"/>
      <c r="HN52" s="17"/>
      <c r="HO52" s="17"/>
      <c r="HP52" s="17"/>
      <c r="HQ52" s="17"/>
      <c r="HR52" s="17"/>
      <c r="HS52" s="17"/>
      <c r="HT52" s="17"/>
      <c r="HU52" s="17"/>
      <c r="HV52" s="17"/>
      <c r="HW52" s="17"/>
      <c r="HX52" s="17"/>
      <c r="HY52" s="17"/>
      <c r="HZ52" s="17"/>
      <c r="IA52" s="17"/>
      <c r="IB52" s="17"/>
      <c r="IC52" s="17"/>
      <c r="ID52" s="17"/>
      <c r="IE52" s="17"/>
      <c r="IF52" s="17"/>
      <c r="IG52" s="17"/>
      <c r="IH52" s="17"/>
      <c r="II52" s="17"/>
      <c r="IJ52" s="17"/>
      <c r="IK52" s="17"/>
      <c r="IL52" s="17"/>
      <c r="IM52" s="17"/>
      <c r="IN52" s="17"/>
      <c r="IO52" s="17"/>
      <c r="IP52" s="17"/>
      <c r="IQ52" s="17"/>
      <c r="IR52" s="17"/>
      <c r="IS52" s="17"/>
      <c r="IT52" s="17"/>
      <c r="IU52" s="17"/>
      <c r="IV52" s="17"/>
      <c r="IW52" s="17"/>
      <c r="IX52" s="17"/>
      <c r="IY52" s="17"/>
      <c r="IZ52" s="17"/>
      <c r="JA52" s="17"/>
      <c r="JB52" s="17"/>
      <c r="JC52" s="17"/>
      <c r="JD52" s="17"/>
      <c r="JE52" s="17"/>
      <c r="JF52" s="17"/>
      <c r="JG52" s="17"/>
      <c r="JH52" s="17"/>
      <c r="JI52" s="17"/>
      <c r="JJ52" s="17"/>
      <c r="JK52" s="17"/>
      <c r="JL52" s="17"/>
      <c r="JM52" s="17"/>
      <c r="JN52" s="17"/>
      <c r="JO52" s="17"/>
      <c r="JP52" s="17"/>
      <c r="JQ52" s="17"/>
      <c r="JR52" s="17"/>
      <c r="JS52" s="17"/>
      <c r="JT52" s="17"/>
      <c r="JU52" s="17"/>
      <c r="JV52" s="17"/>
      <c r="JW52" s="17"/>
      <c r="JX52" s="17"/>
      <c r="JY52" s="17"/>
      <c r="JZ52" s="17"/>
      <c r="KA52" s="17"/>
      <c r="KB52" s="17"/>
      <c r="KC52" s="17"/>
      <c r="KD52" s="17"/>
      <c r="KE52" s="17"/>
      <c r="KF52" s="17"/>
    </row>
    <row r="53" spans="4:292" outlineLevel="1" x14ac:dyDescent="0.35"/>
    <row r="54" spans="4:292" outlineLevel="1" x14ac:dyDescent="0.35">
      <c r="J54" s="18" t="s">
        <v>29</v>
      </c>
      <c r="K54" s="18">
        <f>Control!H19</f>
        <v>1</v>
      </c>
      <c r="L54" s="13" t="str" cm="1">
        <f t="array" ref="L54">INDEX(J58:J66,K54)</f>
        <v>Base case</v>
      </c>
    </row>
    <row r="55" spans="4:292" outlineLevel="1" x14ac:dyDescent="0.35">
      <c r="E55" s="13" t="s">
        <v>166</v>
      </c>
      <c r="J55" s="13" t="s">
        <v>30</v>
      </c>
      <c r="K55" s="61" cm="1">
        <f t="array" ref="K55">INDEX(K58:K66,$K$54)</f>
        <v>-0.28887274168884491</v>
      </c>
      <c r="L55" s="61" cm="1">
        <f t="array" ref="L55">INDEX(L58:L66,$K$54)</f>
        <v>-0.26384951705178378</v>
      </c>
      <c r="M55" s="61" cm="1">
        <f t="array" ref="M55">INDEX(M58:M66,$K$54)</f>
        <v>-0.36179302278349129</v>
      </c>
      <c r="N55" s="61" cm="1">
        <f t="array" ref="N55">INDEX(N58:N66,$K$54)</f>
        <v>-0.51930818731908845</v>
      </c>
      <c r="O55" s="61" cm="1">
        <f t="array" ref="O55">INDEX(O58:O66,$K$54)</f>
        <v>-0.25707948317536083</v>
      </c>
      <c r="P55" s="61" cm="1">
        <f t="array" ref="P55">INDEX(P58:P66,$K$54)</f>
        <v>-0.23743734450263168</v>
      </c>
      <c r="Q55" s="61" cm="1">
        <f t="array" ref="Q55">INDEX(Q58:Q66,$K$54)</f>
        <v>-0.30209970574695794</v>
      </c>
      <c r="R55" s="61" cm="1">
        <f t="array" ref="R55">INDEX(R58:R66,$K$54)</f>
        <v>-0.33805636750190926</v>
      </c>
      <c r="S55" s="61" cm="1">
        <f t="array" ref="S55">INDEX(S58:S66,$K$54)</f>
        <v>-0.5798948568556257</v>
      </c>
      <c r="T55" s="61" cm="1">
        <f t="array" ref="T55">INDEX(T58:T66,$K$54)</f>
        <v>-0.59599043508816674</v>
      </c>
      <c r="U55" s="61" cm="1">
        <f t="array" ref="U55">INDEX(U58:U66,$K$54)</f>
        <v>-0.50382371450251917</v>
      </c>
      <c r="V55" s="61" cm="1">
        <f t="array" ref="V55">INDEX(V58:V66,$K$54)</f>
        <v>-0.4095828281617907</v>
      </c>
      <c r="W55" s="61" cm="1">
        <f t="array" ref="W55">INDEX(W58:W66,$K$54)</f>
        <v>-0.17883643694776397</v>
      </c>
      <c r="X55" s="61" cm="1">
        <f t="array" ref="X55">INDEX(X58:X66,$K$54)</f>
        <v>-0.55864059726548965</v>
      </c>
      <c r="Y55" s="61" cm="1">
        <f t="array" ref="Y55">INDEX(Y58:Y66,$K$54)</f>
        <v>-0.60264005046482227</v>
      </c>
      <c r="Z55" s="61" cm="1">
        <f t="array" ref="Z55">INDEX(Z58:Z66,$K$54)</f>
        <v>-0.59296668671094244</v>
      </c>
      <c r="AA55" s="61" cm="1">
        <f t="array" ref="AA55">INDEX(AA58:AA66,$K$54)</f>
        <v>-0.48454742982087334</v>
      </c>
      <c r="AB55" s="61" cm="1">
        <f t="array" ref="AB55">INDEX(AB58:AB66,$K$54)</f>
        <v>-0.32445012518989663</v>
      </c>
      <c r="AC55" s="61" cm="1">
        <f t="array" ref="AC55">INDEX(AC58:AC66,$K$54)</f>
        <v>-0.26570470982102123</v>
      </c>
      <c r="AD55" s="61" cm="1">
        <f t="array" ref="AD55">INDEX(AD58:AD66,$K$54)</f>
        <v>-0.45308443736616882</v>
      </c>
      <c r="AE55" s="61" cm="1">
        <f t="array" ref="AE55">INDEX(AE58:AE66,$K$54)</f>
        <v>-0.18701789511152089</v>
      </c>
      <c r="AF55" s="61" cm="1">
        <f t="array" ref="AF55">INDEX(AF58:AF66,$K$54)</f>
        <v>-0.45744523859599567</v>
      </c>
      <c r="AG55" s="61" cm="1">
        <f t="array" ref="AG55">INDEX(AG58:AG66,$K$54)</f>
        <v>-0.20348565121086762</v>
      </c>
      <c r="AH55" s="61" cm="1">
        <f t="array" ref="AH55">INDEX(AH58:AH66,$K$54)</f>
        <v>-0.435133319541532</v>
      </c>
      <c r="AI55" s="61" cm="1">
        <f t="array" ref="AI55">INDEX(AI58:AI66,$K$54)</f>
        <v>-0.22332081500123327</v>
      </c>
      <c r="AJ55" s="61" cm="1">
        <f t="array" ref="AJ55">INDEX(AJ58:AJ66,$K$54)</f>
        <v>-0.46014264126283921</v>
      </c>
      <c r="AK55" s="61" cm="1">
        <f t="array" ref="AK55">INDEX(AK58:AK66,$K$54)</f>
        <v>-0.44320719271124631</v>
      </c>
      <c r="AL55" s="61" cm="1">
        <f t="array" ref="AL55">INDEX(AL58:AL66,$K$54)</f>
        <v>-0.2381525384631093</v>
      </c>
      <c r="AM55" s="61" cm="1">
        <f t="array" ref="AM55">INDEX(AM58:AM66,$K$54)</f>
        <v>-0.26446829404044397</v>
      </c>
      <c r="AN55" s="61" cm="1">
        <f t="array" ref="AN55">INDEX(AN58:AN66,$K$54)</f>
        <v>-0.25153117873775155</v>
      </c>
      <c r="AO55" s="61" cm="1">
        <f t="array" ref="AO55">INDEX(AO58:AO66,$K$54)</f>
        <v>-0.18354415391015327</v>
      </c>
      <c r="AP55" s="61" cm="1">
        <f t="array" ref="AP55">INDEX(AP58:AP66,$K$54)</f>
        <v>-0.45017666399173911</v>
      </c>
      <c r="AQ55" s="61" cm="1">
        <f t="array" ref="AQ55">INDEX(AQ58:AQ66,$K$54)</f>
        <v>-0.33118644728849206</v>
      </c>
      <c r="AR55" s="61" cm="1">
        <f t="array" ref="AR55">INDEX(AR58:AR66,$K$54)</f>
        <v>-0.37044513972559395</v>
      </c>
      <c r="AS55" s="61" cm="1">
        <f t="array" ref="AS55">INDEX(AS58:AS66,$K$54)</f>
        <v>-0.35051741624831112</v>
      </c>
      <c r="AT55" s="61" cm="1">
        <f t="array" ref="AT55">INDEX(AT58:AT66,$K$54)</f>
        <v>-0.47713310039420093</v>
      </c>
      <c r="AU55" s="61" cm="1">
        <f t="array" ref="AU55">INDEX(AU58:AU66,$K$54)</f>
        <v>-0.57240248158295404</v>
      </c>
      <c r="AV55" s="61" cm="1">
        <f t="array" ref="AV55">INDEX(AV58:AV66,$K$54)</f>
        <v>-0.41371588989435987</v>
      </c>
      <c r="AW55" s="61" cm="1">
        <f t="array" ref="AW55">INDEX(AW58:AW66,$K$54)</f>
        <v>-0.53325958575261134</v>
      </c>
      <c r="AX55" s="61" cm="1">
        <f t="array" ref="AX55">INDEX(AX58:AX66,$K$54)</f>
        <v>-0.44988648167862832</v>
      </c>
      <c r="AY55" s="61" cm="1">
        <f t="array" ref="AY55">INDEX(AY58:AY66,$K$54)</f>
        <v>-0.61438919989112406</v>
      </c>
      <c r="AZ55" s="61" cm="1">
        <f t="array" ref="AZ55">INDEX(AZ58:AZ66,$K$54)</f>
        <v>-0.38121325711330456</v>
      </c>
      <c r="BA55" s="61" cm="1">
        <f t="array" ref="BA55">INDEX(BA58:BA66,$K$54)</f>
        <v>-0.18245935031130844</v>
      </c>
      <c r="BB55" s="61" cm="1">
        <f t="array" ref="BB55">INDEX(BB58:BB66,$K$54)</f>
        <v>-0.49223815779345254</v>
      </c>
      <c r="BC55" s="61" cm="1">
        <f t="array" ref="BC55">INDEX(BC58:BC66,$K$54)</f>
        <v>-0.6582527804013063</v>
      </c>
      <c r="BD55" s="61" cm="1">
        <f t="array" ref="BD55">INDEX(BD58:BD66,$K$54)</f>
        <v>-0.31832832054018911</v>
      </c>
      <c r="BE55" s="61" cm="1">
        <f t="array" ref="BE55">INDEX(BE58:BE66,$K$54)</f>
        <v>-0.4287253882946595</v>
      </c>
      <c r="BF55" s="61" cm="1">
        <f t="array" ref="BF55">INDEX(BF58:BF66,$K$54)</f>
        <v>-0.3830137490926605</v>
      </c>
      <c r="BG55" s="61" cm="1">
        <f t="array" ref="BG55">INDEX(BG58:BG66,$K$54)</f>
        <v>-0.53202876061883553</v>
      </c>
      <c r="BH55" s="61" cm="1">
        <f t="array" ref="BH55">INDEX(BH58:BH66,$K$54)</f>
        <v>-0.67925754963580887</v>
      </c>
      <c r="BI55" s="61" cm="1">
        <f t="array" ref="BI55">INDEX(BI58:BI66,$K$54)</f>
        <v>-0.48204536930094394</v>
      </c>
      <c r="BJ55" s="61" cm="1">
        <f t="array" ref="BJ55">INDEX(BJ58:BJ66,$K$54)</f>
        <v>-0.27096030908561231</v>
      </c>
      <c r="BK55" s="61" cm="1">
        <f t="array" ref="BK55">INDEX(BK58:BK66,$K$54)</f>
        <v>-0.34557620731234684</v>
      </c>
      <c r="BL55" s="61" cm="1">
        <f t="array" ref="BL55">INDEX(BL58:BL66,$K$54)</f>
        <v>-0.39410875622189501</v>
      </c>
      <c r="BM55" s="61" cm="1">
        <f t="array" ref="BM55">INDEX(BM58:BM66,$K$54)</f>
        <v>-0.33056963953603313</v>
      </c>
      <c r="BN55" s="61" cm="1">
        <f t="array" ref="BN55">INDEX(BN58:BN66,$K$54)</f>
        <v>-0.44571239755410652</v>
      </c>
      <c r="BO55" s="61" cm="1">
        <f t="array" ref="BO55">INDEX(BO58:BO66,$K$54)</f>
        <v>-0.5109836380423195</v>
      </c>
      <c r="BP55" s="61" cm="1">
        <f t="array" ref="BP55">INDEX(BP58:BP66,$K$54)</f>
        <v>-0.25398841523708726</v>
      </c>
      <c r="BQ55" s="61" cm="1">
        <f t="array" ref="BQ55">INDEX(BQ58:BQ66,$K$54)</f>
        <v>-0.24542011551999512</v>
      </c>
      <c r="BR55" s="61" cm="1">
        <f t="array" ref="BR55">INDEX(BR58:BR66,$K$54)</f>
        <v>-0.28350903825879736</v>
      </c>
      <c r="BS55" s="61" cm="1">
        <f t="array" ref="BS55">INDEX(BS58:BS66,$K$54)</f>
        <v>-0.29942835745491791</v>
      </c>
      <c r="BT55" s="61" cm="1">
        <f t="array" ref="BT55">INDEX(BT58:BT66,$K$54)</f>
        <v>-0.27287165320776041</v>
      </c>
      <c r="BU55" s="61" cm="1">
        <f t="array" ref="BU55">INDEX(BU58:BU66,$K$54)</f>
        <v>-0.3239714205505837</v>
      </c>
      <c r="BV55" s="61" cm="1">
        <f t="array" ref="BV55">INDEX(BV58:BV66,$K$54)</f>
        <v>-0.57349117738199817</v>
      </c>
      <c r="BW55" s="61" cm="1">
        <f t="array" ref="BW55">INDEX(BW58:BW66,$K$54)</f>
        <v>-0.43856310960291495</v>
      </c>
      <c r="BX55" s="61" cm="1">
        <f t="array" ref="BX55">INDEX(BX58:BX66,$K$54)</f>
        <v>-0.29045850451185934</v>
      </c>
      <c r="BY55" s="61" cm="1">
        <f t="array" ref="BY55">INDEX(BY58:BY66,$K$54)</f>
        <v>-0.34443932500033436</v>
      </c>
      <c r="BZ55" s="61" cm="1">
        <f t="array" ref="BZ55">INDEX(BZ58:BZ66,$K$54)</f>
        <v>-0.2867620894093732</v>
      </c>
      <c r="CA55" s="61" cm="1">
        <f t="array" ref="CA55">INDEX(CA58:CA66,$K$54)</f>
        <v>-0.21765538594364472</v>
      </c>
      <c r="CB55" s="61" cm="1">
        <f t="array" ref="CB55">INDEX(CB58:CB66,$K$54)</f>
        <v>-0.2194727266646358</v>
      </c>
      <c r="CC55" s="61" cm="1">
        <f t="array" ref="CC55">INDEX(CC58:CC66,$K$54)</f>
        <v>-0.20327537673669963</v>
      </c>
      <c r="CD55" s="61" cm="1">
        <f t="array" ref="CD55">INDEX(CD58:CD66,$K$54)</f>
        <v>-0.45231150196312525</v>
      </c>
      <c r="CE55" s="61" cm="1">
        <f t="array" ref="CE55">INDEX(CE58:CE66,$K$54)</f>
        <v>-0.26901763261822009</v>
      </c>
      <c r="CF55" s="61" cm="1">
        <f t="array" ref="CF55">INDEX(CF58:CF66,$K$54)</f>
        <v>-0.37299451731112837</v>
      </c>
      <c r="CG55" s="61" cm="1">
        <f t="array" ref="CG55">INDEX(CG58:CG66,$K$54)</f>
        <v>-0.64931814603453974</v>
      </c>
      <c r="CH55" s="61" cm="1">
        <f t="array" ref="CH55">INDEX(CH58:CH66,$K$54)</f>
        <v>-0.44685597301863877</v>
      </c>
      <c r="CI55" s="61" cm="1">
        <f t="array" ref="CI55">INDEX(CI58:CI66,$K$54)</f>
        <v>-0.44526061043540943</v>
      </c>
      <c r="CJ55" s="61" cm="1">
        <f t="array" ref="CJ55">INDEX(CJ58:CJ66,$K$54)</f>
        <v>-0.43795304100526172</v>
      </c>
      <c r="CK55" s="61" cm="1">
        <f t="array" ref="CK55">INDEX(CK58:CK66,$K$54)</f>
        <v>-0.49943032104395946</v>
      </c>
      <c r="CL55" s="61" cm="1">
        <f t="array" ref="CL55">INDEX(CL58:CL66,$K$54)</f>
        <v>-0.27211568332890457</v>
      </c>
      <c r="CM55" s="61" cm="1">
        <f t="array" ref="CM55">INDEX(CM58:CM66,$K$54)</f>
        <v>-0.53758558720861249</v>
      </c>
      <c r="CN55" s="61" cm="1">
        <f t="array" ref="CN55">INDEX(CN58:CN66,$K$54)</f>
        <v>-0.62932156994770871</v>
      </c>
      <c r="CO55" s="61" cm="1">
        <f t="array" ref="CO55">INDEX(CO58:CO66,$K$54)</f>
        <v>-0.69579649269402699</v>
      </c>
      <c r="CP55" s="61" cm="1">
        <f t="array" ref="CP55">INDEX(CP58:CP66,$K$54)</f>
        <v>-0.46666423573157517</v>
      </c>
      <c r="CQ55" s="61" cm="1">
        <f t="array" ref="CQ55">INDEX(CQ58:CQ66,$K$54)</f>
        <v>-0.53533938867711439</v>
      </c>
      <c r="CR55" s="61" cm="1">
        <f t="array" ref="CR55">INDEX(CR58:CR66,$K$54)</f>
        <v>-0.62884869689509404</v>
      </c>
      <c r="CS55" s="61" cm="1">
        <f t="array" ref="CS55">INDEX(CS58:CS66,$K$54)</f>
        <v>-0.6054281728921217</v>
      </c>
      <c r="CT55" s="61" cm="1">
        <f t="array" ref="CT55">INDEX(CT58:CT66,$K$54)</f>
        <v>-0.21052366785749899</v>
      </c>
      <c r="CU55" s="61" cm="1">
        <f t="array" ref="CU55">INDEX(CU58:CU66,$K$54)</f>
        <v>-0.42737570694507893</v>
      </c>
      <c r="CV55" s="61" cm="1">
        <f t="array" ref="CV55">INDEX(CV58:CV66,$K$54)</f>
        <v>-0.26874266577990402</v>
      </c>
      <c r="CW55" s="61" cm="1">
        <f t="array" ref="CW55">INDEX(CW58:CW66,$K$54)</f>
        <v>-0.53608945441427769</v>
      </c>
      <c r="CX55" s="61" cm="1">
        <f t="array" ref="CX55">INDEX(CX58:CX66,$K$54)</f>
        <v>-0.29034749196198356</v>
      </c>
      <c r="CY55" s="61" cm="1">
        <f t="array" ref="CY55">INDEX(CY58:CY66,$K$54)</f>
        <v>-0.17863359876491294</v>
      </c>
      <c r="CZ55" s="61" cm="1">
        <f t="array" ref="CZ55">INDEX(CZ58:CZ66,$K$54)</f>
        <v>-0.60446534869216817</v>
      </c>
      <c r="DA55" s="61" cm="1">
        <f t="array" ref="DA55">INDEX(DA58:DA66,$K$54)</f>
        <v>-0.18069926753408252</v>
      </c>
      <c r="DB55" s="61" cm="1">
        <f t="array" ref="DB55">INDEX(DB58:DB66,$K$54)</f>
        <v>-0.57939170821421615</v>
      </c>
      <c r="DC55" s="61" cm="1">
        <f t="array" ref="DC55">INDEX(DC58:DC66,$K$54)</f>
        <v>-0.62231890446986071</v>
      </c>
      <c r="DD55" s="61" cm="1">
        <f t="array" ref="DD55">INDEX(DD58:DD66,$K$54)</f>
        <v>-0.43994948892935087</v>
      </c>
      <c r="DE55" s="61" cm="1">
        <f t="array" ref="DE55">INDEX(DE58:DE66,$K$54)</f>
        <v>-0.34448937480038255</v>
      </c>
      <c r="DF55" s="61" cm="1">
        <f t="array" ref="DF55">INDEX(DF58:DF66,$K$54)</f>
        <v>-0.5668789617222072</v>
      </c>
      <c r="DG55" s="61" cm="1">
        <f t="array" ref="DG55">INDEX(DG58:DG66,$K$54)</f>
        <v>-0.62509211932615072</v>
      </c>
      <c r="DH55" s="61" cm="1">
        <f t="array" ref="DH55">INDEX(DH58:DH66,$K$54)</f>
        <v>-0.5362279183981804</v>
      </c>
      <c r="DI55" s="61" cm="1">
        <f t="array" ref="DI55">INDEX(DI58:DI66,$K$54)</f>
        <v>-0.40469017591641743</v>
      </c>
      <c r="DJ55" s="61" cm="1">
        <f t="array" ref="DJ55">INDEX(DJ58:DJ66,$K$54)</f>
        <v>-0.38058681284807955</v>
      </c>
      <c r="DK55" s="61" cm="1">
        <f t="array" ref="DK55">INDEX(DK58:DK66,$K$54)</f>
        <v>-0.50765871253144934</v>
      </c>
      <c r="DL55" s="61" cm="1">
        <f t="array" ref="DL55">INDEX(DL58:DL66,$K$54)</f>
        <v>-0.63971119117990172</v>
      </c>
      <c r="DM55" s="61" cm="1">
        <f t="array" ref="DM55">INDEX(DM58:DM66,$K$54)</f>
        <v>-0.66043655673380153</v>
      </c>
      <c r="DN55" s="61" cm="1">
        <f t="array" ref="DN55">INDEX(DN58:DN66,$K$54)</f>
        <v>-0.52730104326315785</v>
      </c>
      <c r="DO55" s="61" cm="1">
        <f t="array" ref="DO55">INDEX(DO58:DO66,$K$54)</f>
        <v>-0.43113373324746895</v>
      </c>
      <c r="DP55" s="61" cm="1">
        <f t="array" ref="DP55">INDEX(DP58:DP66,$K$54)</f>
        <v>-0.69749889655743413</v>
      </c>
      <c r="DQ55" s="61" cm="1">
        <f t="array" ref="DQ55">INDEX(DQ58:DQ66,$K$54)</f>
        <v>-0.45519373941633001</v>
      </c>
      <c r="DR55" s="61" cm="1">
        <f t="array" ref="DR55">INDEX(DR58:DR66,$K$54)</f>
        <v>-0.26534945484668865</v>
      </c>
      <c r="DS55" s="61" cm="1">
        <f t="array" ref="DS55">INDEX(DS58:DS66,$K$54)</f>
        <v>-0.2766785353751981</v>
      </c>
      <c r="DT55" s="61" cm="1">
        <f t="array" ref="DT55">INDEX(DT58:DT66,$K$54)</f>
        <v>-0.57528435231492181</v>
      </c>
      <c r="DU55" s="61" cm="1">
        <f t="array" ref="DU55">INDEX(DU58:DU66,$K$54)</f>
        <v>-0.68673547364417731</v>
      </c>
      <c r="DV55" s="61" cm="1">
        <f t="array" ref="DV55">INDEX(DV58:DV66,$K$54)</f>
        <v>-0.31394343907643429</v>
      </c>
      <c r="DW55" s="61" cm="1">
        <f t="array" ref="DW55">INDEX(DW58:DW66,$K$54)</f>
        <v>-0.35705893474354516</v>
      </c>
      <c r="DX55" s="61" cm="1">
        <f t="array" ref="DX55">INDEX(DX58:DX66,$K$54)</f>
        <v>-0.36767069658101692</v>
      </c>
      <c r="DY55" s="61" cm="1">
        <f t="array" ref="DY55">INDEX(DY58:DY66,$K$54)</f>
        <v>-0.60539270570020842</v>
      </c>
      <c r="DZ55" s="61" cm="1">
        <f t="array" ref="DZ55">INDEX(DZ58:DZ66,$K$54)</f>
        <v>-0.53358880612210147</v>
      </c>
      <c r="EA55" s="61" cm="1">
        <f t="array" ref="EA55">INDEX(EA58:EA66,$K$54)</f>
        <v>-0.42258929169959097</v>
      </c>
      <c r="EB55" s="61" cm="1">
        <f t="array" ref="EB55">INDEX(EB58:EB66,$K$54)</f>
        <v>-0.55537195860307653</v>
      </c>
      <c r="EC55" s="61" cm="1">
        <f t="array" ref="EC55">INDEX(EC58:EC66,$K$54)</f>
        <v>-0.28389741734254947</v>
      </c>
      <c r="ED55" s="61" cm="1">
        <f t="array" ref="ED55">INDEX(ED58:ED66,$K$54)</f>
        <v>-0.2800429965114315</v>
      </c>
      <c r="EE55" s="61" cm="1">
        <f t="array" ref="EE55">INDEX(EE58:EE66,$K$54)</f>
        <v>-0.46065790535805973</v>
      </c>
      <c r="EF55" s="61" cm="1">
        <f t="array" ref="EF55">INDEX(EF58:EF66,$K$54)</f>
        <v>-0.31189480586876117</v>
      </c>
      <c r="EG55" s="61" cm="1">
        <f t="array" ref="EG55">INDEX(EG58:EG66,$K$54)</f>
        <v>-0.22080489339378873</v>
      </c>
      <c r="EH55" s="61" cm="1">
        <f t="array" ref="EH55">INDEX(EH58:EH66,$K$54)</f>
        <v>-0.29941016067238879</v>
      </c>
      <c r="EI55" s="61" cm="1">
        <f t="array" ref="EI55">INDEX(EI58:EI66,$K$54)</f>
        <v>-0.43218561622266521</v>
      </c>
      <c r="EJ55" s="61" cm="1">
        <f t="array" ref="EJ55">INDEX(EJ58:EJ66,$K$54)</f>
        <v>-0.22732238829522672</v>
      </c>
      <c r="EK55" s="61" cm="1">
        <f t="array" ref="EK55">INDEX(EK58:EK66,$K$54)</f>
        <v>-0.49454605828187698</v>
      </c>
      <c r="EL55" s="61" cm="1">
        <f t="array" ref="EL55">INDEX(EL58:EL66,$K$54)</f>
        <v>-0.42799579869483756</v>
      </c>
      <c r="EM55" s="61" cm="1">
        <f t="array" ref="EM55">INDEX(EM58:EM66,$K$54)</f>
        <v>-0.20378781300562107</v>
      </c>
      <c r="EN55" s="61" cm="1">
        <f t="array" ref="EN55">INDEX(EN58:EN66,$K$54)</f>
        <v>-0.20154887877170466</v>
      </c>
      <c r="EO55" s="61" cm="1">
        <f t="array" ref="EO55">INDEX(EO58:EO66,$K$54)</f>
        <v>-0.46172988677977878</v>
      </c>
      <c r="EP55" s="61" cm="1">
        <f t="array" ref="EP55">INDEX(EP58:EP66,$K$54)</f>
        <v>-0.32349766917909639</v>
      </c>
      <c r="EQ55" s="61" cm="1">
        <f t="array" ref="EQ55">INDEX(EQ58:EQ66,$K$54)</f>
        <v>-0.62912386196357228</v>
      </c>
      <c r="ER55" s="61" cm="1">
        <f t="array" ref="ER55">INDEX(ER58:ER66,$K$54)</f>
        <v>-0.64400674641622246</v>
      </c>
      <c r="ES55" s="61" cm="1">
        <f t="array" ref="ES55">INDEX(ES58:ES66,$K$54)</f>
        <v>-0.63011129162188995</v>
      </c>
      <c r="ET55" s="61" cm="1">
        <f t="array" ref="ET55">INDEX(ET58:ET66,$K$54)</f>
        <v>-0.69905608370089789</v>
      </c>
      <c r="EU55" s="61" cm="1">
        <f t="array" ref="EU55">INDEX(EU58:EU66,$K$54)</f>
        <v>-0.3478573341684712</v>
      </c>
      <c r="EV55" s="61" cm="1">
        <f t="array" ref="EV55">INDEX(EV58:EV66,$K$54)</f>
        <v>-0.47612219557030128</v>
      </c>
      <c r="EW55" s="61" cm="1">
        <f t="array" ref="EW55">INDEX(EW58:EW66,$K$54)</f>
        <v>-0.39849238844088913</v>
      </c>
      <c r="EX55" s="61" cm="1">
        <f t="array" ref="EX55">INDEX(EX58:EX66,$K$54)</f>
        <v>-0.65847091689243897</v>
      </c>
      <c r="EY55" s="61" cm="1">
        <f t="array" ref="EY55">INDEX(EY58:EY66,$K$54)</f>
        <v>-0.22047233846132097</v>
      </c>
      <c r="EZ55" s="61" cm="1">
        <f t="array" ref="EZ55">INDEX(EZ58:EZ66,$K$54)</f>
        <v>-0.22645304344417977</v>
      </c>
      <c r="FA55" s="61" cm="1">
        <f t="array" ref="FA55">INDEX(FA58:FA66,$K$54)</f>
        <v>-0.67107327221529844</v>
      </c>
      <c r="FB55" s="61" cm="1">
        <f t="array" ref="FB55">INDEX(FB58:FB66,$K$54)</f>
        <v>-0.61703565008479666</v>
      </c>
      <c r="FC55" s="61" cm="1">
        <f t="array" ref="FC55">INDEX(FC58:FC66,$K$54)</f>
        <v>-0.56825887483877768</v>
      </c>
      <c r="FD55" s="61" cm="1">
        <f t="array" ref="FD55">INDEX(FD58:FD66,$K$54)</f>
        <v>-0.35579489767953026</v>
      </c>
      <c r="FE55" s="61" cm="1">
        <f t="array" ref="FE55">INDEX(FE58:FE66,$K$54)</f>
        <v>-0.23505883681765899</v>
      </c>
      <c r="FF55" s="61" cm="1">
        <f t="array" ref="FF55">INDEX(FF58:FF66,$K$54)</f>
        <v>-0.28559592387582533</v>
      </c>
      <c r="FG55" s="61" cm="1">
        <f t="array" ref="FG55">INDEX(FG58:FG66,$K$54)</f>
        <v>-0.59566547769577871</v>
      </c>
      <c r="FH55" s="61" cm="1">
        <f t="array" ref="FH55">INDEX(FH58:FH66,$K$54)</f>
        <v>-0.62130415882014101</v>
      </c>
      <c r="FI55" s="61" cm="1">
        <f t="array" ref="FI55">INDEX(FI58:FI66,$K$54)</f>
        <v>-0.2242811375236532</v>
      </c>
      <c r="FJ55" s="61" cm="1">
        <f t="array" ref="FJ55">INDEX(FJ58:FJ66,$K$54)</f>
        <v>-0.50233842417192454</v>
      </c>
      <c r="FK55" s="61" cm="1">
        <f t="array" ref="FK55">INDEX(FK58:FK66,$K$54)</f>
        <v>-0.62722433994381088</v>
      </c>
      <c r="FL55" s="61" cm="1">
        <f t="array" ref="FL55">INDEX(FL58:FL66,$K$54)</f>
        <v>-0.42535841528146201</v>
      </c>
      <c r="FM55" s="61" cm="1">
        <f t="array" ref="FM55">INDEX(FM58:FM66,$K$54)</f>
        <v>-0.67746405437185042</v>
      </c>
      <c r="FN55" s="61" cm="1">
        <f t="array" ref="FN55">INDEX(FN58:FN66,$K$54)</f>
        <v>-0.47211727542470172</v>
      </c>
      <c r="FO55" s="61" cm="1">
        <f t="array" ref="FO55">INDEX(FO58:FO66,$K$54)</f>
        <v>-0.40975727002009565</v>
      </c>
      <c r="FP55" s="61" cm="1">
        <f t="array" ref="FP55">INDEX(FP58:FP66,$K$54)</f>
        <v>-0.60008724320146034</v>
      </c>
      <c r="FQ55" s="61" cm="1">
        <f t="array" ref="FQ55">INDEX(FQ58:FQ66,$K$54)</f>
        <v>-0.6726831124189756</v>
      </c>
      <c r="FR55" s="61" cm="1">
        <f t="array" ref="FR55">INDEX(FR58:FR66,$K$54)</f>
        <v>-0.47434736466028354</v>
      </c>
      <c r="FS55" s="61" cm="1">
        <f t="array" ref="FS55">INDEX(FS58:FS66,$K$54)</f>
        <v>-0.55873367339320756</v>
      </c>
      <c r="FT55" s="61" cm="1">
        <f t="array" ref="FT55">INDEX(FT58:FT66,$K$54)</f>
        <v>-0.48530704398196761</v>
      </c>
      <c r="FU55" s="61" cm="1">
        <f t="array" ref="FU55">INDEX(FU58:FU66,$K$54)</f>
        <v>-0.65563902141373387</v>
      </c>
      <c r="FV55" s="61" cm="1">
        <f t="array" ref="FV55">INDEX(FV58:FV66,$K$54)</f>
        <v>-0.60511639666883799</v>
      </c>
      <c r="FW55" s="61" cm="1">
        <f t="array" ref="FW55">INDEX(FW58:FW66,$K$54)</f>
        <v>-0.37788166064230444</v>
      </c>
      <c r="FX55" s="61" cm="1">
        <f t="array" ref="FX55">INDEX(FX58:FX66,$K$54)</f>
        <v>-0.58031581346660022</v>
      </c>
      <c r="FY55" s="61" cm="1">
        <f t="array" ref="FY55">INDEX(FY58:FY66,$K$54)</f>
        <v>-0.40172066995307248</v>
      </c>
      <c r="FZ55" s="61" cm="1">
        <f t="array" ref="FZ55">INDEX(FZ58:FZ66,$K$54)</f>
        <v>-0.28322772490917331</v>
      </c>
      <c r="GA55" s="61" cm="1">
        <f t="array" ref="GA55">INDEX(GA58:GA66,$K$54)</f>
        <v>-0.20013668507781265</v>
      </c>
      <c r="GB55" s="61" cm="1">
        <f t="array" ref="GB55">INDEX(GB58:GB66,$K$54)</f>
        <v>-0.18332800838741592</v>
      </c>
      <c r="GC55" s="61" cm="1">
        <f t="array" ref="GC55">INDEX(GC58:GC66,$K$54)</f>
        <v>-0.19697133546544132</v>
      </c>
      <c r="GD55" s="61" cm="1">
        <f t="array" ref="GD55">INDEX(GD58:GD66,$K$54)</f>
        <v>-0.60596821878151996</v>
      </c>
      <c r="GE55" s="61" cm="1">
        <f t="array" ref="GE55">INDEX(GE58:GE66,$K$54)</f>
        <v>-0.24947142769593558</v>
      </c>
      <c r="GF55" s="61" cm="1">
        <f t="array" ref="GF55">INDEX(GF58:GF66,$K$54)</f>
        <v>-0.48725173951408757</v>
      </c>
      <c r="GG55" s="61" cm="1">
        <f t="array" ref="GG55">INDEX(GG58:GG66,$K$54)</f>
        <v>-0.27272060793348057</v>
      </c>
      <c r="GH55" s="61" cm="1">
        <f t="array" ref="GH55">INDEX(GH58:GH66,$K$54)</f>
        <v>-0.35932256785932964</v>
      </c>
      <c r="GI55" s="61" cm="1">
        <f t="array" ref="GI55">INDEX(GI58:GI66,$K$54)</f>
        <v>-0.37693278502032762</v>
      </c>
      <c r="GJ55" s="61" cm="1">
        <f t="array" ref="GJ55">INDEX(GJ58:GJ66,$K$54)</f>
        <v>-0.27885963003908948</v>
      </c>
      <c r="GK55" s="61" cm="1">
        <f t="array" ref="GK55">INDEX(GK58:GK66,$K$54)</f>
        <v>-0.55590517888077784</v>
      </c>
      <c r="GL55" s="61" cm="1">
        <f t="array" ref="GL55">INDEX(GL58:GL66,$K$54)</f>
        <v>-0.69791422214290644</v>
      </c>
      <c r="GM55" s="61" cm="1">
        <f t="array" ref="GM55">INDEX(GM58:GM66,$K$54)</f>
        <v>-0.51390764202304418</v>
      </c>
      <c r="GN55" s="61" cm="1">
        <f t="array" ref="GN55">INDEX(GN58:GN66,$K$54)</f>
        <v>-0.57932408866644747</v>
      </c>
      <c r="GO55" s="61" cm="1">
        <f t="array" ref="GO55">INDEX(GO58:GO66,$K$54)</f>
        <v>-0.29160493127330772</v>
      </c>
      <c r="GP55" s="61" cm="1">
        <f t="array" ref="GP55">INDEX(GP58:GP66,$K$54)</f>
        <v>-0.36314524883878524</v>
      </c>
      <c r="GQ55" s="61" cm="1">
        <f t="array" ref="GQ55">INDEX(GQ58:GQ66,$K$54)</f>
        <v>-0.30516914193421568</v>
      </c>
      <c r="GR55" s="61" cm="1">
        <f t="array" ref="GR55">INDEX(GR58:GR66,$K$54)</f>
        <v>-0.35770782563690184</v>
      </c>
      <c r="GS55" s="61" cm="1">
        <f t="array" ref="GS55">INDEX(GS58:GS66,$K$54)</f>
        <v>-0.50282875073789968</v>
      </c>
      <c r="GT55" s="61" cm="1">
        <f t="array" ref="GT55">INDEX(GT58:GT66,$K$54)</f>
        <v>-0.32169209126241854</v>
      </c>
      <c r="GU55" s="61" cm="1">
        <f t="array" ref="GU55">INDEX(GU58:GU66,$K$54)</f>
        <v>-0.45311609296206912</v>
      </c>
      <c r="GV55" s="61" cm="1">
        <f t="array" ref="GV55">INDEX(GV58:GV66,$K$54)</f>
        <v>-0.2387039647909949</v>
      </c>
      <c r="GW55" s="61" cm="1">
        <f t="array" ref="GW55">INDEX(GW58:GW66,$K$54)</f>
        <v>-0.23248247036801661</v>
      </c>
      <c r="GX55" s="61" cm="1">
        <f t="array" ref="GX55">INDEX(GX58:GX66,$K$54)</f>
        <v>-0.32444912526603348</v>
      </c>
      <c r="GY55" s="61" cm="1">
        <f t="array" ref="GY55">INDEX(GY58:GY66,$K$54)</f>
        <v>-0.6037546235597302</v>
      </c>
      <c r="GZ55" s="61" cm="1">
        <f t="array" ref="GZ55">INDEX(GZ58:GZ66,$K$54)</f>
        <v>-0.1875280592249029</v>
      </c>
      <c r="HA55" s="61" cm="1">
        <f t="array" ref="HA55">INDEX(HA58:HA66,$K$54)</f>
        <v>-0.58003794012978549</v>
      </c>
      <c r="HB55" s="61" cm="1">
        <f t="array" ref="HB55">INDEX(HB58:HB66,$K$54)</f>
        <v>-0.61390144505153166</v>
      </c>
      <c r="HC55" s="61" cm="1">
        <f t="array" ref="HC55">INDEX(HC58:HC66,$K$54)</f>
        <v>-0.54365276629432113</v>
      </c>
      <c r="HD55" s="61" cm="1">
        <f t="array" ref="HD55">INDEX(HD58:HD66,$K$54)</f>
        <v>-0.63799576849470518</v>
      </c>
      <c r="HE55" s="61" cm="1">
        <f t="array" ref="HE55">INDEX(HE58:HE66,$K$54)</f>
        <v>-0.54915500693050856</v>
      </c>
      <c r="HF55" s="61" cm="1">
        <f t="array" ref="HF55">INDEX(HF58:HF66,$K$54)</f>
        <v>-0.27691691138332741</v>
      </c>
      <c r="HG55" s="61" cm="1">
        <f t="array" ref="HG55">INDEX(HG58:HG66,$K$54)</f>
        <v>-0.55489970191085414</v>
      </c>
      <c r="HH55" s="61" cm="1">
        <f t="array" ref="HH55">INDEX(HH58:HH66,$K$54)</f>
        <v>-0.24786478956917468</v>
      </c>
      <c r="HI55" s="61" cm="1">
        <f t="array" ref="HI55">INDEX(HI58:HI66,$K$54)</f>
        <v>-0.6538379058561915</v>
      </c>
      <c r="HJ55" s="61" cm="1">
        <f t="array" ref="HJ55">INDEX(HJ58:HJ66,$K$54)</f>
        <v>-0.59733904855978925</v>
      </c>
      <c r="HK55" s="61" cm="1">
        <f t="array" ref="HK55">INDEX(HK58:HK66,$K$54)</f>
        <v>-0.55680522595037163</v>
      </c>
      <c r="HL55" s="61" cm="1">
        <f t="array" ref="HL55">INDEX(HL58:HL66,$K$54)</f>
        <v>-0.55894173235624589</v>
      </c>
      <c r="HM55" s="61" cm="1">
        <f t="array" ref="HM55">INDEX(HM58:HM66,$K$54)</f>
        <v>-0.25759630807993639</v>
      </c>
      <c r="HN55" s="61" cm="1">
        <f t="array" ref="HN55">INDEX(HN58:HN66,$K$54)</f>
        <v>-0.60235970989555765</v>
      </c>
      <c r="HO55" s="61" cm="1">
        <f t="array" ref="HO55">INDEX(HO58:HO66,$K$54)</f>
        <v>-0.31260266010520016</v>
      </c>
      <c r="HP55" s="61" cm="1">
        <f t="array" ref="HP55">INDEX(HP58:HP66,$K$54)</f>
        <v>-0.20780130648477907</v>
      </c>
      <c r="HQ55" s="61" cm="1">
        <f t="array" ref="HQ55">INDEX(HQ58:HQ66,$K$54)</f>
        <v>-0.65632219245870249</v>
      </c>
      <c r="HR55" s="61" cm="1">
        <f t="array" ref="HR55">INDEX(HR58:HR66,$K$54)</f>
        <v>-0.24551113416589224</v>
      </c>
      <c r="HS55" s="61" cm="1">
        <f t="array" ref="HS55">INDEX(HS58:HS66,$K$54)</f>
        <v>-0.68883488406026372</v>
      </c>
      <c r="HT55" s="61" cm="1">
        <f t="array" ref="HT55">INDEX(HT58:HT66,$K$54)</f>
        <v>-0.65234495859639308</v>
      </c>
      <c r="HU55" s="61" cm="1">
        <f t="array" ref="HU55">INDEX(HU58:HU66,$K$54)</f>
        <v>-0.4687972446802709</v>
      </c>
      <c r="HV55" s="61" cm="1">
        <f t="array" ref="HV55">INDEX(HV58:HV66,$K$54)</f>
        <v>-0.66541614612811173</v>
      </c>
      <c r="HW55" s="61" cm="1">
        <f t="array" ref="HW55">INDEX(HW58:HW66,$K$54)</f>
        <v>-0.20733366468402406</v>
      </c>
      <c r="HX55" s="61" cm="1">
        <f t="array" ref="HX55">INDEX(HX58:HX66,$K$54)</f>
        <v>-0.24675667429518205</v>
      </c>
      <c r="HY55" s="61" cm="1">
        <f t="array" ref="HY55">INDEX(HY58:HY66,$K$54)</f>
        <v>-0.4128754956966843</v>
      </c>
      <c r="HZ55" s="61" cm="1">
        <f t="array" ref="HZ55">INDEX(HZ58:HZ66,$K$54)</f>
        <v>-0.30354125787007197</v>
      </c>
      <c r="IA55" s="61" cm="1">
        <f t="array" ref="IA55">INDEX(IA58:IA66,$K$54)</f>
        <v>-0.67257649725505331</v>
      </c>
      <c r="IB55" s="61" cm="1">
        <f t="array" ref="IB55">INDEX(IB58:IB66,$K$54)</f>
        <v>-0.39700497311292471</v>
      </c>
      <c r="IC55" s="61" cm="1">
        <f t="array" ref="IC55">INDEX(IC58:IC66,$K$54)</f>
        <v>-0.60302741716126329</v>
      </c>
      <c r="ID55" s="61" cm="1">
        <f t="array" ref="ID55">INDEX(ID58:ID66,$K$54)</f>
        <v>-0.33740021477710497</v>
      </c>
      <c r="IE55" s="61" cm="1">
        <f t="array" ref="IE55">INDEX(IE58:IE66,$K$54)</f>
        <v>-0.61633901469114238</v>
      </c>
      <c r="IF55" s="61" cm="1">
        <f t="array" ref="IF55">INDEX(IF58:IF66,$K$54)</f>
        <v>-0.50736149421749632</v>
      </c>
      <c r="IG55" s="61" cm="1">
        <f t="array" ref="IG55">INDEX(IG58:IG66,$K$54)</f>
        <v>-0.50415179648319763</v>
      </c>
      <c r="IH55" s="61" cm="1">
        <f t="array" ref="IH55">INDEX(IH58:IH66,$K$54)</f>
        <v>-0.31449491685710174</v>
      </c>
      <c r="II55" s="61" cm="1">
        <f t="array" ref="II55">INDEX(II58:II66,$K$54)</f>
        <v>-0.49669813913074151</v>
      </c>
      <c r="IJ55" s="61" cm="1">
        <f t="array" ref="IJ55">INDEX(IJ58:IJ66,$K$54)</f>
        <v>-0.5266487553593735</v>
      </c>
      <c r="IK55" s="61" cm="1">
        <f t="array" ref="IK55">INDEX(IK58:IK66,$K$54)</f>
        <v>-0.52839849324769661</v>
      </c>
      <c r="IL55" s="61" cm="1">
        <f t="array" ref="IL55">INDEX(IL58:IL66,$K$54)</f>
        <v>-0.64349908817819657</v>
      </c>
      <c r="IM55" s="61" cm="1">
        <f t="array" ref="IM55">INDEX(IM58:IM66,$K$54)</f>
        <v>-0.47424814998771991</v>
      </c>
      <c r="IN55" s="61" cm="1">
        <f t="array" ref="IN55">INDEX(IN58:IN66,$K$54)</f>
        <v>-0.35599514814691113</v>
      </c>
      <c r="IO55" s="61" cm="1">
        <f t="array" ref="IO55">INDEX(IO58:IO66,$K$54)</f>
        <v>-0.4317406409497444</v>
      </c>
      <c r="IP55" s="61" cm="1">
        <f t="array" ref="IP55">INDEX(IP58:IP66,$K$54)</f>
        <v>-0.36206367203800349</v>
      </c>
      <c r="IQ55" s="61" cm="1">
        <f t="array" ref="IQ55">INDEX(IQ58:IQ66,$K$54)</f>
        <v>-0.40145688089467751</v>
      </c>
      <c r="IR55" s="61" cm="1">
        <f t="array" ref="IR55">INDEX(IR58:IR66,$K$54)</f>
        <v>-0.2746553973371339</v>
      </c>
      <c r="IS55" s="61" cm="1">
        <f t="array" ref="IS55">INDEX(IS58:IS66,$K$54)</f>
        <v>-0.45724379770638474</v>
      </c>
      <c r="IT55" s="61" cm="1">
        <f t="array" ref="IT55">INDEX(IT58:IT66,$K$54)</f>
        <v>-0.69738878608896382</v>
      </c>
      <c r="IU55" s="61" cm="1">
        <f t="array" ref="IU55">INDEX(IU58:IU66,$K$54)</f>
        <v>-0.39342326766974722</v>
      </c>
      <c r="IV55" s="61" cm="1">
        <f t="array" ref="IV55">INDEX(IV58:IV66,$K$54)</f>
        <v>-0.6033797519241938</v>
      </c>
      <c r="IW55" s="61" cm="1">
        <f t="array" ref="IW55">INDEX(IW58:IW66,$K$54)</f>
        <v>-0.42183777237446052</v>
      </c>
      <c r="IX55" s="61" cm="1">
        <f t="array" ref="IX55">INDEX(IX58:IX66,$K$54)</f>
        <v>-0.43963568186894181</v>
      </c>
      <c r="IY55" s="61" cm="1">
        <f t="array" ref="IY55">INDEX(IY58:IY66,$K$54)</f>
        <v>-0.2168798423764445</v>
      </c>
      <c r="IZ55" s="61" cm="1">
        <f t="array" ref="IZ55">INDEX(IZ58:IZ66,$K$54)</f>
        <v>-0.59528122886692825</v>
      </c>
      <c r="JA55" s="61" cm="1">
        <f t="array" ref="JA55">INDEX(JA58:JA66,$K$54)</f>
        <v>-0.32201626471256306</v>
      </c>
      <c r="JB55" s="61" cm="1">
        <f t="array" ref="JB55">INDEX(JB58:JB66,$K$54)</f>
        <v>-0.32677139400814481</v>
      </c>
      <c r="JC55" s="61" cm="1">
        <f t="array" ref="JC55">INDEX(JC58:JC66,$K$54)</f>
        <v>-0.3453404189588255</v>
      </c>
      <c r="JD55" s="61" cm="1">
        <f t="array" ref="JD55">INDEX(JD58:JD66,$K$54)</f>
        <v>-0.69594212545288814</v>
      </c>
      <c r="JE55" s="61" cm="1">
        <f t="array" ref="JE55">INDEX(JE58:JE66,$K$54)</f>
        <v>-0.24515362892490369</v>
      </c>
      <c r="JF55" s="61" cm="1">
        <f t="array" ref="JF55">INDEX(JF58:JF66,$K$54)</f>
        <v>-0.61423035295673156</v>
      </c>
      <c r="JG55" s="61" cm="1">
        <f t="array" ref="JG55">INDEX(JG58:JG66,$K$54)</f>
        <v>-0.2717321887817325</v>
      </c>
      <c r="JH55" s="61" cm="1">
        <f t="array" ref="JH55">INDEX(JH58:JH66,$K$54)</f>
        <v>-0.23605384456950393</v>
      </c>
      <c r="JI55" s="61" cm="1">
        <f t="array" ref="JI55">INDEX(JI58:JI66,$K$54)</f>
        <v>-0.49061097959324235</v>
      </c>
      <c r="JJ55" s="61" cm="1">
        <f t="array" ref="JJ55">INDEX(JJ58:JJ66,$K$54)</f>
        <v>-0.65593248722157294</v>
      </c>
      <c r="JK55" s="61" cm="1">
        <f t="array" ref="JK55">INDEX(JK58:JK66,$K$54)</f>
        <v>-0.21119292407407689</v>
      </c>
      <c r="JL55" s="61" cm="1">
        <f t="array" ref="JL55">INDEX(JL58:JL66,$K$54)</f>
        <v>-0.47665016801181104</v>
      </c>
      <c r="JM55" s="61" cm="1">
        <f t="array" ref="JM55">INDEX(JM58:JM66,$K$54)</f>
        <v>-0.17876469902951977</v>
      </c>
      <c r="JN55" s="61" cm="1">
        <f t="array" ref="JN55">INDEX(JN58:JN66,$K$54)</f>
        <v>-0.39088882758557575</v>
      </c>
      <c r="JO55" s="61" cm="1">
        <f t="array" ref="JO55">INDEX(JO58:JO66,$K$54)</f>
        <v>-0.63675515485459599</v>
      </c>
      <c r="JP55" s="61" cm="1">
        <f t="array" ref="JP55">INDEX(JP58:JP66,$K$54)</f>
        <v>-0.26019118625916743</v>
      </c>
      <c r="JQ55" s="61" cm="1">
        <f t="array" ref="JQ55">INDEX(JQ58:JQ66,$K$54)</f>
        <v>-0.62317382958457013</v>
      </c>
      <c r="JR55" s="61" cm="1">
        <f t="array" ref="JR55">INDEX(JR58:JR66,$K$54)</f>
        <v>-0.61166087004016356</v>
      </c>
      <c r="JS55" s="61" cm="1">
        <f t="array" ref="JS55">INDEX(JS58:JS66,$K$54)</f>
        <v>-0.26416742020097128</v>
      </c>
      <c r="JT55" s="61" cm="1">
        <f t="array" ref="JT55">INDEX(JT58:JT66,$K$54)</f>
        <v>-0.6217227156668419</v>
      </c>
      <c r="JU55" s="61" cm="1">
        <f t="array" ref="JU55">INDEX(JU58:JU66,$K$54)</f>
        <v>-0.18695252420200933</v>
      </c>
      <c r="JV55" s="61" cm="1">
        <f t="array" ref="JV55">INDEX(JV58:JV66,$K$54)</f>
        <v>-0.62027263062042559</v>
      </c>
      <c r="JW55" s="61" cm="1">
        <f t="array" ref="JW55">INDEX(JW58:JW66,$K$54)</f>
        <v>-0.40420258590506397</v>
      </c>
      <c r="JX55" s="61" cm="1">
        <f t="array" ref="JX55">INDEX(JX58:JX66,$K$54)</f>
        <v>-0.23129957422019598</v>
      </c>
      <c r="JY55" s="61" cm="1">
        <f t="array" ref="JY55">INDEX(JY58:JY66,$K$54)</f>
        <v>-0.24431100582618925</v>
      </c>
      <c r="JZ55" s="61" cm="1">
        <f t="array" ref="JZ55">INDEX(JZ58:JZ66,$K$54)</f>
        <v>-0.64948104689446695</v>
      </c>
      <c r="KA55" s="61" cm="1">
        <f t="array" ref="KA55">INDEX(KA58:KA66,$K$54)</f>
        <v>-0.66763024146268046</v>
      </c>
      <c r="KB55" s="61" cm="1">
        <f t="array" ref="KB55">INDEX(KB58:KB66,$K$54)</f>
        <v>-0.36950574693451715</v>
      </c>
      <c r="KC55" s="61" cm="1">
        <f t="array" ref="KC55">INDEX(KC58:KC66,$K$54)</f>
        <v>-0.59560581040864702</v>
      </c>
      <c r="KD55" s="61" cm="1">
        <f t="array" ref="KD55">INDEX(KD58:KD66,$K$54)</f>
        <v>-0.46466296849756278</v>
      </c>
      <c r="KE55" s="61" cm="1">
        <f t="array" ref="KE55">INDEX(KE58:KE66,$K$54)</f>
        <v>-0.31125342918359999</v>
      </c>
      <c r="KF55" s="61" cm="1">
        <f t="array" ref="KF55">INDEX(KF58:KF66,$K$54)</f>
        <v>-0.37564673389107439</v>
      </c>
    </row>
    <row r="56" spans="4:292" outlineLevel="1" x14ac:dyDescent="0.35">
      <c r="D56" s="20">
        <v>0</v>
      </c>
      <c r="E56" s="13" t="s">
        <v>166</v>
      </c>
      <c r="J56" s="55" t="s">
        <v>161</v>
      </c>
      <c r="K56" s="62">
        <f>K55*(1+$D56)</f>
        <v>-0.28887274168884491</v>
      </c>
      <c r="L56" s="62">
        <f t="shared" ref="L56:BW56" si="50">L55*(1+$D56)</f>
        <v>-0.26384951705178378</v>
      </c>
      <c r="M56" s="62">
        <f t="shared" si="50"/>
        <v>-0.36179302278349129</v>
      </c>
      <c r="N56" s="62">
        <f t="shared" si="50"/>
        <v>-0.51930818731908845</v>
      </c>
      <c r="O56" s="62">
        <f t="shared" si="50"/>
        <v>-0.25707948317536083</v>
      </c>
      <c r="P56" s="62">
        <f t="shared" si="50"/>
        <v>-0.23743734450263168</v>
      </c>
      <c r="Q56" s="62">
        <f t="shared" si="50"/>
        <v>-0.30209970574695794</v>
      </c>
      <c r="R56" s="62">
        <f t="shared" si="50"/>
        <v>-0.33805636750190926</v>
      </c>
      <c r="S56" s="62">
        <f t="shared" si="50"/>
        <v>-0.5798948568556257</v>
      </c>
      <c r="T56" s="62">
        <f t="shared" si="50"/>
        <v>-0.59599043508816674</v>
      </c>
      <c r="U56" s="62">
        <f t="shared" si="50"/>
        <v>-0.50382371450251917</v>
      </c>
      <c r="V56" s="62">
        <f t="shared" si="50"/>
        <v>-0.4095828281617907</v>
      </c>
      <c r="W56" s="62">
        <f t="shared" si="50"/>
        <v>-0.17883643694776397</v>
      </c>
      <c r="X56" s="62">
        <f t="shared" si="50"/>
        <v>-0.55864059726548965</v>
      </c>
      <c r="Y56" s="62">
        <f t="shared" si="50"/>
        <v>-0.60264005046482227</v>
      </c>
      <c r="Z56" s="62">
        <f t="shared" si="50"/>
        <v>-0.59296668671094244</v>
      </c>
      <c r="AA56" s="62">
        <f t="shared" si="50"/>
        <v>-0.48454742982087334</v>
      </c>
      <c r="AB56" s="62">
        <f t="shared" si="50"/>
        <v>-0.32445012518989663</v>
      </c>
      <c r="AC56" s="62">
        <f t="shared" si="50"/>
        <v>-0.26570470982102123</v>
      </c>
      <c r="AD56" s="62">
        <f t="shared" si="50"/>
        <v>-0.45308443736616882</v>
      </c>
      <c r="AE56" s="62">
        <f t="shared" si="50"/>
        <v>-0.18701789511152089</v>
      </c>
      <c r="AF56" s="62">
        <f t="shared" si="50"/>
        <v>-0.45744523859599567</v>
      </c>
      <c r="AG56" s="62">
        <f t="shared" si="50"/>
        <v>-0.20348565121086762</v>
      </c>
      <c r="AH56" s="62">
        <f t="shared" si="50"/>
        <v>-0.435133319541532</v>
      </c>
      <c r="AI56" s="62">
        <f t="shared" si="50"/>
        <v>-0.22332081500123327</v>
      </c>
      <c r="AJ56" s="62">
        <f t="shared" si="50"/>
        <v>-0.46014264126283921</v>
      </c>
      <c r="AK56" s="62">
        <f t="shared" si="50"/>
        <v>-0.44320719271124631</v>
      </c>
      <c r="AL56" s="62">
        <f t="shared" si="50"/>
        <v>-0.2381525384631093</v>
      </c>
      <c r="AM56" s="62">
        <f t="shared" si="50"/>
        <v>-0.26446829404044397</v>
      </c>
      <c r="AN56" s="62">
        <f t="shared" si="50"/>
        <v>-0.25153117873775155</v>
      </c>
      <c r="AO56" s="62">
        <f t="shared" si="50"/>
        <v>-0.18354415391015327</v>
      </c>
      <c r="AP56" s="62">
        <f t="shared" si="50"/>
        <v>-0.45017666399173911</v>
      </c>
      <c r="AQ56" s="62">
        <f t="shared" si="50"/>
        <v>-0.33118644728849206</v>
      </c>
      <c r="AR56" s="62">
        <f t="shared" si="50"/>
        <v>-0.37044513972559395</v>
      </c>
      <c r="AS56" s="62">
        <f t="shared" si="50"/>
        <v>-0.35051741624831112</v>
      </c>
      <c r="AT56" s="62">
        <f t="shared" si="50"/>
        <v>-0.47713310039420093</v>
      </c>
      <c r="AU56" s="62">
        <f t="shared" si="50"/>
        <v>-0.57240248158295404</v>
      </c>
      <c r="AV56" s="62">
        <f t="shared" si="50"/>
        <v>-0.41371588989435987</v>
      </c>
      <c r="AW56" s="62">
        <f t="shared" si="50"/>
        <v>-0.53325958575261134</v>
      </c>
      <c r="AX56" s="62">
        <f t="shared" si="50"/>
        <v>-0.44988648167862832</v>
      </c>
      <c r="AY56" s="62">
        <f t="shared" si="50"/>
        <v>-0.61438919989112406</v>
      </c>
      <c r="AZ56" s="62">
        <f t="shared" si="50"/>
        <v>-0.38121325711330456</v>
      </c>
      <c r="BA56" s="62">
        <f t="shared" si="50"/>
        <v>-0.18245935031130844</v>
      </c>
      <c r="BB56" s="62">
        <f t="shared" si="50"/>
        <v>-0.49223815779345254</v>
      </c>
      <c r="BC56" s="62">
        <f t="shared" si="50"/>
        <v>-0.6582527804013063</v>
      </c>
      <c r="BD56" s="62">
        <f t="shared" si="50"/>
        <v>-0.31832832054018911</v>
      </c>
      <c r="BE56" s="62">
        <f t="shared" si="50"/>
        <v>-0.4287253882946595</v>
      </c>
      <c r="BF56" s="62">
        <f t="shared" si="50"/>
        <v>-0.3830137490926605</v>
      </c>
      <c r="BG56" s="62">
        <f t="shared" si="50"/>
        <v>-0.53202876061883553</v>
      </c>
      <c r="BH56" s="62">
        <f t="shared" si="50"/>
        <v>-0.67925754963580887</v>
      </c>
      <c r="BI56" s="62">
        <f t="shared" si="50"/>
        <v>-0.48204536930094394</v>
      </c>
      <c r="BJ56" s="62">
        <f t="shared" si="50"/>
        <v>-0.27096030908561231</v>
      </c>
      <c r="BK56" s="62">
        <f t="shared" si="50"/>
        <v>-0.34557620731234684</v>
      </c>
      <c r="BL56" s="62">
        <f t="shared" si="50"/>
        <v>-0.39410875622189501</v>
      </c>
      <c r="BM56" s="62">
        <f t="shared" si="50"/>
        <v>-0.33056963953603313</v>
      </c>
      <c r="BN56" s="62">
        <f t="shared" si="50"/>
        <v>-0.44571239755410652</v>
      </c>
      <c r="BO56" s="62">
        <f t="shared" si="50"/>
        <v>-0.5109836380423195</v>
      </c>
      <c r="BP56" s="62">
        <f t="shared" si="50"/>
        <v>-0.25398841523708726</v>
      </c>
      <c r="BQ56" s="62">
        <f t="shared" si="50"/>
        <v>-0.24542011551999512</v>
      </c>
      <c r="BR56" s="62">
        <f t="shared" si="50"/>
        <v>-0.28350903825879736</v>
      </c>
      <c r="BS56" s="62">
        <f t="shared" si="50"/>
        <v>-0.29942835745491791</v>
      </c>
      <c r="BT56" s="62">
        <f t="shared" si="50"/>
        <v>-0.27287165320776041</v>
      </c>
      <c r="BU56" s="62">
        <f t="shared" si="50"/>
        <v>-0.3239714205505837</v>
      </c>
      <c r="BV56" s="62">
        <f t="shared" si="50"/>
        <v>-0.57349117738199817</v>
      </c>
      <c r="BW56" s="62">
        <f t="shared" si="50"/>
        <v>-0.43856310960291495</v>
      </c>
      <c r="BX56" s="62">
        <f t="shared" ref="BX56:EI56" si="51">BX55*(1+$D56)</f>
        <v>-0.29045850451185934</v>
      </c>
      <c r="BY56" s="62">
        <f t="shared" si="51"/>
        <v>-0.34443932500033436</v>
      </c>
      <c r="BZ56" s="62">
        <f t="shared" si="51"/>
        <v>-0.2867620894093732</v>
      </c>
      <c r="CA56" s="62">
        <f t="shared" si="51"/>
        <v>-0.21765538594364472</v>
      </c>
      <c r="CB56" s="62">
        <f t="shared" si="51"/>
        <v>-0.2194727266646358</v>
      </c>
      <c r="CC56" s="62">
        <f t="shared" si="51"/>
        <v>-0.20327537673669963</v>
      </c>
      <c r="CD56" s="62">
        <f t="shared" si="51"/>
        <v>-0.45231150196312525</v>
      </c>
      <c r="CE56" s="62">
        <f t="shared" si="51"/>
        <v>-0.26901763261822009</v>
      </c>
      <c r="CF56" s="62">
        <f t="shared" si="51"/>
        <v>-0.37299451731112837</v>
      </c>
      <c r="CG56" s="62">
        <f t="shared" si="51"/>
        <v>-0.64931814603453974</v>
      </c>
      <c r="CH56" s="62">
        <f t="shared" si="51"/>
        <v>-0.44685597301863877</v>
      </c>
      <c r="CI56" s="62">
        <f t="shared" si="51"/>
        <v>-0.44526061043540943</v>
      </c>
      <c r="CJ56" s="62">
        <f t="shared" si="51"/>
        <v>-0.43795304100526172</v>
      </c>
      <c r="CK56" s="62">
        <f t="shared" si="51"/>
        <v>-0.49943032104395946</v>
      </c>
      <c r="CL56" s="62">
        <f t="shared" si="51"/>
        <v>-0.27211568332890457</v>
      </c>
      <c r="CM56" s="62">
        <f t="shared" si="51"/>
        <v>-0.53758558720861249</v>
      </c>
      <c r="CN56" s="62">
        <f t="shared" si="51"/>
        <v>-0.62932156994770871</v>
      </c>
      <c r="CO56" s="62">
        <f t="shared" si="51"/>
        <v>-0.69579649269402699</v>
      </c>
      <c r="CP56" s="62">
        <f t="shared" si="51"/>
        <v>-0.46666423573157517</v>
      </c>
      <c r="CQ56" s="62">
        <f t="shared" si="51"/>
        <v>-0.53533938867711439</v>
      </c>
      <c r="CR56" s="62">
        <f t="shared" si="51"/>
        <v>-0.62884869689509404</v>
      </c>
      <c r="CS56" s="62">
        <f t="shared" si="51"/>
        <v>-0.6054281728921217</v>
      </c>
      <c r="CT56" s="62">
        <f t="shared" si="51"/>
        <v>-0.21052366785749899</v>
      </c>
      <c r="CU56" s="62">
        <f t="shared" si="51"/>
        <v>-0.42737570694507893</v>
      </c>
      <c r="CV56" s="62">
        <f t="shared" si="51"/>
        <v>-0.26874266577990402</v>
      </c>
      <c r="CW56" s="62">
        <f t="shared" si="51"/>
        <v>-0.53608945441427769</v>
      </c>
      <c r="CX56" s="62">
        <f t="shared" si="51"/>
        <v>-0.29034749196198356</v>
      </c>
      <c r="CY56" s="62">
        <f t="shared" si="51"/>
        <v>-0.17863359876491294</v>
      </c>
      <c r="CZ56" s="62">
        <f t="shared" si="51"/>
        <v>-0.60446534869216817</v>
      </c>
      <c r="DA56" s="62">
        <f t="shared" si="51"/>
        <v>-0.18069926753408252</v>
      </c>
      <c r="DB56" s="62">
        <f t="shared" si="51"/>
        <v>-0.57939170821421615</v>
      </c>
      <c r="DC56" s="62">
        <f t="shared" si="51"/>
        <v>-0.62231890446986071</v>
      </c>
      <c r="DD56" s="62">
        <f t="shared" si="51"/>
        <v>-0.43994948892935087</v>
      </c>
      <c r="DE56" s="62">
        <f t="shared" si="51"/>
        <v>-0.34448937480038255</v>
      </c>
      <c r="DF56" s="62">
        <f t="shared" si="51"/>
        <v>-0.5668789617222072</v>
      </c>
      <c r="DG56" s="62">
        <f t="shared" si="51"/>
        <v>-0.62509211932615072</v>
      </c>
      <c r="DH56" s="62">
        <f t="shared" si="51"/>
        <v>-0.5362279183981804</v>
      </c>
      <c r="DI56" s="62">
        <f t="shared" si="51"/>
        <v>-0.40469017591641743</v>
      </c>
      <c r="DJ56" s="62">
        <f t="shared" si="51"/>
        <v>-0.38058681284807955</v>
      </c>
      <c r="DK56" s="62">
        <f t="shared" si="51"/>
        <v>-0.50765871253144934</v>
      </c>
      <c r="DL56" s="62">
        <f t="shared" si="51"/>
        <v>-0.63971119117990172</v>
      </c>
      <c r="DM56" s="62">
        <f t="shared" si="51"/>
        <v>-0.66043655673380153</v>
      </c>
      <c r="DN56" s="62">
        <f t="shared" si="51"/>
        <v>-0.52730104326315785</v>
      </c>
      <c r="DO56" s="62">
        <f t="shared" si="51"/>
        <v>-0.43113373324746895</v>
      </c>
      <c r="DP56" s="62">
        <f t="shared" si="51"/>
        <v>-0.69749889655743413</v>
      </c>
      <c r="DQ56" s="62">
        <f t="shared" si="51"/>
        <v>-0.45519373941633001</v>
      </c>
      <c r="DR56" s="62">
        <f t="shared" si="51"/>
        <v>-0.26534945484668865</v>
      </c>
      <c r="DS56" s="62">
        <f t="shared" si="51"/>
        <v>-0.2766785353751981</v>
      </c>
      <c r="DT56" s="62">
        <f t="shared" si="51"/>
        <v>-0.57528435231492181</v>
      </c>
      <c r="DU56" s="62">
        <f t="shared" si="51"/>
        <v>-0.68673547364417731</v>
      </c>
      <c r="DV56" s="62">
        <f t="shared" si="51"/>
        <v>-0.31394343907643429</v>
      </c>
      <c r="DW56" s="62">
        <f t="shared" si="51"/>
        <v>-0.35705893474354516</v>
      </c>
      <c r="DX56" s="62">
        <f t="shared" si="51"/>
        <v>-0.36767069658101692</v>
      </c>
      <c r="DY56" s="62">
        <f t="shared" si="51"/>
        <v>-0.60539270570020842</v>
      </c>
      <c r="DZ56" s="62">
        <f t="shared" si="51"/>
        <v>-0.53358880612210147</v>
      </c>
      <c r="EA56" s="62">
        <f t="shared" si="51"/>
        <v>-0.42258929169959097</v>
      </c>
      <c r="EB56" s="62">
        <f t="shared" si="51"/>
        <v>-0.55537195860307653</v>
      </c>
      <c r="EC56" s="62">
        <f t="shared" si="51"/>
        <v>-0.28389741734254947</v>
      </c>
      <c r="ED56" s="62">
        <f t="shared" si="51"/>
        <v>-0.2800429965114315</v>
      </c>
      <c r="EE56" s="62">
        <f t="shared" si="51"/>
        <v>-0.46065790535805973</v>
      </c>
      <c r="EF56" s="62">
        <f t="shared" si="51"/>
        <v>-0.31189480586876117</v>
      </c>
      <c r="EG56" s="62">
        <f t="shared" si="51"/>
        <v>-0.22080489339378873</v>
      </c>
      <c r="EH56" s="62">
        <f t="shared" si="51"/>
        <v>-0.29941016067238879</v>
      </c>
      <c r="EI56" s="62">
        <f t="shared" si="51"/>
        <v>-0.43218561622266521</v>
      </c>
      <c r="EJ56" s="62">
        <f t="shared" ref="EJ56:GU56" si="52">EJ55*(1+$D56)</f>
        <v>-0.22732238829522672</v>
      </c>
      <c r="EK56" s="62">
        <f t="shared" si="52"/>
        <v>-0.49454605828187698</v>
      </c>
      <c r="EL56" s="62">
        <f t="shared" si="52"/>
        <v>-0.42799579869483756</v>
      </c>
      <c r="EM56" s="62">
        <f t="shared" si="52"/>
        <v>-0.20378781300562107</v>
      </c>
      <c r="EN56" s="62">
        <f t="shared" si="52"/>
        <v>-0.20154887877170466</v>
      </c>
      <c r="EO56" s="62">
        <f t="shared" si="52"/>
        <v>-0.46172988677977878</v>
      </c>
      <c r="EP56" s="62">
        <f t="shared" si="52"/>
        <v>-0.32349766917909639</v>
      </c>
      <c r="EQ56" s="62">
        <f t="shared" si="52"/>
        <v>-0.62912386196357228</v>
      </c>
      <c r="ER56" s="62">
        <f t="shared" si="52"/>
        <v>-0.64400674641622246</v>
      </c>
      <c r="ES56" s="62">
        <f t="shared" si="52"/>
        <v>-0.63011129162188995</v>
      </c>
      <c r="ET56" s="62">
        <f t="shared" si="52"/>
        <v>-0.69905608370089789</v>
      </c>
      <c r="EU56" s="62">
        <f t="shared" si="52"/>
        <v>-0.3478573341684712</v>
      </c>
      <c r="EV56" s="62">
        <f t="shared" si="52"/>
        <v>-0.47612219557030128</v>
      </c>
      <c r="EW56" s="62">
        <f t="shared" si="52"/>
        <v>-0.39849238844088913</v>
      </c>
      <c r="EX56" s="62">
        <f t="shared" si="52"/>
        <v>-0.65847091689243897</v>
      </c>
      <c r="EY56" s="62">
        <f t="shared" si="52"/>
        <v>-0.22047233846132097</v>
      </c>
      <c r="EZ56" s="62">
        <f t="shared" si="52"/>
        <v>-0.22645304344417977</v>
      </c>
      <c r="FA56" s="62">
        <f t="shared" si="52"/>
        <v>-0.67107327221529844</v>
      </c>
      <c r="FB56" s="62">
        <f t="shared" si="52"/>
        <v>-0.61703565008479666</v>
      </c>
      <c r="FC56" s="62">
        <f t="shared" si="52"/>
        <v>-0.56825887483877768</v>
      </c>
      <c r="FD56" s="62">
        <f t="shared" si="52"/>
        <v>-0.35579489767953026</v>
      </c>
      <c r="FE56" s="62">
        <f t="shared" si="52"/>
        <v>-0.23505883681765899</v>
      </c>
      <c r="FF56" s="62">
        <f t="shared" si="52"/>
        <v>-0.28559592387582533</v>
      </c>
      <c r="FG56" s="62">
        <f t="shared" si="52"/>
        <v>-0.59566547769577871</v>
      </c>
      <c r="FH56" s="62">
        <f t="shared" si="52"/>
        <v>-0.62130415882014101</v>
      </c>
      <c r="FI56" s="62">
        <f t="shared" si="52"/>
        <v>-0.2242811375236532</v>
      </c>
      <c r="FJ56" s="62">
        <f t="shared" si="52"/>
        <v>-0.50233842417192454</v>
      </c>
      <c r="FK56" s="62">
        <f t="shared" si="52"/>
        <v>-0.62722433994381088</v>
      </c>
      <c r="FL56" s="62">
        <f t="shared" si="52"/>
        <v>-0.42535841528146201</v>
      </c>
      <c r="FM56" s="62">
        <f t="shared" si="52"/>
        <v>-0.67746405437185042</v>
      </c>
      <c r="FN56" s="62">
        <f t="shared" si="52"/>
        <v>-0.47211727542470172</v>
      </c>
      <c r="FO56" s="62">
        <f t="shared" si="52"/>
        <v>-0.40975727002009565</v>
      </c>
      <c r="FP56" s="62">
        <f t="shared" si="52"/>
        <v>-0.60008724320146034</v>
      </c>
      <c r="FQ56" s="62">
        <f t="shared" si="52"/>
        <v>-0.6726831124189756</v>
      </c>
      <c r="FR56" s="62">
        <f t="shared" si="52"/>
        <v>-0.47434736466028354</v>
      </c>
      <c r="FS56" s="62">
        <f t="shared" si="52"/>
        <v>-0.55873367339320756</v>
      </c>
      <c r="FT56" s="62">
        <f t="shared" si="52"/>
        <v>-0.48530704398196761</v>
      </c>
      <c r="FU56" s="62">
        <f t="shared" si="52"/>
        <v>-0.65563902141373387</v>
      </c>
      <c r="FV56" s="62">
        <f t="shared" si="52"/>
        <v>-0.60511639666883799</v>
      </c>
      <c r="FW56" s="62">
        <f t="shared" si="52"/>
        <v>-0.37788166064230444</v>
      </c>
      <c r="FX56" s="62">
        <f t="shared" si="52"/>
        <v>-0.58031581346660022</v>
      </c>
      <c r="FY56" s="62">
        <f t="shared" si="52"/>
        <v>-0.40172066995307248</v>
      </c>
      <c r="FZ56" s="62">
        <f t="shared" si="52"/>
        <v>-0.28322772490917331</v>
      </c>
      <c r="GA56" s="62">
        <f t="shared" si="52"/>
        <v>-0.20013668507781265</v>
      </c>
      <c r="GB56" s="62">
        <f t="shared" si="52"/>
        <v>-0.18332800838741592</v>
      </c>
      <c r="GC56" s="62">
        <f t="shared" si="52"/>
        <v>-0.19697133546544132</v>
      </c>
      <c r="GD56" s="62">
        <f t="shared" si="52"/>
        <v>-0.60596821878151996</v>
      </c>
      <c r="GE56" s="62">
        <f t="shared" si="52"/>
        <v>-0.24947142769593558</v>
      </c>
      <c r="GF56" s="62">
        <f t="shared" si="52"/>
        <v>-0.48725173951408757</v>
      </c>
      <c r="GG56" s="62">
        <f t="shared" si="52"/>
        <v>-0.27272060793348057</v>
      </c>
      <c r="GH56" s="62">
        <f t="shared" si="52"/>
        <v>-0.35932256785932964</v>
      </c>
      <c r="GI56" s="62">
        <f t="shared" si="52"/>
        <v>-0.37693278502032762</v>
      </c>
      <c r="GJ56" s="62">
        <f t="shared" si="52"/>
        <v>-0.27885963003908948</v>
      </c>
      <c r="GK56" s="62">
        <f t="shared" si="52"/>
        <v>-0.55590517888077784</v>
      </c>
      <c r="GL56" s="62">
        <f t="shared" si="52"/>
        <v>-0.69791422214290644</v>
      </c>
      <c r="GM56" s="62">
        <f t="shared" si="52"/>
        <v>-0.51390764202304418</v>
      </c>
      <c r="GN56" s="62">
        <f t="shared" si="52"/>
        <v>-0.57932408866644747</v>
      </c>
      <c r="GO56" s="62">
        <f t="shared" si="52"/>
        <v>-0.29160493127330772</v>
      </c>
      <c r="GP56" s="62">
        <f t="shared" si="52"/>
        <v>-0.36314524883878524</v>
      </c>
      <c r="GQ56" s="62">
        <f t="shared" si="52"/>
        <v>-0.30516914193421568</v>
      </c>
      <c r="GR56" s="62">
        <f t="shared" si="52"/>
        <v>-0.35770782563690184</v>
      </c>
      <c r="GS56" s="62">
        <f t="shared" si="52"/>
        <v>-0.50282875073789968</v>
      </c>
      <c r="GT56" s="62">
        <f t="shared" si="52"/>
        <v>-0.32169209126241854</v>
      </c>
      <c r="GU56" s="62">
        <f t="shared" si="52"/>
        <v>-0.45311609296206912</v>
      </c>
      <c r="GV56" s="62">
        <f t="shared" ref="GV56:JG56" si="53">GV55*(1+$D56)</f>
        <v>-0.2387039647909949</v>
      </c>
      <c r="GW56" s="62">
        <f t="shared" si="53"/>
        <v>-0.23248247036801661</v>
      </c>
      <c r="GX56" s="62">
        <f t="shared" si="53"/>
        <v>-0.32444912526603348</v>
      </c>
      <c r="GY56" s="62">
        <f t="shared" si="53"/>
        <v>-0.6037546235597302</v>
      </c>
      <c r="GZ56" s="62">
        <f t="shared" si="53"/>
        <v>-0.1875280592249029</v>
      </c>
      <c r="HA56" s="62">
        <f t="shared" si="53"/>
        <v>-0.58003794012978549</v>
      </c>
      <c r="HB56" s="62">
        <f t="shared" si="53"/>
        <v>-0.61390144505153166</v>
      </c>
      <c r="HC56" s="62">
        <f t="shared" si="53"/>
        <v>-0.54365276629432113</v>
      </c>
      <c r="HD56" s="62">
        <f t="shared" si="53"/>
        <v>-0.63799576849470518</v>
      </c>
      <c r="HE56" s="62">
        <f t="shared" si="53"/>
        <v>-0.54915500693050856</v>
      </c>
      <c r="HF56" s="62">
        <f t="shared" si="53"/>
        <v>-0.27691691138332741</v>
      </c>
      <c r="HG56" s="62">
        <f t="shared" si="53"/>
        <v>-0.55489970191085414</v>
      </c>
      <c r="HH56" s="62">
        <f t="shared" si="53"/>
        <v>-0.24786478956917468</v>
      </c>
      <c r="HI56" s="62">
        <f t="shared" si="53"/>
        <v>-0.6538379058561915</v>
      </c>
      <c r="HJ56" s="62">
        <f t="shared" si="53"/>
        <v>-0.59733904855978925</v>
      </c>
      <c r="HK56" s="62">
        <f t="shared" si="53"/>
        <v>-0.55680522595037163</v>
      </c>
      <c r="HL56" s="62">
        <f t="shared" si="53"/>
        <v>-0.55894173235624589</v>
      </c>
      <c r="HM56" s="62">
        <f t="shared" si="53"/>
        <v>-0.25759630807993639</v>
      </c>
      <c r="HN56" s="62">
        <f t="shared" si="53"/>
        <v>-0.60235970989555765</v>
      </c>
      <c r="HO56" s="62">
        <f t="shared" si="53"/>
        <v>-0.31260266010520016</v>
      </c>
      <c r="HP56" s="62">
        <f t="shared" si="53"/>
        <v>-0.20780130648477907</v>
      </c>
      <c r="HQ56" s="62">
        <f t="shared" si="53"/>
        <v>-0.65632219245870249</v>
      </c>
      <c r="HR56" s="62">
        <f t="shared" si="53"/>
        <v>-0.24551113416589224</v>
      </c>
      <c r="HS56" s="62">
        <f t="shared" si="53"/>
        <v>-0.68883488406026372</v>
      </c>
      <c r="HT56" s="62">
        <f t="shared" si="53"/>
        <v>-0.65234495859639308</v>
      </c>
      <c r="HU56" s="62">
        <f t="shared" si="53"/>
        <v>-0.4687972446802709</v>
      </c>
      <c r="HV56" s="62">
        <f t="shared" si="53"/>
        <v>-0.66541614612811173</v>
      </c>
      <c r="HW56" s="62">
        <f t="shared" si="53"/>
        <v>-0.20733366468402406</v>
      </c>
      <c r="HX56" s="62">
        <f t="shared" si="53"/>
        <v>-0.24675667429518205</v>
      </c>
      <c r="HY56" s="62">
        <f t="shared" si="53"/>
        <v>-0.4128754956966843</v>
      </c>
      <c r="HZ56" s="62">
        <f t="shared" si="53"/>
        <v>-0.30354125787007197</v>
      </c>
      <c r="IA56" s="62">
        <f t="shared" si="53"/>
        <v>-0.67257649725505331</v>
      </c>
      <c r="IB56" s="62">
        <f t="shared" si="53"/>
        <v>-0.39700497311292471</v>
      </c>
      <c r="IC56" s="62">
        <f t="shared" si="53"/>
        <v>-0.60302741716126329</v>
      </c>
      <c r="ID56" s="62">
        <f t="shared" si="53"/>
        <v>-0.33740021477710497</v>
      </c>
      <c r="IE56" s="62">
        <f t="shared" si="53"/>
        <v>-0.61633901469114238</v>
      </c>
      <c r="IF56" s="62">
        <f t="shared" si="53"/>
        <v>-0.50736149421749632</v>
      </c>
      <c r="IG56" s="62">
        <f t="shared" si="53"/>
        <v>-0.50415179648319763</v>
      </c>
      <c r="IH56" s="62">
        <f t="shared" si="53"/>
        <v>-0.31449491685710174</v>
      </c>
      <c r="II56" s="62">
        <f t="shared" si="53"/>
        <v>-0.49669813913074151</v>
      </c>
      <c r="IJ56" s="62">
        <f t="shared" si="53"/>
        <v>-0.5266487553593735</v>
      </c>
      <c r="IK56" s="62">
        <f t="shared" si="53"/>
        <v>-0.52839849324769661</v>
      </c>
      <c r="IL56" s="62">
        <f t="shared" si="53"/>
        <v>-0.64349908817819657</v>
      </c>
      <c r="IM56" s="62">
        <f t="shared" si="53"/>
        <v>-0.47424814998771991</v>
      </c>
      <c r="IN56" s="62">
        <f t="shared" si="53"/>
        <v>-0.35599514814691113</v>
      </c>
      <c r="IO56" s="62">
        <f t="shared" si="53"/>
        <v>-0.4317406409497444</v>
      </c>
      <c r="IP56" s="62">
        <f t="shared" si="53"/>
        <v>-0.36206367203800349</v>
      </c>
      <c r="IQ56" s="62">
        <f t="shared" si="53"/>
        <v>-0.40145688089467751</v>
      </c>
      <c r="IR56" s="62">
        <f t="shared" si="53"/>
        <v>-0.2746553973371339</v>
      </c>
      <c r="IS56" s="62">
        <f t="shared" si="53"/>
        <v>-0.45724379770638474</v>
      </c>
      <c r="IT56" s="62">
        <f t="shared" si="53"/>
        <v>-0.69738878608896382</v>
      </c>
      <c r="IU56" s="62">
        <f t="shared" si="53"/>
        <v>-0.39342326766974722</v>
      </c>
      <c r="IV56" s="62">
        <f t="shared" si="53"/>
        <v>-0.6033797519241938</v>
      </c>
      <c r="IW56" s="62">
        <f t="shared" si="53"/>
        <v>-0.42183777237446052</v>
      </c>
      <c r="IX56" s="62">
        <f t="shared" si="53"/>
        <v>-0.43963568186894181</v>
      </c>
      <c r="IY56" s="62">
        <f t="shared" si="53"/>
        <v>-0.2168798423764445</v>
      </c>
      <c r="IZ56" s="62">
        <f t="shared" si="53"/>
        <v>-0.59528122886692825</v>
      </c>
      <c r="JA56" s="62">
        <f t="shared" si="53"/>
        <v>-0.32201626471256306</v>
      </c>
      <c r="JB56" s="62">
        <f t="shared" si="53"/>
        <v>-0.32677139400814481</v>
      </c>
      <c r="JC56" s="62">
        <f t="shared" si="53"/>
        <v>-0.3453404189588255</v>
      </c>
      <c r="JD56" s="62">
        <f t="shared" si="53"/>
        <v>-0.69594212545288814</v>
      </c>
      <c r="JE56" s="62">
        <f t="shared" si="53"/>
        <v>-0.24515362892490369</v>
      </c>
      <c r="JF56" s="62">
        <f t="shared" si="53"/>
        <v>-0.61423035295673156</v>
      </c>
      <c r="JG56" s="62">
        <f t="shared" si="53"/>
        <v>-0.2717321887817325</v>
      </c>
      <c r="JH56" s="62">
        <f t="shared" ref="JH56:KF56" si="54">JH55*(1+$D56)</f>
        <v>-0.23605384456950393</v>
      </c>
      <c r="JI56" s="62">
        <f t="shared" si="54"/>
        <v>-0.49061097959324235</v>
      </c>
      <c r="JJ56" s="62">
        <f t="shared" si="54"/>
        <v>-0.65593248722157294</v>
      </c>
      <c r="JK56" s="62">
        <f t="shared" si="54"/>
        <v>-0.21119292407407689</v>
      </c>
      <c r="JL56" s="62">
        <f t="shared" si="54"/>
        <v>-0.47665016801181104</v>
      </c>
      <c r="JM56" s="62">
        <f t="shared" si="54"/>
        <v>-0.17876469902951977</v>
      </c>
      <c r="JN56" s="62">
        <f t="shared" si="54"/>
        <v>-0.39088882758557575</v>
      </c>
      <c r="JO56" s="62">
        <f t="shared" si="54"/>
        <v>-0.63675515485459599</v>
      </c>
      <c r="JP56" s="62">
        <f t="shared" si="54"/>
        <v>-0.26019118625916743</v>
      </c>
      <c r="JQ56" s="62">
        <f t="shared" si="54"/>
        <v>-0.62317382958457013</v>
      </c>
      <c r="JR56" s="62">
        <f t="shared" si="54"/>
        <v>-0.61166087004016356</v>
      </c>
      <c r="JS56" s="62">
        <f t="shared" si="54"/>
        <v>-0.26416742020097128</v>
      </c>
      <c r="JT56" s="62">
        <f t="shared" si="54"/>
        <v>-0.6217227156668419</v>
      </c>
      <c r="JU56" s="62">
        <f t="shared" si="54"/>
        <v>-0.18695252420200933</v>
      </c>
      <c r="JV56" s="62">
        <f t="shared" si="54"/>
        <v>-0.62027263062042559</v>
      </c>
      <c r="JW56" s="62">
        <f t="shared" si="54"/>
        <v>-0.40420258590506397</v>
      </c>
      <c r="JX56" s="62">
        <f t="shared" si="54"/>
        <v>-0.23129957422019598</v>
      </c>
      <c r="JY56" s="62">
        <f t="shared" si="54"/>
        <v>-0.24431100582618925</v>
      </c>
      <c r="JZ56" s="62">
        <f t="shared" si="54"/>
        <v>-0.64948104689446695</v>
      </c>
      <c r="KA56" s="62">
        <f t="shared" si="54"/>
        <v>-0.66763024146268046</v>
      </c>
      <c r="KB56" s="62">
        <f t="shared" si="54"/>
        <v>-0.36950574693451715</v>
      </c>
      <c r="KC56" s="62">
        <f t="shared" si="54"/>
        <v>-0.59560581040864702</v>
      </c>
      <c r="KD56" s="62">
        <f t="shared" si="54"/>
        <v>-0.46466296849756278</v>
      </c>
      <c r="KE56" s="62">
        <f t="shared" si="54"/>
        <v>-0.31125342918359999</v>
      </c>
      <c r="KF56" s="62">
        <f t="shared" si="54"/>
        <v>-0.37564673389107439</v>
      </c>
    </row>
    <row r="57" spans="4:292" outlineLevel="1" x14ac:dyDescent="0.35"/>
    <row r="58" spans="4:292" outlineLevel="1" x14ac:dyDescent="0.35">
      <c r="E58" s="13" t="s">
        <v>166</v>
      </c>
      <c r="J58" s="15" t="s">
        <v>31</v>
      </c>
      <c r="K58" s="60">
        <v>-0.28887274168884491</v>
      </c>
      <c r="L58" s="60">
        <v>-0.26384951705178378</v>
      </c>
      <c r="M58" s="60">
        <v>-0.36179302278349129</v>
      </c>
      <c r="N58" s="60">
        <v>-0.51930818731908845</v>
      </c>
      <c r="O58" s="60">
        <v>-0.25707948317536083</v>
      </c>
      <c r="P58" s="60">
        <v>-0.23743734450263168</v>
      </c>
      <c r="Q58" s="60">
        <v>-0.30209970574695794</v>
      </c>
      <c r="R58" s="60">
        <v>-0.33805636750190926</v>
      </c>
      <c r="S58" s="60">
        <v>-0.5798948568556257</v>
      </c>
      <c r="T58" s="60">
        <v>-0.59599043508816674</v>
      </c>
      <c r="U58" s="60">
        <v>-0.50382371450251917</v>
      </c>
      <c r="V58" s="60">
        <v>-0.4095828281617907</v>
      </c>
      <c r="W58" s="60">
        <v>-0.17883643694776397</v>
      </c>
      <c r="X58" s="60">
        <v>-0.55864059726548965</v>
      </c>
      <c r="Y58" s="60">
        <v>-0.60264005046482227</v>
      </c>
      <c r="Z58" s="60">
        <v>-0.59296668671094244</v>
      </c>
      <c r="AA58" s="60">
        <v>-0.48454742982087334</v>
      </c>
      <c r="AB58" s="60">
        <v>-0.32445012518989663</v>
      </c>
      <c r="AC58" s="60">
        <v>-0.26570470982102123</v>
      </c>
      <c r="AD58" s="60">
        <v>-0.45308443736616882</v>
      </c>
      <c r="AE58" s="60">
        <v>-0.18701789511152089</v>
      </c>
      <c r="AF58" s="60">
        <v>-0.45744523859599567</v>
      </c>
      <c r="AG58" s="60">
        <v>-0.20348565121086762</v>
      </c>
      <c r="AH58" s="60">
        <v>-0.435133319541532</v>
      </c>
      <c r="AI58" s="60">
        <v>-0.22332081500123327</v>
      </c>
      <c r="AJ58" s="60">
        <v>-0.46014264126283921</v>
      </c>
      <c r="AK58" s="60">
        <v>-0.44320719271124631</v>
      </c>
      <c r="AL58" s="60">
        <v>-0.2381525384631093</v>
      </c>
      <c r="AM58" s="60">
        <v>-0.26446829404044397</v>
      </c>
      <c r="AN58" s="60">
        <v>-0.25153117873775155</v>
      </c>
      <c r="AO58" s="60">
        <v>-0.18354415391015327</v>
      </c>
      <c r="AP58" s="60">
        <v>-0.45017666399173911</v>
      </c>
      <c r="AQ58" s="60">
        <v>-0.33118644728849206</v>
      </c>
      <c r="AR58" s="60">
        <v>-0.37044513972559395</v>
      </c>
      <c r="AS58" s="60">
        <v>-0.35051741624831112</v>
      </c>
      <c r="AT58" s="60">
        <v>-0.47713310039420093</v>
      </c>
      <c r="AU58" s="60">
        <v>-0.57240248158295404</v>
      </c>
      <c r="AV58" s="60">
        <v>-0.41371588989435987</v>
      </c>
      <c r="AW58" s="60">
        <v>-0.53325958575261134</v>
      </c>
      <c r="AX58" s="60">
        <v>-0.44988648167862832</v>
      </c>
      <c r="AY58" s="60">
        <v>-0.61438919989112406</v>
      </c>
      <c r="AZ58" s="60">
        <v>-0.38121325711330456</v>
      </c>
      <c r="BA58" s="60">
        <v>-0.18245935031130844</v>
      </c>
      <c r="BB58" s="60">
        <v>-0.49223815779345254</v>
      </c>
      <c r="BC58" s="60">
        <v>-0.6582527804013063</v>
      </c>
      <c r="BD58" s="60">
        <v>-0.31832832054018911</v>
      </c>
      <c r="BE58" s="60">
        <v>-0.4287253882946595</v>
      </c>
      <c r="BF58" s="60">
        <v>-0.3830137490926605</v>
      </c>
      <c r="BG58" s="60">
        <v>-0.53202876061883553</v>
      </c>
      <c r="BH58" s="60">
        <v>-0.67925754963580887</v>
      </c>
      <c r="BI58" s="60">
        <v>-0.48204536930094394</v>
      </c>
      <c r="BJ58" s="60">
        <v>-0.27096030908561231</v>
      </c>
      <c r="BK58" s="60">
        <v>-0.34557620731234684</v>
      </c>
      <c r="BL58" s="60">
        <v>-0.39410875622189501</v>
      </c>
      <c r="BM58" s="60">
        <v>-0.33056963953603313</v>
      </c>
      <c r="BN58" s="60">
        <v>-0.44571239755410652</v>
      </c>
      <c r="BO58" s="60">
        <v>-0.5109836380423195</v>
      </c>
      <c r="BP58" s="60">
        <v>-0.25398841523708726</v>
      </c>
      <c r="BQ58" s="60">
        <v>-0.24542011551999512</v>
      </c>
      <c r="BR58" s="60">
        <v>-0.28350903825879736</v>
      </c>
      <c r="BS58" s="60">
        <v>-0.29942835745491791</v>
      </c>
      <c r="BT58" s="60">
        <v>-0.27287165320776041</v>
      </c>
      <c r="BU58" s="60">
        <v>-0.3239714205505837</v>
      </c>
      <c r="BV58" s="60">
        <v>-0.57349117738199817</v>
      </c>
      <c r="BW58" s="60">
        <v>-0.43856310960291495</v>
      </c>
      <c r="BX58" s="60">
        <v>-0.29045850451185934</v>
      </c>
      <c r="BY58" s="60">
        <v>-0.34443932500033436</v>
      </c>
      <c r="BZ58" s="60">
        <v>-0.2867620894093732</v>
      </c>
      <c r="CA58" s="60">
        <v>-0.21765538594364472</v>
      </c>
      <c r="CB58" s="60">
        <v>-0.2194727266646358</v>
      </c>
      <c r="CC58" s="60">
        <v>-0.20327537673669963</v>
      </c>
      <c r="CD58" s="60">
        <v>-0.45231150196312525</v>
      </c>
      <c r="CE58" s="60">
        <v>-0.26901763261822009</v>
      </c>
      <c r="CF58" s="60">
        <v>-0.37299451731112837</v>
      </c>
      <c r="CG58" s="60">
        <v>-0.64931814603453974</v>
      </c>
      <c r="CH58" s="60">
        <v>-0.44685597301863877</v>
      </c>
      <c r="CI58" s="60">
        <v>-0.44526061043540943</v>
      </c>
      <c r="CJ58" s="60">
        <v>-0.43795304100526172</v>
      </c>
      <c r="CK58" s="60">
        <v>-0.49943032104395946</v>
      </c>
      <c r="CL58" s="60">
        <v>-0.27211568332890457</v>
      </c>
      <c r="CM58" s="60">
        <v>-0.53758558720861249</v>
      </c>
      <c r="CN58" s="60">
        <v>-0.62932156994770871</v>
      </c>
      <c r="CO58" s="60">
        <v>-0.69579649269402699</v>
      </c>
      <c r="CP58" s="60">
        <v>-0.46666423573157517</v>
      </c>
      <c r="CQ58" s="60">
        <v>-0.53533938867711439</v>
      </c>
      <c r="CR58" s="60">
        <v>-0.62884869689509404</v>
      </c>
      <c r="CS58" s="60">
        <v>-0.6054281728921217</v>
      </c>
      <c r="CT58" s="60">
        <v>-0.21052366785749899</v>
      </c>
      <c r="CU58" s="60">
        <v>-0.42737570694507893</v>
      </c>
      <c r="CV58" s="60">
        <v>-0.26874266577990402</v>
      </c>
      <c r="CW58" s="60">
        <v>-0.53608945441427769</v>
      </c>
      <c r="CX58" s="60">
        <v>-0.29034749196198356</v>
      </c>
      <c r="CY58" s="60">
        <v>-0.17863359876491294</v>
      </c>
      <c r="CZ58" s="60">
        <v>-0.60446534869216817</v>
      </c>
      <c r="DA58" s="60">
        <v>-0.18069926753408252</v>
      </c>
      <c r="DB58" s="60">
        <v>-0.57939170821421615</v>
      </c>
      <c r="DC58" s="60">
        <v>-0.62231890446986071</v>
      </c>
      <c r="DD58" s="60">
        <v>-0.43994948892935087</v>
      </c>
      <c r="DE58" s="60">
        <v>-0.34448937480038255</v>
      </c>
      <c r="DF58" s="60">
        <v>-0.5668789617222072</v>
      </c>
      <c r="DG58" s="60">
        <v>-0.62509211932615072</v>
      </c>
      <c r="DH58" s="60">
        <v>-0.5362279183981804</v>
      </c>
      <c r="DI58" s="60">
        <v>-0.40469017591641743</v>
      </c>
      <c r="DJ58" s="60">
        <v>-0.38058681284807955</v>
      </c>
      <c r="DK58" s="60">
        <v>-0.50765871253144934</v>
      </c>
      <c r="DL58" s="60">
        <v>-0.63971119117990172</v>
      </c>
      <c r="DM58" s="60">
        <v>-0.66043655673380153</v>
      </c>
      <c r="DN58" s="60">
        <v>-0.52730104326315785</v>
      </c>
      <c r="DO58" s="60">
        <v>-0.43113373324746895</v>
      </c>
      <c r="DP58" s="60">
        <v>-0.69749889655743413</v>
      </c>
      <c r="DQ58" s="60">
        <v>-0.45519373941633001</v>
      </c>
      <c r="DR58" s="60">
        <v>-0.26534945484668865</v>
      </c>
      <c r="DS58" s="60">
        <v>-0.2766785353751981</v>
      </c>
      <c r="DT58" s="60">
        <v>-0.57528435231492181</v>
      </c>
      <c r="DU58" s="60">
        <v>-0.68673547364417731</v>
      </c>
      <c r="DV58" s="60">
        <v>-0.31394343907643429</v>
      </c>
      <c r="DW58" s="60">
        <v>-0.35705893474354516</v>
      </c>
      <c r="DX58" s="60">
        <v>-0.36767069658101692</v>
      </c>
      <c r="DY58" s="60">
        <v>-0.60539270570020842</v>
      </c>
      <c r="DZ58" s="60">
        <v>-0.53358880612210147</v>
      </c>
      <c r="EA58" s="60">
        <v>-0.42258929169959097</v>
      </c>
      <c r="EB58" s="60">
        <v>-0.55537195860307653</v>
      </c>
      <c r="EC58" s="60">
        <v>-0.28389741734254947</v>
      </c>
      <c r="ED58" s="60">
        <v>-0.2800429965114315</v>
      </c>
      <c r="EE58" s="60">
        <v>-0.46065790535805973</v>
      </c>
      <c r="EF58" s="60">
        <v>-0.31189480586876117</v>
      </c>
      <c r="EG58" s="60">
        <v>-0.22080489339378873</v>
      </c>
      <c r="EH58" s="60">
        <v>-0.29941016067238879</v>
      </c>
      <c r="EI58" s="60">
        <v>-0.43218561622266521</v>
      </c>
      <c r="EJ58" s="60">
        <v>-0.22732238829522672</v>
      </c>
      <c r="EK58" s="60">
        <v>-0.49454605828187698</v>
      </c>
      <c r="EL58" s="60">
        <v>-0.42799579869483756</v>
      </c>
      <c r="EM58" s="60">
        <v>-0.20378781300562107</v>
      </c>
      <c r="EN58" s="60">
        <v>-0.20154887877170466</v>
      </c>
      <c r="EO58" s="60">
        <v>-0.46172988677977878</v>
      </c>
      <c r="EP58" s="60">
        <v>-0.32349766917909639</v>
      </c>
      <c r="EQ58" s="60">
        <v>-0.62912386196357228</v>
      </c>
      <c r="ER58" s="60">
        <v>-0.64400674641622246</v>
      </c>
      <c r="ES58" s="60">
        <v>-0.63011129162188995</v>
      </c>
      <c r="ET58" s="60">
        <v>-0.69905608370089789</v>
      </c>
      <c r="EU58" s="60">
        <v>-0.3478573341684712</v>
      </c>
      <c r="EV58" s="60">
        <v>-0.47612219557030128</v>
      </c>
      <c r="EW58" s="60">
        <v>-0.39849238844088913</v>
      </c>
      <c r="EX58" s="60">
        <v>-0.65847091689243897</v>
      </c>
      <c r="EY58" s="60">
        <v>-0.22047233846132097</v>
      </c>
      <c r="EZ58" s="60">
        <v>-0.22645304344417977</v>
      </c>
      <c r="FA58" s="60">
        <v>-0.67107327221529844</v>
      </c>
      <c r="FB58" s="60">
        <v>-0.61703565008479666</v>
      </c>
      <c r="FC58" s="60">
        <v>-0.56825887483877768</v>
      </c>
      <c r="FD58" s="60">
        <v>-0.35579489767953026</v>
      </c>
      <c r="FE58" s="60">
        <v>-0.23505883681765899</v>
      </c>
      <c r="FF58" s="60">
        <v>-0.28559592387582533</v>
      </c>
      <c r="FG58" s="60">
        <v>-0.59566547769577871</v>
      </c>
      <c r="FH58" s="60">
        <v>-0.62130415882014101</v>
      </c>
      <c r="FI58" s="60">
        <v>-0.2242811375236532</v>
      </c>
      <c r="FJ58" s="60">
        <v>-0.50233842417192454</v>
      </c>
      <c r="FK58" s="60">
        <v>-0.62722433994381088</v>
      </c>
      <c r="FL58" s="60">
        <v>-0.42535841528146201</v>
      </c>
      <c r="FM58" s="60">
        <v>-0.67746405437185042</v>
      </c>
      <c r="FN58" s="60">
        <v>-0.47211727542470172</v>
      </c>
      <c r="FO58" s="60">
        <v>-0.40975727002009565</v>
      </c>
      <c r="FP58" s="60">
        <v>-0.60008724320146034</v>
      </c>
      <c r="FQ58" s="60">
        <v>-0.6726831124189756</v>
      </c>
      <c r="FR58" s="60">
        <v>-0.47434736466028354</v>
      </c>
      <c r="FS58" s="60">
        <v>-0.55873367339320756</v>
      </c>
      <c r="FT58" s="60">
        <v>-0.48530704398196761</v>
      </c>
      <c r="FU58" s="60">
        <v>-0.65563902141373387</v>
      </c>
      <c r="FV58" s="60">
        <v>-0.60511639666883799</v>
      </c>
      <c r="FW58" s="60">
        <v>-0.37788166064230444</v>
      </c>
      <c r="FX58" s="60">
        <v>-0.58031581346660022</v>
      </c>
      <c r="FY58" s="60">
        <v>-0.40172066995307248</v>
      </c>
      <c r="FZ58" s="60">
        <v>-0.28322772490917331</v>
      </c>
      <c r="GA58" s="60">
        <v>-0.20013668507781265</v>
      </c>
      <c r="GB58" s="60">
        <v>-0.18332800838741592</v>
      </c>
      <c r="GC58" s="60">
        <v>-0.19697133546544132</v>
      </c>
      <c r="GD58" s="60">
        <v>-0.60596821878151996</v>
      </c>
      <c r="GE58" s="60">
        <v>-0.24947142769593558</v>
      </c>
      <c r="GF58" s="60">
        <v>-0.48725173951408757</v>
      </c>
      <c r="GG58" s="60">
        <v>-0.27272060793348057</v>
      </c>
      <c r="GH58" s="60">
        <v>-0.35932256785932964</v>
      </c>
      <c r="GI58" s="60">
        <v>-0.37693278502032762</v>
      </c>
      <c r="GJ58" s="60">
        <v>-0.27885963003908948</v>
      </c>
      <c r="GK58" s="60">
        <v>-0.55590517888077784</v>
      </c>
      <c r="GL58" s="60">
        <v>-0.69791422214290644</v>
      </c>
      <c r="GM58" s="60">
        <v>-0.51390764202304418</v>
      </c>
      <c r="GN58" s="60">
        <v>-0.57932408866644747</v>
      </c>
      <c r="GO58" s="60">
        <v>-0.29160493127330772</v>
      </c>
      <c r="GP58" s="60">
        <v>-0.36314524883878524</v>
      </c>
      <c r="GQ58" s="60">
        <v>-0.30516914193421568</v>
      </c>
      <c r="GR58" s="60">
        <v>-0.35770782563690184</v>
      </c>
      <c r="GS58" s="60">
        <v>-0.50282875073789968</v>
      </c>
      <c r="GT58" s="60">
        <v>-0.32169209126241854</v>
      </c>
      <c r="GU58" s="60">
        <v>-0.45311609296206912</v>
      </c>
      <c r="GV58" s="60">
        <v>-0.2387039647909949</v>
      </c>
      <c r="GW58" s="60">
        <v>-0.23248247036801661</v>
      </c>
      <c r="GX58" s="60">
        <v>-0.32444912526603348</v>
      </c>
      <c r="GY58" s="60">
        <v>-0.6037546235597302</v>
      </c>
      <c r="GZ58" s="60">
        <v>-0.1875280592249029</v>
      </c>
      <c r="HA58" s="60">
        <v>-0.58003794012978549</v>
      </c>
      <c r="HB58" s="60">
        <v>-0.61390144505153166</v>
      </c>
      <c r="HC58" s="60">
        <v>-0.54365276629432113</v>
      </c>
      <c r="HD58" s="60">
        <v>-0.63799576849470518</v>
      </c>
      <c r="HE58" s="60">
        <v>-0.54915500693050856</v>
      </c>
      <c r="HF58" s="60">
        <v>-0.27691691138332741</v>
      </c>
      <c r="HG58" s="60">
        <v>-0.55489970191085414</v>
      </c>
      <c r="HH58" s="60">
        <v>-0.24786478956917468</v>
      </c>
      <c r="HI58" s="60">
        <v>-0.6538379058561915</v>
      </c>
      <c r="HJ58" s="60">
        <v>-0.59733904855978925</v>
      </c>
      <c r="HK58" s="60">
        <v>-0.55680522595037163</v>
      </c>
      <c r="HL58" s="60">
        <v>-0.55894173235624589</v>
      </c>
      <c r="HM58" s="60">
        <v>-0.25759630807993639</v>
      </c>
      <c r="HN58" s="60">
        <v>-0.60235970989555765</v>
      </c>
      <c r="HO58" s="60">
        <v>-0.31260266010520016</v>
      </c>
      <c r="HP58" s="60">
        <v>-0.20780130648477907</v>
      </c>
      <c r="HQ58" s="60">
        <v>-0.65632219245870249</v>
      </c>
      <c r="HR58" s="60">
        <v>-0.24551113416589224</v>
      </c>
      <c r="HS58" s="60">
        <v>-0.68883488406026372</v>
      </c>
      <c r="HT58" s="60">
        <v>-0.65234495859639308</v>
      </c>
      <c r="HU58" s="60">
        <v>-0.4687972446802709</v>
      </c>
      <c r="HV58" s="60">
        <v>-0.66541614612811173</v>
      </c>
      <c r="HW58" s="60">
        <v>-0.20733366468402406</v>
      </c>
      <c r="HX58" s="60">
        <v>-0.24675667429518205</v>
      </c>
      <c r="HY58" s="60">
        <v>-0.4128754956966843</v>
      </c>
      <c r="HZ58" s="60">
        <v>-0.30354125787007197</v>
      </c>
      <c r="IA58" s="60">
        <v>-0.67257649725505331</v>
      </c>
      <c r="IB58" s="60">
        <v>-0.39700497311292471</v>
      </c>
      <c r="IC58" s="60">
        <v>-0.60302741716126329</v>
      </c>
      <c r="ID58" s="60">
        <v>-0.33740021477710497</v>
      </c>
      <c r="IE58" s="60">
        <v>-0.61633901469114238</v>
      </c>
      <c r="IF58" s="60">
        <v>-0.50736149421749632</v>
      </c>
      <c r="IG58" s="60">
        <v>-0.50415179648319763</v>
      </c>
      <c r="IH58" s="60">
        <v>-0.31449491685710174</v>
      </c>
      <c r="II58" s="60">
        <v>-0.49669813913074151</v>
      </c>
      <c r="IJ58" s="60">
        <v>-0.5266487553593735</v>
      </c>
      <c r="IK58" s="60">
        <v>-0.52839849324769661</v>
      </c>
      <c r="IL58" s="60">
        <v>-0.64349908817819657</v>
      </c>
      <c r="IM58" s="60">
        <v>-0.47424814998771991</v>
      </c>
      <c r="IN58" s="60">
        <v>-0.35599514814691113</v>
      </c>
      <c r="IO58" s="60">
        <v>-0.4317406409497444</v>
      </c>
      <c r="IP58" s="60">
        <v>-0.36206367203800349</v>
      </c>
      <c r="IQ58" s="60">
        <v>-0.40145688089467751</v>
      </c>
      <c r="IR58" s="60">
        <v>-0.2746553973371339</v>
      </c>
      <c r="IS58" s="60">
        <v>-0.45724379770638474</v>
      </c>
      <c r="IT58" s="60">
        <v>-0.69738878608896382</v>
      </c>
      <c r="IU58" s="60">
        <v>-0.39342326766974722</v>
      </c>
      <c r="IV58" s="60">
        <v>-0.6033797519241938</v>
      </c>
      <c r="IW58" s="60">
        <v>-0.42183777237446052</v>
      </c>
      <c r="IX58" s="60">
        <v>-0.43963568186894181</v>
      </c>
      <c r="IY58" s="60">
        <v>-0.2168798423764445</v>
      </c>
      <c r="IZ58" s="60">
        <v>-0.59528122886692825</v>
      </c>
      <c r="JA58" s="60">
        <v>-0.32201626471256306</v>
      </c>
      <c r="JB58" s="60">
        <v>-0.32677139400814481</v>
      </c>
      <c r="JC58" s="60">
        <v>-0.3453404189588255</v>
      </c>
      <c r="JD58" s="60">
        <v>-0.69594212545288814</v>
      </c>
      <c r="JE58" s="60">
        <v>-0.24515362892490369</v>
      </c>
      <c r="JF58" s="60">
        <v>-0.61423035295673156</v>
      </c>
      <c r="JG58" s="60">
        <v>-0.2717321887817325</v>
      </c>
      <c r="JH58" s="60">
        <v>-0.23605384456950393</v>
      </c>
      <c r="JI58" s="60">
        <v>-0.49061097959324235</v>
      </c>
      <c r="JJ58" s="60">
        <v>-0.65593248722157294</v>
      </c>
      <c r="JK58" s="60">
        <v>-0.21119292407407689</v>
      </c>
      <c r="JL58" s="60">
        <v>-0.47665016801181104</v>
      </c>
      <c r="JM58" s="60">
        <v>-0.17876469902951977</v>
      </c>
      <c r="JN58" s="60">
        <v>-0.39088882758557575</v>
      </c>
      <c r="JO58" s="60">
        <v>-0.63675515485459599</v>
      </c>
      <c r="JP58" s="60">
        <v>-0.26019118625916743</v>
      </c>
      <c r="JQ58" s="60">
        <v>-0.62317382958457013</v>
      </c>
      <c r="JR58" s="60">
        <v>-0.61166087004016356</v>
      </c>
      <c r="JS58" s="60">
        <v>-0.26416742020097128</v>
      </c>
      <c r="JT58" s="60">
        <v>-0.6217227156668419</v>
      </c>
      <c r="JU58" s="60">
        <v>-0.18695252420200933</v>
      </c>
      <c r="JV58" s="60">
        <v>-0.62027263062042559</v>
      </c>
      <c r="JW58" s="60">
        <v>-0.40420258590506397</v>
      </c>
      <c r="JX58" s="60">
        <v>-0.23129957422019598</v>
      </c>
      <c r="JY58" s="60">
        <v>-0.24431100582618925</v>
      </c>
      <c r="JZ58" s="60">
        <v>-0.64948104689446695</v>
      </c>
      <c r="KA58" s="60">
        <v>-0.66763024146268046</v>
      </c>
      <c r="KB58" s="60">
        <v>-0.36950574693451715</v>
      </c>
      <c r="KC58" s="60">
        <v>-0.59560581040864702</v>
      </c>
      <c r="KD58" s="60">
        <v>-0.46466296849756278</v>
      </c>
      <c r="KE58" s="60">
        <v>-0.31125342918359999</v>
      </c>
      <c r="KF58" s="60">
        <v>-0.37564673389107439</v>
      </c>
    </row>
    <row r="59" spans="4:292" outlineLevel="1" x14ac:dyDescent="0.35">
      <c r="E59" s="13" t="s">
        <v>166</v>
      </c>
      <c r="J59" s="15" t="s">
        <v>32</v>
      </c>
      <c r="K59" s="60">
        <v>-0.38500000000000001</v>
      </c>
      <c r="L59" s="60">
        <v>-0.38500000000000001</v>
      </c>
      <c r="M59" s="60">
        <v>-0.38500000000000001</v>
      </c>
      <c r="N59" s="60">
        <v>-0.38500000000000001</v>
      </c>
      <c r="O59" s="60">
        <v>-0.38500000000000001</v>
      </c>
      <c r="P59" s="60">
        <v>-0.38500000000000001</v>
      </c>
      <c r="Q59" s="60">
        <v>-0.38500000000000001</v>
      </c>
      <c r="R59" s="60">
        <v>-0.38500000000000001</v>
      </c>
      <c r="S59" s="60">
        <v>-0.38500000000000001</v>
      </c>
      <c r="T59" s="60">
        <v>-0.38500000000000001</v>
      </c>
      <c r="U59" s="60">
        <v>-0.38500000000000001</v>
      </c>
      <c r="V59" s="60">
        <v>-0.38500000000000001</v>
      </c>
      <c r="W59" s="60">
        <v>-0.38500000000000001</v>
      </c>
      <c r="X59" s="60">
        <v>-0.38500000000000001</v>
      </c>
      <c r="Y59" s="60">
        <v>-0.38500000000000001</v>
      </c>
      <c r="Z59" s="60">
        <v>-0.38500000000000001</v>
      </c>
      <c r="AA59" s="60">
        <v>-0.38500000000000001</v>
      </c>
      <c r="AB59" s="60">
        <v>-0.38500000000000001</v>
      </c>
      <c r="AC59" s="60">
        <v>-0.38500000000000001</v>
      </c>
      <c r="AD59" s="60">
        <v>-0.38500000000000001</v>
      </c>
      <c r="AE59" s="60">
        <v>-0.38500000000000001</v>
      </c>
      <c r="AF59" s="60">
        <v>-0.38500000000000001</v>
      </c>
      <c r="AG59" s="60">
        <v>-0.38500000000000001</v>
      </c>
      <c r="AH59" s="60">
        <v>-0.38500000000000001</v>
      </c>
      <c r="AI59" s="60">
        <v>-0.38500000000000001</v>
      </c>
      <c r="AJ59" s="60">
        <v>-0.38500000000000001</v>
      </c>
      <c r="AK59" s="60">
        <v>-0.38500000000000001</v>
      </c>
      <c r="AL59" s="60">
        <v>-0.38500000000000001</v>
      </c>
      <c r="AM59" s="60">
        <v>-0.38500000000000001</v>
      </c>
      <c r="AN59" s="60">
        <v>-0.38500000000000001</v>
      </c>
      <c r="AO59" s="60">
        <v>-0.38500000000000001</v>
      </c>
      <c r="AP59" s="60">
        <v>-0.38500000000000001</v>
      </c>
      <c r="AQ59" s="60">
        <v>-0.38500000000000001</v>
      </c>
      <c r="AR59" s="60">
        <v>-0.38500000000000001</v>
      </c>
      <c r="AS59" s="60">
        <v>-0.38500000000000001</v>
      </c>
      <c r="AT59" s="60">
        <v>-0.38500000000000001</v>
      </c>
      <c r="AU59" s="60">
        <v>-0.38500000000000001</v>
      </c>
      <c r="AV59" s="60">
        <v>-0.38500000000000001</v>
      </c>
      <c r="AW59" s="60">
        <v>-0.38500000000000001</v>
      </c>
      <c r="AX59" s="60">
        <v>-0.38500000000000001</v>
      </c>
      <c r="AY59" s="60">
        <v>-0.38500000000000001</v>
      </c>
      <c r="AZ59" s="60">
        <v>-0.38500000000000001</v>
      </c>
      <c r="BA59" s="60">
        <v>-0.38500000000000001</v>
      </c>
      <c r="BB59" s="60">
        <v>-0.38500000000000001</v>
      </c>
      <c r="BC59" s="60">
        <v>-0.38500000000000001</v>
      </c>
      <c r="BD59" s="60">
        <v>-0.38500000000000001</v>
      </c>
      <c r="BE59" s="60">
        <v>-0.38500000000000001</v>
      </c>
      <c r="BF59" s="60">
        <v>-0.38500000000000001</v>
      </c>
      <c r="BG59" s="60">
        <v>-0.38500000000000001</v>
      </c>
      <c r="BH59" s="60">
        <v>-0.38500000000000001</v>
      </c>
      <c r="BI59" s="60">
        <v>-0.38500000000000001</v>
      </c>
      <c r="BJ59" s="60">
        <v>-0.38500000000000001</v>
      </c>
      <c r="BK59" s="60">
        <v>-0.38500000000000001</v>
      </c>
      <c r="BL59" s="60">
        <v>-0.38500000000000001</v>
      </c>
      <c r="BM59" s="60">
        <v>-0.38500000000000001</v>
      </c>
      <c r="BN59" s="60">
        <v>-0.38500000000000001</v>
      </c>
      <c r="BO59" s="60">
        <v>-0.38500000000000001</v>
      </c>
      <c r="BP59" s="60">
        <v>-0.38500000000000001</v>
      </c>
      <c r="BQ59" s="60">
        <v>-0.38500000000000001</v>
      </c>
      <c r="BR59" s="60">
        <v>-0.38500000000000001</v>
      </c>
      <c r="BS59" s="60">
        <v>-0.38500000000000001</v>
      </c>
      <c r="BT59" s="60">
        <v>-0.38500000000000001</v>
      </c>
      <c r="BU59" s="60">
        <v>-0.38500000000000001</v>
      </c>
      <c r="BV59" s="60">
        <v>-0.38500000000000001</v>
      </c>
      <c r="BW59" s="60">
        <v>-0.38500000000000001</v>
      </c>
      <c r="BX59" s="60">
        <v>-0.38500000000000001</v>
      </c>
      <c r="BY59" s="60">
        <v>-0.38500000000000001</v>
      </c>
      <c r="BZ59" s="60">
        <v>-0.38500000000000001</v>
      </c>
      <c r="CA59" s="60">
        <v>-0.38500000000000001</v>
      </c>
      <c r="CB59" s="60">
        <v>-0.38500000000000001</v>
      </c>
      <c r="CC59" s="60">
        <v>-0.38500000000000001</v>
      </c>
      <c r="CD59" s="60">
        <v>-0.38500000000000001</v>
      </c>
      <c r="CE59" s="60">
        <v>-0.38500000000000001</v>
      </c>
      <c r="CF59" s="60">
        <v>-0.38500000000000001</v>
      </c>
      <c r="CG59" s="60">
        <v>-0.38500000000000001</v>
      </c>
      <c r="CH59" s="60">
        <v>-0.38500000000000001</v>
      </c>
      <c r="CI59" s="60">
        <v>-0.38500000000000001</v>
      </c>
      <c r="CJ59" s="60">
        <v>-0.38500000000000001</v>
      </c>
      <c r="CK59" s="60">
        <v>-0.38500000000000001</v>
      </c>
      <c r="CL59" s="60">
        <v>-0.38500000000000001</v>
      </c>
      <c r="CM59" s="60">
        <v>-0.38500000000000001</v>
      </c>
      <c r="CN59" s="60">
        <v>-0.38500000000000001</v>
      </c>
      <c r="CO59" s="60">
        <v>-0.38500000000000001</v>
      </c>
      <c r="CP59" s="60">
        <v>-0.38500000000000001</v>
      </c>
      <c r="CQ59" s="60">
        <v>-0.38500000000000001</v>
      </c>
      <c r="CR59" s="60">
        <v>-0.38500000000000001</v>
      </c>
      <c r="CS59" s="60">
        <v>-0.38500000000000001</v>
      </c>
      <c r="CT59" s="60">
        <v>-0.38500000000000001</v>
      </c>
      <c r="CU59" s="60">
        <v>-0.38500000000000001</v>
      </c>
      <c r="CV59" s="60">
        <v>-0.38500000000000001</v>
      </c>
      <c r="CW59" s="60">
        <v>-0.38500000000000001</v>
      </c>
      <c r="CX59" s="60">
        <v>-0.38500000000000001</v>
      </c>
      <c r="CY59" s="60">
        <v>-0.38500000000000001</v>
      </c>
      <c r="CZ59" s="60">
        <v>-0.38500000000000001</v>
      </c>
      <c r="DA59" s="60">
        <v>-0.38500000000000001</v>
      </c>
      <c r="DB59" s="60">
        <v>-0.38500000000000001</v>
      </c>
      <c r="DC59" s="60">
        <v>-0.38500000000000001</v>
      </c>
      <c r="DD59" s="60">
        <v>-0.38500000000000001</v>
      </c>
      <c r="DE59" s="60">
        <v>-0.38500000000000001</v>
      </c>
      <c r="DF59" s="60">
        <v>-0.38500000000000001</v>
      </c>
      <c r="DG59" s="60">
        <v>-0.38500000000000001</v>
      </c>
      <c r="DH59" s="60">
        <v>-0.38500000000000001</v>
      </c>
      <c r="DI59" s="60">
        <v>-0.38500000000000001</v>
      </c>
      <c r="DJ59" s="60">
        <v>-0.38500000000000001</v>
      </c>
      <c r="DK59" s="60">
        <v>-0.38500000000000001</v>
      </c>
      <c r="DL59" s="60">
        <v>-0.38500000000000001</v>
      </c>
      <c r="DM59" s="60">
        <v>-0.38500000000000001</v>
      </c>
      <c r="DN59" s="60">
        <v>-0.38500000000000001</v>
      </c>
      <c r="DO59" s="60">
        <v>-0.38500000000000001</v>
      </c>
      <c r="DP59" s="60">
        <v>-0.38500000000000001</v>
      </c>
      <c r="DQ59" s="60">
        <v>-0.38500000000000001</v>
      </c>
      <c r="DR59" s="60">
        <v>-0.38500000000000001</v>
      </c>
      <c r="DS59" s="60">
        <v>-0.38500000000000001</v>
      </c>
      <c r="DT59" s="60">
        <v>-0.38500000000000001</v>
      </c>
      <c r="DU59" s="60">
        <v>-0.38500000000000001</v>
      </c>
      <c r="DV59" s="60">
        <v>-0.38500000000000001</v>
      </c>
      <c r="DW59" s="60">
        <v>-0.38500000000000001</v>
      </c>
      <c r="DX59" s="60">
        <v>-0.38500000000000001</v>
      </c>
      <c r="DY59" s="60">
        <v>-0.38500000000000001</v>
      </c>
      <c r="DZ59" s="60">
        <v>-0.38500000000000001</v>
      </c>
      <c r="EA59" s="60">
        <v>-0.38500000000000001</v>
      </c>
      <c r="EB59" s="60">
        <v>-0.38500000000000001</v>
      </c>
      <c r="EC59" s="60">
        <v>-0.38500000000000001</v>
      </c>
      <c r="ED59" s="60">
        <v>-0.38500000000000001</v>
      </c>
      <c r="EE59" s="60">
        <v>-0.38500000000000001</v>
      </c>
      <c r="EF59" s="60">
        <v>-0.38500000000000001</v>
      </c>
      <c r="EG59" s="60">
        <v>-0.38500000000000001</v>
      </c>
      <c r="EH59" s="60">
        <v>-0.38500000000000001</v>
      </c>
      <c r="EI59" s="60">
        <v>-0.38500000000000001</v>
      </c>
      <c r="EJ59" s="60">
        <v>-0.38500000000000001</v>
      </c>
      <c r="EK59" s="60">
        <v>-0.38500000000000001</v>
      </c>
      <c r="EL59" s="60">
        <v>-0.38500000000000001</v>
      </c>
      <c r="EM59" s="60">
        <v>-0.38500000000000001</v>
      </c>
      <c r="EN59" s="60">
        <v>-0.38500000000000001</v>
      </c>
      <c r="EO59" s="60">
        <v>-0.38500000000000001</v>
      </c>
      <c r="EP59" s="60">
        <v>-0.38500000000000001</v>
      </c>
      <c r="EQ59" s="60">
        <v>-0.38500000000000001</v>
      </c>
      <c r="ER59" s="60">
        <v>-0.38500000000000001</v>
      </c>
      <c r="ES59" s="60">
        <v>-0.38500000000000001</v>
      </c>
      <c r="ET59" s="60">
        <v>-0.38500000000000001</v>
      </c>
      <c r="EU59" s="60">
        <v>-0.38500000000000001</v>
      </c>
      <c r="EV59" s="60">
        <v>-0.38500000000000001</v>
      </c>
      <c r="EW59" s="60">
        <v>-0.38500000000000001</v>
      </c>
      <c r="EX59" s="60">
        <v>-0.38500000000000001</v>
      </c>
      <c r="EY59" s="60">
        <v>-0.38500000000000001</v>
      </c>
      <c r="EZ59" s="60">
        <v>-0.38500000000000001</v>
      </c>
      <c r="FA59" s="60">
        <v>-0.38500000000000001</v>
      </c>
      <c r="FB59" s="60">
        <v>-0.38500000000000001</v>
      </c>
      <c r="FC59" s="60">
        <v>-0.38500000000000001</v>
      </c>
      <c r="FD59" s="60">
        <v>-0.38500000000000001</v>
      </c>
      <c r="FE59" s="60">
        <v>-0.38500000000000001</v>
      </c>
      <c r="FF59" s="60">
        <v>-0.38500000000000001</v>
      </c>
      <c r="FG59" s="60">
        <v>-0.38500000000000001</v>
      </c>
      <c r="FH59" s="60">
        <v>-0.38500000000000001</v>
      </c>
      <c r="FI59" s="60">
        <v>-0.38500000000000001</v>
      </c>
      <c r="FJ59" s="60">
        <v>-0.38500000000000001</v>
      </c>
      <c r="FK59" s="60">
        <v>-0.38500000000000001</v>
      </c>
      <c r="FL59" s="60">
        <v>-0.38500000000000001</v>
      </c>
      <c r="FM59" s="60">
        <v>-0.38500000000000001</v>
      </c>
      <c r="FN59" s="60">
        <v>-0.38500000000000001</v>
      </c>
      <c r="FO59" s="60">
        <v>-0.38500000000000001</v>
      </c>
      <c r="FP59" s="60">
        <v>-0.38500000000000001</v>
      </c>
      <c r="FQ59" s="60">
        <v>-0.38500000000000001</v>
      </c>
      <c r="FR59" s="60">
        <v>-0.38500000000000001</v>
      </c>
      <c r="FS59" s="60">
        <v>-0.38500000000000001</v>
      </c>
      <c r="FT59" s="60">
        <v>-0.38500000000000001</v>
      </c>
      <c r="FU59" s="60">
        <v>-0.38500000000000001</v>
      </c>
      <c r="FV59" s="60">
        <v>-0.38500000000000001</v>
      </c>
      <c r="FW59" s="60">
        <v>-0.38500000000000001</v>
      </c>
      <c r="FX59" s="60">
        <v>-0.38500000000000001</v>
      </c>
      <c r="FY59" s="60">
        <v>-0.38500000000000001</v>
      </c>
      <c r="FZ59" s="60">
        <v>-0.38500000000000001</v>
      </c>
      <c r="GA59" s="60">
        <v>-0.38500000000000001</v>
      </c>
      <c r="GB59" s="60">
        <v>-0.38500000000000001</v>
      </c>
      <c r="GC59" s="60">
        <v>-0.38500000000000001</v>
      </c>
      <c r="GD59" s="60">
        <v>-0.38500000000000001</v>
      </c>
      <c r="GE59" s="60">
        <v>-0.38500000000000001</v>
      </c>
      <c r="GF59" s="60">
        <v>-0.38500000000000001</v>
      </c>
      <c r="GG59" s="60">
        <v>-0.38500000000000001</v>
      </c>
      <c r="GH59" s="60">
        <v>-0.38500000000000001</v>
      </c>
      <c r="GI59" s="60">
        <v>-0.38500000000000001</v>
      </c>
      <c r="GJ59" s="60">
        <v>-0.38500000000000001</v>
      </c>
      <c r="GK59" s="60">
        <v>-0.38500000000000001</v>
      </c>
      <c r="GL59" s="60">
        <v>-0.38500000000000001</v>
      </c>
      <c r="GM59" s="60">
        <v>-0.38500000000000001</v>
      </c>
      <c r="GN59" s="60">
        <v>-0.38500000000000001</v>
      </c>
      <c r="GO59" s="60">
        <v>-0.38500000000000001</v>
      </c>
      <c r="GP59" s="60">
        <v>-0.38500000000000001</v>
      </c>
      <c r="GQ59" s="60">
        <v>-0.38500000000000001</v>
      </c>
      <c r="GR59" s="60">
        <v>-0.38500000000000001</v>
      </c>
      <c r="GS59" s="60">
        <v>-0.38500000000000001</v>
      </c>
      <c r="GT59" s="60">
        <v>-0.38500000000000001</v>
      </c>
      <c r="GU59" s="60">
        <v>-0.38500000000000001</v>
      </c>
      <c r="GV59" s="60">
        <v>-0.38500000000000001</v>
      </c>
      <c r="GW59" s="60">
        <v>-0.38500000000000001</v>
      </c>
      <c r="GX59" s="60">
        <v>-0.38500000000000001</v>
      </c>
      <c r="GY59" s="60">
        <v>-0.38500000000000001</v>
      </c>
      <c r="GZ59" s="60">
        <v>-0.38500000000000001</v>
      </c>
      <c r="HA59" s="60">
        <v>-0.38500000000000001</v>
      </c>
      <c r="HB59" s="60">
        <v>-0.38500000000000001</v>
      </c>
      <c r="HC59" s="60">
        <v>-0.38500000000000001</v>
      </c>
      <c r="HD59" s="60">
        <v>-0.38500000000000001</v>
      </c>
      <c r="HE59" s="60">
        <v>-0.38500000000000001</v>
      </c>
      <c r="HF59" s="60">
        <v>-0.38500000000000001</v>
      </c>
      <c r="HG59" s="60">
        <v>-0.38500000000000001</v>
      </c>
      <c r="HH59" s="60">
        <v>-0.38500000000000001</v>
      </c>
      <c r="HI59" s="60">
        <v>-0.38500000000000001</v>
      </c>
      <c r="HJ59" s="60">
        <v>-0.38500000000000001</v>
      </c>
      <c r="HK59" s="60">
        <v>-0.38500000000000001</v>
      </c>
      <c r="HL59" s="60">
        <v>-0.38500000000000001</v>
      </c>
      <c r="HM59" s="60">
        <v>-0.38500000000000001</v>
      </c>
      <c r="HN59" s="60">
        <v>-0.38500000000000001</v>
      </c>
      <c r="HO59" s="60">
        <v>-0.38500000000000001</v>
      </c>
      <c r="HP59" s="60">
        <v>-0.38500000000000001</v>
      </c>
      <c r="HQ59" s="60">
        <v>-0.38500000000000001</v>
      </c>
      <c r="HR59" s="60">
        <v>-0.38500000000000001</v>
      </c>
      <c r="HS59" s="60">
        <v>-0.38500000000000001</v>
      </c>
      <c r="HT59" s="60">
        <v>-0.38500000000000001</v>
      </c>
      <c r="HU59" s="60">
        <v>-0.38500000000000001</v>
      </c>
      <c r="HV59" s="60">
        <v>-0.38500000000000001</v>
      </c>
      <c r="HW59" s="60">
        <v>-0.38500000000000001</v>
      </c>
      <c r="HX59" s="60">
        <v>-0.38500000000000001</v>
      </c>
      <c r="HY59" s="60">
        <v>-0.38500000000000001</v>
      </c>
      <c r="HZ59" s="60">
        <v>-0.38500000000000001</v>
      </c>
      <c r="IA59" s="60">
        <v>-0.38500000000000001</v>
      </c>
      <c r="IB59" s="60">
        <v>-0.38500000000000001</v>
      </c>
      <c r="IC59" s="60">
        <v>-0.38500000000000001</v>
      </c>
      <c r="ID59" s="60">
        <v>-0.38500000000000001</v>
      </c>
      <c r="IE59" s="60">
        <v>-0.38500000000000001</v>
      </c>
      <c r="IF59" s="60">
        <v>-0.38500000000000001</v>
      </c>
      <c r="IG59" s="60">
        <v>-0.38500000000000001</v>
      </c>
      <c r="IH59" s="60">
        <v>-0.38500000000000001</v>
      </c>
      <c r="II59" s="60">
        <v>-0.38500000000000001</v>
      </c>
      <c r="IJ59" s="60">
        <v>-0.38500000000000001</v>
      </c>
      <c r="IK59" s="60">
        <v>-0.38500000000000001</v>
      </c>
      <c r="IL59" s="60">
        <v>-0.38500000000000001</v>
      </c>
      <c r="IM59" s="60">
        <v>-0.38500000000000001</v>
      </c>
      <c r="IN59" s="60">
        <v>-0.38500000000000001</v>
      </c>
      <c r="IO59" s="60">
        <v>-0.38500000000000001</v>
      </c>
      <c r="IP59" s="60">
        <v>-0.38500000000000001</v>
      </c>
      <c r="IQ59" s="60">
        <v>-0.38500000000000001</v>
      </c>
      <c r="IR59" s="60">
        <v>-0.38500000000000001</v>
      </c>
      <c r="IS59" s="60">
        <v>-0.38500000000000001</v>
      </c>
      <c r="IT59" s="60">
        <v>-0.38500000000000001</v>
      </c>
      <c r="IU59" s="60">
        <v>-0.38500000000000001</v>
      </c>
      <c r="IV59" s="60">
        <v>-0.38500000000000001</v>
      </c>
      <c r="IW59" s="60">
        <v>-0.38500000000000001</v>
      </c>
      <c r="IX59" s="60">
        <v>-0.38500000000000001</v>
      </c>
      <c r="IY59" s="60">
        <v>-0.38500000000000001</v>
      </c>
      <c r="IZ59" s="60">
        <v>-0.38500000000000001</v>
      </c>
      <c r="JA59" s="60">
        <v>-0.38500000000000001</v>
      </c>
      <c r="JB59" s="60">
        <v>-0.38500000000000001</v>
      </c>
      <c r="JC59" s="60">
        <v>-0.38500000000000001</v>
      </c>
      <c r="JD59" s="60">
        <v>-0.38500000000000001</v>
      </c>
      <c r="JE59" s="60">
        <v>-0.38500000000000001</v>
      </c>
      <c r="JF59" s="60">
        <v>-0.38500000000000001</v>
      </c>
      <c r="JG59" s="60">
        <v>-0.38500000000000001</v>
      </c>
      <c r="JH59" s="60">
        <v>-0.38500000000000001</v>
      </c>
      <c r="JI59" s="60">
        <v>-0.38500000000000001</v>
      </c>
      <c r="JJ59" s="60">
        <v>-0.38500000000000001</v>
      </c>
      <c r="JK59" s="60">
        <v>-0.38500000000000001</v>
      </c>
      <c r="JL59" s="60">
        <v>-0.38500000000000001</v>
      </c>
      <c r="JM59" s="60">
        <v>-0.38500000000000001</v>
      </c>
      <c r="JN59" s="60">
        <v>-0.38500000000000001</v>
      </c>
      <c r="JO59" s="60">
        <v>-0.38500000000000001</v>
      </c>
      <c r="JP59" s="60">
        <v>-0.38500000000000001</v>
      </c>
      <c r="JQ59" s="60">
        <v>-0.38500000000000001</v>
      </c>
      <c r="JR59" s="60">
        <v>-0.38500000000000001</v>
      </c>
      <c r="JS59" s="60">
        <v>-0.38500000000000001</v>
      </c>
      <c r="JT59" s="60">
        <v>-0.38500000000000001</v>
      </c>
      <c r="JU59" s="60">
        <v>-0.38500000000000001</v>
      </c>
      <c r="JV59" s="60">
        <v>-0.38500000000000001</v>
      </c>
      <c r="JW59" s="60">
        <v>-0.38500000000000001</v>
      </c>
      <c r="JX59" s="60">
        <v>-0.38500000000000001</v>
      </c>
      <c r="JY59" s="60">
        <v>-0.38500000000000001</v>
      </c>
      <c r="JZ59" s="60">
        <v>-0.38500000000000001</v>
      </c>
      <c r="KA59" s="60">
        <v>-0.38500000000000001</v>
      </c>
      <c r="KB59" s="60">
        <v>-0.38500000000000001</v>
      </c>
      <c r="KC59" s="60">
        <v>-0.38500000000000001</v>
      </c>
      <c r="KD59" s="60">
        <v>-0.38500000000000001</v>
      </c>
      <c r="KE59" s="60">
        <v>-0.38500000000000001</v>
      </c>
      <c r="KF59" s="60">
        <v>-0.38500000000000001</v>
      </c>
    </row>
    <row r="60" spans="4:292" outlineLevel="1" x14ac:dyDescent="0.35">
      <c r="E60" s="13" t="s">
        <v>166</v>
      </c>
      <c r="J60" s="15" t="s">
        <v>33</v>
      </c>
      <c r="K60" s="60">
        <v>-0.28000000000000003</v>
      </c>
      <c r="L60" s="60">
        <v>-0.28000000000000003</v>
      </c>
      <c r="M60" s="60">
        <v>-0.28000000000000003</v>
      </c>
      <c r="N60" s="60">
        <v>-0.28000000000000003</v>
      </c>
      <c r="O60" s="60">
        <v>-0.28000000000000003</v>
      </c>
      <c r="P60" s="60">
        <v>-0.28000000000000003</v>
      </c>
      <c r="Q60" s="60">
        <v>-0.28000000000000003</v>
      </c>
      <c r="R60" s="60">
        <v>-0.28000000000000003</v>
      </c>
      <c r="S60" s="60">
        <v>-0.28000000000000003</v>
      </c>
      <c r="T60" s="60">
        <v>-0.28000000000000003</v>
      </c>
      <c r="U60" s="60">
        <v>-0.28000000000000003</v>
      </c>
      <c r="V60" s="60">
        <v>-0.28000000000000003</v>
      </c>
      <c r="W60" s="60">
        <v>-0.28000000000000003</v>
      </c>
      <c r="X60" s="60">
        <v>-0.28000000000000003</v>
      </c>
      <c r="Y60" s="60">
        <v>-0.28000000000000003</v>
      </c>
      <c r="Z60" s="60">
        <v>-0.28000000000000003</v>
      </c>
      <c r="AA60" s="60">
        <v>-0.28000000000000003</v>
      </c>
      <c r="AB60" s="60">
        <v>-0.28000000000000003</v>
      </c>
      <c r="AC60" s="60">
        <v>-0.28000000000000003</v>
      </c>
      <c r="AD60" s="60">
        <v>-0.28000000000000003</v>
      </c>
      <c r="AE60" s="60">
        <v>-0.28000000000000003</v>
      </c>
      <c r="AF60" s="60">
        <v>-0.28000000000000003</v>
      </c>
      <c r="AG60" s="60">
        <v>-0.28000000000000003</v>
      </c>
      <c r="AH60" s="60">
        <v>-0.28000000000000003</v>
      </c>
      <c r="AI60" s="60">
        <v>-0.28000000000000003</v>
      </c>
      <c r="AJ60" s="60">
        <v>-0.28000000000000003</v>
      </c>
      <c r="AK60" s="60">
        <v>-0.28000000000000003</v>
      </c>
      <c r="AL60" s="60">
        <v>-0.28000000000000003</v>
      </c>
      <c r="AM60" s="60">
        <v>-0.28000000000000003</v>
      </c>
      <c r="AN60" s="60">
        <v>-0.28000000000000003</v>
      </c>
      <c r="AO60" s="60">
        <v>-0.28000000000000003</v>
      </c>
      <c r="AP60" s="60">
        <v>-0.28000000000000003</v>
      </c>
      <c r="AQ60" s="60">
        <v>-0.28000000000000003</v>
      </c>
      <c r="AR60" s="60">
        <v>-0.28000000000000003</v>
      </c>
      <c r="AS60" s="60">
        <v>-0.28000000000000003</v>
      </c>
      <c r="AT60" s="60">
        <v>-0.28000000000000003</v>
      </c>
      <c r="AU60" s="60">
        <v>-0.28000000000000003</v>
      </c>
      <c r="AV60" s="60">
        <v>-0.28000000000000003</v>
      </c>
      <c r="AW60" s="60">
        <v>-0.28000000000000003</v>
      </c>
      <c r="AX60" s="60">
        <v>-0.28000000000000003</v>
      </c>
      <c r="AY60" s="60">
        <v>-0.28000000000000003</v>
      </c>
      <c r="AZ60" s="60">
        <v>-0.28000000000000003</v>
      </c>
      <c r="BA60" s="60">
        <v>-0.28000000000000003</v>
      </c>
      <c r="BB60" s="60">
        <v>-0.28000000000000003</v>
      </c>
      <c r="BC60" s="60">
        <v>-0.28000000000000003</v>
      </c>
      <c r="BD60" s="60">
        <v>-0.28000000000000003</v>
      </c>
      <c r="BE60" s="60">
        <v>-0.28000000000000003</v>
      </c>
      <c r="BF60" s="60">
        <v>-0.28000000000000003</v>
      </c>
      <c r="BG60" s="60">
        <v>-0.28000000000000003</v>
      </c>
      <c r="BH60" s="60">
        <v>-0.28000000000000003</v>
      </c>
      <c r="BI60" s="60">
        <v>-0.28000000000000003</v>
      </c>
      <c r="BJ60" s="60">
        <v>-0.28000000000000003</v>
      </c>
      <c r="BK60" s="60">
        <v>-0.28000000000000003</v>
      </c>
      <c r="BL60" s="60">
        <v>-0.28000000000000003</v>
      </c>
      <c r="BM60" s="60">
        <v>-0.28000000000000003</v>
      </c>
      <c r="BN60" s="60">
        <v>-0.28000000000000003</v>
      </c>
      <c r="BO60" s="60">
        <v>-0.28000000000000003</v>
      </c>
      <c r="BP60" s="60">
        <v>-0.28000000000000003</v>
      </c>
      <c r="BQ60" s="60">
        <v>-0.28000000000000003</v>
      </c>
      <c r="BR60" s="60">
        <v>-0.28000000000000003</v>
      </c>
      <c r="BS60" s="60">
        <v>-0.28000000000000003</v>
      </c>
      <c r="BT60" s="60">
        <v>-0.28000000000000003</v>
      </c>
      <c r="BU60" s="60">
        <v>-0.28000000000000003</v>
      </c>
      <c r="BV60" s="60">
        <v>-0.28000000000000003</v>
      </c>
      <c r="BW60" s="60">
        <v>-0.28000000000000003</v>
      </c>
      <c r="BX60" s="60">
        <v>-0.28000000000000003</v>
      </c>
      <c r="BY60" s="60">
        <v>-0.28000000000000003</v>
      </c>
      <c r="BZ60" s="60">
        <v>-0.28000000000000003</v>
      </c>
      <c r="CA60" s="60">
        <v>-0.28000000000000003</v>
      </c>
      <c r="CB60" s="60">
        <v>-0.28000000000000003</v>
      </c>
      <c r="CC60" s="60">
        <v>-0.28000000000000003</v>
      </c>
      <c r="CD60" s="60">
        <v>-0.28000000000000003</v>
      </c>
      <c r="CE60" s="60">
        <v>-0.28000000000000003</v>
      </c>
      <c r="CF60" s="60">
        <v>-0.28000000000000003</v>
      </c>
      <c r="CG60" s="60">
        <v>-0.28000000000000003</v>
      </c>
      <c r="CH60" s="60">
        <v>-0.28000000000000003</v>
      </c>
      <c r="CI60" s="60">
        <v>-0.28000000000000003</v>
      </c>
      <c r="CJ60" s="60">
        <v>-0.28000000000000003</v>
      </c>
      <c r="CK60" s="60">
        <v>-0.28000000000000003</v>
      </c>
      <c r="CL60" s="60">
        <v>-0.28000000000000003</v>
      </c>
      <c r="CM60" s="60">
        <v>-0.28000000000000003</v>
      </c>
      <c r="CN60" s="60">
        <v>-0.28000000000000003</v>
      </c>
      <c r="CO60" s="60">
        <v>-0.28000000000000003</v>
      </c>
      <c r="CP60" s="60">
        <v>-0.28000000000000003</v>
      </c>
      <c r="CQ60" s="60">
        <v>-0.28000000000000003</v>
      </c>
      <c r="CR60" s="60">
        <v>-0.28000000000000003</v>
      </c>
      <c r="CS60" s="60">
        <v>-0.28000000000000003</v>
      </c>
      <c r="CT60" s="60">
        <v>-0.28000000000000003</v>
      </c>
      <c r="CU60" s="60">
        <v>-0.28000000000000003</v>
      </c>
      <c r="CV60" s="60">
        <v>-0.28000000000000003</v>
      </c>
      <c r="CW60" s="60">
        <v>-0.28000000000000003</v>
      </c>
      <c r="CX60" s="60">
        <v>-0.28000000000000003</v>
      </c>
      <c r="CY60" s="60">
        <v>-0.28000000000000003</v>
      </c>
      <c r="CZ60" s="60">
        <v>-0.28000000000000003</v>
      </c>
      <c r="DA60" s="60">
        <v>-0.28000000000000003</v>
      </c>
      <c r="DB60" s="60">
        <v>-0.28000000000000003</v>
      </c>
      <c r="DC60" s="60">
        <v>-0.28000000000000003</v>
      </c>
      <c r="DD60" s="60">
        <v>-0.28000000000000003</v>
      </c>
      <c r="DE60" s="60">
        <v>-0.28000000000000003</v>
      </c>
      <c r="DF60" s="60">
        <v>-0.28000000000000003</v>
      </c>
      <c r="DG60" s="60">
        <v>-0.28000000000000003</v>
      </c>
      <c r="DH60" s="60">
        <v>-0.28000000000000003</v>
      </c>
      <c r="DI60" s="60">
        <v>-0.28000000000000003</v>
      </c>
      <c r="DJ60" s="60">
        <v>-0.28000000000000003</v>
      </c>
      <c r="DK60" s="60">
        <v>-0.28000000000000003</v>
      </c>
      <c r="DL60" s="60">
        <v>-0.28000000000000003</v>
      </c>
      <c r="DM60" s="60">
        <v>-0.28000000000000003</v>
      </c>
      <c r="DN60" s="60">
        <v>-0.28000000000000003</v>
      </c>
      <c r="DO60" s="60">
        <v>-0.28000000000000003</v>
      </c>
      <c r="DP60" s="60">
        <v>-0.28000000000000003</v>
      </c>
      <c r="DQ60" s="60">
        <v>-0.28000000000000003</v>
      </c>
      <c r="DR60" s="60">
        <v>-0.28000000000000003</v>
      </c>
      <c r="DS60" s="60">
        <v>-0.28000000000000003</v>
      </c>
      <c r="DT60" s="60">
        <v>-0.28000000000000003</v>
      </c>
      <c r="DU60" s="60">
        <v>-0.28000000000000003</v>
      </c>
      <c r="DV60" s="60">
        <v>-0.28000000000000003</v>
      </c>
      <c r="DW60" s="60">
        <v>-0.28000000000000003</v>
      </c>
      <c r="DX60" s="60">
        <v>-0.28000000000000003</v>
      </c>
      <c r="DY60" s="60">
        <v>-0.28000000000000003</v>
      </c>
      <c r="DZ60" s="60">
        <v>-0.28000000000000003</v>
      </c>
      <c r="EA60" s="60">
        <v>-0.28000000000000003</v>
      </c>
      <c r="EB60" s="60">
        <v>-0.28000000000000003</v>
      </c>
      <c r="EC60" s="60">
        <v>-0.28000000000000003</v>
      </c>
      <c r="ED60" s="60">
        <v>-0.28000000000000003</v>
      </c>
      <c r="EE60" s="60">
        <v>-0.28000000000000003</v>
      </c>
      <c r="EF60" s="60">
        <v>-0.28000000000000003</v>
      </c>
      <c r="EG60" s="60">
        <v>-0.28000000000000003</v>
      </c>
      <c r="EH60" s="60">
        <v>-0.28000000000000003</v>
      </c>
      <c r="EI60" s="60">
        <v>-0.28000000000000003</v>
      </c>
      <c r="EJ60" s="60">
        <v>-0.28000000000000003</v>
      </c>
      <c r="EK60" s="60">
        <v>-0.28000000000000003</v>
      </c>
      <c r="EL60" s="60">
        <v>-0.28000000000000003</v>
      </c>
      <c r="EM60" s="60">
        <v>-0.28000000000000003</v>
      </c>
      <c r="EN60" s="60">
        <v>-0.28000000000000003</v>
      </c>
      <c r="EO60" s="60">
        <v>-0.28000000000000003</v>
      </c>
      <c r="EP60" s="60">
        <v>-0.28000000000000003</v>
      </c>
      <c r="EQ60" s="60">
        <v>-0.28000000000000003</v>
      </c>
      <c r="ER60" s="60">
        <v>-0.28000000000000003</v>
      </c>
      <c r="ES60" s="60">
        <v>-0.28000000000000003</v>
      </c>
      <c r="ET60" s="60">
        <v>-0.28000000000000003</v>
      </c>
      <c r="EU60" s="60">
        <v>-0.28000000000000003</v>
      </c>
      <c r="EV60" s="60">
        <v>-0.28000000000000003</v>
      </c>
      <c r="EW60" s="60">
        <v>-0.28000000000000003</v>
      </c>
      <c r="EX60" s="60">
        <v>-0.28000000000000003</v>
      </c>
      <c r="EY60" s="60">
        <v>-0.28000000000000003</v>
      </c>
      <c r="EZ60" s="60">
        <v>-0.28000000000000003</v>
      </c>
      <c r="FA60" s="60">
        <v>-0.28000000000000003</v>
      </c>
      <c r="FB60" s="60">
        <v>-0.28000000000000003</v>
      </c>
      <c r="FC60" s="60">
        <v>-0.28000000000000003</v>
      </c>
      <c r="FD60" s="60">
        <v>-0.28000000000000003</v>
      </c>
      <c r="FE60" s="60">
        <v>-0.28000000000000003</v>
      </c>
      <c r="FF60" s="60">
        <v>-0.28000000000000003</v>
      </c>
      <c r="FG60" s="60">
        <v>-0.28000000000000003</v>
      </c>
      <c r="FH60" s="60">
        <v>-0.28000000000000003</v>
      </c>
      <c r="FI60" s="60">
        <v>-0.28000000000000003</v>
      </c>
      <c r="FJ60" s="60">
        <v>-0.28000000000000003</v>
      </c>
      <c r="FK60" s="60">
        <v>-0.28000000000000003</v>
      </c>
      <c r="FL60" s="60">
        <v>-0.28000000000000003</v>
      </c>
      <c r="FM60" s="60">
        <v>-0.28000000000000003</v>
      </c>
      <c r="FN60" s="60">
        <v>-0.28000000000000003</v>
      </c>
      <c r="FO60" s="60">
        <v>-0.28000000000000003</v>
      </c>
      <c r="FP60" s="60">
        <v>-0.28000000000000003</v>
      </c>
      <c r="FQ60" s="60">
        <v>-0.28000000000000003</v>
      </c>
      <c r="FR60" s="60">
        <v>-0.28000000000000003</v>
      </c>
      <c r="FS60" s="60">
        <v>-0.28000000000000003</v>
      </c>
      <c r="FT60" s="60">
        <v>-0.28000000000000003</v>
      </c>
      <c r="FU60" s="60">
        <v>-0.28000000000000003</v>
      </c>
      <c r="FV60" s="60">
        <v>-0.28000000000000003</v>
      </c>
      <c r="FW60" s="60">
        <v>-0.28000000000000003</v>
      </c>
      <c r="FX60" s="60">
        <v>-0.28000000000000003</v>
      </c>
      <c r="FY60" s="60">
        <v>-0.28000000000000003</v>
      </c>
      <c r="FZ60" s="60">
        <v>-0.28000000000000003</v>
      </c>
      <c r="GA60" s="60">
        <v>-0.28000000000000003</v>
      </c>
      <c r="GB60" s="60">
        <v>-0.28000000000000003</v>
      </c>
      <c r="GC60" s="60">
        <v>-0.28000000000000003</v>
      </c>
      <c r="GD60" s="60">
        <v>-0.28000000000000003</v>
      </c>
      <c r="GE60" s="60">
        <v>-0.28000000000000003</v>
      </c>
      <c r="GF60" s="60">
        <v>-0.28000000000000003</v>
      </c>
      <c r="GG60" s="60">
        <v>-0.28000000000000003</v>
      </c>
      <c r="GH60" s="60">
        <v>-0.28000000000000003</v>
      </c>
      <c r="GI60" s="60">
        <v>-0.28000000000000003</v>
      </c>
      <c r="GJ60" s="60">
        <v>-0.28000000000000003</v>
      </c>
      <c r="GK60" s="60">
        <v>-0.28000000000000003</v>
      </c>
      <c r="GL60" s="60">
        <v>-0.28000000000000003</v>
      </c>
      <c r="GM60" s="60">
        <v>-0.28000000000000003</v>
      </c>
      <c r="GN60" s="60">
        <v>-0.28000000000000003</v>
      </c>
      <c r="GO60" s="60">
        <v>-0.28000000000000003</v>
      </c>
      <c r="GP60" s="60">
        <v>-0.28000000000000003</v>
      </c>
      <c r="GQ60" s="60">
        <v>-0.28000000000000003</v>
      </c>
      <c r="GR60" s="60">
        <v>-0.28000000000000003</v>
      </c>
      <c r="GS60" s="60">
        <v>-0.28000000000000003</v>
      </c>
      <c r="GT60" s="60">
        <v>-0.28000000000000003</v>
      </c>
      <c r="GU60" s="60">
        <v>-0.28000000000000003</v>
      </c>
      <c r="GV60" s="60">
        <v>-0.28000000000000003</v>
      </c>
      <c r="GW60" s="60">
        <v>-0.28000000000000003</v>
      </c>
      <c r="GX60" s="60">
        <v>-0.28000000000000003</v>
      </c>
      <c r="GY60" s="60">
        <v>-0.28000000000000003</v>
      </c>
      <c r="GZ60" s="60">
        <v>-0.28000000000000003</v>
      </c>
      <c r="HA60" s="60">
        <v>-0.28000000000000003</v>
      </c>
      <c r="HB60" s="60">
        <v>-0.28000000000000003</v>
      </c>
      <c r="HC60" s="60">
        <v>-0.28000000000000003</v>
      </c>
      <c r="HD60" s="60">
        <v>-0.28000000000000003</v>
      </c>
      <c r="HE60" s="60">
        <v>-0.28000000000000003</v>
      </c>
      <c r="HF60" s="60">
        <v>-0.28000000000000003</v>
      </c>
      <c r="HG60" s="60">
        <v>-0.28000000000000003</v>
      </c>
      <c r="HH60" s="60">
        <v>-0.28000000000000003</v>
      </c>
      <c r="HI60" s="60">
        <v>-0.28000000000000003</v>
      </c>
      <c r="HJ60" s="60">
        <v>-0.28000000000000003</v>
      </c>
      <c r="HK60" s="60">
        <v>-0.28000000000000003</v>
      </c>
      <c r="HL60" s="60">
        <v>-0.28000000000000003</v>
      </c>
      <c r="HM60" s="60">
        <v>-0.28000000000000003</v>
      </c>
      <c r="HN60" s="60">
        <v>-0.28000000000000003</v>
      </c>
      <c r="HO60" s="60">
        <v>-0.28000000000000003</v>
      </c>
      <c r="HP60" s="60">
        <v>-0.28000000000000003</v>
      </c>
      <c r="HQ60" s="60">
        <v>-0.28000000000000003</v>
      </c>
      <c r="HR60" s="60">
        <v>-0.28000000000000003</v>
      </c>
      <c r="HS60" s="60">
        <v>-0.28000000000000003</v>
      </c>
      <c r="HT60" s="60">
        <v>-0.28000000000000003</v>
      </c>
      <c r="HU60" s="60">
        <v>-0.28000000000000003</v>
      </c>
      <c r="HV60" s="60">
        <v>-0.28000000000000003</v>
      </c>
      <c r="HW60" s="60">
        <v>-0.28000000000000003</v>
      </c>
      <c r="HX60" s="60">
        <v>-0.28000000000000003</v>
      </c>
      <c r="HY60" s="60">
        <v>-0.28000000000000003</v>
      </c>
      <c r="HZ60" s="60">
        <v>-0.28000000000000003</v>
      </c>
      <c r="IA60" s="60">
        <v>-0.28000000000000003</v>
      </c>
      <c r="IB60" s="60">
        <v>-0.28000000000000003</v>
      </c>
      <c r="IC60" s="60">
        <v>-0.28000000000000003</v>
      </c>
      <c r="ID60" s="60">
        <v>-0.28000000000000003</v>
      </c>
      <c r="IE60" s="60">
        <v>-0.28000000000000003</v>
      </c>
      <c r="IF60" s="60">
        <v>-0.28000000000000003</v>
      </c>
      <c r="IG60" s="60">
        <v>-0.28000000000000003</v>
      </c>
      <c r="IH60" s="60">
        <v>-0.28000000000000003</v>
      </c>
      <c r="II60" s="60">
        <v>-0.28000000000000003</v>
      </c>
      <c r="IJ60" s="60">
        <v>-0.28000000000000003</v>
      </c>
      <c r="IK60" s="60">
        <v>-0.28000000000000003</v>
      </c>
      <c r="IL60" s="60">
        <v>-0.28000000000000003</v>
      </c>
      <c r="IM60" s="60">
        <v>-0.28000000000000003</v>
      </c>
      <c r="IN60" s="60">
        <v>-0.28000000000000003</v>
      </c>
      <c r="IO60" s="60">
        <v>-0.28000000000000003</v>
      </c>
      <c r="IP60" s="60">
        <v>-0.28000000000000003</v>
      </c>
      <c r="IQ60" s="60">
        <v>-0.28000000000000003</v>
      </c>
      <c r="IR60" s="60">
        <v>-0.28000000000000003</v>
      </c>
      <c r="IS60" s="60">
        <v>-0.28000000000000003</v>
      </c>
      <c r="IT60" s="60">
        <v>-0.28000000000000003</v>
      </c>
      <c r="IU60" s="60">
        <v>-0.28000000000000003</v>
      </c>
      <c r="IV60" s="60">
        <v>-0.28000000000000003</v>
      </c>
      <c r="IW60" s="60">
        <v>-0.28000000000000003</v>
      </c>
      <c r="IX60" s="60">
        <v>-0.28000000000000003</v>
      </c>
      <c r="IY60" s="60">
        <v>-0.28000000000000003</v>
      </c>
      <c r="IZ60" s="60">
        <v>-0.28000000000000003</v>
      </c>
      <c r="JA60" s="60">
        <v>-0.28000000000000003</v>
      </c>
      <c r="JB60" s="60">
        <v>-0.28000000000000003</v>
      </c>
      <c r="JC60" s="60">
        <v>-0.28000000000000003</v>
      </c>
      <c r="JD60" s="60">
        <v>-0.28000000000000003</v>
      </c>
      <c r="JE60" s="60">
        <v>-0.28000000000000003</v>
      </c>
      <c r="JF60" s="60">
        <v>-0.28000000000000003</v>
      </c>
      <c r="JG60" s="60">
        <v>-0.28000000000000003</v>
      </c>
      <c r="JH60" s="60">
        <v>-0.28000000000000003</v>
      </c>
      <c r="JI60" s="60">
        <v>-0.28000000000000003</v>
      </c>
      <c r="JJ60" s="60">
        <v>-0.28000000000000003</v>
      </c>
      <c r="JK60" s="60">
        <v>-0.28000000000000003</v>
      </c>
      <c r="JL60" s="60">
        <v>-0.28000000000000003</v>
      </c>
      <c r="JM60" s="60">
        <v>-0.28000000000000003</v>
      </c>
      <c r="JN60" s="60">
        <v>-0.28000000000000003</v>
      </c>
      <c r="JO60" s="60">
        <v>-0.28000000000000003</v>
      </c>
      <c r="JP60" s="60">
        <v>-0.28000000000000003</v>
      </c>
      <c r="JQ60" s="60">
        <v>-0.28000000000000003</v>
      </c>
      <c r="JR60" s="60">
        <v>-0.28000000000000003</v>
      </c>
      <c r="JS60" s="60">
        <v>-0.28000000000000003</v>
      </c>
      <c r="JT60" s="60">
        <v>-0.28000000000000003</v>
      </c>
      <c r="JU60" s="60">
        <v>-0.28000000000000003</v>
      </c>
      <c r="JV60" s="60">
        <v>-0.28000000000000003</v>
      </c>
      <c r="JW60" s="60">
        <v>-0.28000000000000003</v>
      </c>
      <c r="JX60" s="60">
        <v>-0.28000000000000003</v>
      </c>
      <c r="JY60" s="60">
        <v>-0.28000000000000003</v>
      </c>
      <c r="JZ60" s="60">
        <v>-0.28000000000000003</v>
      </c>
      <c r="KA60" s="60">
        <v>-0.28000000000000003</v>
      </c>
      <c r="KB60" s="60">
        <v>-0.28000000000000003</v>
      </c>
      <c r="KC60" s="60">
        <v>-0.28000000000000003</v>
      </c>
      <c r="KD60" s="60">
        <v>-0.28000000000000003</v>
      </c>
      <c r="KE60" s="60">
        <v>-0.28000000000000003</v>
      </c>
      <c r="KF60" s="60">
        <v>-0.28000000000000003</v>
      </c>
    </row>
    <row r="61" spans="4:292" outlineLevel="1" x14ac:dyDescent="0.35">
      <c r="E61" s="13" t="s">
        <v>166</v>
      </c>
      <c r="J61" s="15" t="s">
        <v>34</v>
      </c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60"/>
      <c r="DA61" s="60"/>
      <c r="DB61" s="60"/>
      <c r="DC61" s="60"/>
      <c r="DD61" s="60"/>
      <c r="DE61" s="60"/>
      <c r="DF61" s="60"/>
      <c r="DG61" s="60"/>
      <c r="DH61" s="60"/>
      <c r="DI61" s="60"/>
      <c r="DJ61" s="60"/>
      <c r="DK61" s="60"/>
      <c r="DL61" s="60"/>
      <c r="DM61" s="60"/>
      <c r="DN61" s="60"/>
      <c r="DO61" s="60"/>
      <c r="DP61" s="60"/>
      <c r="DQ61" s="60"/>
      <c r="DR61" s="60"/>
      <c r="DS61" s="60"/>
      <c r="DT61" s="60"/>
      <c r="DU61" s="60"/>
      <c r="DV61" s="60"/>
      <c r="DW61" s="60"/>
      <c r="DX61" s="60"/>
      <c r="DY61" s="60"/>
      <c r="DZ61" s="60"/>
      <c r="EA61" s="60"/>
      <c r="EB61" s="60"/>
      <c r="EC61" s="60"/>
      <c r="ED61" s="60"/>
      <c r="EE61" s="60"/>
      <c r="EF61" s="60"/>
      <c r="EG61" s="60"/>
      <c r="EH61" s="60"/>
      <c r="EI61" s="60"/>
      <c r="EJ61" s="60"/>
      <c r="EK61" s="60"/>
      <c r="EL61" s="60"/>
      <c r="EM61" s="60"/>
      <c r="EN61" s="60"/>
      <c r="EO61" s="60"/>
      <c r="EP61" s="60"/>
      <c r="EQ61" s="60"/>
      <c r="ER61" s="60"/>
      <c r="ES61" s="60"/>
      <c r="ET61" s="60"/>
      <c r="EU61" s="60"/>
      <c r="EV61" s="60"/>
      <c r="EW61" s="60"/>
      <c r="EX61" s="60"/>
      <c r="EY61" s="60"/>
      <c r="EZ61" s="60"/>
      <c r="FA61" s="60"/>
      <c r="FB61" s="60"/>
      <c r="FC61" s="60"/>
      <c r="FD61" s="60"/>
      <c r="FE61" s="60"/>
      <c r="FF61" s="60"/>
      <c r="FG61" s="60"/>
      <c r="FH61" s="60"/>
      <c r="FI61" s="60"/>
      <c r="FJ61" s="60"/>
      <c r="FK61" s="60"/>
      <c r="FL61" s="60"/>
      <c r="FM61" s="60"/>
      <c r="FN61" s="60"/>
      <c r="FO61" s="60"/>
      <c r="FP61" s="60"/>
      <c r="FQ61" s="60"/>
      <c r="FR61" s="60"/>
      <c r="FS61" s="60"/>
      <c r="FT61" s="60"/>
      <c r="FU61" s="60"/>
      <c r="FV61" s="60"/>
      <c r="FW61" s="60"/>
      <c r="FX61" s="60"/>
      <c r="FY61" s="60"/>
      <c r="FZ61" s="60"/>
      <c r="GA61" s="60"/>
      <c r="GB61" s="60"/>
      <c r="GC61" s="60"/>
      <c r="GD61" s="60"/>
      <c r="GE61" s="60"/>
      <c r="GF61" s="60"/>
      <c r="GG61" s="60"/>
      <c r="GH61" s="60"/>
      <c r="GI61" s="60"/>
      <c r="GJ61" s="60"/>
      <c r="GK61" s="60"/>
      <c r="GL61" s="60"/>
      <c r="GM61" s="60"/>
      <c r="GN61" s="60"/>
      <c r="GO61" s="60"/>
      <c r="GP61" s="60"/>
      <c r="GQ61" s="60"/>
      <c r="GR61" s="60"/>
      <c r="GS61" s="60"/>
      <c r="GT61" s="60"/>
      <c r="GU61" s="60"/>
      <c r="GV61" s="60"/>
      <c r="GW61" s="60"/>
      <c r="GX61" s="60"/>
      <c r="GY61" s="60"/>
      <c r="GZ61" s="60"/>
      <c r="HA61" s="60"/>
      <c r="HB61" s="60"/>
      <c r="HC61" s="60"/>
      <c r="HD61" s="60"/>
      <c r="HE61" s="60"/>
      <c r="HF61" s="60"/>
      <c r="HG61" s="60"/>
      <c r="HH61" s="60"/>
      <c r="HI61" s="60"/>
      <c r="HJ61" s="60"/>
      <c r="HK61" s="60"/>
      <c r="HL61" s="60"/>
      <c r="HM61" s="60"/>
      <c r="HN61" s="60"/>
      <c r="HO61" s="60"/>
      <c r="HP61" s="60"/>
      <c r="HQ61" s="60"/>
      <c r="HR61" s="60"/>
      <c r="HS61" s="60"/>
      <c r="HT61" s="60"/>
      <c r="HU61" s="60"/>
      <c r="HV61" s="60"/>
      <c r="HW61" s="60"/>
      <c r="HX61" s="60"/>
      <c r="HY61" s="60"/>
      <c r="HZ61" s="60"/>
      <c r="IA61" s="60"/>
      <c r="IB61" s="60"/>
      <c r="IC61" s="60"/>
      <c r="ID61" s="60"/>
      <c r="IE61" s="60"/>
      <c r="IF61" s="60"/>
      <c r="IG61" s="60"/>
      <c r="IH61" s="60"/>
      <c r="II61" s="60"/>
      <c r="IJ61" s="60"/>
      <c r="IK61" s="60"/>
      <c r="IL61" s="60"/>
      <c r="IM61" s="60"/>
      <c r="IN61" s="60"/>
      <c r="IO61" s="60"/>
      <c r="IP61" s="60"/>
      <c r="IQ61" s="60"/>
      <c r="IR61" s="60"/>
      <c r="IS61" s="60"/>
      <c r="IT61" s="60"/>
      <c r="IU61" s="60"/>
      <c r="IV61" s="60"/>
      <c r="IW61" s="60"/>
      <c r="IX61" s="60"/>
      <c r="IY61" s="60"/>
      <c r="IZ61" s="60"/>
      <c r="JA61" s="60"/>
      <c r="JB61" s="60"/>
      <c r="JC61" s="60"/>
      <c r="JD61" s="60"/>
      <c r="JE61" s="60"/>
      <c r="JF61" s="60"/>
      <c r="JG61" s="60"/>
      <c r="JH61" s="60"/>
      <c r="JI61" s="60"/>
      <c r="JJ61" s="60"/>
      <c r="JK61" s="60"/>
      <c r="JL61" s="60"/>
      <c r="JM61" s="60"/>
      <c r="JN61" s="60"/>
      <c r="JO61" s="60"/>
      <c r="JP61" s="60"/>
      <c r="JQ61" s="60"/>
      <c r="JR61" s="60"/>
      <c r="JS61" s="60"/>
      <c r="JT61" s="60"/>
      <c r="JU61" s="60"/>
      <c r="JV61" s="60"/>
      <c r="JW61" s="60"/>
      <c r="JX61" s="60"/>
      <c r="JY61" s="60"/>
      <c r="JZ61" s="60"/>
      <c r="KA61" s="60"/>
      <c r="KB61" s="60"/>
      <c r="KC61" s="60"/>
      <c r="KD61" s="60"/>
      <c r="KE61" s="60"/>
      <c r="KF61" s="60"/>
    </row>
    <row r="62" spans="4:292" outlineLevel="1" x14ac:dyDescent="0.35">
      <c r="E62" s="13" t="s">
        <v>166</v>
      </c>
      <c r="J62" s="15" t="s">
        <v>34</v>
      </c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0"/>
      <c r="CO62" s="60"/>
      <c r="CP62" s="60"/>
      <c r="CQ62" s="60"/>
      <c r="CR62" s="60"/>
      <c r="CS62" s="60"/>
      <c r="CT62" s="60"/>
      <c r="CU62" s="60"/>
      <c r="CV62" s="60"/>
      <c r="CW62" s="60"/>
      <c r="CX62" s="60"/>
      <c r="CY62" s="60"/>
      <c r="CZ62" s="60"/>
      <c r="DA62" s="60"/>
      <c r="DB62" s="60"/>
      <c r="DC62" s="60"/>
      <c r="DD62" s="60"/>
      <c r="DE62" s="60"/>
      <c r="DF62" s="60"/>
      <c r="DG62" s="60"/>
      <c r="DH62" s="60"/>
      <c r="DI62" s="60"/>
      <c r="DJ62" s="60"/>
      <c r="DK62" s="60"/>
      <c r="DL62" s="60"/>
      <c r="DM62" s="60"/>
      <c r="DN62" s="60"/>
      <c r="DO62" s="60"/>
      <c r="DP62" s="60"/>
      <c r="DQ62" s="60"/>
      <c r="DR62" s="60"/>
      <c r="DS62" s="60"/>
      <c r="DT62" s="60"/>
      <c r="DU62" s="60"/>
      <c r="DV62" s="60"/>
      <c r="DW62" s="60"/>
      <c r="DX62" s="60"/>
      <c r="DY62" s="60"/>
      <c r="DZ62" s="60"/>
      <c r="EA62" s="60"/>
      <c r="EB62" s="60"/>
      <c r="EC62" s="60"/>
      <c r="ED62" s="60"/>
      <c r="EE62" s="60"/>
      <c r="EF62" s="60"/>
      <c r="EG62" s="60"/>
      <c r="EH62" s="60"/>
      <c r="EI62" s="60"/>
      <c r="EJ62" s="60"/>
      <c r="EK62" s="60"/>
      <c r="EL62" s="60"/>
      <c r="EM62" s="60"/>
      <c r="EN62" s="60"/>
      <c r="EO62" s="60"/>
      <c r="EP62" s="60"/>
      <c r="EQ62" s="60"/>
      <c r="ER62" s="60"/>
      <c r="ES62" s="60"/>
      <c r="ET62" s="60"/>
      <c r="EU62" s="60"/>
      <c r="EV62" s="60"/>
      <c r="EW62" s="60"/>
      <c r="EX62" s="60"/>
      <c r="EY62" s="60"/>
      <c r="EZ62" s="60"/>
      <c r="FA62" s="60"/>
      <c r="FB62" s="60"/>
      <c r="FC62" s="60"/>
      <c r="FD62" s="60"/>
      <c r="FE62" s="60"/>
      <c r="FF62" s="60"/>
      <c r="FG62" s="60"/>
      <c r="FH62" s="60"/>
      <c r="FI62" s="60"/>
      <c r="FJ62" s="60"/>
      <c r="FK62" s="60"/>
      <c r="FL62" s="60"/>
      <c r="FM62" s="60"/>
      <c r="FN62" s="60"/>
      <c r="FO62" s="60"/>
      <c r="FP62" s="60"/>
      <c r="FQ62" s="60"/>
      <c r="FR62" s="60"/>
      <c r="FS62" s="60"/>
      <c r="FT62" s="60"/>
      <c r="FU62" s="60"/>
      <c r="FV62" s="60"/>
      <c r="FW62" s="60"/>
      <c r="FX62" s="60"/>
      <c r="FY62" s="60"/>
      <c r="FZ62" s="60"/>
      <c r="GA62" s="60"/>
      <c r="GB62" s="60"/>
      <c r="GC62" s="60"/>
      <c r="GD62" s="60"/>
      <c r="GE62" s="60"/>
      <c r="GF62" s="60"/>
      <c r="GG62" s="60"/>
      <c r="GH62" s="60"/>
      <c r="GI62" s="60"/>
      <c r="GJ62" s="60"/>
      <c r="GK62" s="60"/>
      <c r="GL62" s="60"/>
      <c r="GM62" s="60"/>
      <c r="GN62" s="60"/>
      <c r="GO62" s="60"/>
      <c r="GP62" s="60"/>
      <c r="GQ62" s="60"/>
      <c r="GR62" s="60"/>
      <c r="GS62" s="60"/>
      <c r="GT62" s="60"/>
      <c r="GU62" s="60"/>
      <c r="GV62" s="60"/>
      <c r="GW62" s="60"/>
      <c r="GX62" s="60"/>
      <c r="GY62" s="60"/>
      <c r="GZ62" s="60"/>
      <c r="HA62" s="60"/>
      <c r="HB62" s="60"/>
      <c r="HC62" s="60"/>
      <c r="HD62" s="60"/>
      <c r="HE62" s="60"/>
      <c r="HF62" s="60"/>
      <c r="HG62" s="60"/>
      <c r="HH62" s="60"/>
      <c r="HI62" s="60"/>
      <c r="HJ62" s="60"/>
      <c r="HK62" s="60"/>
      <c r="HL62" s="60"/>
      <c r="HM62" s="60"/>
      <c r="HN62" s="60"/>
      <c r="HO62" s="60"/>
      <c r="HP62" s="60"/>
      <c r="HQ62" s="60"/>
      <c r="HR62" s="60"/>
      <c r="HS62" s="60"/>
      <c r="HT62" s="60"/>
      <c r="HU62" s="60"/>
      <c r="HV62" s="60"/>
      <c r="HW62" s="60"/>
      <c r="HX62" s="60"/>
      <c r="HY62" s="60"/>
      <c r="HZ62" s="60"/>
      <c r="IA62" s="60"/>
      <c r="IB62" s="60"/>
      <c r="IC62" s="60"/>
      <c r="ID62" s="60"/>
      <c r="IE62" s="60"/>
      <c r="IF62" s="60"/>
      <c r="IG62" s="60"/>
      <c r="IH62" s="60"/>
      <c r="II62" s="60"/>
      <c r="IJ62" s="60"/>
      <c r="IK62" s="60"/>
      <c r="IL62" s="60"/>
      <c r="IM62" s="60"/>
      <c r="IN62" s="60"/>
      <c r="IO62" s="60"/>
      <c r="IP62" s="60"/>
      <c r="IQ62" s="60"/>
      <c r="IR62" s="60"/>
      <c r="IS62" s="60"/>
      <c r="IT62" s="60"/>
      <c r="IU62" s="60"/>
      <c r="IV62" s="60"/>
      <c r="IW62" s="60"/>
      <c r="IX62" s="60"/>
      <c r="IY62" s="60"/>
      <c r="IZ62" s="60"/>
      <c r="JA62" s="60"/>
      <c r="JB62" s="60"/>
      <c r="JC62" s="60"/>
      <c r="JD62" s="60"/>
      <c r="JE62" s="60"/>
      <c r="JF62" s="60"/>
      <c r="JG62" s="60"/>
      <c r="JH62" s="60"/>
      <c r="JI62" s="60"/>
      <c r="JJ62" s="60"/>
      <c r="JK62" s="60"/>
      <c r="JL62" s="60"/>
      <c r="JM62" s="60"/>
      <c r="JN62" s="60"/>
      <c r="JO62" s="60"/>
      <c r="JP62" s="60"/>
      <c r="JQ62" s="60"/>
      <c r="JR62" s="60"/>
      <c r="JS62" s="60"/>
      <c r="JT62" s="60"/>
      <c r="JU62" s="60"/>
      <c r="JV62" s="60"/>
      <c r="JW62" s="60"/>
      <c r="JX62" s="60"/>
      <c r="JY62" s="60"/>
      <c r="JZ62" s="60"/>
      <c r="KA62" s="60"/>
      <c r="KB62" s="60"/>
      <c r="KC62" s="60"/>
      <c r="KD62" s="60"/>
      <c r="KE62" s="60"/>
      <c r="KF62" s="60"/>
    </row>
    <row r="63" spans="4:292" outlineLevel="1" x14ac:dyDescent="0.35">
      <c r="E63" s="13" t="s">
        <v>166</v>
      </c>
      <c r="J63" s="15" t="s">
        <v>34</v>
      </c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60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0"/>
      <c r="CO63" s="60"/>
      <c r="CP63" s="60"/>
      <c r="CQ63" s="60"/>
      <c r="CR63" s="60"/>
      <c r="CS63" s="60"/>
      <c r="CT63" s="60"/>
      <c r="CU63" s="60"/>
      <c r="CV63" s="60"/>
      <c r="CW63" s="60"/>
      <c r="CX63" s="60"/>
      <c r="CY63" s="60"/>
      <c r="CZ63" s="60"/>
      <c r="DA63" s="60"/>
      <c r="DB63" s="60"/>
      <c r="DC63" s="60"/>
      <c r="DD63" s="60"/>
      <c r="DE63" s="60"/>
      <c r="DF63" s="60"/>
      <c r="DG63" s="60"/>
      <c r="DH63" s="60"/>
      <c r="DI63" s="60"/>
      <c r="DJ63" s="60"/>
      <c r="DK63" s="60"/>
      <c r="DL63" s="60"/>
      <c r="DM63" s="60"/>
      <c r="DN63" s="60"/>
      <c r="DO63" s="60"/>
      <c r="DP63" s="60"/>
      <c r="DQ63" s="60"/>
      <c r="DR63" s="60"/>
      <c r="DS63" s="60"/>
      <c r="DT63" s="60"/>
      <c r="DU63" s="60"/>
      <c r="DV63" s="60"/>
      <c r="DW63" s="60"/>
      <c r="DX63" s="60"/>
      <c r="DY63" s="60"/>
      <c r="DZ63" s="60"/>
      <c r="EA63" s="60"/>
      <c r="EB63" s="60"/>
      <c r="EC63" s="60"/>
      <c r="ED63" s="60"/>
      <c r="EE63" s="60"/>
      <c r="EF63" s="60"/>
      <c r="EG63" s="60"/>
      <c r="EH63" s="60"/>
      <c r="EI63" s="60"/>
      <c r="EJ63" s="60"/>
      <c r="EK63" s="60"/>
      <c r="EL63" s="60"/>
      <c r="EM63" s="60"/>
      <c r="EN63" s="60"/>
      <c r="EO63" s="60"/>
      <c r="EP63" s="60"/>
      <c r="EQ63" s="60"/>
      <c r="ER63" s="60"/>
      <c r="ES63" s="60"/>
      <c r="ET63" s="60"/>
      <c r="EU63" s="60"/>
      <c r="EV63" s="60"/>
      <c r="EW63" s="60"/>
      <c r="EX63" s="60"/>
      <c r="EY63" s="60"/>
      <c r="EZ63" s="60"/>
      <c r="FA63" s="60"/>
      <c r="FB63" s="60"/>
      <c r="FC63" s="60"/>
      <c r="FD63" s="60"/>
      <c r="FE63" s="60"/>
      <c r="FF63" s="60"/>
      <c r="FG63" s="60"/>
      <c r="FH63" s="60"/>
      <c r="FI63" s="60"/>
      <c r="FJ63" s="60"/>
      <c r="FK63" s="60"/>
      <c r="FL63" s="60"/>
      <c r="FM63" s="60"/>
      <c r="FN63" s="60"/>
      <c r="FO63" s="60"/>
      <c r="FP63" s="60"/>
      <c r="FQ63" s="60"/>
      <c r="FR63" s="60"/>
      <c r="FS63" s="60"/>
      <c r="FT63" s="60"/>
      <c r="FU63" s="60"/>
      <c r="FV63" s="60"/>
      <c r="FW63" s="60"/>
      <c r="FX63" s="60"/>
      <c r="FY63" s="60"/>
      <c r="FZ63" s="60"/>
      <c r="GA63" s="60"/>
      <c r="GB63" s="60"/>
      <c r="GC63" s="60"/>
      <c r="GD63" s="60"/>
      <c r="GE63" s="60"/>
      <c r="GF63" s="60"/>
      <c r="GG63" s="60"/>
      <c r="GH63" s="60"/>
      <c r="GI63" s="60"/>
      <c r="GJ63" s="60"/>
      <c r="GK63" s="60"/>
      <c r="GL63" s="60"/>
      <c r="GM63" s="60"/>
      <c r="GN63" s="60"/>
      <c r="GO63" s="60"/>
      <c r="GP63" s="60"/>
      <c r="GQ63" s="60"/>
      <c r="GR63" s="60"/>
      <c r="GS63" s="60"/>
      <c r="GT63" s="60"/>
      <c r="GU63" s="60"/>
      <c r="GV63" s="60"/>
      <c r="GW63" s="60"/>
      <c r="GX63" s="60"/>
      <c r="GY63" s="60"/>
      <c r="GZ63" s="60"/>
      <c r="HA63" s="60"/>
      <c r="HB63" s="60"/>
      <c r="HC63" s="60"/>
      <c r="HD63" s="60"/>
      <c r="HE63" s="60"/>
      <c r="HF63" s="60"/>
      <c r="HG63" s="60"/>
      <c r="HH63" s="60"/>
      <c r="HI63" s="60"/>
      <c r="HJ63" s="60"/>
      <c r="HK63" s="60"/>
      <c r="HL63" s="60"/>
      <c r="HM63" s="60"/>
      <c r="HN63" s="60"/>
      <c r="HO63" s="60"/>
      <c r="HP63" s="60"/>
      <c r="HQ63" s="60"/>
      <c r="HR63" s="60"/>
      <c r="HS63" s="60"/>
      <c r="HT63" s="60"/>
      <c r="HU63" s="60"/>
      <c r="HV63" s="60"/>
      <c r="HW63" s="60"/>
      <c r="HX63" s="60"/>
      <c r="HY63" s="60"/>
      <c r="HZ63" s="60"/>
      <c r="IA63" s="60"/>
      <c r="IB63" s="60"/>
      <c r="IC63" s="60"/>
      <c r="ID63" s="60"/>
      <c r="IE63" s="60"/>
      <c r="IF63" s="60"/>
      <c r="IG63" s="60"/>
      <c r="IH63" s="60"/>
      <c r="II63" s="60"/>
      <c r="IJ63" s="60"/>
      <c r="IK63" s="60"/>
      <c r="IL63" s="60"/>
      <c r="IM63" s="60"/>
      <c r="IN63" s="60"/>
      <c r="IO63" s="60"/>
      <c r="IP63" s="60"/>
      <c r="IQ63" s="60"/>
      <c r="IR63" s="60"/>
      <c r="IS63" s="60"/>
      <c r="IT63" s="60"/>
      <c r="IU63" s="60"/>
      <c r="IV63" s="60"/>
      <c r="IW63" s="60"/>
      <c r="IX63" s="60"/>
      <c r="IY63" s="60"/>
      <c r="IZ63" s="60"/>
      <c r="JA63" s="60"/>
      <c r="JB63" s="60"/>
      <c r="JC63" s="60"/>
      <c r="JD63" s="60"/>
      <c r="JE63" s="60"/>
      <c r="JF63" s="60"/>
      <c r="JG63" s="60"/>
      <c r="JH63" s="60"/>
      <c r="JI63" s="60"/>
      <c r="JJ63" s="60"/>
      <c r="JK63" s="60"/>
      <c r="JL63" s="60"/>
      <c r="JM63" s="60"/>
      <c r="JN63" s="60"/>
      <c r="JO63" s="60"/>
      <c r="JP63" s="60"/>
      <c r="JQ63" s="60"/>
      <c r="JR63" s="60"/>
      <c r="JS63" s="60"/>
      <c r="JT63" s="60"/>
      <c r="JU63" s="60"/>
      <c r="JV63" s="60"/>
      <c r="JW63" s="60"/>
      <c r="JX63" s="60"/>
      <c r="JY63" s="60"/>
      <c r="JZ63" s="60"/>
      <c r="KA63" s="60"/>
      <c r="KB63" s="60"/>
      <c r="KC63" s="60"/>
      <c r="KD63" s="60"/>
      <c r="KE63" s="60"/>
      <c r="KF63" s="60"/>
    </row>
    <row r="64" spans="4:292" outlineLevel="1" x14ac:dyDescent="0.35">
      <c r="E64" s="13" t="s">
        <v>166</v>
      </c>
      <c r="J64" s="15" t="s">
        <v>34</v>
      </c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0"/>
      <c r="BU64" s="60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0"/>
      <c r="CO64" s="60"/>
      <c r="CP64" s="60"/>
      <c r="CQ64" s="60"/>
      <c r="CR64" s="60"/>
      <c r="CS64" s="60"/>
      <c r="CT64" s="60"/>
      <c r="CU64" s="60"/>
      <c r="CV64" s="60"/>
      <c r="CW64" s="60"/>
      <c r="CX64" s="60"/>
      <c r="CY64" s="60"/>
      <c r="CZ64" s="60"/>
      <c r="DA64" s="60"/>
      <c r="DB64" s="60"/>
      <c r="DC64" s="60"/>
      <c r="DD64" s="60"/>
      <c r="DE64" s="60"/>
      <c r="DF64" s="60"/>
      <c r="DG64" s="60"/>
      <c r="DH64" s="60"/>
      <c r="DI64" s="60"/>
      <c r="DJ64" s="60"/>
      <c r="DK64" s="60"/>
      <c r="DL64" s="60"/>
      <c r="DM64" s="60"/>
      <c r="DN64" s="60"/>
      <c r="DO64" s="60"/>
      <c r="DP64" s="60"/>
      <c r="DQ64" s="60"/>
      <c r="DR64" s="60"/>
      <c r="DS64" s="60"/>
      <c r="DT64" s="60"/>
      <c r="DU64" s="60"/>
      <c r="DV64" s="60"/>
      <c r="DW64" s="60"/>
      <c r="DX64" s="60"/>
      <c r="DY64" s="60"/>
      <c r="DZ64" s="60"/>
      <c r="EA64" s="60"/>
      <c r="EB64" s="60"/>
      <c r="EC64" s="60"/>
      <c r="ED64" s="60"/>
      <c r="EE64" s="60"/>
      <c r="EF64" s="60"/>
      <c r="EG64" s="60"/>
      <c r="EH64" s="60"/>
      <c r="EI64" s="60"/>
      <c r="EJ64" s="60"/>
      <c r="EK64" s="60"/>
      <c r="EL64" s="60"/>
      <c r="EM64" s="60"/>
      <c r="EN64" s="60"/>
      <c r="EO64" s="60"/>
      <c r="EP64" s="60"/>
      <c r="EQ64" s="60"/>
      <c r="ER64" s="60"/>
      <c r="ES64" s="60"/>
      <c r="ET64" s="60"/>
      <c r="EU64" s="60"/>
      <c r="EV64" s="60"/>
      <c r="EW64" s="60"/>
      <c r="EX64" s="60"/>
      <c r="EY64" s="60"/>
      <c r="EZ64" s="60"/>
      <c r="FA64" s="60"/>
      <c r="FB64" s="60"/>
      <c r="FC64" s="60"/>
      <c r="FD64" s="60"/>
      <c r="FE64" s="60"/>
      <c r="FF64" s="60"/>
      <c r="FG64" s="60"/>
      <c r="FH64" s="60"/>
      <c r="FI64" s="60"/>
      <c r="FJ64" s="60"/>
      <c r="FK64" s="60"/>
      <c r="FL64" s="60"/>
      <c r="FM64" s="60"/>
      <c r="FN64" s="60"/>
      <c r="FO64" s="60"/>
      <c r="FP64" s="60"/>
      <c r="FQ64" s="60"/>
      <c r="FR64" s="60"/>
      <c r="FS64" s="60"/>
      <c r="FT64" s="60"/>
      <c r="FU64" s="60"/>
      <c r="FV64" s="60"/>
      <c r="FW64" s="60"/>
      <c r="FX64" s="60"/>
      <c r="FY64" s="60"/>
      <c r="FZ64" s="60"/>
      <c r="GA64" s="60"/>
      <c r="GB64" s="60"/>
      <c r="GC64" s="60"/>
      <c r="GD64" s="60"/>
      <c r="GE64" s="60"/>
      <c r="GF64" s="60"/>
      <c r="GG64" s="60"/>
      <c r="GH64" s="60"/>
      <c r="GI64" s="60"/>
      <c r="GJ64" s="60"/>
      <c r="GK64" s="60"/>
      <c r="GL64" s="60"/>
      <c r="GM64" s="60"/>
      <c r="GN64" s="60"/>
      <c r="GO64" s="60"/>
      <c r="GP64" s="60"/>
      <c r="GQ64" s="60"/>
      <c r="GR64" s="60"/>
      <c r="GS64" s="60"/>
      <c r="GT64" s="60"/>
      <c r="GU64" s="60"/>
      <c r="GV64" s="60"/>
      <c r="GW64" s="60"/>
      <c r="GX64" s="60"/>
      <c r="GY64" s="60"/>
      <c r="GZ64" s="60"/>
      <c r="HA64" s="60"/>
      <c r="HB64" s="60"/>
      <c r="HC64" s="60"/>
      <c r="HD64" s="60"/>
      <c r="HE64" s="60"/>
      <c r="HF64" s="60"/>
      <c r="HG64" s="60"/>
      <c r="HH64" s="60"/>
      <c r="HI64" s="60"/>
      <c r="HJ64" s="60"/>
      <c r="HK64" s="60"/>
      <c r="HL64" s="60"/>
      <c r="HM64" s="60"/>
      <c r="HN64" s="60"/>
      <c r="HO64" s="60"/>
      <c r="HP64" s="60"/>
      <c r="HQ64" s="60"/>
      <c r="HR64" s="60"/>
      <c r="HS64" s="60"/>
      <c r="HT64" s="60"/>
      <c r="HU64" s="60"/>
      <c r="HV64" s="60"/>
      <c r="HW64" s="60"/>
      <c r="HX64" s="60"/>
      <c r="HY64" s="60"/>
      <c r="HZ64" s="60"/>
      <c r="IA64" s="60"/>
      <c r="IB64" s="60"/>
      <c r="IC64" s="60"/>
      <c r="ID64" s="60"/>
      <c r="IE64" s="60"/>
      <c r="IF64" s="60"/>
      <c r="IG64" s="60"/>
      <c r="IH64" s="60"/>
      <c r="II64" s="60"/>
      <c r="IJ64" s="60"/>
      <c r="IK64" s="60"/>
      <c r="IL64" s="60"/>
      <c r="IM64" s="60"/>
      <c r="IN64" s="60"/>
      <c r="IO64" s="60"/>
      <c r="IP64" s="60"/>
      <c r="IQ64" s="60"/>
      <c r="IR64" s="60"/>
      <c r="IS64" s="60"/>
      <c r="IT64" s="60"/>
      <c r="IU64" s="60"/>
      <c r="IV64" s="60"/>
      <c r="IW64" s="60"/>
      <c r="IX64" s="60"/>
      <c r="IY64" s="60"/>
      <c r="IZ64" s="60"/>
      <c r="JA64" s="60"/>
      <c r="JB64" s="60"/>
      <c r="JC64" s="60"/>
      <c r="JD64" s="60"/>
      <c r="JE64" s="60"/>
      <c r="JF64" s="60"/>
      <c r="JG64" s="60"/>
      <c r="JH64" s="60"/>
      <c r="JI64" s="60"/>
      <c r="JJ64" s="60"/>
      <c r="JK64" s="60"/>
      <c r="JL64" s="60"/>
      <c r="JM64" s="60"/>
      <c r="JN64" s="60"/>
      <c r="JO64" s="60"/>
      <c r="JP64" s="60"/>
      <c r="JQ64" s="60"/>
      <c r="JR64" s="60"/>
      <c r="JS64" s="60"/>
      <c r="JT64" s="60"/>
      <c r="JU64" s="60"/>
      <c r="JV64" s="60"/>
      <c r="JW64" s="60"/>
      <c r="JX64" s="60"/>
      <c r="JY64" s="60"/>
      <c r="JZ64" s="60"/>
      <c r="KA64" s="60"/>
      <c r="KB64" s="60"/>
      <c r="KC64" s="60"/>
      <c r="KD64" s="60"/>
      <c r="KE64" s="60"/>
      <c r="KF64" s="60"/>
    </row>
    <row r="65" spans="4:292" outlineLevel="1" x14ac:dyDescent="0.35">
      <c r="E65" s="13" t="s">
        <v>166</v>
      </c>
      <c r="J65" s="15" t="s">
        <v>34</v>
      </c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0"/>
      <c r="CT65" s="60"/>
      <c r="CU65" s="60"/>
      <c r="CV65" s="60"/>
      <c r="CW65" s="60"/>
      <c r="CX65" s="60"/>
      <c r="CY65" s="60"/>
      <c r="CZ65" s="60"/>
      <c r="DA65" s="60"/>
      <c r="DB65" s="60"/>
      <c r="DC65" s="60"/>
      <c r="DD65" s="60"/>
      <c r="DE65" s="60"/>
      <c r="DF65" s="60"/>
      <c r="DG65" s="60"/>
      <c r="DH65" s="60"/>
      <c r="DI65" s="60"/>
      <c r="DJ65" s="60"/>
      <c r="DK65" s="60"/>
      <c r="DL65" s="60"/>
      <c r="DM65" s="60"/>
      <c r="DN65" s="60"/>
      <c r="DO65" s="60"/>
      <c r="DP65" s="60"/>
      <c r="DQ65" s="60"/>
      <c r="DR65" s="60"/>
      <c r="DS65" s="60"/>
      <c r="DT65" s="60"/>
      <c r="DU65" s="60"/>
      <c r="DV65" s="60"/>
      <c r="DW65" s="60"/>
      <c r="DX65" s="60"/>
      <c r="DY65" s="60"/>
      <c r="DZ65" s="60"/>
      <c r="EA65" s="60"/>
      <c r="EB65" s="60"/>
      <c r="EC65" s="60"/>
      <c r="ED65" s="60"/>
      <c r="EE65" s="60"/>
      <c r="EF65" s="60"/>
      <c r="EG65" s="60"/>
      <c r="EH65" s="60"/>
      <c r="EI65" s="60"/>
      <c r="EJ65" s="60"/>
      <c r="EK65" s="60"/>
      <c r="EL65" s="60"/>
      <c r="EM65" s="60"/>
      <c r="EN65" s="60"/>
      <c r="EO65" s="60"/>
      <c r="EP65" s="60"/>
      <c r="EQ65" s="60"/>
      <c r="ER65" s="60"/>
      <c r="ES65" s="60"/>
      <c r="ET65" s="60"/>
      <c r="EU65" s="60"/>
      <c r="EV65" s="60"/>
      <c r="EW65" s="60"/>
      <c r="EX65" s="60"/>
      <c r="EY65" s="60"/>
      <c r="EZ65" s="60"/>
      <c r="FA65" s="60"/>
      <c r="FB65" s="60"/>
      <c r="FC65" s="60"/>
      <c r="FD65" s="60"/>
      <c r="FE65" s="60"/>
      <c r="FF65" s="60"/>
      <c r="FG65" s="60"/>
      <c r="FH65" s="60"/>
      <c r="FI65" s="60"/>
      <c r="FJ65" s="60"/>
      <c r="FK65" s="60"/>
      <c r="FL65" s="60"/>
      <c r="FM65" s="60"/>
      <c r="FN65" s="60"/>
      <c r="FO65" s="60"/>
      <c r="FP65" s="60"/>
      <c r="FQ65" s="60"/>
      <c r="FR65" s="60"/>
      <c r="FS65" s="60"/>
      <c r="FT65" s="60"/>
      <c r="FU65" s="60"/>
      <c r="FV65" s="60"/>
      <c r="FW65" s="60"/>
      <c r="FX65" s="60"/>
      <c r="FY65" s="60"/>
      <c r="FZ65" s="60"/>
      <c r="GA65" s="60"/>
      <c r="GB65" s="60"/>
      <c r="GC65" s="60"/>
      <c r="GD65" s="60"/>
      <c r="GE65" s="60"/>
      <c r="GF65" s="60"/>
      <c r="GG65" s="60"/>
      <c r="GH65" s="60"/>
      <c r="GI65" s="60"/>
      <c r="GJ65" s="60"/>
      <c r="GK65" s="60"/>
      <c r="GL65" s="60"/>
      <c r="GM65" s="60"/>
      <c r="GN65" s="60"/>
      <c r="GO65" s="60"/>
      <c r="GP65" s="60"/>
      <c r="GQ65" s="60"/>
      <c r="GR65" s="60"/>
      <c r="GS65" s="60"/>
      <c r="GT65" s="60"/>
      <c r="GU65" s="60"/>
      <c r="GV65" s="60"/>
      <c r="GW65" s="60"/>
      <c r="GX65" s="60"/>
      <c r="GY65" s="60"/>
      <c r="GZ65" s="60"/>
      <c r="HA65" s="60"/>
      <c r="HB65" s="60"/>
      <c r="HC65" s="60"/>
      <c r="HD65" s="60"/>
      <c r="HE65" s="60"/>
      <c r="HF65" s="60"/>
      <c r="HG65" s="60"/>
      <c r="HH65" s="60"/>
      <c r="HI65" s="60"/>
      <c r="HJ65" s="60"/>
      <c r="HK65" s="60"/>
      <c r="HL65" s="60"/>
      <c r="HM65" s="60"/>
      <c r="HN65" s="60"/>
      <c r="HO65" s="60"/>
      <c r="HP65" s="60"/>
      <c r="HQ65" s="60"/>
      <c r="HR65" s="60"/>
      <c r="HS65" s="60"/>
      <c r="HT65" s="60"/>
      <c r="HU65" s="60"/>
      <c r="HV65" s="60"/>
      <c r="HW65" s="60"/>
      <c r="HX65" s="60"/>
      <c r="HY65" s="60"/>
      <c r="HZ65" s="60"/>
      <c r="IA65" s="60"/>
      <c r="IB65" s="60"/>
      <c r="IC65" s="60"/>
      <c r="ID65" s="60"/>
      <c r="IE65" s="60"/>
      <c r="IF65" s="60"/>
      <c r="IG65" s="60"/>
      <c r="IH65" s="60"/>
      <c r="II65" s="60"/>
      <c r="IJ65" s="60"/>
      <c r="IK65" s="60"/>
      <c r="IL65" s="60"/>
      <c r="IM65" s="60"/>
      <c r="IN65" s="60"/>
      <c r="IO65" s="60"/>
      <c r="IP65" s="60"/>
      <c r="IQ65" s="60"/>
      <c r="IR65" s="60"/>
      <c r="IS65" s="60"/>
      <c r="IT65" s="60"/>
      <c r="IU65" s="60"/>
      <c r="IV65" s="60"/>
      <c r="IW65" s="60"/>
      <c r="IX65" s="60"/>
      <c r="IY65" s="60"/>
      <c r="IZ65" s="60"/>
      <c r="JA65" s="60"/>
      <c r="JB65" s="60"/>
      <c r="JC65" s="60"/>
      <c r="JD65" s="60"/>
      <c r="JE65" s="60"/>
      <c r="JF65" s="60"/>
      <c r="JG65" s="60"/>
      <c r="JH65" s="60"/>
      <c r="JI65" s="60"/>
      <c r="JJ65" s="60"/>
      <c r="JK65" s="60"/>
      <c r="JL65" s="60"/>
      <c r="JM65" s="60"/>
      <c r="JN65" s="60"/>
      <c r="JO65" s="60"/>
      <c r="JP65" s="60"/>
      <c r="JQ65" s="60"/>
      <c r="JR65" s="60"/>
      <c r="JS65" s="60"/>
      <c r="JT65" s="60"/>
      <c r="JU65" s="60"/>
      <c r="JV65" s="60"/>
      <c r="JW65" s="60"/>
      <c r="JX65" s="60"/>
      <c r="JY65" s="60"/>
      <c r="JZ65" s="60"/>
      <c r="KA65" s="60"/>
      <c r="KB65" s="60"/>
      <c r="KC65" s="60"/>
      <c r="KD65" s="60"/>
      <c r="KE65" s="60"/>
      <c r="KF65" s="60"/>
    </row>
    <row r="66" spans="4:292" outlineLevel="1" x14ac:dyDescent="0.35">
      <c r="E66" s="13" t="s">
        <v>166</v>
      </c>
      <c r="J66" s="15" t="s">
        <v>34</v>
      </c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0"/>
      <c r="BU66" s="60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0"/>
      <c r="CO66" s="60"/>
      <c r="CP66" s="60"/>
      <c r="CQ66" s="60"/>
      <c r="CR66" s="60"/>
      <c r="CS66" s="60"/>
      <c r="CT66" s="60"/>
      <c r="CU66" s="60"/>
      <c r="CV66" s="60"/>
      <c r="CW66" s="60"/>
      <c r="CX66" s="60"/>
      <c r="CY66" s="60"/>
      <c r="CZ66" s="60"/>
      <c r="DA66" s="60"/>
      <c r="DB66" s="60"/>
      <c r="DC66" s="60"/>
      <c r="DD66" s="60"/>
      <c r="DE66" s="60"/>
      <c r="DF66" s="60"/>
      <c r="DG66" s="60"/>
      <c r="DH66" s="60"/>
      <c r="DI66" s="60"/>
      <c r="DJ66" s="60"/>
      <c r="DK66" s="60"/>
      <c r="DL66" s="60"/>
      <c r="DM66" s="60"/>
      <c r="DN66" s="60"/>
      <c r="DO66" s="60"/>
      <c r="DP66" s="60"/>
      <c r="DQ66" s="60"/>
      <c r="DR66" s="60"/>
      <c r="DS66" s="60"/>
      <c r="DT66" s="60"/>
      <c r="DU66" s="60"/>
      <c r="DV66" s="60"/>
      <c r="DW66" s="60"/>
      <c r="DX66" s="60"/>
      <c r="DY66" s="60"/>
      <c r="DZ66" s="60"/>
      <c r="EA66" s="60"/>
      <c r="EB66" s="60"/>
      <c r="EC66" s="60"/>
      <c r="ED66" s="60"/>
      <c r="EE66" s="60"/>
      <c r="EF66" s="60"/>
      <c r="EG66" s="60"/>
      <c r="EH66" s="60"/>
      <c r="EI66" s="60"/>
      <c r="EJ66" s="60"/>
      <c r="EK66" s="60"/>
      <c r="EL66" s="60"/>
      <c r="EM66" s="60"/>
      <c r="EN66" s="60"/>
      <c r="EO66" s="60"/>
      <c r="EP66" s="60"/>
      <c r="EQ66" s="60"/>
      <c r="ER66" s="60"/>
      <c r="ES66" s="60"/>
      <c r="ET66" s="60"/>
      <c r="EU66" s="60"/>
      <c r="EV66" s="60"/>
      <c r="EW66" s="60"/>
      <c r="EX66" s="60"/>
      <c r="EY66" s="60"/>
      <c r="EZ66" s="60"/>
      <c r="FA66" s="60"/>
      <c r="FB66" s="60"/>
      <c r="FC66" s="60"/>
      <c r="FD66" s="60"/>
      <c r="FE66" s="60"/>
      <c r="FF66" s="60"/>
      <c r="FG66" s="60"/>
      <c r="FH66" s="60"/>
      <c r="FI66" s="60"/>
      <c r="FJ66" s="60"/>
      <c r="FK66" s="60"/>
      <c r="FL66" s="60"/>
      <c r="FM66" s="60"/>
      <c r="FN66" s="60"/>
      <c r="FO66" s="60"/>
      <c r="FP66" s="60"/>
      <c r="FQ66" s="60"/>
      <c r="FR66" s="60"/>
      <c r="FS66" s="60"/>
      <c r="FT66" s="60"/>
      <c r="FU66" s="60"/>
      <c r="FV66" s="60"/>
      <c r="FW66" s="60"/>
      <c r="FX66" s="60"/>
      <c r="FY66" s="60"/>
      <c r="FZ66" s="60"/>
      <c r="GA66" s="60"/>
      <c r="GB66" s="60"/>
      <c r="GC66" s="60"/>
      <c r="GD66" s="60"/>
      <c r="GE66" s="60"/>
      <c r="GF66" s="60"/>
      <c r="GG66" s="60"/>
      <c r="GH66" s="60"/>
      <c r="GI66" s="60"/>
      <c r="GJ66" s="60"/>
      <c r="GK66" s="60"/>
      <c r="GL66" s="60"/>
      <c r="GM66" s="60"/>
      <c r="GN66" s="60"/>
      <c r="GO66" s="60"/>
      <c r="GP66" s="60"/>
      <c r="GQ66" s="60"/>
      <c r="GR66" s="60"/>
      <c r="GS66" s="60"/>
      <c r="GT66" s="60"/>
      <c r="GU66" s="60"/>
      <c r="GV66" s="60"/>
      <c r="GW66" s="60"/>
      <c r="GX66" s="60"/>
      <c r="GY66" s="60"/>
      <c r="GZ66" s="60"/>
      <c r="HA66" s="60"/>
      <c r="HB66" s="60"/>
      <c r="HC66" s="60"/>
      <c r="HD66" s="60"/>
      <c r="HE66" s="60"/>
      <c r="HF66" s="60"/>
      <c r="HG66" s="60"/>
      <c r="HH66" s="60"/>
      <c r="HI66" s="60"/>
      <c r="HJ66" s="60"/>
      <c r="HK66" s="60"/>
      <c r="HL66" s="60"/>
      <c r="HM66" s="60"/>
      <c r="HN66" s="60"/>
      <c r="HO66" s="60"/>
      <c r="HP66" s="60"/>
      <c r="HQ66" s="60"/>
      <c r="HR66" s="60"/>
      <c r="HS66" s="60"/>
      <c r="HT66" s="60"/>
      <c r="HU66" s="60"/>
      <c r="HV66" s="60"/>
      <c r="HW66" s="60"/>
      <c r="HX66" s="60"/>
      <c r="HY66" s="60"/>
      <c r="HZ66" s="60"/>
      <c r="IA66" s="60"/>
      <c r="IB66" s="60"/>
      <c r="IC66" s="60"/>
      <c r="ID66" s="60"/>
      <c r="IE66" s="60"/>
      <c r="IF66" s="60"/>
      <c r="IG66" s="60"/>
      <c r="IH66" s="60"/>
      <c r="II66" s="60"/>
      <c r="IJ66" s="60"/>
      <c r="IK66" s="60"/>
      <c r="IL66" s="60"/>
      <c r="IM66" s="60"/>
      <c r="IN66" s="60"/>
      <c r="IO66" s="60"/>
      <c r="IP66" s="60"/>
      <c r="IQ66" s="60"/>
      <c r="IR66" s="60"/>
      <c r="IS66" s="60"/>
      <c r="IT66" s="60"/>
      <c r="IU66" s="60"/>
      <c r="IV66" s="60"/>
      <c r="IW66" s="60"/>
      <c r="IX66" s="60"/>
      <c r="IY66" s="60"/>
      <c r="IZ66" s="60"/>
      <c r="JA66" s="60"/>
      <c r="JB66" s="60"/>
      <c r="JC66" s="60"/>
      <c r="JD66" s="60"/>
      <c r="JE66" s="60"/>
      <c r="JF66" s="60"/>
      <c r="JG66" s="60"/>
      <c r="JH66" s="60"/>
      <c r="JI66" s="60"/>
      <c r="JJ66" s="60"/>
      <c r="JK66" s="60"/>
      <c r="JL66" s="60"/>
      <c r="JM66" s="60"/>
      <c r="JN66" s="60"/>
      <c r="JO66" s="60"/>
      <c r="JP66" s="60"/>
      <c r="JQ66" s="60"/>
      <c r="JR66" s="60"/>
      <c r="JS66" s="60"/>
      <c r="JT66" s="60"/>
      <c r="JU66" s="60"/>
      <c r="JV66" s="60"/>
      <c r="JW66" s="60"/>
      <c r="JX66" s="60"/>
      <c r="JY66" s="60"/>
      <c r="JZ66" s="60"/>
      <c r="KA66" s="60"/>
      <c r="KB66" s="60"/>
      <c r="KC66" s="60"/>
      <c r="KD66" s="60"/>
      <c r="KE66" s="60"/>
      <c r="KF66" s="60"/>
    </row>
    <row r="67" spans="4:292" outlineLevel="1" x14ac:dyDescent="0.35"/>
    <row r="68" spans="4:292" outlineLevel="1" x14ac:dyDescent="0.35">
      <c r="H68" s="19" t="s">
        <v>168</v>
      </c>
      <c r="I68" s="19"/>
      <c r="J68" s="16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7"/>
      <c r="DP68" s="17"/>
      <c r="DQ68" s="17"/>
      <c r="DR68" s="17"/>
      <c r="DS68" s="17"/>
      <c r="DT68" s="17"/>
      <c r="DU68" s="17"/>
      <c r="DV68" s="17"/>
      <c r="DW68" s="17"/>
      <c r="DX68" s="17"/>
      <c r="DY68" s="17"/>
      <c r="DZ68" s="17"/>
      <c r="EA68" s="17"/>
      <c r="EB68" s="17"/>
      <c r="EC68" s="17"/>
      <c r="ED68" s="17"/>
      <c r="EE68" s="17"/>
      <c r="EF68" s="17"/>
      <c r="EG68" s="17"/>
      <c r="EH68" s="17"/>
      <c r="EI68" s="17"/>
      <c r="EJ68" s="17"/>
      <c r="EK68" s="17"/>
      <c r="EL68" s="17"/>
      <c r="EM68" s="17"/>
      <c r="EN68" s="17"/>
      <c r="EO68" s="17"/>
      <c r="EP68" s="17"/>
      <c r="EQ68" s="17"/>
      <c r="ER68" s="17"/>
      <c r="ES68" s="17"/>
      <c r="ET68" s="17"/>
      <c r="EU68" s="17"/>
      <c r="EV68" s="17"/>
      <c r="EW68" s="17"/>
      <c r="EX68" s="17"/>
      <c r="EY68" s="17"/>
      <c r="EZ68" s="17"/>
      <c r="FA68" s="17"/>
      <c r="FB68" s="17"/>
      <c r="FC68" s="17"/>
      <c r="FD68" s="17"/>
      <c r="FE68" s="17"/>
      <c r="FF68" s="17"/>
      <c r="FG68" s="17"/>
      <c r="FH68" s="17"/>
      <c r="FI68" s="17"/>
      <c r="FJ68" s="17"/>
      <c r="FK68" s="17"/>
      <c r="FL68" s="17"/>
      <c r="FM68" s="17"/>
      <c r="FN68" s="17"/>
      <c r="FO68" s="17"/>
      <c r="FP68" s="17"/>
      <c r="FQ68" s="17"/>
      <c r="FR68" s="17"/>
      <c r="FS68" s="17"/>
      <c r="FT68" s="17"/>
      <c r="FU68" s="17"/>
      <c r="FV68" s="17"/>
      <c r="FW68" s="17"/>
      <c r="FX68" s="17"/>
      <c r="FY68" s="17"/>
      <c r="FZ68" s="17"/>
      <c r="GA68" s="17"/>
      <c r="GB68" s="17"/>
      <c r="GC68" s="17"/>
      <c r="GD68" s="17"/>
      <c r="GE68" s="17"/>
      <c r="GF68" s="17"/>
      <c r="GG68" s="17"/>
      <c r="GH68" s="17"/>
      <c r="GI68" s="17"/>
      <c r="GJ68" s="17"/>
      <c r="GK68" s="17"/>
      <c r="GL68" s="17"/>
      <c r="GM68" s="17"/>
      <c r="GN68" s="17"/>
      <c r="GO68" s="17"/>
      <c r="GP68" s="17"/>
      <c r="GQ68" s="17"/>
      <c r="GR68" s="17"/>
      <c r="GS68" s="17"/>
      <c r="GT68" s="17"/>
      <c r="GU68" s="17"/>
      <c r="GV68" s="17"/>
      <c r="GW68" s="17"/>
      <c r="GX68" s="17"/>
      <c r="GY68" s="17"/>
      <c r="GZ68" s="17"/>
      <c r="HA68" s="17"/>
      <c r="HB68" s="17"/>
      <c r="HC68" s="17"/>
      <c r="HD68" s="17"/>
      <c r="HE68" s="17"/>
      <c r="HF68" s="17"/>
      <c r="HG68" s="17"/>
      <c r="HH68" s="17"/>
      <c r="HI68" s="17"/>
      <c r="HJ68" s="17"/>
      <c r="HK68" s="17"/>
      <c r="HL68" s="17"/>
      <c r="HM68" s="17"/>
      <c r="HN68" s="17"/>
      <c r="HO68" s="17"/>
      <c r="HP68" s="17"/>
      <c r="HQ68" s="17"/>
      <c r="HR68" s="17"/>
      <c r="HS68" s="17"/>
      <c r="HT68" s="17"/>
      <c r="HU68" s="17"/>
      <c r="HV68" s="17"/>
      <c r="HW68" s="17"/>
      <c r="HX68" s="17"/>
      <c r="HY68" s="17"/>
      <c r="HZ68" s="17"/>
      <c r="IA68" s="17"/>
      <c r="IB68" s="17"/>
      <c r="IC68" s="17"/>
      <c r="ID68" s="17"/>
      <c r="IE68" s="17"/>
      <c r="IF68" s="17"/>
      <c r="IG68" s="17"/>
      <c r="IH68" s="17"/>
      <c r="II68" s="17"/>
      <c r="IJ68" s="17"/>
      <c r="IK68" s="17"/>
      <c r="IL68" s="17"/>
      <c r="IM68" s="17"/>
      <c r="IN68" s="17"/>
      <c r="IO68" s="17"/>
      <c r="IP68" s="17"/>
      <c r="IQ68" s="17"/>
      <c r="IR68" s="17"/>
      <c r="IS68" s="17"/>
      <c r="IT68" s="17"/>
      <c r="IU68" s="17"/>
      <c r="IV68" s="17"/>
      <c r="IW68" s="17"/>
      <c r="IX68" s="17"/>
      <c r="IY68" s="17"/>
      <c r="IZ68" s="17"/>
      <c r="JA68" s="17"/>
      <c r="JB68" s="17"/>
      <c r="JC68" s="17"/>
      <c r="JD68" s="17"/>
      <c r="JE68" s="17"/>
      <c r="JF68" s="17"/>
      <c r="JG68" s="17"/>
      <c r="JH68" s="17"/>
      <c r="JI68" s="17"/>
      <c r="JJ68" s="17"/>
      <c r="JK68" s="17"/>
      <c r="JL68" s="17"/>
      <c r="JM68" s="17"/>
      <c r="JN68" s="17"/>
      <c r="JO68" s="17"/>
      <c r="JP68" s="17"/>
      <c r="JQ68" s="17"/>
      <c r="JR68" s="17"/>
      <c r="JS68" s="17"/>
      <c r="JT68" s="17"/>
      <c r="JU68" s="17"/>
      <c r="JV68" s="17"/>
      <c r="JW68" s="17"/>
      <c r="JX68" s="17"/>
      <c r="JY68" s="17"/>
      <c r="JZ68" s="17"/>
      <c r="KA68" s="17"/>
      <c r="KB68" s="17"/>
      <c r="KC68" s="17"/>
      <c r="KD68" s="17"/>
      <c r="KE68" s="17"/>
      <c r="KF68" s="17"/>
    </row>
    <row r="69" spans="4:292" outlineLevel="1" x14ac:dyDescent="0.35"/>
    <row r="70" spans="4:292" outlineLevel="1" x14ac:dyDescent="0.35">
      <c r="J70" s="18" t="s">
        <v>29</v>
      </c>
      <c r="K70" s="18">
        <f>Control!H20</f>
        <v>1</v>
      </c>
      <c r="L70" s="13" t="str" cm="1">
        <f t="array" ref="L70">INDEX(J74:J82,K70)</f>
        <v>Base case</v>
      </c>
    </row>
    <row r="71" spans="4:292" outlineLevel="1" x14ac:dyDescent="0.35">
      <c r="E71" s="13" t="s">
        <v>170</v>
      </c>
      <c r="J71" s="13" t="s">
        <v>30</v>
      </c>
      <c r="K71" s="61" cm="1">
        <f t="array" ref="K71">INDEX(K74:K82,$K$70)</f>
        <v>-2.5</v>
      </c>
      <c r="L71" s="61" cm="1">
        <f t="array" ref="L71">INDEX(L74:L82,$K$70)</f>
        <v>-2.5</v>
      </c>
      <c r="M71" s="61" cm="1">
        <f t="array" ref="M71">INDEX(M74:M82,$K$70)</f>
        <v>-2.5</v>
      </c>
      <c r="N71" s="61" cm="1">
        <f t="array" ref="N71">INDEX(N74:N82,$K$70)</f>
        <v>-2.5</v>
      </c>
      <c r="O71" s="61" cm="1">
        <f t="array" ref="O71">INDEX(O74:O82,$K$70)</f>
        <v>-2.5</v>
      </c>
      <c r="P71" s="61" cm="1">
        <f t="array" ref="P71">INDEX(P74:P82,$K$70)</f>
        <v>-2.5</v>
      </c>
      <c r="Q71" s="61" cm="1">
        <f t="array" ref="Q71">INDEX(Q74:Q82,$K$70)</f>
        <v>-2.5</v>
      </c>
      <c r="R71" s="61" cm="1">
        <f t="array" ref="R71">INDEX(R74:R82,$K$70)</f>
        <v>-2.5</v>
      </c>
      <c r="S71" s="61" cm="1">
        <f t="array" ref="S71">INDEX(S74:S82,$K$70)</f>
        <v>-2.5</v>
      </c>
      <c r="T71" s="61" cm="1">
        <f t="array" ref="T71">INDEX(T74:T82,$K$70)</f>
        <v>-2.5</v>
      </c>
      <c r="U71" s="61" cm="1">
        <f t="array" ref="U71">INDEX(U74:U82,$K$70)</f>
        <v>-2.5</v>
      </c>
      <c r="V71" s="61" cm="1">
        <f t="array" ref="V71">INDEX(V74:V82,$K$70)</f>
        <v>-2.5</v>
      </c>
      <c r="W71" s="61" cm="1">
        <f t="array" ref="W71">INDEX(W74:W82,$K$70)</f>
        <v>-2.5</v>
      </c>
      <c r="X71" s="61" cm="1">
        <f t="array" ref="X71">INDEX(X74:X82,$K$70)</f>
        <v>-2.5</v>
      </c>
      <c r="Y71" s="61" cm="1">
        <f t="array" ref="Y71">INDEX(Y74:Y82,$K$70)</f>
        <v>-2.5</v>
      </c>
      <c r="Z71" s="61" cm="1">
        <f t="array" ref="Z71">INDEX(Z74:Z82,$K$70)</f>
        <v>-2.5</v>
      </c>
      <c r="AA71" s="61" cm="1">
        <f t="array" ref="AA71">INDEX(AA74:AA82,$K$70)</f>
        <v>-2.5</v>
      </c>
      <c r="AB71" s="61" cm="1">
        <f t="array" ref="AB71">INDEX(AB74:AB82,$K$70)</f>
        <v>-2.5</v>
      </c>
      <c r="AC71" s="61" cm="1">
        <f t="array" ref="AC71">INDEX(AC74:AC82,$K$70)</f>
        <v>-2.5</v>
      </c>
      <c r="AD71" s="61" cm="1">
        <f t="array" ref="AD71">INDEX(AD74:AD82,$K$70)</f>
        <v>-2.5</v>
      </c>
      <c r="AE71" s="61" cm="1">
        <f t="array" ref="AE71">INDEX(AE74:AE82,$K$70)</f>
        <v>-2.5</v>
      </c>
      <c r="AF71" s="61" cm="1">
        <f t="array" ref="AF71">INDEX(AF74:AF82,$K$70)</f>
        <v>-2.5</v>
      </c>
      <c r="AG71" s="61" cm="1">
        <f t="array" ref="AG71">INDEX(AG74:AG82,$K$70)</f>
        <v>-2.5</v>
      </c>
      <c r="AH71" s="61" cm="1">
        <f t="array" ref="AH71">INDEX(AH74:AH82,$K$70)</f>
        <v>-2.5</v>
      </c>
      <c r="AI71" s="61" cm="1">
        <f t="array" ref="AI71">INDEX(AI74:AI82,$K$70)</f>
        <v>-2.5</v>
      </c>
      <c r="AJ71" s="61" cm="1">
        <f t="array" ref="AJ71">INDEX(AJ74:AJ82,$K$70)</f>
        <v>-2.5</v>
      </c>
      <c r="AK71" s="61" cm="1">
        <f t="array" ref="AK71">INDEX(AK74:AK82,$K$70)</f>
        <v>-2.5</v>
      </c>
      <c r="AL71" s="61" cm="1">
        <f t="array" ref="AL71">INDEX(AL74:AL82,$K$70)</f>
        <v>-2.5</v>
      </c>
      <c r="AM71" s="61" cm="1">
        <f t="array" ref="AM71">INDEX(AM74:AM82,$K$70)</f>
        <v>-2.5</v>
      </c>
      <c r="AN71" s="61" cm="1">
        <f t="array" ref="AN71">INDEX(AN74:AN82,$K$70)</f>
        <v>-2.5</v>
      </c>
      <c r="AO71" s="61" cm="1">
        <f t="array" ref="AO71">INDEX(AO74:AO82,$K$70)</f>
        <v>-2.5</v>
      </c>
      <c r="AP71" s="61" cm="1">
        <f t="array" ref="AP71">INDEX(AP74:AP82,$K$70)</f>
        <v>-2.5</v>
      </c>
      <c r="AQ71" s="61" cm="1">
        <f t="array" ref="AQ71">INDEX(AQ74:AQ82,$K$70)</f>
        <v>-2.5</v>
      </c>
      <c r="AR71" s="61" cm="1">
        <f t="array" ref="AR71">INDEX(AR74:AR82,$K$70)</f>
        <v>-2.5</v>
      </c>
      <c r="AS71" s="61" cm="1">
        <f t="array" ref="AS71">INDEX(AS74:AS82,$K$70)</f>
        <v>-2.5</v>
      </c>
      <c r="AT71" s="61" cm="1">
        <f t="array" ref="AT71">INDEX(AT74:AT82,$K$70)</f>
        <v>-2.5</v>
      </c>
      <c r="AU71" s="61" cm="1">
        <f t="array" ref="AU71">INDEX(AU74:AU82,$K$70)</f>
        <v>-2.5</v>
      </c>
      <c r="AV71" s="61" cm="1">
        <f t="array" ref="AV71">INDEX(AV74:AV82,$K$70)</f>
        <v>-2.5</v>
      </c>
      <c r="AW71" s="61" cm="1">
        <f t="array" ref="AW71">INDEX(AW74:AW82,$K$70)</f>
        <v>-2.5</v>
      </c>
      <c r="AX71" s="61" cm="1">
        <f t="array" ref="AX71">INDEX(AX74:AX82,$K$70)</f>
        <v>-2.5</v>
      </c>
      <c r="AY71" s="61" cm="1">
        <f t="array" ref="AY71">INDEX(AY74:AY82,$K$70)</f>
        <v>-2.5</v>
      </c>
      <c r="AZ71" s="61" cm="1">
        <f t="array" ref="AZ71">INDEX(AZ74:AZ82,$K$70)</f>
        <v>-2.5</v>
      </c>
      <c r="BA71" s="61" cm="1">
        <f t="array" ref="BA71">INDEX(BA74:BA82,$K$70)</f>
        <v>-2.5</v>
      </c>
      <c r="BB71" s="61" cm="1">
        <f t="array" ref="BB71">INDEX(BB74:BB82,$K$70)</f>
        <v>-2.5</v>
      </c>
      <c r="BC71" s="61" cm="1">
        <f t="array" ref="BC71">INDEX(BC74:BC82,$K$70)</f>
        <v>-2.5</v>
      </c>
      <c r="BD71" s="61" cm="1">
        <f t="array" ref="BD71">INDEX(BD74:BD82,$K$70)</f>
        <v>-2.5</v>
      </c>
      <c r="BE71" s="61" cm="1">
        <f t="array" ref="BE71">INDEX(BE74:BE82,$K$70)</f>
        <v>-2.5</v>
      </c>
      <c r="BF71" s="61" cm="1">
        <f t="array" ref="BF71">INDEX(BF74:BF82,$K$70)</f>
        <v>-2.5</v>
      </c>
      <c r="BG71" s="61" cm="1">
        <f t="array" ref="BG71">INDEX(BG74:BG82,$K$70)</f>
        <v>-2.5</v>
      </c>
      <c r="BH71" s="61" cm="1">
        <f t="array" ref="BH71">INDEX(BH74:BH82,$K$70)</f>
        <v>-2.5</v>
      </c>
      <c r="BI71" s="61" cm="1">
        <f t="array" ref="BI71">INDEX(BI74:BI82,$K$70)</f>
        <v>-2.5</v>
      </c>
      <c r="BJ71" s="61" cm="1">
        <f t="array" ref="BJ71">INDEX(BJ74:BJ82,$K$70)</f>
        <v>-2.5</v>
      </c>
      <c r="BK71" s="61" cm="1">
        <f t="array" ref="BK71">INDEX(BK74:BK82,$K$70)</f>
        <v>-2.5</v>
      </c>
      <c r="BL71" s="61" cm="1">
        <f t="array" ref="BL71">INDEX(BL74:BL82,$K$70)</f>
        <v>-2.5</v>
      </c>
      <c r="BM71" s="61" cm="1">
        <f t="array" ref="BM71">INDEX(BM74:BM82,$K$70)</f>
        <v>-2.5</v>
      </c>
      <c r="BN71" s="61" cm="1">
        <f t="array" ref="BN71">INDEX(BN74:BN82,$K$70)</f>
        <v>-2.5</v>
      </c>
      <c r="BO71" s="61" cm="1">
        <f t="array" ref="BO71">INDEX(BO74:BO82,$K$70)</f>
        <v>-2.5</v>
      </c>
      <c r="BP71" s="61" cm="1">
        <f t="array" ref="BP71">INDEX(BP74:BP82,$K$70)</f>
        <v>-2.5</v>
      </c>
      <c r="BQ71" s="61" cm="1">
        <f t="array" ref="BQ71">INDEX(BQ74:BQ82,$K$70)</f>
        <v>-2.5</v>
      </c>
      <c r="BR71" s="61" cm="1">
        <f t="array" ref="BR71">INDEX(BR74:BR82,$K$70)</f>
        <v>-2.5</v>
      </c>
      <c r="BS71" s="61" cm="1">
        <f t="array" ref="BS71">INDEX(BS74:BS82,$K$70)</f>
        <v>-2.5</v>
      </c>
      <c r="BT71" s="61" cm="1">
        <f t="array" ref="BT71">INDEX(BT74:BT82,$K$70)</f>
        <v>-2.5</v>
      </c>
      <c r="BU71" s="61" cm="1">
        <f t="array" ref="BU71">INDEX(BU74:BU82,$K$70)</f>
        <v>-2.5</v>
      </c>
      <c r="BV71" s="61" cm="1">
        <f t="array" ref="BV71">INDEX(BV74:BV82,$K$70)</f>
        <v>-2.5</v>
      </c>
      <c r="BW71" s="61" cm="1">
        <f t="array" ref="BW71">INDEX(BW74:BW82,$K$70)</f>
        <v>-2.5</v>
      </c>
      <c r="BX71" s="61" cm="1">
        <f t="array" ref="BX71">INDEX(BX74:BX82,$K$70)</f>
        <v>-2.5</v>
      </c>
      <c r="BY71" s="61" cm="1">
        <f t="array" ref="BY71">INDEX(BY74:BY82,$K$70)</f>
        <v>-2.5</v>
      </c>
      <c r="BZ71" s="61" cm="1">
        <f t="array" ref="BZ71">INDEX(BZ74:BZ82,$K$70)</f>
        <v>-2.5</v>
      </c>
      <c r="CA71" s="61" cm="1">
        <f t="array" ref="CA71">INDEX(CA74:CA82,$K$70)</f>
        <v>-2.5</v>
      </c>
      <c r="CB71" s="61" cm="1">
        <f t="array" ref="CB71">INDEX(CB74:CB82,$K$70)</f>
        <v>-2.5</v>
      </c>
      <c r="CC71" s="61" cm="1">
        <f t="array" ref="CC71">INDEX(CC74:CC82,$K$70)</f>
        <v>-2.5</v>
      </c>
      <c r="CD71" s="61" cm="1">
        <f t="array" ref="CD71">INDEX(CD74:CD82,$K$70)</f>
        <v>-2.5</v>
      </c>
      <c r="CE71" s="61" cm="1">
        <f t="array" ref="CE71">INDEX(CE74:CE82,$K$70)</f>
        <v>-2.5</v>
      </c>
      <c r="CF71" s="61" cm="1">
        <f t="array" ref="CF71">INDEX(CF74:CF82,$K$70)</f>
        <v>-2.5</v>
      </c>
      <c r="CG71" s="61" cm="1">
        <f t="array" ref="CG71">INDEX(CG74:CG82,$K$70)</f>
        <v>-2.5</v>
      </c>
      <c r="CH71" s="61" cm="1">
        <f t="array" ref="CH71">INDEX(CH74:CH82,$K$70)</f>
        <v>-2.5</v>
      </c>
      <c r="CI71" s="61" cm="1">
        <f t="array" ref="CI71">INDEX(CI74:CI82,$K$70)</f>
        <v>-2.5</v>
      </c>
      <c r="CJ71" s="61" cm="1">
        <f t="array" ref="CJ71">INDEX(CJ74:CJ82,$K$70)</f>
        <v>-2.5</v>
      </c>
      <c r="CK71" s="61" cm="1">
        <f t="array" ref="CK71">INDEX(CK74:CK82,$K$70)</f>
        <v>-2.5</v>
      </c>
      <c r="CL71" s="61" cm="1">
        <f t="array" ref="CL71">INDEX(CL74:CL82,$K$70)</f>
        <v>-2.5</v>
      </c>
      <c r="CM71" s="61" cm="1">
        <f t="array" ref="CM71">INDEX(CM74:CM82,$K$70)</f>
        <v>-2.5</v>
      </c>
      <c r="CN71" s="61" cm="1">
        <f t="array" ref="CN71">INDEX(CN74:CN82,$K$70)</f>
        <v>-2.5</v>
      </c>
      <c r="CO71" s="61" cm="1">
        <f t="array" ref="CO71">INDEX(CO74:CO82,$K$70)</f>
        <v>-2.5</v>
      </c>
      <c r="CP71" s="61" cm="1">
        <f t="array" ref="CP71">INDEX(CP74:CP82,$K$70)</f>
        <v>-2.5</v>
      </c>
      <c r="CQ71" s="61" cm="1">
        <f t="array" ref="CQ71">INDEX(CQ74:CQ82,$K$70)</f>
        <v>-2.5</v>
      </c>
      <c r="CR71" s="61" cm="1">
        <f t="array" ref="CR71">INDEX(CR74:CR82,$K$70)</f>
        <v>-2.5</v>
      </c>
      <c r="CS71" s="61" cm="1">
        <f t="array" ref="CS71">INDEX(CS74:CS82,$K$70)</f>
        <v>-2.5</v>
      </c>
      <c r="CT71" s="61" cm="1">
        <f t="array" ref="CT71">INDEX(CT74:CT82,$K$70)</f>
        <v>-2.5</v>
      </c>
      <c r="CU71" s="61" cm="1">
        <f t="array" ref="CU71">INDEX(CU74:CU82,$K$70)</f>
        <v>-2.5</v>
      </c>
      <c r="CV71" s="61" cm="1">
        <f t="array" ref="CV71">INDEX(CV74:CV82,$K$70)</f>
        <v>-2.5</v>
      </c>
      <c r="CW71" s="61" cm="1">
        <f t="array" ref="CW71">INDEX(CW74:CW82,$K$70)</f>
        <v>-2.5</v>
      </c>
      <c r="CX71" s="61" cm="1">
        <f t="array" ref="CX71">INDEX(CX74:CX82,$K$70)</f>
        <v>-2.5</v>
      </c>
      <c r="CY71" s="61" cm="1">
        <f t="array" ref="CY71">INDEX(CY74:CY82,$K$70)</f>
        <v>-2.5</v>
      </c>
      <c r="CZ71" s="61" cm="1">
        <f t="array" ref="CZ71">INDEX(CZ74:CZ82,$K$70)</f>
        <v>-2.5</v>
      </c>
      <c r="DA71" s="61" cm="1">
        <f t="array" ref="DA71">INDEX(DA74:DA82,$K$70)</f>
        <v>-2.5</v>
      </c>
      <c r="DB71" s="61" cm="1">
        <f t="array" ref="DB71">INDEX(DB74:DB82,$K$70)</f>
        <v>-2.5</v>
      </c>
      <c r="DC71" s="61" cm="1">
        <f t="array" ref="DC71">INDEX(DC74:DC82,$K$70)</f>
        <v>-2.5</v>
      </c>
      <c r="DD71" s="61" cm="1">
        <f t="array" ref="DD71">INDEX(DD74:DD82,$K$70)</f>
        <v>-2.5</v>
      </c>
      <c r="DE71" s="61" cm="1">
        <f t="array" ref="DE71">INDEX(DE74:DE82,$K$70)</f>
        <v>-2.5</v>
      </c>
      <c r="DF71" s="61" cm="1">
        <f t="array" ref="DF71">INDEX(DF74:DF82,$K$70)</f>
        <v>-2.5</v>
      </c>
      <c r="DG71" s="61" cm="1">
        <f t="array" ref="DG71">INDEX(DG74:DG82,$K$70)</f>
        <v>-2.5</v>
      </c>
      <c r="DH71" s="61" cm="1">
        <f t="array" ref="DH71">INDEX(DH74:DH82,$K$70)</f>
        <v>-2.5</v>
      </c>
      <c r="DI71" s="61" cm="1">
        <f t="array" ref="DI71">INDEX(DI74:DI82,$K$70)</f>
        <v>-2.5</v>
      </c>
      <c r="DJ71" s="61" cm="1">
        <f t="array" ref="DJ71">INDEX(DJ74:DJ82,$K$70)</f>
        <v>-2.5</v>
      </c>
      <c r="DK71" s="61" cm="1">
        <f t="array" ref="DK71">INDEX(DK74:DK82,$K$70)</f>
        <v>-2.5</v>
      </c>
      <c r="DL71" s="61" cm="1">
        <f t="array" ref="DL71">INDEX(DL74:DL82,$K$70)</f>
        <v>-2.5</v>
      </c>
      <c r="DM71" s="61" cm="1">
        <f t="array" ref="DM71">INDEX(DM74:DM82,$K$70)</f>
        <v>-2.5</v>
      </c>
      <c r="DN71" s="61" cm="1">
        <f t="array" ref="DN71">INDEX(DN74:DN82,$K$70)</f>
        <v>-2.5</v>
      </c>
      <c r="DO71" s="61" cm="1">
        <f t="array" ref="DO71">INDEX(DO74:DO82,$K$70)</f>
        <v>-2.5</v>
      </c>
      <c r="DP71" s="61" cm="1">
        <f t="array" ref="DP71">INDEX(DP74:DP82,$K$70)</f>
        <v>-2.5</v>
      </c>
      <c r="DQ71" s="61" cm="1">
        <f t="array" ref="DQ71">INDEX(DQ74:DQ82,$K$70)</f>
        <v>-2.5</v>
      </c>
      <c r="DR71" s="61" cm="1">
        <f t="array" ref="DR71">INDEX(DR74:DR82,$K$70)</f>
        <v>-2.5</v>
      </c>
      <c r="DS71" s="61" cm="1">
        <f t="array" ref="DS71">INDEX(DS74:DS82,$K$70)</f>
        <v>-2.5</v>
      </c>
      <c r="DT71" s="61" cm="1">
        <f t="array" ref="DT71">INDEX(DT74:DT82,$K$70)</f>
        <v>-2.5</v>
      </c>
      <c r="DU71" s="61" cm="1">
        <f t="array" ref="DU71">INDEX(DU74:DU82,$K$70)</f>
        <v>-2.5</v>
      </c>
      <c r="DV71" s="61" cm="1">
        <f t="array" ref="DV71">INDEX(DV74:DV82,$K$70)</f>
        <v>-2.5</v>
      </c>
      <c r="DW71" s="61" cm="1">
        <f t="array" ref="DW71">INDEX(DW74:DW82,$K$70)</f>
        <v>-2.5</v>
      </c>
      <c r="DX71" s="61" cm="1">
        <f t="array" ref="DX71">INDEX(DX74:DX82,$K$70)</f>
        <v>-2.5</v>
      </c>
      <c r="DY71" s="61" cm="1">
        <f t="array" ref="DY71">INDEX(DY74:DY82,$K$70)</f>
        <v>-2.5</v>
      </c>
      <c r="DZ71" s="61" cm="1">
        <f t="array" ref="DZ71">INDEX(DZ74:DZ82,$K$70)</f>
        <v>-2.5</v>
      </c>
      <c r="EA71" s="61" cm="1">
        <f t="array" ref="EA71">INDEX(EA74:EA82,$K$70)</f>
        <v>-2.5</v>
      </c>
      <c r="EB71" s="61" cm="1">
        <f t="array" ref="EB71">INDEX(EB74:EB82,$K$70)</f>
        <v>-2.5</v>
      </c>
      <c r="EC71" s="61" cm="1">
        <f t="array" ref="EC71">INDEX(EC74:EC82,$K$70)</f>
        <v>-2.5</v>
      </c>
      <c r="ED71" s="61" cm="1">
        <f t="array" ref="ED71">INDEX(ED74:ED82,$K$70)</f>
        <v>-2.5</v>
      </c>
      <c r="EE71" s="61" cm="1">
        <f t="array" ref="EE71">INDEX(EE74:EE82,$K$70)</f>
        <v>-2.5</v>
      </c>
      <c r="EF71" s="61" cm="1">
        <f t="array" ref="EF71">INDEX(EF74:EF82,$K$70)</f>
        <v>-2.5</v>
      </c>
      <c r="EG71" s="61" cm="1">
        <f t="array" ref="EG71">INDEX(EG74:EG82,$K$70)</f>
        <v>-2.5</v>
      </c>
      <c r="EH71" s="61" cm="1">
        <f t="array" ref="EH71">INDEX(EH74:EH82,$K$70)</f>
        <v>-2.5</v>
      </c>
      <c r="EI71" s="61" cm="1">
        <f t="array" ref="EI71">INDEX(EI74:EI82,$K$70)</f>
        <v>-2.5</v>
      </c>
      <c r="EJ71" s="61" cm="1">
        <f t="array" ref="EJ71">INDEX(EJ74:EJ82,$K$70)</f>
        <v>-2.5</v>
      </c>
      <c r="EK71" s="61" cm="1">
        <f t="array" ref="EK71">INDEX(EK74:EK82,$K$70)</f>
        <v>-2.5</v>
      </c>
      <c r="EL71" s="61" cm="1">
        <f t="array" ref="EL71">INDEX(EL74:EL82,$K$70)</f>
        <v>-2.5</v>
      </c>
      <c r="EM71" s="61" cm="1">
        <f t="array" ref="EM71">INDEX(EM74:EM82,$K$70)</f>
        <v>-2.5</v>
      </c>
      <c r="EN71" s="61" cm="1">
        <f t="array" ref="EN71">INDEX(EN74:EN82,$K$70)</f>
        <v>-2.5</v>
      </c>
      <c r="EO71" s="61" cm="1">
        <f t="array" ref="EO71">INDEX(EO74:EO82,$K$70)</f>
        <v>-2.5</v>
      </c>
      <c r="EP71" s="61" cm="1">
        <f t="array" ref="EP71">INDEX(EP74:EP82,$K$70)</f>
        <v>-2.5</v>
      </c>
      <c r="EQ71" s="61" cm="1">
        <f t="array" ref="EQ71">INDEX(EQ74:EQ82,$K$70)</f>
        <v>-2.5</v>
      </c>
      <c r="ER71" s="61" cm="1">
        <f t="array" ref="ER71">INDEX(ER74:ER82,$K$70)</f>
        <v>-2.5</v>
      </c>
      <c r="ES71" s="61" cm="1">
        <f t="array" ref="ES71">INDEX(ES74:ES82,$K$70)</f>
        <v>-2.5</v>
      </c>
      <c r="ET71" s="61" cm="1">
        <f t="array" ref="ET71">INDEX(ET74:ET82,$K$70)</f>
        <v>-2.5</v>
      </c>
      <c r="EU71" s="61" cm="1">
        <f t="array" ref="EU71">INDEX(EU74:EU82,$K$70)</f>
        <v>-2.5</v>
      </c>
      <c r="EV71" s="61" cm="1">
        <f t="array" ref="EV71">INDEX(EV74:EV82,$K$70)</f>
        <v>-2.5</v>
      </c>
      <c r="EW71" s="61" cm="1">
        <f t="array" ref="EW71">INDEX(EW74:EW82,$K$70)</f>
        <v>-2.5</v>
      </c>
      <c r="EX71" s="61" cm="1">
        <f t="array" ref="EX71">INDEX(EX74:EX82,$K$70)</f>
        <v>-2.5</v>
      </c>
      <c r="EY71" s="61" cm="1">
        <f t="array" ref="EY71">INDEX(EY74:EY82,$K$70)</f>
        <v>-2.5</v>
      </c>
      <c r="EZ71" s="61" cm="1">
        <f t="array" ref="EZ71">INDEX(EZ74:EZ82,$K$70)</f>
        <v>-2.5</v>
      </c>
      <c r="FA71" s="61" cm="1">
        <f t="array" ref="FA71">INDEX(FA74:FA82,$K$70)</f>
        <v>-2.5</v>
      </c>
      <c r="FB71" s="61" cm="1">
        <f t="array" ref="FB71">INDEX(FB74:FB82,$K$70)</f>
        <v>-2.5</v>
      </c>
      <c r="FC71" s="61" cm="1">
        <f t="array" ref="FC71">INDEX(FC74:FC82,$K$70)</f>
        <v>-2.5</v>
      </c>
      <c r="FD71" s="61" cm="1">
        <f t="array" ref="FD71">INDEX(FD74:FD82,$K$70)</f>
        <v>-2.5</v>
      </c>
      <c r="FE71" s="61" cm="1">
        <f t="array" ref="FE71">INDEX(FE74:FE82,$K$70)</f>
        <v>-2.5</v>
      </c>
      <c r="FF71" s="61" cm="1">
        <f t="array" ref="FF71">INDEX(FF74:FF82,$K$70)</f>
        <v>-2.5</v>
      </c>
      <c r="FG71" s="61" cm="1">
        <f t="array" ref="FG71">INDEX(FG74:FG82,$K$70)</f>
        <v>-2.5</v>
      </c>
      <c r="FH71" s="61" cm="1">
        <f t="array" ref="FH71">INDEX(FH74:FH82,$K$70)</f>
        <v>-2.5</v>
      </c>
      <c r="FI71" s="61" cm="1">
        <f t="array" ref="FI71">INDEX(FI74:FI82,$K$70)</f>
        <v>-2.5</v>
      </c>
      <c r="FJ71" s="61" cm="1">
        <f t="array" ref="FJ71">INDEX(FJ74:FJ82,$K$70)</f>
        <v>-2.5</v>
      </c>
      <c r="FK71" s="61" cm="1">
        <f t="array" ref="FK71">INDEX(FK74:FK82,$K$70)</f>
        <v>-2.5</v>
      </c>
      <c r="FL71" s="61" cm="1">
        <f t="array" ref="FL71">INDEX(FL74:FL82,$K$70)</f>
        <v>-2.5</v>
      </c>
      <c r="FM71" s="61" cm="1">
        <f t="array" ref="FM71">INDEX(FM74:FM82,$K$70)</f>
        <v>-2.5</v>
      </c>
      <c r="FN71" s="61" cm="1">
        <f t="array" ref="FN71">INDEX(FN74:FN82,$K$70)</f>
        <v>-2.5</v>
      </c>
      <c r="FO71" s="61" cm="1">
        <f t="array" ref="FO71">INDEX(FO74:FO82,$K$70)</f>
        <v>-2.5</v>
      </c>
      <c r="FP71" s="61" cm="1">
        <f t="array" ref="FP71">INDEX(FP74:FP82,$K$70)</f>
        <v>-2.5</v>
      </c>
      <c r="FQ71" s="61" cm="1">
        <f t="array" ref="FQ71">INDEX(FQ74:FQ82,$K$70)</f>
        <v>-2.5</v>
      </c>
      <c r="FR71" s="61" cm="1">
        <f t="array" ref="FR71">INDEX(FR74:FR82,$K$70)</f>
        <v>-2.5</v>
      </c>
      <c r="FS71" s="61" cm="1">
        <f t="array" ref="FS71">INDEX(FS74:FS82,$K$70)</f>
        <v>-2.5</v>
      </c>
      <c r="FT71" s="61" cm="1">
        <f t="array" ref="FT71">INDEX(FT74:FT82,$K$70)</f>
        <v>-2.5</v>
      </c>
      <c r="FU71" s="61" cm="1">
        <f t="array" ref="FU71">INDEX(FU74:FU82,$K$70)</f>
        <v>-2.5</v>
      </c>
      <c r="FV71" s="61" cm="1">
        <f t="array" ref="FV71">INDEX(FV74:FV82,$K$70)</f>
        <v>-2.5</v>
      </c>
      <c r="FW71" s="61" cm="1">
        <f t="array" ref="FW71">INDEX(FW74:FW82,$K$70)</f>
        <v>-2.5</v>
      </c>
      <c r="FX71" s="61" cm="1">
        <f t="array" ref="FX71">INDEX(FX74:FX82,$K$70)</f>
        <v>-2.5</v>
      </c>
      <c r="FY71" s="61" cm="1">
        <f t="array" ref="FY71">INDEX(FY74:FY82,$K$70)</f>
        <v>-2.5</v>
      </c>
      <c r="FZ71" s="61" cm="1">
        <f t="array" ref="FZ71">INDEX(FZ74:FZ82,$K$70)</f>
        <v>-2.5</v>
      </c>
      <c r="GA71" s="61" cm="1">
        <f t="array" ref="GA71">INDEX(GA74:GA82,$K$70)</f>
        <v>-2.5</v>
      </c>
      <c r="GB71" s="61" cm="1">
        <f t="array" ref="GB71">INDEX(GB74:GB82,$K$70)</f>
        <v>-2.5</v>
      </c>
      <c r="GC71" s="61" cm="1">
        <f t="array" ref="GC71">INDEX(GC74:GC82,$K$70)</f>
        <v>-2.5</v>
      </c>
      <c r="GD71" s="61" cm="1">
        <f t="array" ref="GD71">INDEX(GD74:GD82,$K$70)</f>
        <v>-2.5</v>
      </c>
      <c r="GE71" s="61" cm="1">
        <f t="array" ref="GE71">INDEX(GE74:GE82,$K$70)</f>
        <v>-2.5</v>
      </c>
      <c r="GF71" s="61" cm="1">
        <f t="array" ref="GF71">INDEX(GF74:GF82,$K$70)</f>
        <v>-2.5</v>
      </c>
      <c r="GG71" s="61" cm="1">
        <f t="array" ref="GG71">INDEX(GG74:GG82,$K$70)</f>
        <v>-2.5</v>
      </c>
      <c r="GH71" s="61" cm="1">
        <f t="array" ref="GH71">INDEX(GH74:GH82,$K$70)</f>
        <v>-2.5</v>
      </c>
      <c r="GI71" s="61" cm="1">
        <f t="array" ref="GI71">INDEX(GI74:GI82,$K$70)</f>
        <v>-2.5</v>
      </c>
      <c r="GJ71" s="61" cm="1">
        <f t="array" ref="GJ71">INDEX(GJ74:GJ82,$K$70)</f>
        <v>-2.5</v>
      </c>
      <c r="GK71" s="61" cm="1">
        <f t="array" ref="GK71">INDEX(GK74:GK82,$K$70)</f>
        <v>-2.5</v>
      </c>
      <c r="GL71" s="61" cm="1">
        <f t="array" ref="GL71">INDEX(GL74:GL82,$K$70)</f>
        <v>-2.5</v>
      </c>
      <c r="GM71" s="61" cm="1">
        <f t="array" ref="GM71">INDEX(GM74:GM82,$K$70)</f>
        <v>-2.5</v>
      </c>
      <c r="GN71" s="61" cm="1">
        <f t="array" ref="GN71">INDEX(GN74:GN82,$K$70)</f>
        <v>-2.5</v>
      </c>
      <c r="GO71" s="61" cm="1">
        <f t="array" ref="GO71">INDEX(GO74:GO82,$K$70)</f>
        <v>-2.5</v>
      </c>
      <c r="GP71" s="61" cm="1">
        <f t="array" ref="GP71">INDEX(GP74:GP82,$K$70)</f>
        <v>-2.5</v>
      </c>
      <c r="GQ71" s="61" cm="1">
        <f t="array" ref="GQ71">INDEX(GQ74:GQ82,$K$70)</f>
        <v>-2.5</v>
      </c>
      <c r="GR71" s="61" cm="1">
        <f t="array" ref="GR71">INDEX(GR74:GR82,$K$70)</f>
        <v>-2.5</v>
      </c>
      <c r="GS71" s="61" cm="1">
        <f t="array" ref="GS71">INDEX(GS74:GS82,$K$70)</f>
        <v>-2.5</v>
      </c>
      <c r="GT71" s="61" cm="1">
        <f t="array" ref="GT71">INDEX(GT74:GT82,$K$70)</f>
        <v>-2.5</v>
      </c>
      <c r="GU71" s="61" cm="1">
        <f t="array" ref="GU71">INDEX(GU74:GU82,$K$70)</f>
        <v>-2.5</v>
      </c>
      <c r="GV71" s="61" cm="1">
        <f t="array" ref="GV71">INDEX(GV74:GV82,$K$70)</f>
        <v>-2.5</v>
      </c>
      <c r="GW71" s="61" cm="1">
        <f t="array" ref="GW71">INDEX(GW74:GW82,$K$70)</f>
        <v>-2.5</v>
      </c>
      <c r="GX71" s="61" cm="1">
        <f t="array" ref="GX71">INDEX(GX74:GX82,$K$70)</f>
        <v>-2.5</v>
      </c>
      <c r="GY71" s="61" cm="1">
        <f t="array" ref="GY71">INDEX(GY74:GY82,$K$70)</f>
        <v>-2.5</v>
      </c>
      <c r="GZ71" s="61" cm="1">
        <f t="array" ref="GZ71">INDEX(GZ74:GZ82,$K$70)</f>
        <v>-2.5</v>
      </c>
      <c r="HA71" s="61" cm="1">
        <f t="array" ref="HA71">INDEX(HA74:HA82,$K$70)</f>
        <v>-2.5</v>
      </c>
      <c r="HB71" s="61" cm="1">
        <f t="array" ref="HB71">INDEX(HB74:HB82,$K$70)</f>
        <v>-2.5</v>
      </c>
      <c r="HC71" s="61" cm="1">
        <f t="array" ref="HC71">INDEX(HC74:HC82,$K$70)</f>
        <v>-2.5</v>
      </c>
      <c r="HD71" s="61" cm="1">
        <f t="array" ref="HD71">INDEX(HD74:HD82,$K$70)</f>
        <v>-2.5</v>
      </c>
      <c r="HE71" s="61" cm="1">
        <f t="array" ref="HE71">INDEX(HE74:HE82,$K$70)</f>
        <v>-2.5</v>
      </c>
      <c r="HF71" s="61" cm="1">
        <f t="array" ref="HF71">INDEX(HF74:HF82,$K$70)</f>
        <v>-2.5</v>
      </c>
      <c r="HG71" s="61" cm="1">
        <f t="array" ref="HG71">INDEX(HG74:HG82,$K$70)</f>
        <v>-2.5</v>
      </c>
      <c r="HH71" s="61" cm="1">
        <f t="array" ref="HH71">INDEX(HH74:HH82,$K$70)</f>
        <v>-2.5</v>
      </c>
      <c r="HI71" s="61" cm="1">
        <f t="array" ref="HI71">INDEX(HI74:HI82,$K$70)</f>
        <v>-2.5</v>
      </c>
      <c r="HJ71" s="61" cm="1">
        <f t="array" ref="HJ71">INDEX(HJ74:HJ82,$K$70)</f>
        <v>-2.5</v>
      </c>
      <c r="HK71" s="61" cm="1">
        <f t="array" ref="HK71">INDEX(HK74:HK82,$K$70)</f>
        <v>-2.5</v>
      </c>
      <c r="HL71" s="61" cm="1">
        <f t="array" ref="HL71">INDEX(HL74:HL82,$K$70)</f>
        <v>-2.5</v>
      </c>
      <c r="HM71" s="61" cm="1">
        <f t="array" ref="HM71">INDEX(HM74:HM82,$K$70)</f>
        <v>-2.5</v>
      </c>
      <c r="HN71" s="61" cm="1">
        <f t="array" ref="HN71">INDEX(HN74:HN82,$K$70)</f>
        <v>-2.5</v>
      </c>
      <c r="HO71" s="61" cm="1">
        <f t="array" ref="HO71">INDEX(HO74:HO82,$K$70)</f>
        <v>-2.5</v>
      </c>
      <c r="HP71" s="61" cm="1">
        <f t="array" ref="HP71">INDEX(HP74:HP82,$K$70)</f>
        <v>-2.5</v>
      </c>
      <c r="HQ71" s="61" cm="1">
        <f t="array" ref="HQ71">INDEX(HQ74:HQ82,$K$70)</f>
        <v>-2.5</v>
      </c>
      <c r="HR71" s="61" cm="1">
        <f t="array" ref="HR71">INDEX(HR74:HR82,$K$70)</f>
        <v>-2.5</v>
      </c>
      <c r="HS71" s="61" cm="1">
        <f t="array" ref="HS71">INDEX(HS74:HS82,$K$70)</f>
        <v>-2.5</v>
      </c>
      <c r="HT71" s="61" cm="1">
        <f t="array" ref="HT71">INDEX(HT74:HT82,$K$70)</f>
        <v>-2.5</v>
      </c>
      <c r="HU71" s="61" cm="1">
        <f t="array" ref="HU71">INDEX(HU74:HU82,$K$70)</f>
        <v>-2.5</v>
      </c>
      <c r="HV71" s="61" cm="1">
        <f t="array" ref="HV71">INDEX(HV74:HV82,$K$70)</f>
        <v>-2.5</v>
      </c>
      <c r="HW71" s="61" cm="1">
        <f t="array" ref="HW71">INDEX(HW74:HW82,$K$70)</f>
        <v>-2.5</v>
      </c>
      <c r="HX71" s="61" cm="1">
        <f t="array" ref="HX71">INDEX(HX74:HX82,$K$70)</f>
        <v>-2.5</v>
      </c>
      <c r="HY71" s="61" cm="1">
        <f t="array" ref="HY71">INDEX(HY74:HY82,$K$70)</f>
        <v>-2.5</v>
      </c>
      <c r="HZ71" s="61" cm="1">
        <f t="array" ref="HZ71">INDEX(HZ74:HZ82,$K$70)</f>
        <v>-2.5</v>
      </c>
      <c r="IA71" s="61" cm="1">
        <f t="array" ref="IA71">INDEX(IA74:IA82,$K$70)</f>
        <v>-2.5</v>
      </c>
      <c r="IB71" s="61" cm="1">
        <f t="array" ref="IB71">INDEX(IB74:IB82,$K$70)</f>
        <v>-2.5</v>
      </c>
      <c r="IC71" s="61" cm="1">
        <f t="array" ref="IC71">INDEX(IC74:IC82,$K$70)</f>
        <v>-2.5</v>
      </c>
      <c r="ID71" s="61" cm="1">
        <f t="array" ref="ID71">INDEX(ID74:ID82,$K$70)</f>
        <v>-2.5</v>
      </c>
      <c r="IE71" s="61" cm="1">
        <f t="array" ref="IE71">INDEX(IE74:IE82,$K$70)</f>
        <v>-2.5</v>
      </c>
      <c r="IF71" s="61" cm="1">
        <f t="array" ref="IF71">INDEX(IF74:IF82,$K$70)</f>
        <v>-2.5</v>
      </c>
      <c r="IG71" s="61" cm="1">
        <f t="array" ref="IG71">INDEX(IG74:IG82,$K$70)</f>
        <v>-2.5</v>
      </c>
      <c r="IH71" s="61" cm="1">
        <f t="array" ref="IH71">INDEX(IH74:IH82,$K$70)</f>
        <v>-2.5</v>
      </c>
      <c r="II71" s="61" cm="1">
        <f t="array" ref="II71">INDEX(II74:II82,$K$70)</f>
        <v>-2.5</v>
      </c>
      <c r="IJ71" s="61" cm="1">
        <f t="array" ref="IJ71">INDEX(IJ74:IJ82,$K$70)</f>
        <v>-2.5</v>
      </c>
      <c r="IK71" s="61" cm="1">
        <f t="array" ref="IK71">INDEX(IK74:IK82,$K$70)</f>
        <v>-2.5</v>
      </c>
      <c r="IL71" s="61" cm="1">
        <f t="array" ref="IL71">INDEX(IL74:IL82,$K$70)</f>
        <v>-2.5</v>
      </c>
      <c r="IM71" s="61" cm="1">
        <f t="array" ref="IM71">INDEX(IM74:IM82,$K$70)</f>
        <v>-2.5</v>
      </c>
      <c r="IN71" s="61" cm="1">
        <f t="array" ref="IN71">INDEX(IN74:IN82,$K$70)</f>
        <v>-2.5</v>
      </c>
      <c r="IO71" s="61" cm="1">
        <f t="array" ref="IO71">INDEX(IO74:IO82,$K$70)</f>
        <v>-2.5</v>
      </c>
      <c r="IP71" s="61" cm="1">
        <f t="array" ref="IP71">INDEX(IP74:IP82,$K$70)</f>
        <v>-2.5</v>
      </c>
      <c r="IQ71" s="61" cm="1">
        <f t="array" ref="IQ71">INDEX(IQ74:IQ82,$K$70)</f>
        <v>-2.5</v>
      </c>
      <c r="IR71" s="61" cm="1">
        <f t="array" ref="IR71">INDEX(IR74:IR82,$K$70)</f>
        <v>-2.5</v>
      </c>
      <c r="IS71" s="61" cm="1">
        <f t="array" ref="IS71">INDEX(IS74:IS82,$K$70)</f>
        <v>-2.5</v>
      </c>
      <c r="IT71" s="61" cm="1">
        <f t="array" ref="IT71">INDEX(IT74:IT82,$K$70)</f>
        <v>-2.5</v>
      </c>
      <c r="IU71" s="61" cm="1">
        <f t="array" ref="IU71">INDEX(IU74:IU82,$K$70)</f>
        <v>-2.5</v>
      </c>
      <c r="IV71" s="61" cm="1">
        <f t="array" ref="IV71">INDEX(IV74:IV82,$K$70)</f>
        <v>-2.5</v>
      </c>
      <c r="IW71" s="61" cm="1">
        <f t="array" ref="IW71">INDEX(IW74:IW82,$K$70)</f>
        <v>-2.5</v>
      </c>
      <c r="IX71" s="61" cm="1">
        <f t="array" ref="IX71">INDEX(IX74:IX82,$K$70)</f>
        <v>-2.5</v>
      </c>
      <c r="IY71" s="61" cm="1">
        <f t="array" ref="IY71">INDEX(IY74:IY82,$K$70)</f>
        <v>-2.5</v>
      </c>
      <c r="IZ71" s="61" cm="1">
        <f t="array" ref="IZ71">INDEX(IZ74:IZ82,$K$70)</f>
        <v>-2.5</v>
      </c>
      <c r="JA71" s="61" cm="1">
        <f t="array" ref="JA71">INDEX(JA74:JA82,$K$70)</f>
        <v>-2.5</v>
      </c>
      <c r="JB71" s="61" cm="1">
        <f t="array" ref="JB71">INDEX(JB74:JB82,$K$70)</f>
        <v>-2.5</v>
      </c>
      <c r="JC71" s="61" cm="1">
        <f t="array" ref="JC71">INDEX(JC74:JC82,$K$70)</f>
        <v>-2.5</v>
      </c>
      <c r="JD71" s="61" cm="1">
        <f t="array" ref="JD71">INDEX(JD74:JD82,$K$70)</f>
        <v>-2.5</v>
      </c>
      <c r="JE71" s="61" cm="1">
        <f t="array" ref="JE71">INDEX(JE74:JE82,$K$70)</f>
        <v>-2.5</v>
      </c>
      <c r="JF71" s="61" cm="1">
        <f t="array" ref="JF71">INDEX(JF74:JF82,$K$70)</f>
        <v>-2.5</v>
      </c>
      <c r="JG71" s="61" cm="1">
        <f t="array" ref="JG71">INDEX(JG74:JG82,$K$70)</f>
        <v>-2.5</v>
      </c>
      <c r="JH71" s="61" cm="1">
        <f t="array" ref="JH71">INDEX(JH74:JH82,$K$70)</f>
        <v>-2.5</v>
      </c>
      <c r="JI71" s="61" cm="1">
        <f t="array" ref="JI71">INDEX(JI74:JI82,$K$70)</f>
        <v>-2.5</v>
      </c>
      <c r="JJ71" s="61" cm="1">
        <f t="array" ref="JJ71">INDEX(JJ74:JJ82,$K$70)</f>
        <v>-2.5</v>
      </c>
      <c r="JK71" s="61" cm="1">
        <f t="array" ref="JK71">INDEX(JK74:JK82,$K$70)</f>
        <v>-2.5</v>
      </c>
      <c r="JL71" s="61" cm="1">
        <f t="array" ref="JL71">INDEX(JL74:JL82,$K$70)</f>
        <v>-2.5</v>
      </c>
      <c r="JM71" s="61" cm="1">
        <f t="array" ref="JM71">INDEX(JM74:JM82,$K$70)</f>
        <v>-2.5</v>
      </c>
      <c r="JN71" s="61" cm="1">
        <f t="array" ref="JN71">INDEX(JN74:JN82,$K$70)</f>
        <v>-2.5</v>
      </c>
      <c r="JO71" s="61" cm="1">
        <f t="array" ref="JO71">INDEX(JO74:JO82,$K$70)</f>
        <v>-2.5</v>
      </c>
      <c r="JP71" s="61" cm="1">
        <f t="array" ref="JP71">INDEX(JP74:JP82,$K$70)</f>
        <v>-2.5</v>
      </c>
      <c r="JQ71" s="61" cm="1">
        <f t="array" ref="JQ71">INDEX(JQ74:JQ82,$K$70)</f>
        <v>-2.5</v>
      </c>
      <c r="JR71" s="61" cm="1">
        <f t="array" ref="JR71">INDEX(JR74:JR82,$K$70)</f>
        <v>-2.5</v>
      </c>
      <c r="JS71" s="61" cm="1">
        <f t="array" ref="JS71">INDEX(JS74:JS82,$K$70)</f>
        <v>-2.5</v>
      </c>
      <c r="JT71" s="61" cm="1">
        <f t="array" ref="JT71">INDEX(JT74:JT82,$K$70)</f>
        <v>-2.5</v>
      </c>
      <c r="JU71" s="61" cm="1">
        <f t="array" ref="JU71">INDEX(JU74:JU82,$K$70)</f>
        <v>-2.5</v>
      </c>
      <c r="JV71" s="61" cm="1">
        <f t="array" ref="JV71">INDEX(JV74:JV82,$K$70)</f>
        <v>-2.5</v>
      </c>
      <c r="JW71" s="61" cm="1">
        <f t="array" ref="JW71">INDEX(JW74:JW82,$K$70)</f>
        <v>-2.5</v>
      </c>
      <c r="JX71" s="61" cm="1">
        <f t="array" ref="JX71">INDEX(JX74:JX82,$K$70)</f>
        <v>-2.5</v>
      </c>
      <c r="JY71" s="61" cm="1">
        <f t="array" ref="JY71">INDEX(JY74:JY82,$K$70)</f>
        <v>-2.5</v>
      </c>
      <c r="JZ71" s="61" cm="1">
        <f t="array" ref="JZ71">INDEX(JZ74:JZ82,$K$70)</f>
        <v>-2.5</v>
      </c>
      <c r="KA71" s="61" cm="1">
        <f t="array" ref="KA71">INDEX(KA74:KA82,$K$70)</f>
        <v>-2.5</v>
      </c>
      <c r="KB71" s="61" cm="1">
        <f t="array" ref="KB71">INDEX(KB74:KB82,$K$70)</f>
        <v>-2.5</v>
      </c>
      <c r="KC71" s="61" cm="1">
        <f t="array" ref="KC71">INDEX(KC74:KC82,$K$70)</f>
        <v>-2.5</v>
      </c>
      <c r="KD71" s="61" cm="1">
        <f t="array" ref="KD71">INDEX(KD74:KD82,$K$70)</f>
        <v>-2.5</v>
      </c>
      <c r="KE71" s="61" cm="1">
        <f t="array" ref="KE71">INDEX(KE74:KE82,$K$70)</f>
        <v>-2.5</v>
      </c>
      <c r="KF71" s="61" cm="1">
        <f t="array" ref="KF71">INDEX(KF74:KF82,$K$70)</f>
        <v>-2.5</v>
      </c>
    </row>
    <row r="72" spans="4:292" outlineLevel="1" x14ac:dyDescent="0.35">
      <c r="D72" s="20">
        <v>0</v>
      </c>
      <c r="E72" s="13" t="s">
        <v>170</v>
      </c>
      <c r="J72" s="55" t="s">
        <v>161</v>
      </c>
      <c r="K72" s="62">
        <f>K71*(1+$D72)</f>
        <v>-2.5</v>
      </c>
      <c r="L72" s="62">
        <f t="shared" ref="L72" si="55">L71*(1+$D72)</f>
        <v>-2.5</v>
      </c>
      <c r="M72" s="62">
        <f t="shared" ref="M72" si="56">M71*(1+$D72)</f>
        <v>-2.5</v>
      </c>
      <c r="N72" s="62">
        <f t="shared" ref="N72" si="57">N71*(1+$D72)</f>
        <v>-2.5</v>
      </c>
      <c r="O72" s="62">
        <f t="shared" ref="O72" si="58">O71*(1+$D72)</f>
        <v>-2.5</v>
      </c>
      <c r="P72" s="62">
        <f t="shared" ref="P72" si="59">P71*(1+$D72)</f>
        <v>-2.5</v>
      </c>
      <c r="Q72" s="62">
        <f t="shared" ref="Q72" si="60">Q71*(1+$D72)</f>
        <v>-2.5</v>
      </c>
      <c r="R72" s="62">
        <f t="shared" ref="R72" si="61">R71*(1+$D72)</f>
        <v>-2.5</v>
      </c>
      <c r="S72" s="62">
        <f t="shared" ref="S72" si="62">S71*(1+$D72)</f>
        <v>-2.5</v>
      </c>
      <c r="T72" s="62">
        <f t="shared" ref="T72" si="63">T71*(1+$D72)</f>
        <v>-2.5</v>
      </c>
      <c r="U72" s="62">
        <f t="shared" ref="U72" si="64">U71*(1+$D72)</f>
        <v>-2.5</v>
      </c>
      <c r="V72" s="62">
        <f t="shared" ref="V72" si="65">V71*(1+$D72)</f>
        <v>-2.5</v>
      </c>
      <c r="W72" s="62">
        <f t="shared" ref="W72" si="66">W71*(1+$D72)</f>
        <v>-2.5</v>
      </c>
      <c r="X72" s="62">
        <f t="shared" ref="X72" si="67">X71*(1+$D72)</f>
        <v>-2.5</v>
      </c>
      <c r="Y72" s="62">
        <f t="shared" ref="Y72" si="68">Y71*(1+$D72)</f>
        <v>-2.5</v>
      </c>
      <c r="Z72" s="62">
        <f t="shared" ref="Z72" si="69">Z71*(1+$D72)</f>
        <v>-2.5</v>
      </c>
      <c r="AA72" s="62">
        <f t="shared" ref="AA72" si="70">AA71*(1+$D72)</f>
        <v>-2.5</v>
      </c>
      <c r="AB72" s="62">
        <f t="shared" ref="AB72" si="71">AB71*(1+$D72)</f>
        <v>-2.5</v>
      </c>
      <c r="AC72" s="62">
        <f t="shared" ref="AC72" si="72">AC71*(1+$D72)</f>
        <v>-2.5</v>
      </c>
      <c r="AD72" s="62">
        <f t="shared" ref="AD72" si="73">AD71*(1+$D72)</f>
        <v>-2.5</v>
      </c>
      <c r="AE72" s="62">
        <f t="shared" ref="AE72" si="74">AE71*(1+$D72)</f>
        <v>-2.5</v>
      </c>
      <c r="AF72" s="62">
        <f t="shared" ref="AF72" si="75">AF71*(1+$D72)</f>
        <v>-2.5</v>
      </c>
      <c r="AG72" s="62">
        <f t="shared" ref="AG72" si="76">AG71*(1+$D72)</f>
        <v>-2.5</v>
      </c>
      <c r="AH72" s="62">
        <f t="shared" ref="AH72" si="77">AH71*(1+$D72)</f>
        <v>-2.5</v>
      </c>
      <c r="AI72" s="62">
        <f t="shared" ref="AI72" si="78">AI71*(1+$D72)</f>
        <v>-2.5</v>
      </c>
      <c r="AJ72" s="62">
        <f t="shared" ref="AJ72" si="79">AJ71*(1+$D72)</f>
        <v>-2.5</v>
      </c>
      <c r="AK72" s="62">
        <f t="shared" ref="AK72" si="80">AK71*(1+$D72)</f>
        <v>-2.5</v>
      </c>
      <c r="AL72" s="62">
        <f t="shared" ref="AL72" si="81">AL71*(1+$D72)</f>
        <v>-2.5</v>
      </c>
      <c r="AM72" s="62">
        <f t="shared" ref="AM72" si="82">AM71*(1+$D72)</f>
        <v>-2.5</v>
      </c>
      <c r="AN72" s="62">
        <f t="shared" ref="AN72" si="83">AN71*(1+$D72)</f>
        <v>-2.5</v>
      </c>
      <c r="AO72" s="62">
        <f t="shared" ref="AO72" si="84">AO71*(1+$D72)</f>
        <v>-2.5</v>
      </c>
      <c r="AP72" s="62">
        <f t="shared" ref="AP72" si="85">AP71*(1+$D72)</f>
        <v>-2.5</v>
      </c>
      <c r="AQ72" s="62">
        <f t="shared" ref="AQ72" si="86">AQ71*(1+$D72)</f>
        <v>-2.5</v>
      </c>
      <c r="AR72" s="62">
        <f t="shared" ref="AR72" si="87">AR71*(1+$D72)</f>
        <v>-2.5</v>
      </c>
      <c r="AS72" s="62">
        <f t="shared" ref="AS72" si="88">AS71*(1+$D72)</f>
        <v>-2.5</v>
      </c>
      <c r="AT72" s="62">
        <f t="shared" ref="AT72" si="89">AT71*(1+$D72)</f>
        <v>-2.5</v>
      </c>
      <c r="AU72" s="62">
        <f t="shared" ref="AU72" si="90">AU71*(1+$D72)</f>
        <v>-2.5</v>
      </c>
      <c r="AV72" s="62">
        <f t="shared" ref="AV72" si="91">AV71*(1+$D72)</f>
        <v>-2.5</v>
      </c>
      <c r="AW72" s="62">
        <f t="shared" ref="AW72" si="92">AW71*(1+$D72)</f>
        <v>-2.5</v>
      </c>
      <c r="AX72" s="62">
        <f t="shared" ref="AX72" si="93">AX71*(1+$D72)</f>
        <v>-2.5</v>
      </c>
      <c r="AY72" s="62">
        <f t="shared" ref="AY72" si="94">AY71*(1+$D72)</f>
        <v>-2.5</v>
      </c>
      <c r="AZ72" s="62">
        <f t="shared" ref="AZ72" si="95">AZ71*(1+$D72)</f>
        <v>-2.5</v>
      </c>
      <c r="BA72" s="62">
        <f t="shared" ref="BA72" si="96">BA71*(1+$D72)</f>
        <v>-2.5</v>
      </c>
      <c r="BB72" s="62">
        <f t="shared" ref="BB72" si="97">BB71*(1+$D72)</f>
        <v>-2.5</v>
      </c>
      <c r="BC72" s="62">
        <f t="shared" ref="BC72" si="98">BC71*(1+$D72)</f>
        <v>-2.5</v>
      </c>
      <c r="BD72" s="62">
        <f t="shared" ref="BD72" si="99">BD71*(1+$D72)</f>
        <v>-2.5</v>
      </c>
      <c r="BE72" s="62">
        <f t="shared" ref="BE72" si="100">BE71*(1+$D72)</f>
        <v>-2.5</v>
      </c>
      <c r="BF72" s="62">
        <f t="shared" ref="BF72" si="101">BF71*(1+$D72)</f>
        <v>-2.5</v>
      </c>
      <c r="BG72" s="62">
        <f t="shared" ref="BG72" si="102">BG71*(1+$D72)</f>
        <v>-2.5</v>
      </c>
      <c r="BH72" s="62">
        <f t="shared" ref="BH72" si="103">BH71*(1+$D72)</f>
        <v>-2.5</v>
      </c>
      <c r="BI72" s="62">
        <f t="shared" ref="BI72" si="104">BI71*(1+$D72)</f>
        <v>-2.5</v>
      </c>
      <c r="BJ72" s="62">
        <f t="shared" ref="BJ72" si="105">BJ71*(1+$D72)</f>
        <v>-2.5</v>
      </c>
      <c r="BK72" s="62">
        <f t="shared" ref="BK72" si="106">BK71*(1+$D72)</f>
        <v>-2.5</v>
      </c>
      <c r="BL72" s="62">
        <f t="shared" ref="BL72" si="107">BL71*(1+$D72)</f>
        <v>-2.5</v>
      </c>
      <c r="BM72" s="62">
        <f t="shared" ref="BM72" si="108">BM71*(1+$D72)</f>
        <v>-2.5</v>
      </c>
      <c r="BN72" s="62">
        <f t="shared" ref="BN72" si="109">BN71*(1+$D72)</f>
        <v>-2.5</v>
      </c>
      <c r="BO72" s="62">
        <f t="shared" ref="BO72" si="110">BO71*(1+$D72)</f>
        <v>-2.5</v>
      </c>
      <c r="BP72" s="62">
        <f t="shared" ref="BP72" si="111">BP71*(1+$D72)</f>
        <v>-2.5</v>
      </c>
      <c r="BQ72" s="62">
        <f t="shared" ref="BQ72" si="112">BQ71*(1+$D72)</f>
        <v>-2.5</v>
      </c>
      <c r="BR72" s="62">
        <f t="shared" ref="BR72" si="113">BR71*(1+$D72)</f>
        <v>-2.5</v>
      </c>
      <c r="BS72" s="62">
        <f t="shared" ref="BS72" si="114">BS71*(1+$D72)</f>
        <v>-2.5</v>
      </c>
      <c r="BT72" s="62">
        <f t="shared" ref="BT72" si="115">BT71*(1+$D72)</f>
        <v>-2.5</v>
      </c>
      <c r="BU72" s="62">
        <f t="shared" ref="BU72" si="116">BU71*(1+$D72)</f>
        <v>-2.5</v>
      </c>
      <c r="BV72" s="62">
        <f t="shared" ref="BV72" si="117">BV71*(1+$D72)</f>
        <v>-2.5</v>
      </c>
      <c r="BW72" s="62">
        <f t="shared" ref="BW72" si="118">BW71*(1+$D72)</f>
        <v>-2.5</v>
      </c>
      <c r="BX72" s="62">
        <f t="shared" ref="BX72" si="119">BX71*(1+$D72)</f>
        <v>-2.5</v>
      </c>
      <c r="BY72" s="62">
        <f t="shared" ref="BY72" si="120">BY71*(1+$D72)</f>
        <v>-2.5</v>
      </c>
      <c r="BZ72" s="62">
        <f t="shared" ref="BZ72" si="121">BZ71*(1+$D72)</f>
        <v>-2.5</v>
      </c>
      <c r="CA72" s="62">
        <f t="shared" ref="CA72" si="122">CA71*(1+$D72)</f>
        <v>-2.5</v>
      </c>
      <c r="CB72" s="62">
        <f t="shared" ref="CB72" si="123">CB71*(1+$D72)</f>
        <v>-2.5</v>
      </c>
      <c r="CC72" s="62">
        <f t="shared" ref="CC72" si="124">CC71*(1+$D72)</f>
        <v>-2.5</v>
      </c>
      <c r="CD72" s="62">
        <f t="shared" ref="CD72" si="125">CD71*(1+$D72)</f>
        <v>-2.5</v>
      </c>
      <c r="CE72" s="62">
        <f t="shared" ref="CE72" si="126">CE71*(1+$D72)</f>
        <v>-2.5</v>
      </c>
      <c r="CF72" s="62">
        <f t="shared" ref="CF72" si="127">CF71*(1+$D72)</f>
        <v>-2.5</v>
      </c>
      <c r="CG72" s="62">
        <f t="shared" ref="CG72" si="128">CG71*(1+$D72)</f>
        <v>-2.5</v>
      </c>
      <c r="CH72" s="62">
        <f t="shared" ref="CH72" si="129">CH71*(1+$D72)</f>
        <v>-2.5</v>
      </c>
      <c r="CI72" s="62">
        <f t="shared" ref="CI72" si="130">CI71*(1+$D72)</f>
        <v>-2.5</v>
      </c>
      <c r="CJ72" s="62">
        <f t="shared" ref="CJ72" si="131">CJ71*(1+$D72)</f>
        <v>-2.5</v>
      </c>
      <c r="CK72" s="62">
        <f t="shared" ref="CK72" si="132">CK71*(1+$D72)</f>
        <v>-2.5</v>
      </c>
      <c r="CL72" s="62">
        <f t="shared" ref="CL72" si="133">CL71*(1+$D72)</f>
        <v>-2.5</v>
      </c>
      <c r="CM72" s="62">
        <f t="shared" ref="CM72" si="134">CM71*(1+$D72)</f>
        <v>-2.5</v>
      </c>
      <c r="CN72" s="62">
        <f t="shared" ref="CN72" si="135">CN71*(1+$D72)</f>
        <v>-2.5</v>
      </c>
      <c r="CO72" s="62">
        <f t="shared" ref="CO72" si="136">CO71*(1+$D72)</f>
        <v>-2.5</v>
      </c>
      <c r="CP72" s="62">
        <f t="shared" ref="CP72" si="137">CP71*(1+$D72)</f>
        <v>-2.5</v>
      </c>
      <c r="CQ72" s="62">
        <f t="shared" ref="CQ72" si="138">CQ71*(1+$D72)</f>
        <v>-2.5</v>
      </c>
      <c r="CR72" s="62">
        <f t="shared" ref="CR72" si="139">CR71*(1+$D72)</f>
        <v>-2.5</v>
      </c>
      <c r="CS72" s="62">
        <f t="shared" ref="CS72" si="140">CS71*(1+$D72)</f>
        <v>-2.5</v>
      </c>
      <c r="CT72" s="62">
        <f t="shared" ref="CT72" si="141">CT71*(1+$D72)</f>
        <v>-2.5</v>
      </c>
      <c r="CU72" s="62">
        <f t="shared" ref="CU72" si="142">CU71*(1+$D72)</f>
        <v>-2.5</v>
      </c>
      <c r="CV72" s="62">
        <f t="shared" ref="CV72" si="143">CV71*(1+$D72)</f>
        <v>-2.5</v>
      </c>
      <c r="CW72" s="62">
        <f t="shared" ref="CW72" si="144">CW71*(1+$D72)</f>
        <v>-2.5</v>
      </c>
      <c r="CX72" s="62">
        <f t="shared" ref="CX72" si="145">CX71*(1+$D72)</f>
        <v>-2.5</v>
      </c>
      <c r="CY72" s="62">
        <f t="shared" ref="CY72" si="146">CY71*(1+$D72)</f>
        <v>-2.5</v>
      </c>
      <c r="CZ72" s="62">
        <f t="shared" ref="CZ72" si="147">CZ71*(1+$D72)</f>
        <v>-2.5</v>
      </c>
      <c r="DA72" s="62">
        <f t="shared" ref="DA72" si="148">DA71*(1+$D72)</f>
        <v>-2.5</v>
      </c>
      <c r="DB72" s="62">
        <f t="shared" ref="DB72" si="149">DB71*(1+$D72)</f>
        <v>-2.5</v>
      </c>
      <c r="DC72" s="62">
        <f t="shared" ref="DC72" si="150">DC71*(1+$D72)</f>
        <v>-2.5</v>
      </c>
      <c r="DD72" s="62">
        <f t="shared" ref="DD72" si="151">DD71*(1+$D72)</f>
        <v>-2.5</v>
      </c>
      <c r="DE72" s="62">
        <f t="shared" ref="DE72" si="152">DE71*(1+$D72)</f>
        <v>-2.5</v>
      </c>
      <c r="DF72" s="62">
        <f t="shared" ref="DF72" si="153">DF71*(1+$D72)</f>
        <v>-2.5</v>
      </c>
      <c r="DG72" s="62">
        <f t="shared" ref="DG72" si="154">DG71*(1+$D72)</f>
        <v>-2.5</v>
      </c>
      <c r="DH72" s="62">
        <f t="shared" ref="DH72" si="155">DH71*(1+$D72)</f>
        <v>-2.5</v>
      </c>
      <c r="DI72" s="62">
        <f t="shared" ref="DI72" si="156">DI71*(1+$D72)</f>
        <v>-2.5</v>
      </c>
      <c r="DJ72" s="62">
        <f t="shared" ref="DJ72" si="157">DJ71*(1+$D72)</f>
        <v>-2.5</v>
      </c>
      <c r="DK72" s="62">
        <f t="shared" ref="DK72" si="158">DK71*(1+$D72)</f>
        <v>-2.5</v>
      </c>
      <c r="DL72" s="62">
        <f t="shared" ref="DL72" si="159">DL71*(1+$D72)</f>
        <v>-2.5</v>
      </c>
      <c r="DM72" s="62">
        <f t="shared" ref="DM72" si="160">DM71*(1+$D72)</f>
        <v>-2.5</v>
      </c>
      <c r="DN72" s="62">
        <f t="shared" ref="DN72" si="161">DN71*(1+$D72)</f>
        <v>-2.5</v>
      </c>
      <c r="DO72" s="62">
        <f t="shared" ref="DO72" si="162">DO71*(1+$D72)</f>
        <v>-2.5</v>
      </c>
      <c r="DP72" s="62">
        <f t="shared" ref="DP72" si="163">DP71*(1+$D72)</f>
        <v>-2.5</v>
      </c>
      <c r="DQ72" s="62">
        <f t="shared" ref="DQ72" si="164">DQ71*(1+$D72)</f>
        <v>-2.5</v>
      </c>
      <c r="DR72" s="62">
        <f t="shared" ref="DR72" si="165">DR71*(1+$D72)</f>
        <v>-2.5</v>
      </c>
      <c r="DS72" s="62">
        <f t="shared" ref="DS72" si="166">DS71*(1+$D72)</f>
        <v>-2.5</v>
      </c>
      <c r="DT72" s="62">
        <f t="shared" ref="DT72" si="167">DT71*(1+$D72)</f>
        <v>-2.5</v>
      </c>
      <c r="DU72" s="62">
        <f t="shared" ref="DU72" si="168">DU71*(1+$D72)</f>
        <v>-2.5</v>
      </c>
      <c r="DV72" s="62">
        <f t="shared" ref="DV72" si="169">DV71*(1+$D72)</f>
        <v>-2.5</v>
      </c>
      <c r="DW72" s="62">
        <f t="shared" ref="DW72" si="170">DW71*(1+$D72)</f>
        <v>-2.5</v>
      </c>
      <c r="DX72" s="62">
        <f t="shared" ref="DX72" si="171">DX71*(1+$D72)</f>
        <v>-2.5</v>
      </c>
      <c r="DY72" s="62">
        <f t="shared" ref="DY72" si="172">DY71*(1+$D72)</f>
        <v>-2.5</v>
      </c>
      <c r="DZ72" s="62">
        <f t="shared" ref="DZ72" si="173">DZ71*(1+$D72)</f>
        <v>-2.5</v>
      </c>
      <c r="EA72" s="62">
        <f t="shared" ref="EA72" si="174">EA71*(1+$D72)</f>
        <v>-2.5</v>
      </c>
      <c r="EB72" s="62">
        <f t="shared" ref="EB72" si="175">EB71*(1+$D72)</f>
        <v>-2.5</v>
      </c>
      <c r="EC72" s="62">
        <f t="shared" ref="EC72" si="176">EC71*(1+$D72)</f>
        <v>-2.5</v>
      </c>
      <c r="ED72" s="62">
        <f t="shared" ref="ED72" si="177">ED71*(1+$D72)</f>
        <v>-2.5</v>
      </c>
      <c r="EE72" s="62">
        <f t="shared" ref="EE72" si="178">EE71*(1+$D72)</f>
        <v>-2.5</v>
      </c>
      <c r="EF72" s="62">
        <f t="shared" ref="EF72" si="179">EF71*(1+$D72)</f>
        <v>-2.5</v>
      </c>
      <c r="EG72" s="62">
        <f t="shared" ref="EG72" si="180">EG71*(1+$D72)</f>
        <v>-2.5</v>
      </c>
      <c r="EH72" s="62">
        <f t="shared" ref="EH72" si="181">EH71*(1+$D72)</f>
        <v>-2.5</v>
      </c>
      <c r="EI72" s="62">
        <f t="shared" ref="EI72" si="182">EI71*(1+$D72)</f>
        <v>-2.5</v>
      </c>
      <c r="EJ72" s="62">
        <f t="shared" ref="EJ72" si="183">EJ71*(1+$D72)</f>
        <v>-2.5</v>
      </c>
      <c r="EK72" s="62">
        <f t="shared" ref="EK72" si="184">EK71*(1+$D72)</f>
        <v>-2.5</v>
      </c>
      <c r="EL72" s="62">
        <f t="shared" ref="EL72" si="185">EL71*(1+$D72)</f>
        <v>-2.5</v>
      </c>
      <c r="EM72" s="62">
        <f t="shared" ref="EM72" si="186">EM71*(1+$D72)</f>
        <v>-2.5</v>
      </c>
      <c r="EN72" s="62">
        <f t="shared" ref="EN72" si="187">EN71*(1+$D72)</f>
        <v>-2.5</v>
      </c>
      <c r="EO72" s="62">
        <f t="shared" ref="EO72" si="188">EO71*(1+$D72)</f>
        <v>-2.5</v>
      </c>
      <c r="EP72" s="62">
        <f t="shared" ref="EP72" si="189">EP71*(1+$D72)</f>
        <v>-2.5</v>
      </c>
      <c r="EQ72" s="62">
        <f t="shared" ref="EQ72" si="190">EQ71*(1+$D72)</f>
        <v>-2.5</v>
      </c>
      <c r="ER72" s="62">
        <f t="shared" ref="ER72" si="191">ER71*(1+$D72)</f>
        <v>-2.5</v>
      </c>
      <c r="ES72" s="62">
        <f t="shared" ref="ES72" si="192">ES71*(1+$D72)</f>
        <v>-2.5</v>
      </c>
      <c r="ET72" s="62">
        <f t="shared" ref="ET72" si="193">ET71*(1+$D72)</f>
        <v>-2.5</v>
      </c>
      <c r="EU72" s="62">
        <f t="shared" ref="EU72" si="194">EU71*(1+$D72)</f>
        <v>-2.5</v>
      </c>
      <c r="EV72" s="62">
        <f t="shared" ref="EV72" si="195">EV71*(1+$D72)</f>
        <v>-2.5</v>
      </c>
      <c r="EW72" s="62">
        <f t="shared" ref="EW72" si="196">EW71*(1+$D72)</f>
        <v>-2.5</v>
      </c>
      <c r="EX72" s="62">
        <f t="shared" ref="EX72" si="197">EX71*(1+$D72)</f>
        <v>-2.5</v>
      </c>
      <c r="EY72" s="62">
        <f t="shared" ref="EY72" si="198">EY71*(1+$D72)</f>
        <v>-2.5</v>
      </c>
      <c r="EZ72" s="62">
        <f t="shared" ref="EZ72" si="199">EZ71*(1+$D72)</f>
        <v>-2.5</v>
      </c>
      <c r="FA72" s="62">
        <f t="shared" ref="FA72" si="200">FA71*(1+$D72)</f>
        <v>-2.5</v>
      </c>
      <c r="FB72" s="62">
        <f t="shared" ref="FB72" si="201">FB71*(1+$D72)</f>
        <v>-2.5</v>
      </c>
      <c r="FC72" s="62">
        <f t="shared" ref="FC72" si="202">FC71*(1+$D72)</f>
        <v>-2.5</v>
      </c>
      <c r="FD72" s="62">
        <f t="shared" ref="FD72" si="203">FD71*(1+$D72)</f>
        <v>-2.5</v>
      </c>
      <c r="FE72" s="62">
        <f t="shared" ref="FE72" si="204">FE71*(1+$D72)</f>
        <v>-2.5</v>
      </c>
      <c r="FF72" s="62">
        <f t="shared" ref="FF72" si="205">FF71*(1+$D72)</f>
        <v>-2.5</v>
      </c>
      <c r="FG72" s="62">
        <f t="shared" ref="FG72" si="206">FG71*(1+$D72)</f>
        <v>-2.5</v>
      </c>
      <c r="FH72" s="62">
        <f t="shared" ref="FH72" si="207">FH71*(1+$D72)</f>
        <v>-2.5</v>
      </c>
      <c r="FI72" s="62">
        <f t="shared" ref="FI72" si="208">FI71*(1+$D72)</f>
        <v>-2.5</v>
      </c>
      <c r="FJ72" s="62">
        <f t="shared" ref="FJ72" si="209">FJ71*(1+$D72)</f>
        <v>-2.5</v>
      </c>
      <c r="FK72" s="62">
        <f t="shared" ref="FK72" si="210">FK71*(1+$D72)</f>
        <v>-2.5</v>
      </c>
      <c r="FL72" s="62">
        <f t="shared" ref="FL72" si="211">FL71*(1+$D72)</f>
        <v>-2.5</v>
      </c>
      <c r="FM72" s="62">
        <f t="shared" ref="FM72" si="212">FM71*(1+$D72)</f>
        <v>-2.5</v>
      </c>
      <c r="FN72" s="62">
        <f t="shared" ref="FN72" si="213">FN71*(1+$D72)</f>
        <v>-2.5</v>
      </c>
      <c r="FO72" s="62">
        <f t="shared" ref="FO72" si="214">FO71*(1+$D72)</f>
        <v>-2.5</v>
      </c>
      <c r="FP72" s="62">
        <f t="shared" ref="FP72" si="215">FP71*(1+$D72)</f>
        <v>-2.5</v>
      </c>
      <c r="FQ72" s="62">
        <f t="shared" ref="FQ72" si="216">FQ71*(1+$D72)</f>
        <v>-2.5</v>
      </c>
      <c r="FR72" s="62">
        <f t="shared" ref="FR72" si="217">FR71*(1+$D72)</f>
        <v>-2.5</v>
      </c>
      <c r="FS72" s="62">
        <f t="shared" ref="FS72" si="218">FS71*(1+$D72)</f>
        <v>-2.5</v>
      </c>
      <c r="FT72" s="62">
        <f t="shared" ref="FT72" si="219">FT71*(1+$D72)</f>
        <v>-2.5</v>
      </c>
      <c r="FU72" s="62">
        <f t="shared" ref="FU72" si="220">FU71*(1+$D72)</f>
        <v>-2.5</v>
      </c>
      <c r="FV72" s="62">
        <f t="shared" ref="FV72" si="221">FV71*(1+$D72)</f>
        <v>-2.5</v>
      </c>
      <c r="FW72" s="62">
        <f t="shared" ref="FW72" si="222">FW71*(1+$D72)</f>
        <v>-2.5</v>
      </c>
      <c r="FX72" s="62">
        <f t="shared" ref="FX72" si="223">FX71*(1+$D72)</f>
        <v>-2.5</v>
      </c>
      <c r="FY72" s="62">
        <f t="shared" ref="FY72" si="224">FY71*(1+$D72)</f>
        <v>-2.5</v>
      </c>
      <c r="FZ72" s="62">
        <f t="shared" ref="FZ72" si="225">FZ71*(1+$D72)</f>
        <v>-2.5</v>
      </c>
      <c r="GA72" s="62">
        <f t="shared" ref="GA72" si="226">GA71*(1+$D72)</f>
        <v>-2.5</v>
      </c>
      <c r="GB72" s="62">
        <f t="shared" ref="GB72" si="227">GB71*(1+$D72)</f>
        <v>-2.5</v>
      </c>
      <c r="GC72" s="62">
        <f t="shared" ref="GC72" si="228">GC71*(1+$D72)</f>
        <v>-2.5</v>
      </c>
      <c r="GD72" s="62">
        <f t="shared" ref="GD72" si="229">GD71*(1+$D72)</f>
        <v>-2.5</v>
      </c>
      <c r="GE72" s="62">
        <f t="shared" ref="GE72" si="230">GE71*(1+$D72)</f>
        <v>-2.5</v>
      </c>
      <c r="GF72" s="62">
        <f t="shared" ref="GF72" si="231">GF71*(1+$D72)</f>
        <v>-2.5</v>
      </c>
      <c r="GG72" s="62">
        <f t="shared" ref="GG72" si="232">GG71*(1+$D72)</f>
        <v>-2.5</v>
      </c>
      <c r="GH72" s="62">
        <f t="shared" ref="GH72" si="233">GH71*(1+$D72)</f>
        <v>-2.5</v>
      </c>
      <c r="GI72" s="62">
        <f t="shared" ref="GI72" si="234">GI71*(1+$D72)</f>
        <v>-2.5</v>
      </c>
      <c r="GJ72" s="62">
        <f t="shared" ref="GJ72" si="235">GJ71*(1+$D72)</f>
        <v>-2.5</v>
      </c>
      <c r="GK72" s="62">
        <f t="shared" ref="GK72" si="236">GK71*(1+$D72)</f>
        <v>-2.5</v>
      </c>
      <c r="GL72" s="62">
        <f t="shared" ref="GL72" si="237">GL71*(1+$D72)</f>
        <v>-2.5</v>
      </c>
      <c r="GM72" s="62">
        <f t="shared" ref="GM72" si="238">GM71*(1+$D72)</f>
        <v>-2.5</v>
      </c>
      <c r="GN72" s="62">
        <f t="shared" ref="GN72" si="239">GN71*(1+$D72)</f>
        <v>-2.5</v>
      </c>
      <c r="GO72" s="62">
        <f t="shared" ref="GO72" si="240">GO71*(1+$D72)</f>
        <v>-2.5</v>
      </c>
      <c r="GP72" s="62">
        <f t="shared" ref="GP72" si="241">GP71*(1+$D72)</f>
        <v>-2.5</v>
      </c>
      <c r="GQ72" s="62">
        <f t="shared" ref="GQ72" si="242">GQ71*(1+$D72)</f>
        <v>-2.5</v>
      </c>
      <c r="GR72" s="62">
        <f t="shared" ref="GR72" si="243">GR71*(1+$D72)</f>
        <v>-2.5</v>
      </c>
      <c r="GS72" s="62">
        <f t="shared" ref="GS72" si="244">GS71*(1+$D72)</f>
        <v>-2.5</v>
      </c>
      <c r="GT72" s="62">
        <f t="shared" ref="GT72" si="245">GT71*(1+$D72)</f>
        <v>-2.5</v>
      </c>
      <c r="GU72" s="62">
        <f t="shared" ref="GU72" si="246">GU71*(1+$D72)</f>
        <v>-2.5</v>
      </c>
      <c r="GV72" s="62">
        <f t="shared" ref="GV72" si="247">GV71*(1+$D72)</f>
        <v>-2.5</v>
      </c>
      <c r="GW72" s="62">
        <f t="shared" ref="GW72" si="248">GW71*(1+$D72)</f>
        <v>-2.5</v>
      </c>
      <c r="GX72" s="62">
        <f t="shared" ref="GX72" si="249">GX71*(1+$D72)</f>
        <v>-2.5</v>
      </c>
      <c r="GY72" s="62">
        <f t="shared" ref="GY72" si="250">GY71*(1+$D72)</f>
        <v>-2.5</v>
      </c>
      <c r="GZ72" s="62">
        <f t="shared" ref="GZ72" si="251">GZ71*(1+$D72)</f>
        <v>-2.5</v>
      </c>
      <c r="HA72" s="62">
        <f t="shared" ref="HA72" si="252">HA71*(1+$D72)</f>
        <v>-2.5</v>
      </c>
      <c r="HB72" s="62">
        <f t="shared" ref="HB72" si="253">HB71*(1+$D72)</f>
        <v>-2.5</v>
      </c>
      <c r="HC72" s="62">
        <f t="shared" ref="HC72" si="254">HC71*(1+$D72)</f>
        <v>-2.5</v>
      </c>
      <c r="HD72" s="62">
        <f t="shared" ref="HD72" si="255">HD71*(1+$D72)</f>
        <v>-2.5</v>
      </c>
      <c r="HE72" s="62">
        <f t="shared" ref="HE72" si="256">HE71*(1+$D72)</f>
        <v>-2.5</v>
      </c>
      <c r="HF72" s="62">
        <f t="shared" ref="HF72" si="257">HF71*(1+$D72)</f>
        <v>-2.5</v>
      </c>
      <c r="HG72" s="62">
        <f t="shared" ref="HG72" si="258">HG71*(1+$D72)</f>
        <v>-2.5</v>
      </c>
      <c r="HH72" s="62">
        <f t="shared" ref="HH72" si="259">HH71*(1+$D72)</f>
        <v>-2.5</v>
      </c>
      <c r="HI72" s="62">
        <f t="shared" ref="HI72" si="260">HI71*(1+$D72)</f>
        <v>-2.5</v>
      </c>
      <c r="HJ72" s="62">
        <f t="shared" ref="HJ72" si="261">HJ71*(1+$D72)</f>
        <v>-2.5</v>
      </c>
      <c r="HK72" s="62">
        <f t="shared" ref="HK72" si="262">HK71*(1+$D72)</f>
        <v>-2.5</v>
      </c>
      <c r="HL72" s="62">
        <f t="shared" ref="HL72" si="263">HL71*(1+$D72)</f>
        <v>-2.5</v>
      </c>
      <c r="HM72" s="62">
        <f t="shared" ref="HM72" si="264">HM71*(1+$D72)</f>
        <v>-2.5</v>
      </c>
      <c r="HN72" s="62">
        <f t="shared" ref="HN72" si="265">HN71*(1+$D72)</f>
        <v>-2.5</v>
      </c>
      <c r="HO72" s="62">
        <f t="shared" ref="HO72" si="266">HO71*(1+$D72)</f>
        <v>-2.5</v>
      </c>
      <c r="HP72" s="62">
        <f t="shared" ref="HP72" si="267">HP71*(1+$D72)</f>
        <v>-2.5</v>
      </c>
      <c r="HQ72" s="62">
        <f t="shared" ref="HQ72" si="268">HQ71*(1+$D72)</f>
        <v>-2.5</v>
      </c>
      <c r="HR72" s="62">
        <f t="shared" ref="HR72" si="269">HR71*(1+$D72)</f>
        <v>-2.5</v>
      </c>
      <c r="HS72" s="62">
        <f t="shared" ref="HS72" si="270">HS71*(1+$D72)</f>
        <v>-2.5</v>
      </c>
      <c r="HT72" s="62">
        <f t="shared" ref="HT72" si="271">HT71*(1+$D72)</f>
        <v>-2.5</v>
      </c>
      <c r="HU72" s="62">
        <f t="shared" ref="HU72" si="272">HU71*(1+$D72)</f>
        <v>-2.5</v>
      </c>
      <c r="HV72" s="62">
        <f t="shared" ref="HV72" si="273">HV71*(1+$D72)</f>
        <v>-2.5</v>
      </c>
      <c r="HW72" s="62">
        <f t="shared" ref="HW72" si="274">HW71*(1+$D72)</f>
        <v>-2.5</v>
      </c>
      <c r="HX72" s="62">
        <f t="shared" ref="HX72" si="275">HX71*(1+$D72)</f>
        <v>-2.5</v>
      </c>
      <c r="HY72" s="62">
        <f t="shared" ref="HY72" si="276">HY71*(1+$D72)</f>
        <v>-2.5</v>
      </c>
      <c r="HZ72" s="62">
        <f t="shared" ref="HZ72" si="277">HZ71*(1+$D72)</f>
        <v>-2.5</v>
      </c>
      <c r="IA72" s="62">
        <f t="shared" ref="IA72" si="278">IA71*(1+$D72)</f>
        <v>-2.5</v>
      </c>
      <c r="IB72" s="62">
        <f t="shared" ref="IB72" si="279">IB71*(1+$D72)</f>
        <v>-2.5</v>
      </c>
      <c r="IC72" s="62">
        <f t="shared" ref="IC72" si="280">IC71*(1+$D72)</f>
        <v>-2.5</v>
      </c>
      <c r="ID72" s="62">
        <f t="shared" ref="ID72" si="281">ID71*(1+$D72)</f>
        <v>-2.5</v>
      </c>
      <c r="IE72" s="62">
        <f t="shared" ref="IE72" si="282">IE71*(1+$D72)</f>
        <v>-2.5</v>
      </c>
      <c r="IF72" s="62">
        <f t="shared" ref="IF72" si="283">IF71*(1+$D72)</f>
        <v>-2.5</v>
      </c>
      <c r="IG72" s="62">
        <f t="shared" ref="IG72" si="284">IG71*(1+$D72)</f>
        <v>-2.5</v>
      </c>
      <c r="IH72" s="62">
        <f t="shared" ref="IH72" si="285">IH71*(1+$D72)</f>
        <v>-2.5</v>
      </c>
      <c r="II72" s="62">
        <f t="shared" ref="II72" si="286">II71*(1+$D72)</f>
        <v>-2.5</v>
      </c>
      <c r="IJ72" s="62">
        <f t="shared" ref="IJ72" si="287">IJ71*(1+$D72)</f>
        <v>-2.5</v>
      </c>
      <c r="IK72" s="62">
        <f t="shared" ref="IK72" si="288">IK71*(1+$D72)</f>
        <v>-2.5</v>
      </c>
      <c r="IL72" s="62">
        <f t="shared" ref="IL72" si="289">IL71*(1+$D72)</f>
        <v>-2.5</v>
      </c>
      <c r="IM72" s="62">
        <f t="shared" ref="IM72" si="290">IM71*(1+$D72)</f>
        <v>-2.5</v>
      </c>
      <c r="IN72" s="62">
        <f t="shared" ref="IN72" si="291">IN71*(1+$D72)</f>
        <v>-2.5</v>
      </c>
      <c r="IO72" s="62">
        <f t="shared" ref="IO72" si="292">IO71*(1+$D72)</f>
        <v>-2.5</v>
      </c>
      <c r="IP72" s="62">
        <f t="shared" ref="IP72" si="293">IP71*(1+$D72)</f>
        <v>-2.5</v>
      </c>
      <c r="IQ72" s="62">
        <f t="shared" ref="IQ72" si="294">IQ71*(1+$D72)</f>
        <v>-2.5</v>
      </c>
      <c r="IR72" s="62">
        <f t="shared" ref="IR72" si="295">IR71*(1+$D72)</f>
        <v>-2.5</v>
      </c>
      <c r="IS72" s="62">
        <f t="shared" ref="IS72" si="296">IS71*(1+$D72)</f>
        <v>-2.5</v>
      </c>
      <c r="IT72" s="62">
        <f t="shared" ref="IT72" si="297">IT71*(1+$D72)</f>
        <v>-2.5</v>
      </c>
      <c r="IU72" s="62">
        <f t="shared" ref="IU72" si="298">IU71*(1+$D72)</f>
        <v>-2.5</v>
      </c>
      <c r="IV72" s="62">
        <f t="shared" ref="IV72" si="299">IV71*(1+$D72)</f>
        <v>-2.5</v>
      </c>
      <c r="IW72" s="62">
        <f t="shared" ref="IW72" si="300">IW71*(1+$D72)</f>
        <v>-2.5</v>
      </c>
      <c r="IX72" s="62">
        <f t="shared" ref="IX72" si="301">IX71*(1+$D72)</f>
        <v>-2.5</v>
      </c>
      <c r="IY72" s="62">
        <f t="shared" ref="IY72" si="302">IY71*(1+$D72)</f>
        <v>-2.5</v>
      </c>
      <c r="IZ72" s="62">
        <f t="shared" ref="IZ72" si="303">IZ71*(1+$D72)</f>
        <v>-2.5</v>
      </c>
      <c r="JA72" s="62">
        <f t="shared" ref="JA72" si="304">JA71*(1+$D72)</f>
        <v>-2.5</v>
      </c>
      <c r="JB72" s="62">
        <f t="shared" ref="JB72" si="305">JB71*(1+$D72)</f>
        <v>-2.5</v>
      </c>
      <c r="JC72" s="62">
        <f t="shared" ref="JC72" si="306">JC71*(1+$D72)</f>
        <v>-2.5</v>
      </c>
      <c r="JD72" s="62">
        <f t="shared" ref="JD72" si="307">JD71*(1+$D72)</f>
        <v>-2.5</v>
      </c>
      <c r="JE72" s="62">
        <f t="shared" ref="JE72" si="308">JE71*(1+$D72)</f>
        <v>-2.5</v>
      </c>
      <c r="JF72" s="62">
        <f t="shared" ref="JF72" si="309">JF71*(1+$D72)</f>
        <v>-2.5</v>
      </c>
      <c r="JG72" s="62">
        <f t="shared" ref="JG72" si="310">JG71*(1+$D72)</f>
        <v>-2.5</v>
      </c>
      <c r="JH72" s="62">
        <f t="shared" ref="JH72" si="311">JH71*(1+$D72)</f>
        <v>-2.5</v>
      </c>
      <c r="JI72" s="62">
        <f t="shared" ref="JI72" si="312">JI71*(1+$D72)</f>
        <v>-2.5</v>
      </c>
      <c r="JJ72" s="62">
        <f t="shared" ref="JJ72" si="313">JJ71*(1+$D72)</f>
        <v>-2.5</v>
      </c>
      <c r="JK72" s="62">
        <f t="shared" ref="JK72" si="314">JK71*(1+$D72)</f>
        <v>-2.5</v>
      </c>
      <c r="JL72" s="62">
        <f t="shared" ref="JL72" si="315">JL71*(1+$D72)</f>
        <v>-2.5</v>
      </c>
      <c r="JM72" s="62">
        <f t="shared" ref="JM72" si="316">JM71*(1+$D72)</f>
        <v>-2.5</v>
      </c>
      <c r="JN72" s="62">
        <f t="shared" ref="JN72" si="317">JN71*(1+$D72)</f>
        <v>-2.5</v>
      </c>
      <c r="JO72" s="62">
        <f t="shared" ref="JO72" si="318">JO71*(1+$D72)</f>
        <v>-2.5</v>
      </c>
      <c r="JP72" s="62">
        <f t="shared" ref="JP72" si="319">JP71*(1+$D72)</f>
        <v>-2.5</v>
      </c>
      <c r="JQ72" s="62">
        <f t="shared" ref="JQ72" si="320">JQ71*(1+$D72)</f>
        <v>-2.5</v>
      </c>
      <c r="JR72" s="62">
        <f t="shared" ref="JR72" si="321">JR71*(1+$D72)</f>
        <v>-2.5</v>
      </c>
      <c r="JS72" s="62">
        <f t="shared" ref="JS72" si="322">JS71*(1+$D72)</f>
        <v>-2.5</v>
      </c>
      <c r="JT72" s="62">
        <f t="shared" ref="JT72" si="323">JT71*(1+$D72)</f>
        <v>-2.5</v>
      </c>
      <c r="JU72" s="62">
        <f t="shared" ref="JU72" si="324">JU71*(1+$D72)</f>
        <v>-2.5</v>
      </c>
      <c r="JV72" s="62">
        <f t="shared" ref="JV72" si="325">JV71*(1+$D72)</f>
        <v>-2.5</v>
      </c>
      <c r="JW72" s="62">
        <f t="shared" ref="JW72" si="326">JW71*(1+$D72)</f>
        <v>-2.5</v>
      </c>
      <c r="JX72" s="62">
        <f t="shared" ref="JX72" si="327">JX71*(1+$D72)</f>
        <v>-2.5</v>
      </c>
      <c r="JY72" s="62">
        <f t="shared" ref="JY72" si="328">JY71*(1+$D72)</f>
        <v>-2.5</v>
      </c>
      <c r="JZ72" s="62">
        <f t="shared" ref="JZ72" si="329">JZ71*(1+$D72)</f>
        <v>-2.5</v>
      </c>
      <c r="KA72" s="62">
        <f t="shared" ref="KA72" si="330">KA71*(1+$D72)</f>
        <v>-2.5</v>
      </c>
      <c r="KB72" s="62">
        <f t="shared" ref="KB72" si="331">KB71*(1+$D72)</f>
        <v>-2.5</v>
      </c>
      <c r="KC72" s="62">
        <f t="shared" ref="KC72" si="332">KC71*(1+$D72)</f>
        <v>-2.5</v>
      </c>
      <c r="KD72" s="62">
        <f t="shared" ref="KD72" si="333">KD71*(1+$D72)</f>
        <v>-2.5</v>
      </c>
      <c r="KE72" s="62">
        <f t="shared" ref="KE72" si="334">KE71*(1+$D72)</f>
        <v>-2.5</v>
      </c>
      <c r="KF72" s="62">
        <f t="shared" ref="KF72" si="335">KF71*(1+$D72)</f>
        <v>-2.5</v>
      </c>
    </row>
    <row r="73" spans="4:292" outlineLevel="1" x14ac:dyDescent="0.35">
      <c r="K73" s="63"/>
      <c r="L73" s="63"/>
      <c r="M73" s="63"/>
      <c r="N73" s="63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  <c r="AZ73" s="63"/>
      <c r="BA73" s="63"/>
      <c r="BB73" s="63"/>
      <c r="BC73" s="63"/>
      <c r="BD73" s="63"/>
      <c r="BE73" s="63"/>
      <c r="BF73" s="63"/>
      <c r="BG73" s="63"/>
      <c r="BH73" s="63"/>
      <c r="BI73" s="63"/>
      <c r="BJ73" s="63"/>
      <c r="BK73" s="63"/>
      <c r="BL73" s="63"/>
      <c r="BM73" s="63"/>
      <c r="BN73" s="63"/>
      <c r="BO73" s="63"/>
      <c r="BP73" s="63"/>
      <c r="BQ73" s="63"/>
      <c r="BR73" s="63"/>
      <c r="BS73" s="63"/>
      <c r="BT73" s="63"/>
      <c r="BU73" s="63"/>
      <c r="BV73" s="63"/>
      <c r="BW73" s="63"/>
      <c r="BX73" s="63"/>
      <c r="BY73" s="63"/>
      <c r="BZ73" s="63"/>
      <c r="CA73" s="63"/>
      <c r="CB73" s="63"/>
      <c r="CC73" s="63"/>
      <c r="CD73" s="63"/>
      <c r="CE73" s="63"/>
      <c r="CF73" s="63"/>
      <c r="CG73" s="63"/>
      <c r="CH73" s="63"/>
      <c r="CI73" s="63"/>
      <c r="CJ73" s="63"/>
      <c r="CK73" s="63"/>
      <c r="CL73" s="63"/>
      <c r="CM73" s="63"/>
      <c r="CN73" s="63"/>
      <c r="CO73" s="63"/>
      <c r="CP73" s="63"/>
      <c r="CQ73" s="63"/>
      <c r="CR73" s="63"/>
      <c r="CS73" s="63"/>
      <c r="CT73" s="63"/>
      <c r="CU73" s="63"/>
      <c r="CV73" s="63"/>
      <c r="CW73" s="63"/>
      <c r="CX73" s="63"/>
      <c r="CY73" s="63"/>
      <c r="CZ73" s="63"/>
      <c r="DA73" s="63"/>
      <c r="DB73" s="63"/>
      <c r="DC73" s="63"/>
      <c r="DD73" s="63"/>
      <c r="DE73" s="63"/>
      <c r="DF73" s="63"/>
      <c r="DG73" s="63"/>
      <c r="DH73" s="63"/>
      <c r="DI73" s="63"/>
      <c r="DJ73" s="63"/>
      <c r="DK73" s="63"/>
      <c r="DL73" s="63"/>
      <c r="DM73" s="63"/>
      <c r="DN73" s="63"/>
      <c r="DO73" s="63"/>
      <c r="DP73" s="63"/>
      <c r="DQ73" s="63"/>
      <c r="DR73" s="63"/>
      <c r="DS73" s="63"/>
      <c r="DT73" s="63"/>
      <c r="DU73" s="63"/>
      <c r="DV73" s="63"/>
      <c r="DW73" s="63"/>
      <c r="DX73" s="63"/>
      <c r="DY73" s="63"/>
      <c r="DZ73" s="63"/>
      <c r="EA73" s="63"/>
      <c r="EB73" s="63"/>
      <c r="EC73" s="63"/>
      <c r="ED73" s="63"/>
      <c r="EE73" s="63"/>
      <c r="EF73" s="63"/>
      <c r="EG73" s="63"/>
      <c r="EH73" s="63"/>
      <c r="EI73" s="63"/>
      <c r="EJ73" s="63"/>
      <c r="EK73" s="63"/>
      <c r="EL73" s="63"/>
      <c r="EM73" s="63"/>
      <c r="EN73" s="63"/>
      <c r="EO73" s="63"/>
      <c r="EP73" s="63"/>
      <c r="EQ73" s="63"/>
      <c r="ER73" s="63"/>
      <c r="ES73" s="63"/>
      <c r="ET73" s="63"/>
      <c r="EU73" s="63"/>
      <c r="EV73" s="63"/>
      <c r="EW73" s="63"/>
      <c r="EX73" s="63"/>
      <c r="EY73" s="63"/>
      <c r="EZ73" s="63"/>
      <c r="FA73" s="63"/>
      <c r="FB73" s="63"/>
      <c r="FC73" s="63"/>
      <c r="FD73" s="63"/>
      <c r="FE73" s="63"/>
      <c r="FF73" s="63"/>
      <c r="FG73" s="63"/>
      <c r="FH73" s="63"/>
      <c r="FI73" s="63"/>
      <c r="FJ73" s="63"/>
      <c r="FK73" s="63"/>
      <c r="FL73" s="63"/>
      <c r="FM73" s="63"/>
      <c r="FN73" s="63"/>
      <c r="FO73" s="63"/>
      <c r="FP73" s="63"/>
      <c r="FQ73" s="63"/>
      <c r="FR73" s="63"/>
      <c r="FS73" s="63"/>
      <c r="FT73" s="63"/>
      <c r="FU73" s="63"/>
      <c r="FV73" s="63"/>
      <c r="FW73" s="63"/>
      <c r="FX73" s="63"/>
      <c r="FY73" s="63"/>
      <c r="FZ73" s="63"/>
      <c r="GA73" s="63"/>
      <c r="GB73" s="63"/>
      <c r="GC73" s="63"/>
      <c r="GD73" s="63"/>
      <c r="GE73" s="63"/>
      <c r="GF73" s="63"/>
      <c r="GG73" s="63"/>
      <c r="GH73" s="63"/>
      <c r="GI73" s="63"/>
      <c r="GJ73" s="63"/>
      <c r="GK73" s="63"/>
      <c r="GL73" s="63"/>
      <c r="GM73" s="63"/>
      <c r="GN73" s="63"/>
      <c r="GO73" s="63"/>
      <c r="GP73" s="63"/>
      <c r="GQ73" s="63"/>
      <c r="GR73" s="63"/>
      <c r="GS73" s="63"/>
      <c r="GT73" s="63"/>
      <c r="GU73" s="63"/>
      <c r="GV73" s="63"/>
      <c r="GW73" s="63"/>
      <c r="GX73" s="63"/>
      <c r="GY73" s="63"/>
      <c r="GZ73" s="63"/>
      <c r="HA73" s="63"/>
      <c r="HB73" s="63"/>
      <c r="HC73" s="63"/>
      <c r="HD73" s="63"/>
      <c r="HE73" s="63"/>
      <c r="HF73" s="63"/>
      <c r="HG73" s="63"/>
      <c r="HH73" s="63"/>
      <c r="HI73" s="63"/>
      <c r="HJ73" s="63"/>
      <c r="HK73" s="63"/>
      <c r="HL73" s="63"/>
      <c r="HM73" s="63"/>
      <c r="HN73" s="63"/>
      <c r="HO73" s="63"/>
      <c r="HP73" s="63"/>
      <c r="HQ73" s="63"/>
      <c r="HR73" s="63"/>
      <c r="HS73" s="63"/>
      <c r="HT73" s="63"/>
      <c r="HU73" s="63"/>
      <c r="HV73" s="63"/>
      <c r="HW73" s="63"/>
      <c r="HX73" s="63"/>
      <c r="HY73" s="63"/>
      <c r="HZ73" s="63"/>
      <c r="IA73" s="63"/>
      <c r="IB73" s="63"/>
      <c r="IC73" s="63"/>
      <c r="ID73" s="63"/>
      <c r="IE73" s="63"/>
      <c r="IF73" s="63"/>
      <c r="IG73" s="63"/>
      <c r="IH73" s="63"/>
      <c r="II73" s="63"/>
      <c r="IJ73" s="63"/>
      <c r="IK73" s="63"/>
      <c r="IL73" s="63"/>
      <c r="IM73" s="63"/>
      <c r="IN73" s="63"/>
      <c r="IO73" s="63"/>
      <c r="IP73" s="63"/>
      <c r="IQ73" s="63"/>
      <c r="IR73" s="63"/>
      <c r="IS73" s="63"/>
      <c r="IT73" s="63"/>
      <c r="IU73" s="63"/>
      <c r="IV73" s="63"/>
      <c r="IW73" s="63"/>
      <c r="IX73" s="63"/>
      <c r="IY73" s="63"/>
      <c r="IZ73" s="63"/>
      <c r="JA73" s="63"/>
      <c r="JB73" s="63"/>
      <c r="JC73" s="63"/>
      <c r="JD73" s="63"/>
      <c r="JE73" s="63"/>
      <c r="JF73" s="63"/>
      <c r="JG73" s="63"/>
      <c r="JH73" s="63"/>
      <c r="JI73" s="63"/>
      <c r="JJ73" s="63"/>
      <c r="JK73" s="63"/>
      <c r="JL73" s="63"/>
      <c r="JM73" s="63"/>
      <c r="JN73" s="63"/>
      <c r="JO73" s="63"/>
      <c r="JP73" s="63"/>
      <c r="JQ73" s="63"/>
      <c r="JR73" s="63"/>
      <c r="JS73" s="63"/>
      <c r="JT73" s="63"/>
      <c r="JU73" s="63"/>
      <c r="JV73" s="63"/>
      <c r="JW73" s="63"/>
      <c r="JX73" s="63"/>
      <c r="JY73" s="63"/>
      <c r="JZ73" s="63"/>
      <c r="KA73" s="63"/>
      <c r="KB73" s="63"/>
      <c r="KC73" s="63"/>
      <c r="KD73" s="63"/>
      <c r="KE73" s="63"/>
      <c r="KF73" s="63"/>
    </row>
    <row r="74" spans="4:292" outlineLevel="1" x14ac:dyDescent="0.35">
      <c r="E74" s="13" t="s">
        <v>170</v>
      </c>
      <c r="J74" s="15" t="s">
        <v>31</v>
      </c>
      <c r="K74" s="60">
        <v>-2.5</v>
      </c>
      <c r="L74" s="60">
        <v>-2.5</v>
      </c>
      <c r="M74" s="60">
        <v>-2.5</v>
      </c>
      <c r="N74" s="60">
        <v>-2.5</v>
      </c>
      <c r="O74" s="60">
        <v>-2.5</v>
      </c>
      <c r="P74" s="60">
        <v>-2.5</v>
      </c>
      <c r="Q74" s="60">
        <v>-2.5</v>
      </c>
      <c r="R74" s="60">
        <v>-2.5</v>
      </c>
      <c r="S74" s="60">
        <v>-2.5</v>
      </c>
      <c r="T74" s="60">
        <v>-2.5</v>
      </c>
      <c r="U74" s="60">
        <v>-2.5</v>
      </c>
      <c r="V74" s="60">
        <v>-2.5</v>
      </c>
      <c r="W74" s="60">
        <v>-2.5</v>
      </c>
      <c r="X74" s="60">
        <v>-2.5</v>
      </c>
      <c r="Y74" s="60">
        <v>-2.5</v>
      </c>
      <c r="Z74" s="60">
        <v>-2.5</v>
      </c>
      <c r="AA74" s="60">
        <v>-2.5</v>
      </c>
      <c r="AB74" s="60">
        <v>-2.5</v>
      </c>
      <c r="AC74" s="60">
        <v>-2.5</v>
      </c>
      <c r="AD74" s="60">
        <v>-2.5</v>
      </c>
      <c r="AE74" s="60">
        <v>-2.5</v>
      </c>
      <c r="AF74" s="60">
        <v>-2.5</v>
      </c>
      <c r="AG74" s="60">
        <v>-2.5</v>
      </c>
      <c r="AH74" s="60">
        <v>-2.5</v>
      </c>
      <c r="AI74" s="60">
        <v>-2.5</v>
      </c>
      <c r="AJ74" s="60">
        <v>-2.5</v>
      </c>
      <c r="AK74" s="60">
        <v>-2.5</v>
      </c>
      <c r="AL74" s="60">
        <v>-2.5</v>
      </c>
      <c r="AM74" s="60">
        <v>-2.5</v>
      </c>
      <c r="AN74" s="60">
        <v>-2.5</v>
      </c>
      <c r="AO74" s="60">
        <v>-2.5</v>
      </c>
      <c r="AP74" s="60">
        <v>-2.5</v>
      </c>
      <c r="AQ74" s="60">
        <v>-2.5</v>
      </c>
      <c r="AR74" s="60">
        <v>-2.5</v>
      </c>
      <c r="AS74" s="60">
        <v>-2.5</v>
      </c>
      <c r="AT74" s="60">
        <v>-2.5</v>
      </c>
      <c r="AU74" s="60">
        <v>-2.5</v>
      </c>
      <c r="AV74" s="60">
        <v>-2.5</v>
      </c>
      <c r="AW74" s="60">
        <v>-2.5</v>
      </c>
      <c r="AX74" s="60">
        <v>-2.5</v>
      </c>
      <c r="AY74" s="60">
        <v>-2.5</v>
      </c>
      <c r="AZ74" s="60">
        <v>-2.5</v>
      </c>
      <c r="BA74" s="60">
        <v>-2.5</v>
      </c>
      <c r="BB74" s="60">
        <v>-2.5</v>
      </c>
      <c r="BC74" s="60">
        <v>-2.5</v>
      </c>
      <c r="BD74" s="60">
        <v>-2.5</v>
      </c>
      <c r="BE74" s="60">
        <v>-2.5</v>
      </c>
      <c r="BF74" s="60">
        <v>-2.5</v>
      </c>
      <c r="BG74" s="60">
        <v>-2.5</v>
      </c>
      <c r="BH74" s="60">
        <v>-2.5</v>
      </c>
      <c r="BI74" s="60">
        <v>-2.5</v>
      </c>
      <c r="BJ74" s="60">
        <v>-2.5</v>
      </c>
      <c r="BK74" s="60">
        <v>-2.5</v>
      </c>
      <c r="BL74" s="60">
        <v>-2.5</v>
      </c>
      <c r="BM74" s="60">
        <v>-2.5</v>
      </c>
      <c r="BN74" s="60">
        <v>-2.5</v>
      </c>
      <c r="BO74" s="60">
        <v>-2.5</v>
      </c>
      <c r="BP74" s="60">
        <v>-2.5</v>
      </c>
      <c r="BQ74" s="60">
        <v>-2.5</v>
      </c>
      <c r="BR74" s="60">
        <v>-2.5</v>
      </c>
      <c r="BS74" s="60">
        <v>-2.5</v>
      </c>
      <c r="BT74" s="60">
        <v>-2.5</v>
      </c>
      <c r="BU74" s="60">
        <v>-2.5</v>
      </c>
      <c r="BV74" s="60">
        <v>-2.5</v>
      </c>
      <c r="BW74" s="60">
        <v>-2.5</v>
      </c>
      <c r="BX74" s="60">
        <v>-2.5</v>
      </c>
      <c r="BY74" s="60">
        <v>-2.5</v>
      </c>
      <c r="BZ74" s="60">
        <v>-2.5</v>
      </c>
      <c r="CA74" s="60">
        <v>-2.5</v>
      </c>
      <c r="CB74" s="60">
        <v>-2.5</v>
      </c>
      <c r="CC74" s="60">
        <v>-2.5</v>
      </c>
      <c r="CD74" s="60">
        <v>-2.5</v>
      </c>
      <c r="CE74" s="60">
        <v>-2.5</v>
      </c>
      <c r="CF74" s="60">
        <v>-2.5</v>
      </c>
      <c r="CG74" s="60">
        <v>-2.5</v>
      </c>
      <c r="CH74" s="60">
        <v>-2.5</v>
      </c>
      <c r="CI74" s="60">
        <v>-2.5</v>
      </c>
      <c r="CJ74" s="60">
        <v>-2.5</v>
      </c>
      <c r="CK74" s="60">
        <v>-2.5</v>
      </c>
      <c r="CL74" s="60">
        <v>-2.5</v>
      </c>
      <c r="CM74" s="60">
        <v>-2.5</v>
      </c>
      <c r="CN74" s="60">
        <v>-2.5</v>
      </c>
      <c r="CO74" s="60">
        <v>-2.5</v>
      </c>
      <c r="CP74" s="60">
        <v>-2.5</v>
      </c>
      <c r="CQ74" s="60">
        <v>-2.5</v>
      </c>
      <c r="CR74" s="60">
        <v>-2.5</v>
      </c>
      <c r="CS74" s="60">
        <v>-2.5</v>
      </c>
      <c r="CT74" s="60">
        <v>-2.5</v>
      </c>
      <c r="CU74" s="60">
        <v>-2.5</v>
      </c>
      <c r="CV74" s="60">
        <v>-2.5</v>
      </c>
      <c r="CW74" s="60">
        <v>-2.5</v>
      </c>
      <c r="CX74" s="60">
        <v>-2.5</v>
      </c>
      <c r="CY74" s="60">
        <v>-2.5</v>
      </c>
      <c r="CZ74" s="60">
        <v>-2.5</v>
      </c>
      <c r="DA74" s="60">
        <v>-2.5</v>
      </c>
      <c r="DB74" s="60">
        <v>-2.5</v>
      </c>
      <c r="DC74" s="60">
        <v>-2.5</v>
      </c>
      <c r="DD74" s="60">
        <v>-2.5</v>
      </c>
      <c r="DE74" s="60">
        <v>-2.5</v>
      </c>
      <c r="DF74" s="60">
        <v>-2.5</v>
      </c>
      <c r="DG74" s="60">
        <v>-2.5</v>
      </c>
      <c r="DH74" s="60">
        <v>-2.5</v>
      </c>
      <c r="DI74" s="60">
        <v>-2.5</v>
      </c>
      <c r="DJ74" s="60">
        <v>-2.5</v>
      </c>
      <c r="DK74" s="60">
        <v>-2.5</v>
      </c>
      <c r="DL74" s="60">
        <v>-2.5</v>
      </c>
      <c r="DM74" s="60">
        <v>-2.5</v>
      </c>
      <c r="DN74" s="60">
        <v>-2.5</v>
      </c>
      <c r="DO74" s="60">
        <v>-2.5</v>
      </c>
      <c r="DP74" s="60">
        <v>-2.5</v>
      </c>
      <c r="DQ74" s="60">
        <v>-2.5</v>
      </c>
      <c r="DR74" s="60">
        <v>-2.5</v>
      </c>
      <c r="DS74" s="60">
        <v>-2.5</v>
      </c>
      <c r="DT74" s="60">
        <v>-2.5</v>
      </c>
      <c r="DU74" s="60">
        <v>-2.5</v>
      </c>
      <c r="DV74" s="60">
        <v>-2.5</v>
      </c>
      <c r="DW74" s="60">
        <v>-2.5</v>
      </c>
      <c r="DX74" s="60">
        <v>-2.5</v>
      </c>
      <c r="DY74" s="60">
        <v>-2.5</v>
      </c>
      <c r="DZ74" s="60">
        <v>-2.5</v>
      </c>
      <c r="EA74" s="60">
        <v>-2.5</v>
      </c>
      <c r="EB74" s="60">
        <v>-2.5</v>
      </c>
      <c r="EC74" s="60">
        <v>-2.5</v>
      </c>
      <c r="ED74" s="60">
        <v>-2.5</v>
      </c>
      <c r="EE74" s="60">
        <v>-2.5</v>
      </c>
      <c r="EF74" s="60">
        <v>-2.5</v>
      </c>
      <c r="EG74" s="60">
        <v>-2.5</v>
      </c>
      <c r="EH74" s="60">
        <v>-2.5</v>
      </c>
      <c r="EI74" s="60">
        <v>-2.5</v>
      </c>
      <c r="EJ74" s="60">
        <v>-2.5</v>
      </c>
      <c r="EK74" s="60">
        <v>-2.5</v>
      </c>
      <c r="EL74" s="60">
        <v>-2.5</v>
      </c>
      <c r="EM74" s="60">
        <v>-2.5</v>
      </c>
      <c r="EN74" s="60">
        <v>-2.5</v>
      </c>
      <c r="EO74" s="60">
        <v>-2.5</v>
      </c>
      <c r="EP74" s="60">
        <v>-2.5</v>
      </c>
      <c r="EQ74" s="60">
        <v>-2.5</v>
      </c>
      <c r="ER74" s="60">
        <v>-2.5</v>
      </c>
      <c r="ES74" s="60">
        <v>-2.5</v>
      </c>
      <c r="ET74" s="60">
        <v>-2.5</v>
      </c>
      <c r="EU74" s="60">
        <v>-2.5</v>
      </c>
      <c r="EV74" s="60">
        <v>-2.5</v>
      </c>
      <c r="EW74" s="60">
        <v>-2.5</v>
      </c>
      <c r="EX74" s="60">
        <v>-2.5</v>
      </c>
      <c r="EY74" s="60">
        <v>-2.5</v>
      </c>
      <c r="EZ74" s="60">
        <v>-2.5</v>
      </c>
      <c r="FA74" s="60">
        <v>-2.5</v>
      </c>
      <c r="FB74" s="60">
        <v>-2.5</v>
      </c>
      <c r="FC74" s="60">
        <v>-2.5</v>
      </c>
      <c r="FD74" s="60">
        <v>-2.5</v>
      </c>
      <c r="FE74" s="60">
        <v>-2.5</v>
      </c>
      <c r="FF74" s="60">
        <v>-2.5</v>
      </c>
      <c r="FG74" s="60">
        <v>-2.5</v>
      </c>
      <c r="FH74" s="60">
        <v>-2.5</v>
      </c>
      <c r="FI74" s="60">
        <v>-2.5</v>
      </c>
      <c r="FJ74" s="60">
        <v>-2.5</v>
      </c>
      <c r="FK74" s="60">
        <v>-2.5</v>
      </c>
      <c r="FL74" s="60">
        <v>-2.5</v>
      </c>
      <c r="FM74" s="60">
        <v>-2.5</v>
      </c>
      <c r="FN74" s="60">
        <v>-2.5</v>
      </c>
      <c r="FO74" s="60">
        <v>-2.5</v>
      </c>
      <c r="FP74" s="60">
        <v>-2.5</v>
      </c>
      <c r="FQ74" s="60">
        <v>-2.5</v>
      </c>
      <c r="FR74" s="60">
        <v>-2.5</v>
      </c>
      <c r="FS74" s="60">
        <v>-2.5</v>
      </c>
      <c r="FT74" s="60">
        <v>-2.5</v>
      </c>
      <c r="FU74" s="60">
        <v>-2.5</v>
      </c>
      <c r="FV74" s="60">
        <v>-2.5</v>
      </c>
      <c r="FW74" s="60">
        <v>-2.5</v>
      </c>
      <c r="FX74" s="60">
        <v>-2.5</v>
      </c>
      <c r="FY74" s="60">
        <v>-2.5</v>
      </c>
      <c r="FZ74" s="60">
        <v>-2.5</v>
      </c>
      <c r="GA74" s="60">
        <v>-2.5</v>
      </c>
      <c r="GB74" s="60">
        <v>-2.5</v>
      </c>
      <c r="GC74" s="60">
        <v>-2.5</v>
      </c>
      <c r="GD74" s="60">
        <v>-2.5</v>
      </c>
      <c r="GE74" s="60">
        <v>-2.5</v>
      </c>
      <c r="GF74" s="60">
        <v>-2.5</v>
      </c>
      <c r="GG74" s="60">
        <v>-2.5</v>
      </c>
      <c r="GH74" s="60">
        <v>-2.5</v>
      </c>
      <c r="GI74" s="60">
        <v>-2.5</v>
      </c>
      <c r="GJ74" s="60">
        <v>-2.5</v>
      </c>
      <c r="GK74" s="60">
        <v>-2.5</v>
      </c>
      <c r="GL74" s="60">
        <v>-2.5</v>
      </c>
      <c r="GM74" s="60">
        <v>-2.5</v>
      </c>
      <c r="GN74" s="60">
        <v>-2.5</v>
      </c>
      <c r="GO74" s="60">
        <v>-2.5</v>
      </c>
      <c r="GP74" s="60">
        <v>-2.5</v>
      </c>
      <c r="GQ74" s="60">
        <v>-2.5</v>
      </c>
      <c r="GR74" s="60">
        <v>-2.5</v>
      </c>
      <c r="GS74" s="60">
        <v>-2.5</v>
      </c>
      <c r="GT74" s="60">
        <v>-2.5</v>
      </c>
      <c r="GU74" s="60">
        <v>-2.5</v>
      </c>
      <c r="GV74" s="60">
        <v>-2.5</v>
      </c>
      <c r="GW74" s="60">
        <v>-2.5</v>
      </c>
      <c r="GX74" s="60">
        <v>-2.5</v>
      </c>
      <c r="GY74" s="60">
        <v>-2.5</v>
      </c>
      <c r="GZ74" s="60">
        <v>-2.5</v>
      </c>
      <c r="HA74" s="60">
        <v>-2.5</v>
      </c>
      <c r="HB74" s="60">
        <v>-2.5</v>
      </c>
      <c r="HC74" s="60">
        <v>-2.5</v>
      </c>
      <c r="HD74" s="60">
        <v>-2.5</v>
      </c>
      <c r="HE74" s="60">
        <v>-2.5</v>
      </c>
      <c r="HF74" s="60">
        <v>-2.5</v>
      </c>
      <c r="HG74" s="60">
        <v>-2.5</v>
      </c>
      <c r="HH74" s="60">
        <v>-2.5</v>
      </c>
      <c r="HI74" s="60">
        <v>-2.5</v>
      </c>
      <c r="HJ74" s="60">
        <v>-2.5</v>
      </c>
      <c r="HK74" s="60">
        <v>-2.5</v>
      </c>
      <c r="HL74" s="60">
        <v>-2.5</v>
      </c>
      <c r="HM74" s="60">
        <v>-2.5</v>
      </c>
      <c r="HN74" s="60">
        <v>-2.5</v>
      </c>
      <c r="HO74" s="60">
        <v>-2.5</v>
      </c>
      <c r="HP74" s="60">
        <v>-2.5</v>
      </c>
      <c r="HQ74" s="60">
        <v>-2.5</v>
      </c>
      <c r="HR74" s="60">
        <v>-2.5</v>
      </c>
      <c r="HS74" s="60">
        <v>-2.5</v>
      </c>
      <c r="HT74" s="60">
        <v>-2.5</v>
      </c>
      <c r="HU74" s="60">
        <v>-2.5</v>
      </c>
      <c r="HV74" s="60">
        <v>-2.5</v>
      </c>
      <c r="HW74" s="60">
        <v>-2.5</v>
      </c>
      <c r="HX74" s="60">
        <v>-2.5</v>
      </c>
      <c r="HY74" s="60">
        <v>-2.5</v>
      </c>
      <c r="HZ74" s="60">
        <v>-2.5</v>
      </c>
      <c r="IA74" s="60">
        <v>-2.5</v>
      </c>
      <c r="IB74" s="60">
        <v>-2.5</v>
      </c>
      <c r="IC74" s="60">
        <v>-2.5</v>
      </c>
      <c r="ID74" s="60">
        <v>-2.5</v>
      </c>
      <c r="IE74" s="60">
        <v>-2.5</v>
      </c>
      <c r="IF74" s="60">
        <v>-2.5</v>
      </c>
      <c r="IG74" s="60">
        <v>-2.5</v>
      </c>
      <c r="IH74" s="60">
        <v>-2.5</v>
      </c>
      <c r="II74" s="60">
        <v>-2.5</v>
      </c>
      <c r="IJ74" s="60">
        <v>-2.5</v>
      </c>
      <c r="IK74" s="60">
        <v>-2.5</v>
      </c>
      <c r="IL74" s="60">
        <v>-2.5</v>
      </c>
      <c r="IM74" s="60">
        <v>-2.5</v>
      </c>
      <c r="IN74" s="60">
        <v>-2.5</v>
      </c>
      <c r="IO74" s="60">
        <v>-2.5</v>
      </c>
      <c r="IP74" s="60">
        <v>-2.5</v>
      </c>
      <c r="IQ74" s="60">
        <v>-2.5</v>
      </c>
      <c r="IR74" s="60">
        <v>-2.5</v>
      </c>
      <c r="IS74" s="60">
        <v>-2.5</v>
      </c>
      <c r="IT74" s="60">
        <v>-2.5</v>
      </c>
      <c r="IU74" s="60">
        <v>-2.5</v>
      </c>
      <c r="IV74" s="60">
        <v>-2.5</v>
      </c>
      <c r="IW74" s="60">
        <v>-2.5</v>
      </c>
      <c r="IX74" s="60">
        <v>-2.5</v>
      </c>
      <c r="IY74" s="60">
        <v>-2.5</v>
      </c>
      <c r="IZ74" s="60">
        <v>-2.5</v>
      </c>
      <c r="JA74" s="60">
        <v>-2.5</v>
      </c>
      <c r="JB74" s="60">
        <v>-2.5</v>
      </c>
      <c r="JC74" s="60">
        <v>-2.5</v>
      </c>
      <c r="JD74" s="60">
        <v>-2.5</v>
      </c>
      <c r="JE74" s="60">
        <v>-2.5</v>
      </c>
      <c r="JF74" s="60">
        <v>-2.5</v>
      </c>
      <c r="JG74" s="60">
        <v>-2.5</v>
      </c>
      <c r="JH74" s="60">
        <v>-2.5</v>
      </c>
      <c r="JI74" s="60">
        <v>-2.5</v>
      </c>
      <c r="JJ74" s="60">
        <v>-2.5</v>
      </c>
      <c r="JK74" s="60">
        <v>-2.5</v>
      </c>
      <c r="JL74" s="60">
        <v>-2.5</v>
      </c>
      <c r="JM74" s="60">
        <v>-2.5</v>
      </c>
      <c r="JN74" s="60">
        <v>-2.5</v>
      </c>
      <c r="JO74" s="60">
        <v>-2.5</v>
      </c>
      <c r="JP74" s="60">
        <v>-2.5</v>
      </c>
      <c r="JQ74" s="60">
        <v>-2.5</v>
      </c>
      <c r="JR74" s="60">
        <v>-2.5</v>
      </c>
      <c r="JS74" s="60">
        <v>-2.5</v>
      </c>
      <c r="JT74" s="60">
        <v>-2.5</v>
      </c>
      <c r="JU74" s="60">
        <v>-2.5</v>
      </c>
      <c r="JV74" s="60">
        <v>-2.5</v>
      </c>
      <c r="JW74" s="60">
        <v>-2.5</v>
      </c>
      <c r="JX74" s="60">
        <v>-2.5</v>
      </c>
      <c r="JY74" s="60">
        <v>-2.5</v>
      </c>
      <c r="JZ74" s="60">
        <v>-2.5</v>
      </c>
      <c r="KA74" s="60">
        <v>-2.5</v>
      </c>
      <c r="KB74" s="60">
        <v>-2.5</v>
      </c>
      <c r="KC74" s="60">
        <v>-2.5</v>
      </c>
      <c r="KD74" s="60">
        <v>-2.5</v>
      </c>
      <c r="KE74" s="60">
        <v>-2.5</v>
      </c>
      <c r="KF74" s="60">
        <v>-2.5</v>
      </c>
    </row>
    <row r="75" spans="4:292" outlineLevel="1" x14ac:dyDescent="0.35">
      <c r="E75" s="13" t="s">
        <v>170</v>
      </c>
      <c r="J75" s="15" t="s">
        <v>32</v>
      </c>
      <c r="K75" s="60">
        <v>-3</v>
      </c>
      <c r="L75" s="60">
        <v>-3</v>
      </c>
      <c r="M75" s="60">
        <v>-3</v>
      </c>
      <c r="N75" s="60">
        <v>-3</v>
      </c>
      <c r="O75" s="60">
        <v>-3</v>
      </c>
      <c r="P75" s="60">
        <v>-3</v>
      </c>
      <c r="Q75" s="60">
        <v>-3</v>
      </c>
      <c r="R75" s="60">
        <v>-3</v>
      </c>
      <c r="S75" s="60">
        <v>-3</v>
      </c>
      <c r="T75" s="60">
        <v>-3</v>
      </c>
      <c r="U75" s="60">
        <v>-3</v>
      </c>
      <c r="V75" s="60">
        <v>-3</v>
      </c>
      <c r="W75" s="60">
        <v>-3</v>
      </c>
      <c r="X75" s="60">
        <v>-3</v>
      </c>
      <c r="Y75" s="60">
        <v>-3</v>
      </c>
      <c r="Z75" s="60">
        <v>-3</v>
      </c>
      <c r="AA75" s="60">
        <v>-3</v>
      </c>
      <c r="AB75" s="60">
        <v>-3</v>
      </c>
      <c r="AC75" s="60">
        <v>-3</v>
      </c>
      <c r="AD75" s="60">
        <v>-3</v>
      </c>
      <c r="AE75" s="60">
        <v>-3</v>
      </c>
      <c r="AF75" s="60">
        <v>-3</v>
      </c>
      <c r="AG75" s="60">
        <v>-3</v>
      </c>
      <c r="AH75" s="60">
        <v>-3</v>
      </c>
      <c r="AI75" s="60">
        <v>-3</v>
      </c>
      <c r="AJ75" s="60">
        <v>-3</v>
      </c>
      <c r="AK75" s="60">
        <v>-3</v>
      </c>
      <c r="AL75" s="60">
        <v>-3</v>
      </c>
      <c r="AM75" s="60">
        <v>-3</v>
      </c>
      <c r="AN75" s="60">
        <v>-3</v>
      </c>
      <c r="AO75" s="60">
        <v>-3</v>
      </c>
      <c r="AP75" s="60">
        <v>-3</v>
      </c>
      <c r="AQ75" s="60">
        <v>-3</v>
      </c>
      <c r="AR75" s="60">
        <v>-3</v>
      </c>
      <c r="AS75" s="60">
        <v>-3</v>
      </c>
      <c r="AT75" s="60">
        <v>-3</v>
      </c>
      <c r="AU75" s="60">
        <v>-3</v>
      </c>
      <c r="AV75" s="60">
        <v>-3</v>
      </c>
      <c r="AW75" s="60">
        <v>-3</v>
      </c>
      <c r="AX75" s="60">
        <v>-3</v>
      </c>
      <c r="AY75" s="60">
        <v>-3</v>
      </c>
      <c r="AZ75" s="60">
        <v>-3</v>
      </c>
      <c r="BA75" s="60">
        <v>-3</v>
      </c>
      <c r="BB75" s="60">
        <v>-3</v>
      </c>
      <c r="BC75" s="60">
        <v>-3</v>
      </c>
      <c r="BD75" s="60">
        <v>-3</v>
      </c>
      <c r="BE75" s="60">
        <v>-3</v>
      </c>
      <c r="BF75" s="60">
        <v>-3</v>
      </c>
      <c r="BG75" s="60">
        <v>-3</v>
      </c>
      <c r="BH75" s="60">
        <v>-3</v>
      </c>
      <c r="BI75" s="60">
        <v>-3</v>
      </c>
      <c r="BJ75" s="60">
        <v>-3</v>
      </c>
      <c r="BK75" s="60">
        <v>-3</v>
      </c>
      <c r="BL75" s="60">
        <v>-3</v>
      </c>
      <c r="BM75" s="60">
        <v>-3</v>
      </c>
      <c r="BN75" s="60">
        <v>-3</v>
      </c>
      <c r="BO75" s="60">
        <v>-3</v>
      </c>
      <c r="BP75" s="60">
        <v>-3</v>
      </c>
      <c r="BQ75" s="60">
        <v>-3</v>
      </c>
      <c r="BR75" s="60">
        <v>-3</v>
      </c>
      <c r="BS75" s="60">
        <v>-3</v>
      </c>
      <c r="BT75" s="60">
        <v>-3</v>
      </c>
      <c r="BU75" s="60">
        <v>-3</v>
      </c>
      <c r="BV75" s="60">
        <v>-3</v>
      </c>
      <c r="BW75" s="60">
        <v>-3</v>
      </c>
      <c r="BX75" s="60">
        <v>-3</v>
      </c>
      <c r="BY75" s="60">
        <v>-3</v>
      </c>
      <c r="BZ75" s="60">
        <v>-3</v>
      </c>
      <c r="CA75" s="60">
        <v>-3</v>
      </c>
      <c r="CB75" s="60">
        <v>-3</v>
      </c>
      <c r="CC75" s="60">
        <v>-3</v>
      </c>
      <c r="CD75" s="60">
        <v>-3</v>
      </c>
      <c r="CE75" s="60">
        <v>-3</v>
      </c>
      <c r="CF75" s="60">
        <v>-3</v>
      </c>
      <c r="CG75" s="60">
        <v>-3</v>
      </c>
      <c r="CH75" s="60">
        <v>-3</v>
      </c>
      <c r="CI75" s="60">
        <v>-3</v>
      </c>
      <c r="CJ75" s="60">
        <v>-3</v>
      </c>
      <c r="CK75" s="60">
        <v>-3</v>
      </c>
      <c r="CL75" s="60">
        <v>-3</v>
      </c>
      <c r="CM75" s="60">
        <v>-3</v>
      </c>
      <c r="CN75" s="60">
        <v>-3</v>
      </c>
      <c r="CO75" s="60">
        <v>-3</v>
      </c>
      <c r="CP75" s="60">
        <v>-3</v>
      </c>
      <c r="CQ75" s="60">
        <v>-3</v>
      </c>
      <c r="CR75" s="60">
        <v>-3</v>
      </c>
      <c r="CS75" s="60">
        <v>-3</v>
      </c>
      <c r="CT75" s="60">
        <v>-3</v>
      </c>
      <c r="CU75" s="60">
        <v>-3</v>
      </c>
      <c r="CV75" s="60">
        <v>-3</v>
      </c>
      <c r="CW75" s="60">
        <v>-3</v>
      </c>
      <c r="CX75" s="60">
        <v>-3</v>
      </c>
      <c r="CY75" s="60">
        <v>-3</v>
      </c>
      <c r="CZ75" s="60">
        <v>-3</v>
      </c>
      <c r="DA75" s="60">
        <v>-3</v>
      </c>
      <c r="DB75" s="60">
        <v>-3</v>
      </c>
      <c r="DC75" s="60">
        <v>-3</v>
      </c>
      <c r="DD75" s="60">
        <v>-3</v>
      </c>
      <c r="DE75" s="60">
        <v>-3</v>
      </c>
      <c r="DF75" s="60">
        <v>-3</v>
      </c>
      <c r="DG75" s="60">
        <v>-3</v>
      </c>
      <c r="DH75" s="60">
        <v>-3</v>
      </c>
      <c r="DI75" s="60">
        <v>-3</v>
      </c>
      <c r="DJ75" s="60">
        <v>-3</v>
      </c>
      <c r="DK75" s="60">
        <v>-3</v>
      </c>
      <c r="DL75" s="60">
        <v>-3</v>
      </c>
      <c r="DM75" s="60">
        <v>-3</v>
      </c>
      <c r="DN75" s="60">
        <v>-3</v>
      </c>
      <c r="DO75" s="60">
        <v>-3</v>
      </c>
      <c r="DP75" s="60">
        <v>-3</v>
      </c>
      <c r="DQ75" s="60">
        <v>-3</v>
      </c>
      <c r="DR75" s="60">
        <v>-3</v>
      </c>
      <c r="DS75" s="60">
        <v>-3</v>
      </c>
      <c r="DT75" s="60">
        <v>-3</v>
      </c>
      <c r="DU75" s="60">
        <v>-3</v>
      </c>
      <c r="DV75" s="60">
        <v>-3</v>
      </c>
      <c r="DW75" s="60">
        <v>-3</v>
      </c>
      <c r="DX75" s="60">
        <v>-3</v>
      </c>
      <c r="DY75" s="60">
        <v>-3</v>
      </c>
      <c r="DZ75" s="60">
        <v>-3</v>
      </c>
      <c r="EA75" s="60">
        <v>-3</v>
      </c>
      <c r="EB75" s="60">
        <v>-3</v>
      </c>
      <c r="EC75" s="60">
        <v>-3</v>
      </c>
      <c r="ED75" s="60">
        <v>-3</v>
      </c>
      <c r="EE75" s="60">
        <v>-3</v>
      </c>
      <c r="EF75" s="60">
        <v>-3</v>
      </c>
      <c r="EG75" s="60">
        <v>-3</v>
      </c>
      <c r="EH75" s="60">
        <v>-3</v>
      </c>
      <c r="EI75" s="60">
        <v>-3</v>
      </c>
      <c r="EJ75" s="60">
        <v>-3</v>
      </c>
      <c r="EK75" s="60">
        <v>-3</v>
      </c>
      <c r="EL75" s="60">
        <v>-3</v>
      </c>
      <c r="EM75" s="60">
        <v>-3</v>
      </c>
      <c r="EN75" s="60">
        <v>-3</v>
      </c>
      <c r="EO75" s="60">
        <v>-3</v>
      </c>
      <c r="EP75" s="60">
        <v>-3</v>
      </c>
      <c r="EQ75" s="60">
        <v>-3</v>
      </c>
      <c r="ER75" s="60">
        <v>-3</v>
      </c>
      <c r="ES75" s="60">
        <v>-3</v>
      </c>
      <c r="ET75" s="60">
        <v>-3</v>
      </c>
      <c r="EU75" s="60">
        <v>-3</v>
      </c>
      <c r="EV75" s="60">
        <v>-3</v>
      </c>
      <c r="EW75" s="60">
        <v>-3</v>
      </c>
      <c r="EX75" s="60">
        <v>-3</v>
      </c>
      <c r="EY75" s="60">
        <v>-3</v>
      </c>
      <c r="EZ75" s="60">
        <v>-3</v>
      </c>
      <c r="FA75" s="60">
        <v>-3</v>
      </c>
      <c r="FB75" s="60">
        <v>-3</v>
      </c>
      <c r="FC75" s="60">
        <v>-3</v>
      </c>
      <c r="FD75" s="60">
        <v>-3</v>
      </c>
      <c r="FE75" s="60">
        <v>-3</v>
      </c>
      <c r="FF75" s="60">
        <v>-3</v>
      </c>
      <c r="FG75" s="60">
        <v>-3</v>
      </c>
      <c r="FH75" s="60">
        <v>-3</v>
      </c>
      <c r="FI75" s="60">
        <v>-3</v>
      </c>
      <c r="FJ75" s="60">
        <v>-3</v>
      </c>
      <c r="FK75" s="60">
        <v>-3</v>
      </c>
      <c r="FL75" s="60">
        <v>-3</v>
      </c>
      <c r="FM75" s="60">
        <v>-3</v>
      </c>
      <c r="FN75" s="60">
        <v>-3</v>
      </c>
      <c r="FO75" s="60">
        <v>-3</v>
      </c>
      <c r="FP75" s="60">
        <v>-3</v>
      </c>
      <c r="FQ75" s="60">
        <v>-3</v>
      </c>
      <c r="FR75" s="60">
        <v>-3</v>
      </c>
      <c r="FS75" s="60">
        <v>-3</v>
      </c>
      <c r="FT75" s="60">
        <v>-3</v>
      </c>
      <c r="FU75" s="60">
        <v>-3</v>
      </c>
      <c r="FV75" s="60">
        <v>-3</v>
      </c>
      <c r="FW75" s="60">
        <v>-3</v>
      </c>
      <c r="FX75" s="60">
        <v>-3</v>
      </c>
      <c r="FY75" s="60">
        <v>-3</v>
      </c>
      <c r="FZ75" s="60">
        <v>-3</v>
      </c>
      <c r="GA75" s="60">
        <v>-3</v>
      </c>
      <c r="GB75" s="60">
        <v>-3</v>
      </c>
      <c r="GC75" s="60">
        <v>-3</v>
      </c>
      <c r="GD75" s="60">
        <v>-3</v>
      </c>
      <c r="GE75" s="60">
        <v>-3</v>
      </c>
      <c r="GF75" s="60">
        <v>-3</v>
      </c>
      <c r="GG75" s="60">
        <v>-3</v>
      </c>
      <c r="GH75" s="60">
        <v>-3</v>
      </c>
      <c r="GI75" s="60">
        <v>-3</v>
      </c>
      <c r="GJ75" s="60">
        <v>-3</v>
      </c>
      <c r="GK75" s="60">
        <v>-3</v>
      </c>
      <c r="GL75" s="60">
        <v>-3</v>
      </c>
      <c r="GM75" s="60">
        <v>-3</v>
      </c>
      <c r="GN75" s="60">
        <v>-3</v>
      </c>
      <c r="GO75" s="60">
        <v>-3</v>
      </c>
      <c r="GP75" s="60">
        <v>-3</v>
      </c>
      <c r="GQ75" s="60">
        <v>-3</v>
      </c>
      <c r="GR75" s="60">
        <v>-3</v>
      </c>
      <c r="GS75" s="60">
        <v>-3</v>
      </c>
      <c r="GT75" s="60">
        <v>-3</v>
      </c>
      <c r="GU75" s="60">
        <v>-3</v>
      </c>
      <c r="GV75" s="60">
        <v>-3</v>
      </c>
      <c r="GW75" s="60">
        <v>-3</v>
      </c>
      <c r="GX75" s="60">
        <v>-3</v>
      </c>
      <c r="GY75" s="60">
        <v>-3</v>
      </c>
      <c r="GZ75" s="60">
        <v>-3</v>
      </c>
      <c r="HA75" s="60">
        <v>-3</v>
      </c>
      <c r="HB75" s="60">
        <v>-3</v>
      </c>
      <c r="HC75" s="60">
        <v>-3</v>
      </c>
      <c r="HD75" s="60">
        <v>-3</v>
      </c>
      <c r="HE75" s="60">
        <v>-3</v>
      </c>
      <c r="HF75" s="60">
        <v>-3</v>
      </c>
      <c r="HG75" s="60">
        <v>-3</v>
      </c>
      <c r="HH75" s="60">
        <v>-3</v>
      </c>
      <c r="HI75" s="60">
        <v>-3</v>
      </c>
      <c r="HJ75" s="60">
        <v>-3</v>
      </c>
      <c r="HK75" s="60">
        <v>-3</v>
      </c>
      <c r="HL75" s="60">
        <v>-3</v>
      </c>
      <c r="HM75" s="60">
        <v>-3</v>
      </c>
      <c r="HN75" s="60">
        <v>-3</v>
      </c>
      <c r="HO75" s="60">
        <v>-3</v>
      </c>
      <c r="HP75" s="60">
        <v>-3</v>
      </c>
      <c r="HQ75" s="60">
        <v>-3</v>
      </c>
      <c r="HR75" s="60">
        <v>-3</v>
      </c>
      <c r="HS75" s="60">
        <v>-3</v>
      </c>
      <c r="HT75" s="60">
        <v>-3</v>
      </c>
      <c r="HU75" s="60">
        <v>-3</v>
      </c>
      <c r="HV75" s="60">
        <v>-3</v>
      </c>
      <c r="HW75" s="60">
        <v>-3</v>
      </c>
      <c r="HX75" s="60">
        <v>-3</v>
      </c>
      <c r="HY75" s="60">
        <v>-3</v>
      </c>
      <c r="HZ75" s="60">
        <v>-3</v>
      </c>
      <c r="IA75" s="60">
        <v>-3</v>
      </c>
      <c r="IB75" s="60">
        <v>-3</v>
      </c>
      <c r="IC75" s="60">
        <v>-3</v>
      </c>
      <c r="ID75" s="60">
        <v>-3</v>
      </c>
      <c r="IE75" s="60">
        <v>-3</v>
      </c>
      <c r="IF75" s="60">
        <v>-3</v>
      </c>
      <c r="IG75" s="60">
        <v>-3</v>
      </c>
      <c r="IH75" s="60">
        <v>-3</v>
      </c>
      <c r="II75" s="60">
        <v>-3</v>
      </c>
      <c r="IJ75" s="60">
        <v>-3</v>
      </c>
      <c r="IK75" s="60">
        <v>-3</v>
      </c>
      <c r="IL75" s="60">
        <v>-3</v>
      </c>
      <c r="IM75" s="60">
        <v>-3</v>
      </c>
      <c r="IN75" s="60">
        <v>-3</v>
      </c>
      <c r="IO75" s="60">
        <v>-3</v>
      </c>
      <c r="IP75" s="60">
        <v>-3</v>
      </c>
      <c r="IQ75" s="60">
        <v>-3</v>
      </c>
      <c r="IR75" s="60">
        <v>-3</v>
      </c>
      <c r="IS75" s="60">
        <v>-3</v>
      </c>
      <c r="IT75" s="60">
        <v>-3</v>
      </c>
      <c r="IU75" s="60">
        <v>-3</v>
      </c>
      <c r="IV75" s="60">
        <v>-3</v>
      </c>
      <c r="IW75" s="60">
        <v>-3</v>
      </c>
      <c r="IX75" s="60">
        <v>-3</v>
      </c>
      <c r="IY75" s="60">
        <v>-3</v>
      </c>
      <c r="IZ75" s="60">
        <v>-3</v>
      </c>
      <c r="JA75" s="60">
        <v>-3</v>
      </c>
      <c r="JB75" s="60">
        <v>-3</v>
      </c>
      <c r="JC75" s="60">
        <v>-3</v>
      </c>
      <c r="JD75" s="60">
        <v>-3</v>
      </c>
      <c r="JE75" s="60">
        <v>-3</v>
      </c>
      <c r="JF75" s="60">
        <v>-3</v>
      </c>
      <c r="JG75" s="60">
        <v>-3</v>
      </c>
      <c r="JH75" s="60">
        <v>-3</v>
      </c>
      <c r="JI75" s="60">
        <v>-3</v>
      </c>
      <c r="JJ75" s="60">
        <v>-3</v>
      </c>
      <c r="JK75" s="60">
        <v>-3</v>
      </c>
      <c r="JL75" s="60">
        <v>-3</v>
      </c>
      <c r="JM75" s="60">
        <v>-3</v>
      </c>
      <c r="JN75" s="60">
        <v>-3</v>
      </c>
      <c r="JO75" s="60">
        <v>-3</v>
      </c>
      <c r="JP75" s="60">
        <v>-3</v>
      </c>
      <c r="JQ75" s="60">
        <v>-3</v>
      </c>
      <c r="JR75" s="60">
        <v>-3</v>
      </c>
      <c r="JS75" s="60">
        <v>-3</v>
      </c>
      <c r="JT75" s="60">
        <v>-3</v>
      </c>
      <c r="JU75" s="60">
        <v>-3</v>
      </c>
      <c r="JV75" s="60">
        <v>-3</v>
      </c>
      <c r="JW75" s="60">
        <v>-3</v>
      </c>
      <c r="JX75" s="60">
        <v>-3</v>
      </c>
      <c r="JY75" s="60">
        <v>-3</v>
      </c>
      <c r="JZ75" s="60">
        <v>-3</v>
      </c>
      <c r="KA75" s="60">
        <v>-3</v>
      </c>
      <c r="KB75" s="60">
        <v>-3</v>
      </c>
      <c r="KC75" s="60">
        <v>-3</v>
      </c>
      <c r="KD75" s="60">
        <v>-3</v>
      </c>
      <c r="KE75" s="60">
        <v>-3</v>
      </c>
      <c r="KF75" s="60">
        <v>-3</v>
      </c>
    </row>
    <row r="76" spans="4:292" outlineLevel="1" x14ac:dyDescent="0.35">
      <c r="E76" s="13" t="s">
        <v>170</v>
      </c>
      <c r="J76" s="15" t="s">
        <v>33</v>
      </c>
      <c r="K76" s="60">
        <v>-3.5</v>
      </c>
      <c r="L76" s="60">
        <v>-3.5</v>
      </c>
      <c r="M76" s="60">
        <v>-3.5</v>
      </c>
      <c r="N76" s="60">
        <v>-3.5</v>
      </c>
      <c r="O76" s="60">
        <v>-3.5</v>
      </c>
      <c r="P76" s="60">
        <v>-3.5</v>
      </c>
      <c r="Q76" s="60">
        <v>-3.5</v>
      </c>
      <c r="R76" s="60">
        <v>-3.5</v>
      </c>
      <c r="S76" s="60">
        <v>-3.5</v>
      </c>
      <c r="T76" s="60">
        <v>-3.5</v>
      </c>
      <c r="U76" s="60">
        <v>-3.5</v>
      </c>
      <c r="V76" s="60">
        <v>-3.5</v>
      </c>
      <c r="W76" s="60">
        <v>-3.5</v>
      </c>
      <c r="X76" s="60">
        <v>-3.5</v>
      </c>
      <c r="Y76" s="60">
        <v>-3.5</v>
      </c>
      <c r="Z76" s="60">
        <v>-3.5</v>
      </c>
      <c r="AA76" s="60">
        <v>-3.5</v>
      </c>
      <c r="AB76" s="60">
        <v>-3.5</v>
      </c>
      <c r="AC76" s="60">
        <v>-3.5</v>
      </c>
      <c r="AD76" s="60">
        <v>-3.5</v>
      </c>
      <c r="AE76" s="60">
        <v>-3.5</v>
      </c>
      <c r="AF76" s="60">
        <v>-3.5</v>
      </c>
      <c r="AG76" s="60">
        <v>-3.5</v>
      </c>
      <c r="AH76" s="60">
        <v>-3.5</v>
      </c>
      <c r="AI76" s="60">
        <v>-3.5</v>
      </c>
      <c r="AJ76" s="60">
        <v>-3.5</v>
      </c>
      <c r="AK76" s="60">
        <v>-3.5</v>
      </c>
      <c r="AL76" s="60">
        <v>-3.5</v>
      </c>
      <c r="AM76" s="60">
        <v>-3.5</v>
      </c>
      <c r="AN76" s="60">
        <v>-3.5</v>
      </c>
      <c r="AO76" s="60">
        <v>-3.5</v>
      </c>
      <c r="AP76" s="60">
        <v>-3.5</v>
      </c>
      <c r="AQ76" s="60">
        <v>-3.5</v>
      </c>
      <c r="AR76" s="60">
        <v>-3.5</v>
      </c>
      <c r="AS76" s="60">
        <v>-3.5</v>
      </c>
      <c r="AT76" s="60">
        <v>-3.5</v>
      </c>
      <c r="AU76" s="60">
        <v>-3.5</v>
      </c>
      <c r="AV76" s="60">
        <v>-3.5</v>
      </c>
      <c r="AW76" s="60">
        <v>-3.5</v>
      </c>
      <c r="AX76" s="60">
        <v>-3.5</v>
      </c>
      <c r="AY76" s="60">
        <v>-3.5</v>
      </c>
      <c r="AZ76" s="60">
        <v>-3.5</v>
      </c>
      <c r="BA76" s="60">
        <v>-3.5</v>
      </c>
      <c r="BB76" s="60">
        <v>-3.5</v>
      </c>
      <c r="BC76" s="60">
        <v>-3.5</v>
      </c>
      <c r="BD76" s="60">
        <v>-3.5</v>
      </c>
      <c r="BE76" s="60">
        <v>-3.5</v>
      </c>
      <c r="BF76" s="60">
        <v>-3.5</v>
      </c>
      <c r="BG76" s="60">
        <v>-3.5</v>
      </c>
      <c r="BH76" s="60">
        <v>-3.5</v>
      </c>
      <c r="BI76" s="60">
        <v>-3.5</v>
      </c>
      <c r="BJ76" s="60">
        <v>-3.5</v>
      </c>
      <c r="BK76" s="60">
        <v>-3.5</v>
      </c>
      <c r="BL76" s="60">
        <v>-3.5</v>
      </c>
      <c r="BM76" s="60">
        <v>-3.5</v>
      </c>
      <c r="BN76" s="60">
        <v>-3.5</v>
      </c>
      <c r="BO76" s="60">
        <v>-3.5</v>
      </c>
      <c r="BP76" s="60">
        <v>-3.5</v>
      </c>
      <c r="BQ76" s="60">
        <v>-3.5</v>
      </c>
      <c r="BR76" s="60">
        <v>-3.5</v>
      </c>
      <c r="BS76" s="60">
        <v>-3.5</v>
      </c>
      <c r="BT76" s="60">
        <v>-3.5</v>
      </c>
      <c r="BU76" s="60">
        <v>-3.5</v>
      </c>
      <c r="BV76" s="60">
        <v>-3.5</v>
      </c>
      <c r="BW76" s="60">
        <v>-3.5</v>
      </c>
      <c r="BX76" s="60">
        <v>-3.5</v>
      </c>
      <c r="BY76" s="60">
        <v>-3.5</v>
      </c>
      <c r="BZ76" s="60">
        <v>-3.5</v>
      </c>
      <c r="CA76" s="60">
        <v>-3.5</v>
      </c>
      <c r="CB76" s="60">
        <v>-3.5</v>
      </c>
      <c r="CC76" s="60">
        <v>-3.5</v>
      </c>
      <c r="CD76" s="60">
        <v>-3.5</v>
      </c>
      <c r="CE76" s="60">
        <v>-3.5</v>
      </c>
      <c r="CF76" s="60">
        <v>-3.5</v>
      </c>
      <c r="CG76" s="60">
        <v>-3.5</v>
      </c>
      <c r="CH76" s="60">
        <v>-3.5</v>
      </c>
      <c r="CI76" s="60">
        <v>-3.5</v>
      </c>
      <c r="CJ76" s="60">
        <v>-3.5</v>
      </c>
      <c r="CK76" s="60">
        <v>-3.5</v>
      </c>
      <c r="CL76" s="60">
        <v>-3.5</v>
      </c>
      <c r="CM76" s="60">
        <v>-3.5</v>
      </c>
      <c r="CN76" s="60">
        <v>-3.5</v>
      </c>
      <c r="CO76" s="60">
        <v>-3.5</v>
      </c>
      <c r="CP76" s="60">
        <v>-3.5</v>
      </c>
      <c r="CQ76" s="60">
        <v>-3.5</v>
      </c>
      <c r="CR76" s="60">
        <v>-3.5</v>
      </c>
      <c r="CS76" s="60">
        <v>-3.5</v>
      </c>
      <c r="CT76" s="60">
        <v>-3.5</v>
      </c>
      <c r="CU76" s="60">
        <v>-3.5</v>
      </c>
      <c r="CV76" s="60">
        <v>-3.5</v>
      </c>
      <c r="CW76" s="60">
        <v>-3.5</v>
      </c>
      <c r="CX76" s="60">
        <v>-3.5</v>
      </c>
      <c r="CY76" s="60">
        <v>-3.5</v>
      </c>
      <c r="CZ76" s="60">
        <v>-3.5</v>
      </c>
      <c r="DA76" s="60">
        <v>-3.5</v>
      </c>
      <c r="DB76" s="60">
        <v>-3.5</v>
      </c>
      <c r="DC76" s="60">
        <v>-3.5</v>
      </c>
      <c r="DD76" s="60">
        <v>-3.5</v>
      </c>
      <c r="DE76" s="60">
        <v>-3.5</v>
      </c>
      <c r="DF76" s="60">
        <v>-3.5</v>
      </c>
      <c r="DG76" s="60">
        <v>-3.5</v>
      </c>
      <c r="DH76" s="60">
        <v>-3.5</v>
      </c>
      <c r="DI76" s="60">
        <v>-3.5</v>
      </c>
      <c r="DJ76" s="60">
        <v>-3.5</v>
      </c>
      <c r="DK76" s="60">
        <v>-3.5</v>
      </c>
      <c r="DL76" s="60">
        <v>-3.5</v>
      </c>
      <c r="DM76" s="60">
        <v>-3.5</v>
      </c>
      <c r="DN76" s="60">
        <v>-3.5</v>
      </c>
      <c r="DO76" s="60">
        <v>-3.5</v>
      </c>
      <c r="DP76" s="60">
        <v>-3.5</v>
      </c>
      <c r="DQ76" s="60">
        <v>-3.5</v>
      </c>
      <c r="DR76" s="60">
        <v>-3.5</v>
      </c>
      <c r="DS76" s="60">
        <v>-3.5</v>
      </c>
      <c r="DT76" s="60">
        <v>-3.5</v>
      </c>
      <c r="DU76" s="60">
        <v>-3.5</v>
      </c>
      <c r="DV76" s="60">
        <v>-3.5</v>
      </c>
      <c r="DW76" s="60">
        <v>-3.5</v>
      </c>
      <c r="DX76" s="60">
        <v>-3.5</v>
      </c>
      <c r="DY76" s="60">
        <v>-3.5</v>
      </c>
      <c r="DZ76" s="60">
        <v>-3.5</v>
      </c>
      <c r="EA76" s="60">
        <v>-3.5</v>
      </c>
      <c r="EB76" s="60">
        <v>-3.5</v>
      </c>
      <c r="EC76" s="60">
        <v>-3.5</v>
      </c>
      <c r="ED76" s="60">
        <v>-3.5</v>
      </c>
      <c r="EE76" s="60">
        <v>-3.5</v>
      </c>
      <c r="EF76" s="60">
        <v>-3.5</v>
      </c>
      <c r="EG76" s="60">
        <v>-3.5</v>
      </c>
      <c r="EH76" s="60">
        <v>-3.5</v>
      </c>
      <c r="EI76" s="60">
        <v>-3.5</v>
      </c>
      <c r="EJ76" s="60">
        <v>-3.5</v>
      </c>
      <c r="EK76" s="60">
        <v>-3.5</v>
      </c>
      <c r="EL76" s="60">
        <v>-3.5</v>
      </c>
      <c r="EM76" s="60">
        <v>-3.5</v>
      </c>
      <c r="EN76" s="60">
        <v>-3.5</v>
      </c>
      <c r="EO76" s="60">
        <v>-3.5</v>
      </c>
      <c r="EP76" s="60">
        <v>-3.5</v>
      </c>
      <c r="EQ76" s="60">
        <v>-3.5</v>
      </c>
      <c r="ER76" s="60">
        <v>-3.5</v>
      </c>
      <c r="ES76" s="60">
        <v>-3.5</v>
      </c>
      <c r="ET76" s="60">
        <v>-3.5</v>
      </c>
      <c r="EU76" s="60">
        <v>-3.5</v>
      </c>
      <c r="EV76" s="60">
        <v>-3.5</v>
      </c>
      <c r="EW76" s="60">
        <v>-3.5</v>
      </c>
      <c r="EX76" s="60">
        <v>-3.5</v>
      </c>
      <c r="EY76" s="60">
        <v>-3.5</v>
      </c>
      <c r="EZ76" s="60">
        <v>-3.5</v>
      </c>
      <c r="FA76" s="60">
        <v>-3.5</v>
      </c>
      <c r="FB76" s="60">
        <v>-3.5</v>
      </c>
      <c r="FC76" s="60">
        <v>-3.5</v>
      </c>
      <c r="FD76" s="60">
        <v>-3.5</v>
      </c>
      <c r="FE76" s="60">
        <v>-3.5</v>
      </c>
      <c r="FF76" s="60">
        <v>-3.5</v>
      </c>
      <c r="FG76" s="60">
        <v>-3.5</v>
      </c>
      <c r="FH76" s="60">
        <v>-3.5</v>
      </c>
      <c r="FI76" s="60">
        <v>-3.5</v>
      </c>
      <c r="FJ76" s="60">
        <v>-3.5</v>
      </c>
      <c r="FK76" s="60">
        <v>-3.5</v>
      </c>
      <c r="FL76" s="60">
        <v>-3.5</v>
      </c>
      <c r="FM76" s="60">
        <v>-3.5</v>
      </c>
      <c r="FN76" s="60">
        <v>-3.5</v>
      </c>
      <c r="FO76" s="60">
        <v>-3.5</v>
      </c>
      <c r="FP76" s="60">
        <v>-3.5</v>
      </c>
      <c r="FQ76" s="60">
        <v>-3.5</v>
      </c>
      <c r="FR76" s="60">
        <v>-3.5</v>
      </c>
      <c r="FS76" s="60">
        <v>-3.5</v>
      </c>
      <c r="FT76" s="60">
        <v>-3.5</v>
      </c>
      <c r="FU76" s="60">
        <v>-3.5</v>
      </c>
      <c r="FV76" s="60">
        <v>-3.5</v>
      </c>
      <c r="FW76" s="60">
        <v>-3.5</v>
      </c>
      <c r="FX76" s="60">
        <v>-3.5</v>
      </c>
      <c r="FY76" s="60">
        <v>-3.5</v>
      </c>
      <c r="FZ76" s="60">
        <v>-3.5</v>
      </c>
      <c r="GA76" s="60">
        <v>-3.5</v>
      </c>
      <c r="GB76" s="60">
        <v>-3.5</v>
      </c>
      <c r="GC76" s="60">
        <v>-3.5</v>
      </c>
      <c r="GD76" s="60">
        <v>-3.5</v>
      </c>
      <c r="GE76" s="60">
        <v>-3.5</v>
      </c>
      <c r="GF76" s="60">
        <v>-3.5</v>
      </c>
      <c r="GG76" s="60">
        <v>-3.5</v>
      </c>
      <c r="GH76" s="60">
        <v>-3.5</v>
      </c>
      <c r="GI76" s="60">
        <v>-3.5</v>
      </c>
      <c r="GJ76" s="60">
        <v>-3.5</v>
      </c>
      <c r="GK76" s="60">
        <v>-3.5</v>
      </c>
      <c r="GL76" s="60">
        <v>-3.5</v>
      </c>
      <c r="GM76" s="60">
        <v>-3.5</v>
      </c>
      <c r="GN76" s="60">
        <v>-3.5</v>
      </c>
      <c r="GO76" s="60">
        <v>-3.5</v>
      </c>
      <c r="GP76" s="60">
        <v>-3.5</v>
      </c>
      <c r="GQ76" s="60">
        <v>-3.5</v>
      </c>
      <c r="GR76" s="60">
        <v>-3.5</v>
      </c>
      <c r="GS76" s="60">
        <v>-3.5</v>
      </c>
      <c r="GT76" s="60">
        <v>-3.5</v>
      </c>
      <c r="GU76" s="60">
        <v>-3.5</v>
      </c>
      <c r="GV76" s="60">
        <v>-3.5</v>
      </c>
      <c r="GW76" s="60">
        <v>-3.5</v>
      </c>
      <c r="GX76" s="60">
        <v>-3.5</v>
      </c>
      <c r="GY76" s="60">
        <v>-3.5</v>
      </c>
      <c r="GZ76" s="60">
        <v>-3.5</v>
      </c>
      <c r="HA76" s="60">
        <v>-3.5</v>
      </c>
      <c r="HB76" s="60">
        <v>-3.5</v>
      </c>
      <c r="HC76" s="60">
        <v>-3.5</v>
      </c>
      <c r="HD76" s="60">
        <v>-3.5</v>
      </c>
      <c r="HE76" s="60">
        <v>-3.5</v>
      </c>
      <c r="HF76" s="60">
        <v>-3.5</v>
      </c>
      <c r="HG76" s="60">
        <v>-3.5</v>
      </c>
      <c r="HH76" s="60">
        <v>-3.5</v>
      </c>
      <c r="HI76" s="60">
        <v>-3.5</v>
      </c>
      <c r="HJ76" s="60">
        <v>-3.5</v>
      </c>
      <c r="HK76" s="60">
        <v>-3.5</v>
      </c>
      <c r="HL76" s="60">
        <v>-3.5</v>
      </c>
      <c r="HM76" s="60">
        <v>-3.5</v>
      </c>
      <c r="HN76" s="60">
        <v>-3.5</v>
      </c>
      <c r="HO76" s="60">
        <v>-3.5</v>
      </c>
      <c r="HP76" s="60">
        <v>-3.5</v>
      </c>
      <c r="HQ76" s="60">
        <v>-3.5</v>
      </c>
      <c r="HR76" s="60">
        <v>-3.5</v>
      </c>
      <c r="HS76" s="60">
        <v>-3.5</v>
      </c>
      <c r="HT76" s="60">
        <v>-3.5</v>
      </c>
      <c r="HU76" s="60">
        <v>-3.5</v>
      </c>
      <c r="HV76" s="60">
        <v>-3.5</v>
      </c>
      <c r="HW76" s="60">
        <v>-3.5</v>
      </c>
      <c r="HX76" s="60">
        <v>-3.5</v>
      </c>
      <c r="HY76" s="60">
        <v>-3.5</v>
      </c>
      <c r="HZ76" s="60">
        <v>-3.5</v>
      </c>
      <c r="IA76" s="60">
        <v>-3.5</v>
      </c>
      <c r="IB76" s="60">
        <v>-3.5</v>
      </c>
      <c r="IC76" s="60">
        <v>-3.5</v>
      </c>
      <c r="ID76" s="60">
        <v>-3.5</v>
      </c>
      <c r="IE76" s="60">
        <v>-3.5</v>
      </c>
      <c r="IF76" s="60">
        <v>-3.5</v>
      </c>
      <c r="IG76" s="60">
        <v>-3.5</v>
      </c>
      <c r="IH76" s="60">
        <v>-3.5</v>
      </c>
      <c r="II76" s="60">
        <v>-3.5</v>
      </c>
      <c r="IJ76" s="60">
        <v>-3.5</v>
      </c>
      <c r="IK76" s="60">
        <v>-3.5</v>
      </c>
      <c r="IL76" s="60">
        <v>-3.5</v>
      </c>
      <c r="IM76" s="60">
        <v>-3.5</v>
      </c>
      <c r="IN76" s="60">
        <v>-3.5</v>
      </c>
      <c r="IO76" s="60">
        <v>-3.5</v>
      </c>
      <c r="IP76" s="60">
        <v>-3.5</v>
      </c>
      <c r="IQ76" s="60">
        <v>-3.5</v>
      </c>
      <c r="IR76" s="60">
        <v>-3.5</v>
      </c>
      <c r="IS76" s="60">
        <v>-3.5</v>
      </c>
      <c r="IT76" s="60">
        <v>-3.5</v>
      </c>
      <c r="IU76" s="60">
        <v>-3.5</v>
      </c>
      <c r="IV76" s="60">
        <v>-3.5</v>
      </c>
      <c r="IW76" s="60">
        <v>-3.5</v>
      </c>
      <c r="IX76" s="60">
        <v>-3.5</v>
      </c>
      <c r="IY76" s="60">
        <v>-3.5</v>
      </c>
      <c r="IZ76" s="60">
        <v>-3.5</v>
      </c>
      <c r="JA76" s="60">
        <v>-3.5</v>
      </c>
      <c r="JB76" s="60">
        <v>-3.5</v>
      </c>
      <c r="JC76" s="60">
        <v>-3.5</v>
      </c>
      <c r="JD76" s="60">
        <v>-3.5</v>
      </c>
      <c r="JE76" s="60">
        <v>-3.5</v>
      </c>
      <c r="JF76" s="60">
        <v>-3.5</v>
      </c>
      <c r="JG76" s="60">
        <v>-3.5</v>
      </c>
      <c r="JH76" s="60">
        <v>-3.5</v>
      </c>
      <c r="JI76" s="60">
        <v>-3.5</v>
      </c>
      <c r="JJ76" s="60">
        <v>-3.5</v>
      </c>
      <c r="JK76" s="60">
        <v>-3.5</v>
      </c>
      <c r="JL76" s="60">
        <v>-3.5</v>
      </c>
      <c r="JM76" s="60">
        <v>-3.5</v>
      </c>
      <c r="JN76" s="60">
        <v>-3.5</v>
      </c>
      <c r="JO76" s="60">
        <v>-3.5</v>
      </c>
      <c r="JP76" s="60">
        <v>-3.5</v>
      </c>
      <c r="JQ76" s="60">
        <v>-3.5</v>
      </c>
      <c r="JR76" s="60">
        <v>-3.5</v>
      </c>
      <c r="JS76" s="60">
        <v>-3.5</v>
      </c>
      <c r="JT76" s="60">
        <v>-3.5</v>
      </c>
      <c r="JU76" s="60">
        <v>-3.5</v>
      </c>
      <c r="JV76" s="60">
        <v>-3.5</v>
      </c>
      <c r="JW76" s="60">
        <v>-3.5</v>
      </c>
      <c r="JX76" s="60">
        <v>-3.5</v>
      </c>
      <c r="JY76" s="60">
        <v>-3.5</v>
      </c>
      <c r="JZ76" s="60">
        <v>-3.5</v>
      </c>
      <c r="KA76" s="60">
        <v>-3.5</v>
      </c>
      <c r="KB76" s="60">
        <v>-3.5</v>
      </c>
      <c r="KC76" s="60">
        <v>-3.5</v>
      </c>
      <c r="KD76" s="60">
        <v>-3.5</v>
      </c>
      <c r="KE76" s="60">
        <v>-3.5</v>
      </c>
      <c r="KF76" s="60">
        <v>-3.5</v>
      </c>
    </row>
    <row r="77" spans="4:292" outlineLevel="1" x14ac:dyDescent="0.35">
      <c r="E77" s="13" t="s">
        <v>170</v>
      </c>
      <c r="J77" s="15" t="s">
        <v>34</v>
      </c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0"/>
      <c r="BU77" s="60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0"/>
      <c r="CO77" s="60"/>
      <c r="CP77" s="60"/>
      <c r="CQ77" s="60"/>
      <c r="CR77" s="60"/>
      <c r="CS77" s="60"/>
      <c r="CT77" s="60"/>
      <c r="CU77" s="60"/>
      <c r="CV77" s="60"/>
      <c r="CW77" s="60"/>
      <c r="CX77" s="60"/>
      <c r="CY77" s="60"/>
      <c r="CZ77" s="60"/>
      <c r="DA77" s="60"/>
      <c r="DB77" s="60"/>
      <c r="DC77" s="60"/>
      <c r="DD77" s="60"/>
      <c r="DE77" s="60"/>
      <c r="DF77" s="60"/>
      <c r="DG77" s="60"/>
      <c r="DH77" s="60"/>
      <c r="DI77" s="60"/>
      <c r="DJ77" s="60"/>
      <c r="DK77" s="60"/>
      <c r="DL77" s="60"/>
      <c r="DM77" s="60"/>
      <c r="DN77" s="60"/>
      <c r="DO77" s="60"/>
      <c r="DP77" s="60"/>
      <c r="DQ77" s="60"/>
      <c r="DR77" s="60"/>
      <c r="DS77" s="60"/>
      <c r="DT77" s="60"/>
      <c r="DU77" s="60"/>
      <c r="DV77" s="60"/>
      <c r="DW77" s="60"/>
      <c r="DX77" s="60"/>
      <c r="DY77" s="60"/>
      <c r="DZ77" s="60"/>
      <c r="EA77" s="60"/>
      <c r="EB77" s="60"/>
      <c r="EC77" s="60"/>
      <c r="ED77" s="60"/>
      <c r="EE77" s="60"/>
      <c r="EF77" s="60"/>
      <c r="EG77" s="60"/>
      <c r="EH77" s="60"/>
      <c r="EI77" s="60"/>
      <c r="EJ77" s="60"/>
      <c r="EK77" s="60"/>
      <c r="EL77" s="60"/>
      <c r="EM77" s="60"/>
      <c r="EN77" s="60"/>
      <c r="EO77" s="60"/>
      <c r="EP77" s="60"/>
      <c r="EQ77" s="60"/>
      <c r="ER77" s="60"/>
      <c r="ES77" s="60"/>
      <c r="ET77" s="60"/>
      <c r="EU77" s="60"/>
      <c r="EV77" s="60"/>
      <c r="EW77" s="60"/>
      <c r="EX77" s="60"/>
      <c r="EY77" s="60"/>
      <c r="EZ77" s="60"/>
      <c r="FA77" s="60"/>
      <c r="FB77" s="60"/>
      <c r="FC77" s="60"/>
      <c r="FD77" s="60"/>
      <c r="FE77" s="60"/>
      <c r="FF77" s="60"/>
      <c r="FG77" s="60"/>
      <c r="FH77" s="60"/>
      <c r="FI77" s="60"/>
      <c r="FJ77" s="60"/>
      <c r="FK77" s="60"/>
      <c r="FL77" s="60"/>
      <c r="FM77" s="60"/>
      <c r="FN77" s="60"/>
      <c r="FO77" s="60"/>
      <c r="FP77" s="60"/>
      <c r="FQ77" s="60"/>
      <c r="FR77" s="60"/>
      <c r="FS77" s="60"/>
      <c r="FT77" s="60"/>
      <c r="FU77" s="60"/>
      <c r="FV77" s="60"/>
      <c r="FW77" s="60"/>
      <c r="FX77" s="60"/>
      <c r="FY77" s="60"/>
      <c r="FZ77" s="60"/>
      <c r="GA77" s="60"/>
      <c r="GB77" s="60"/>
      <c r="GC77" s="60"/>
      <c r="GD77" s="60"/>
      <c r="GE77" s="60"/>
      <c r="GF77" s="60"/>
      <c r="GG77" s="60"/>
      <c r="GH77" s="60"/>
      <c r="GI77" s="60"/>
      <c r="GJ77" s="60"/>
      <c r="GK77" s="60"/>
      <c r="GL77" s="60"/>
      <c r="GM77" s="60"/>
      <c r="GN77" s="60"/>
      <c r="GO77" s="60"/>
      <c r="GP77" s="60"/>
      <c r="GQ77" s="60"/>
      <c r="GR77" s="60"/>
      <c r="GS77" s="60"/>
      <c r="GT77" s="60"/>
      <c r="GU77" s="60"/>
      <c r="GV77" s="60"/>
      <c r="GW77" s="60"/>
      <c r="GX77" s="60"/>
      <c r="GY77" s="60"/>
      <c r="GZ77" s="60"/>
      <c r="HA77" s="60"/>
      <c r="HB77" s="60"/>
      <c r="HC77" s="60"/>
      <c r="HD77" s="60"/>
      <c r="HE77" s="60"/>
      <c r="HF77" s="60"/>
      <c r="HG77" s="60"/>
      <c r="HH77" s="60"/>
      <c r="HI77" s="60"/>
      <c r="HJ77" s="60"/>
      <c r="HK77" s="60"/>
      <c r="HL77" s="60"/>
      <c r="HM77" s="60"/>
      <c r="HN77" s="60"/>
      <c r="HO77" s="60"/>
      <c r="HP77" s="60"/>
      <c r="HQ77" s="60"/>
      <c r="HR77" s="60"/>
      <c r="HS77" s="60"/>
      <c r="HT77" s="60"/>
      <c r="HU77" s="60"/>
      <c r="HV77" s="60"/>
      <c r="HW77" s="60"/>
      <c r="HX77" s="60"/>
      <c r="HY77" s="60"/>
      <c r="HZ77" s="60"/>
      <c r="IA77" s="60"/>
      <c r="IB77" s="60"/>
      <c r="IC77" s="60"/>
      <c r="ID77" s="60"/>
      <c r="IE77" s="60"/>
      <c r="IF77" s="60"/>
      <c r="IG77" s="60"/>
      <c r="IH77" s="60"/>
      <c r="II77" s="60"/>
      <c r="IJ77" s="60"/>
      <c r="IK77" s="60"/>
      <c r="IL77" s="60"/>
      <c r="IM77" s="60"/>
      <c r="IN77" s="60"/>
      <c r="IO77" s="60"/>
      <c r="IP77" s="60"/>
      <c r="IQ77" s="60"/>
      <c r="IR77" s="60"/>
      <c r="IS77" s="60"/>
      <c r="IT77" s="60"/>
      <c r="IU77" s="60"/>
      <c r="IV77" s="60"/>
      <c r="IW77" s="60"/>
      <c r="IX77" s="60"/>
      <c r="IY77" s="60"/>
      <c r="IZ77" s="60"/>
      <c r="JA77" s="60"/>
      <c r="JB77" s="60"/>
      <c r="JC77" s="60"/>
      <c r="JD77" s="60"/>
      <c r="JE77" s="60"/>
      <c r="JF77" s="60"/>
      <c r="JG77" s="60"/>
      <c r="JH77" s="60"/>
      <c r="JI77" s="60"/>
      <c r="JJ77" s="60"/>
      <c r="JK77" s="60"/>
      <c r="JL77" s="60"/>
      <c r="JM77" s="60"/>
      <c r="JN77" s="60"/>
      <c r="JO77" s="60"/>
      <c r="JP77" s="60"/>
      <c r="JQ77" s="60"/>
      <c r="JR77" s="60"/>
      <c r="JS77" s="60"/>
      <c r="JT77" s="60"/>
      <c r="JU77" s="60"/>
      <c r="JV77" s="60"/>
      <c r="JW77" s="60"/>
      <c r="JX77" s="60"/>
      <c r="JY77" s="60"/>
      <c r="JZ77" s="60"/>
      <c r="KA77" s="60"/>
      <c r="KB77" s="60"/>
      <c r="KC77" s="60"/>
      <c r="KD77" s="60"/>
      <c r="KE77" s="60"/>
      <c r="KF77" s="60"/>
    </row>
    <row r="78" spans="4:292" outlineLevel="1" x14ac:dyDescent="0.35">
      <c r="E78" s="13" t="s">
        <v>170</v>
      </c>
      <c r="J78" s="15" t="s">
        <v>34</v>
      </c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0"/>
      <c r="BU78" s="60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0"/>
      <c r="CO78" s="60"/>
      <c r="CP78" s="60"/>
      <c r="CQ78" s="60"/>
      <c r="CR78" s="60"/>
      <c r="CS78" s="60"/>
      <c r="CT78" s="60"/>
      <c r="CU78" s="60"/>
      <c r="CV78" s="60"/>
      <c r="CW78" s="60"/>
      <c r="CX78" s="60"/>
      <c r="CY78" s="60"/>
      <c r="CZ78" s="60"/>
      <c r="DA78" s="60"/>
      <c r="DB78" s="60"/>
      <c r="DC78" s="60"/>
      <c r="DD78" s="60"/>
      <c r="DE78" s="60"/>
      <c r="DF78" s="60"/>
      <c r="DG78" s="60"/>
      <c r="DH78" s="60"/>
      <c r="DI78" s="60"/>
      <c r="DJ78" s="60"/>
      <c r="DK78" s="60"/>
      <c r="DL78" s="60"/>
      <c r="DM78" s="60"/>
      <c r="DN78" s="60"/>
      <c r="DO78" s="60"/>
      <c r="DP78" s="60"/>
      <c r="DQ78" s="60"/>
      <c r="DR78" s="60"/>
      <c r="DS78" s="60"/>
      <c r="DT78" s="60"/>
      <c r="DU78" s="60"/>
      <c r="DV78" s="60"/>
      <c r="DW78" s="60"/>
      <c r="DX78" s="60"/>
      <c r="DY78" s="60"/>
      <c r="DZ78" s="60"/>
      <c r="EA78" s="60"/>
      <c r="EB78" s="60"/>
      <c r="EC78" s="60"/>
      <c r="ED78" s="60"/>
      <c r="EE78" s="60"/>
      <c r="EF78" s="60"/>
      <c r="EG78" s="60"/>
      <c r="EH78" s="60"/>
      <c r="EI78" s="60"/>
      <c r="EJ78" s="60"/>
      <c r="EK78" s="60"/>
      <c r="EL78" s="60"/>
      <c r="EM78" s="60"/>
      <c r="EN78" s="60"/>
      <c r="EO78" s="60"/>
      <c r="EP78" s="60"/>
      <c r="EQ78" s="60"/>
      <c r="ER78" s="60"/>
      <c r="ES78" s="60"/>
      <c r="ET78" s="60"/>
      <c r="EU78" s="60"/>
      <c r="EV78" s="60"/>
      <c r="EW78" s="60"/>
      <c r="EX78" s="60"/>
      <c r="EY78" s="60"/>
      <c r="EZ78" s="60"/>
      <c r="FA78" s="60"/>
      <c r="FB78" s="60"/>
      <c r="FC78" s="60"/>
      <c r="FD78" s="60"/>
      <c r="FE78" s="60"/>
      <c r="FF78" s="60"/>
      <c r="FG78" s="60"/>
      <c r="FH78" s="60"/>
      <c r="FI78" s="60"/>
      <c r="FJ78" s="60"/>
      <c r="FK78" s="60"/>
      <c r="FL78" s="60"/>
      <c r="FM78" s="60"/>
      <c r="FN78" s="60"/>
      <c r="FO78" s="60"/>
      <c r="FP78" s="60"/>
      <c r="FQ78" s="60"/>
      <c r="FR78" s="60"/>
      <c r="FS78" s="60"/>
      <c r="FT78" s="60"/>
      <c r="FU78" s="60"/>
      <c r="FV78" s="60"/>
      <c r="FW78" s="60"/>
      <c r="FX78" s="60"/>
      <c r="FY78" s="60"/>
      <c r="FZ78" s="60"/>
      <c r="GA78" s="60"/>
      <c r="GB78" s="60"/>
      <c r="GC78" s="60"/>
      <c r="GD78" s="60"/>
      <c r="GE78" s="60"/>
      <c r="GF78" s="60"/>
      <c r="GG78" s="60"/>
      <c r="GH78" s="60"/>
      <c r="GI78" s="60"/>
      <c r="GJ78" s="60"/>
      <c r="GK78" s="60"/>
      <c r="GL78" s="60"/>
      <c r="GM78" s="60"/>
      <c r="GN78" s="60"/>
      <c r="GO78" s="60"/>
      <c r="GP78" s="60"/>
      <c r="GQ78" s="60"/>
      <c r="GR78" s="60"/>
      <c r="GS78" s="60"/>
      <c r="GT78" s="60"/>
      <c r="GU78" s="60"/>
      <c r="GV78" s="60"/>
      <c r="GW78" s="60"/>
      <c r="GX78" s="60"/>
      <c r="GY78" s="60"/>
      <c r="GZ78" s="60"/>
      <c r="HA78" s="60"/>
      <c r="HB78" s="60"/>
      <c r="HC78" s="60"/>
      <c r="HD78" s="60"/>
      <c r="HE78" s="60"/>
      <c r="HF78" s="60"/>
      <c r="HG78" s="60"/>
      <c r="HH78" s="60"/>
      <c r="HI78" s="60"/>
      <c r="HJ78" s="60"/>
      <c r="HK78" s="60"/>
      <c r="HL78" s="60"/>
      <c r="HM78" s="60"/>
      <c r="HN78" s="60"/>
      <c r="HO78" s="60"/>
      <c r="HP78" s="60"/>
      <c r="HQ78" s="60"/>
      <c r="HR78" s="60"/>
      <c r="HS78" s="60"/>
      <c r="HT78" s="60"/>
      <c r="HU78" s="60"/>
      <c r="HV78" s="60"/>
      <c r="HW78" s="60"/>
      <c r="HX78" s="60"/>
      <c r="HY78" s="60"/>
      <c r="HZ78" s="60"/>
      <c r="IA78" s="60"/>
      <c r="IB78" s="60"/>
      <c r="IC78" s="60"/>
      <c r="ID78" s="60"/>
      <c r="IE78" s="60"/>
      <c r="IF78" s="60"/>
      <c r="IG78" s="60"/>
      <c r="IH78" s="60"/>
      <c r="II78" s="60"/>
      <c r="IJ78" s="60"/>
      <c r="IK78" s="60"/>
      <c r="IL78" s="60"/>
      <c r="IM78" s="60"/>
      <c r="IN78" s="60"/>
      <c r="IO78" s="60"/>
      <c r="IP78" s="60"/>
      <c r="IQ78" s="60"/>
      <c r="IR78" s="60"/>
      <c r="IS78" s="60"/>
      <c r="IT78" s="60"/>
      <c r="IU78" s="60"/>
      <c r="IV78" s="60"/>
      <c r="IW78" s="60"/>
      <c r="IX78" s="60"/>
      <c r="IY78" s="60"/>
      <c r="IZ78" s="60"/>
      <c r="JA78" s="60"/>
      <c r="JB78" s="60"/>
      <c r="JC78" s="60"/>
      <c r="JD78" s="60"/>
      <c r="JE78" s="60"/>
      <c r="JF78" s="60"/>
      <c r="JG78" s="60"/>
      <c r="JH78" s="60"/>
      <c r="JI78" s="60"/>
      <c r="JJ78" s="60"/>
      <c r="JK78" s="60"/>
      <c r="JL78" s="60"/>
      <c r="JM78" s="60"/>
      <c r="JN78" s="60"/>
      <c r="JO78" s="60"/>
      <c r="JP78" s="60"/>
      <c r="JQ78" s="60"/>
      <c r="JR78" s="60"/>
      <c r="JS78" s="60"/>
      <c r="JT78" s="60"/>
      <c r="JU78" s="60"/>
      <c r="JV78" s="60"/>
      <c r="JW78" s="60"/>
      <c r="JX78" s="60"/>
      <c r="JY78" s="60"/>
      <c r="JZ78" s="60"/>
      <c r="KA78" s="60"/>
      <c r="KB78" s="60"/>
      <c r="KC78" s="60"/>
      <c r="KD78" s="60"/>
      <c r="KE78" s="60"/>
      <c r="KF78" s="60"/>
    </row>
    <row r="79" spans="4:292" outlineLevel="1" x14ac:dyDescent="0.35">
      <c r="E79" s="13" t="s">
        <v>170</v>
      </c>
      <c r="J79" s="15" t="s">
        <v>34</v>
      </c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0"/>
      <c r="BU79" s="60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0"/>
      <c r="CO79" s="60"/>
      <c r="CP79" s="60"/>
      <c r="CQ79" s="60"/>
      <c r="CR79" s="60"/>
      <c r="CS79" s="60"/>
      <c r="CT79" s="60"/>
      <c r="CU79" s="60"/>
      <c r="CV79" s="60"/>
      <c r="CW79" s="60"/>
      <c r="CX79" s="60"/>
      <c r="CY79" s="60"/>
      <c r="CZ79" s="60"/>
      <c r="DA79" s="60"/>
      <c r="DB79" s="60"/>
      <c r="DC79" s="60"/>
      <c r="DD79" s="60"/>
      <c r="DE79" s="60"/>
      <c r="DF79" s="60"/>
      <c r="DG79" s="60"/>
      <c r="DH79" s="60"/>
      <c r="DI79" s="60"/>
      <c r="DJ79" s="60"/>
      <c r="DK79" s="60"/>
      <c r="DL79" s="60"/>
      <c r="DM79" s="60"/>
      <c r="DN79" s="60"/>
      <c r="DO79" s="60"/>
      <c r="DP79" s="60"/>
      <c r="DQ79" s="60"/>
      <c r="DR79" s="60"/>
      <c r="DS79" s="60"/>
      <c r="DT79" s="60"/>
      <c r="DU79" s="60"/>
      <c r="DV79" s="60"/>
      <c r="DW79" s="60"/>
      <c r="DX79" s="60"/>
      <c r="DY79" s="60"/>
      <c r="DZ79" s="60"/>
      <c r="EA79" s="60"/>
      <c r="EB79" s="60"/>
      <c r="EC79" s="60"/>
      <c r="ED79" s="60"/>
      <c r="EE79" s="60"/>
      <c r="EF79" s="60"/>
      <c r="EG79" s="60"/>
      <c r="EH79" s="60"/>
      <c r="EI79" s="60"/>
      <c r="EJ79" s="60"/>
      <c r="EK79" s="60"/>
      <c r="EL79" s="60"/>
      <c r="EM79" s="60"/>
      <c r="EN79" s="60"/>
      <c r="EO79" s="60"/>
      <c r="EP79" s="60"/>
      <c r="EQ79" s="60"/>
      <c r="ER79" s="60"/>
      <c r="ES79" s="60"/>
      <c r="ET79" s="60"/>
      <c r="EU79" s="60"/>
      <c r="EV79" s="60"/>
      <c r="EW79" s="60"/>
      <c r="EX79" s="60"/>
      <c r="EY79" s="60"/>
      <c r="EZ79" s="60"/>
      <c r="FA79" s="60"/>
      <c r="FB79" s="60"/>
      <c r="FC79" s="60"/>
      <c r="FD79" s="60"/>
      <c r="FE79" s="60"/>
      <c r="FF79" s="60"/>
      <c r="FG79" s="60"/>
      <c r="FH79" s="60"/>
      <c r="FI79" s="60"/>
      <c r="FJ79" s="60"/>
      <c r="FK79" s="60"/>
      <c r="FL79" s="60"/>
      <c r="FM79" s="60"/>
      <c r="FN79" s="60"/>
      <c r="FO79" s="60"/>
      <c r="FP79" s="60"/>
      <c r="FQ79" s="60"/>
      <c r="FR79" s="60"/>
      <c r="FS79" s="60"/>
      <c r="FT79" s="60"/>
      <c r="FU79" s="60"/>
      <c r="FV79" s="60"/>
      <c r="FW79" s="60"/>
      <c r="FX79" s="60"/>
      <c r="FY79" s="60"/>
      <c r="FZ79" s="60"/>
      <c r="GA79" s="60"/>
      <c r="GB79" s="60"/>
      <c r="GC79" s="60"/>
      <c r="GD79" s="60"/>
      <c r="GE79" s="60"/>
      <c r="GF79" s="60"/>
      <c r="GG79" s="60"/>
      <c r="GH79" s="60"/>
      <c r="GI79" s="60"/>
      <c r="GJ79" s="60"/>
      <c r="GK79" s="60"/>
      <c r="GL79" s="60"/>
      <c r="GM79" s="60"/>
      <c r="GN79" s="60"/>
      <c r="GO79" s="60"/>
      <c r="GP79" s="60"/>
      <c r="GQ79" s="60"/>
      <c r="GR79" s="60"/>
      <c r="GS79" s="60"/>
      <c r="GT79" s="60"/>
      <c r="GU79" s="60"/>
      <c r="GV79" s="60"/>
      <c r="GW79" s="60"/>
      <c r="GX79" s="60"/>
      <c r="GY79" s="60"/>
      <c r="GZ79" s="60"/>
      <c r="HA79" s="60"/>
      <c r="HB79" s="60"/>
      <c r="HC79" s="60"/>
      <c r="HD79" s="60"/>
      <c r="HE79" s="60"/>
      <c r="HF79" s="60"/>
      <c r="HG79" s="60"/>
      <c r="HH79" s="60"/>
      <c r="HI79" s="60"/>
      <c r="HJ79" s="60"/>
      <c r="HK79" s="60"/>
      <c r="HL79" s="60"/>
      <c r="HM79" s="60"/>
      <c r="HN79" s="60"/>
      <c r="HO79" s="60"/>
      <c r="HP79" s="60"/>
      <c r="HQ79" s="60"/>
      <c r="HR79" s="60"/>
      <c r="HS79" s="60"/>
      <c r="HT79" s="60"/>
      <c r="HU79" s="60"/>
      <c r="HV79" s="60"/>
      <c r="HW79" s="60"/>
      <c r="HX79" s="60"/>
      <c r="HY79" s="60"/>
      <c r="HZ79" s="60"/>
      <c r="IA79" s="60"/>
      <c r="IB79" s="60"/>
      <c r="IC79" s="60"/>
      <c r="ID79" s="60"/>
      <c r="IE79" s="60"/>
      <c r="IF79" s="60"/>
      <c r="IG79" s="60"/>
      <c r="IH79" s="60"/>
      <c r="II79" s="60"/>
      <c r="IJ79" s="60"/>
      <c r="IK79" s="60"/>
      <c r="IL79" s="60"/>
      <c r="IM79" s="60"/>
      <c r="IN79" s="60"/>
      <c r="IO79" s="60"/>
      <c r="IP79" s="60"/>
      <c r="IQ79" s="60"/>
      <c r="IR79" s="60"/>
      <c r="IS79" s="60"/>
      <c r="IT79" s="60"/>
      <c r="IU79" s="60"/>
      <c r="IV79" s="60"/>
      <c r="IW79" s="60"/>
      <c r="IX79" s="60"/>
      <c r="IY79" s="60"/>
      <c r="IZ79" s="60"/>
      <c r="JA79" s="60"/>
      <c r="JB79" s="60"/>
      <c r="JC79" s="60"/>
      <c r="JD79" s="60"/>
      <c r="JE79" s="60"/>
      <c r="JF79" s="60"/>
      <c r="JG79" s="60"/>
      <c r="JH79" s="60"/>
      <c r="JI79" s="60"/>
      <c r="JJ79" s="60"/>
      <c r="JK79" s="60"/>
      <c r="JL79" s="60"/>
      <c r="JM79" s="60"/>
      <c r="JN79" s="60"/>
      <c r="JO79" s="60"/>
      <c r="JP79" s="60"/>
      <c r="JQ79" s="60"/>
      <c r="JR79" s="60"/>
      <c r="JS79" s="60"/>
      <c r="JT79" s="60"/>
      <c r="JU79" s="60"/>
      <c r="JV79" s="60"/>
      <c r="JW79" s="60"/>
      <c r="JX79" s="60"/>
      <c r="JY79" s="60"/>
      <c r="JZ79" s="60"/>
      <c r="KA79" s="60"/>
      <c r="KB79" s="60"/>
      <c r="KC79" s="60"/>
      <c r="KD79" s="60"/>
      <c r="KE79" s="60"/>
      <c r="KF79" s="60"/>
    </row>
    <row r="80" spans="4:292" outlineLevel="1" x14ac:dyDescent="0.35">
      <c r="E80" s="13" t="s">
        <v>170</v>
      </c>
      <c r="J80" s="15" t="s">
        <v>34</v>
      </c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0"/>
      <c r="BU80" s="60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0"/>
      <c r="CO80" s="60"/>
      <c r="CP80" s="60"/>
      <c r="CQ80" s="60"/>
      <c r="CR80" s="60"/>
      <c r="CS80" s="60"/>
      <c r="CT80" s="60"/>
      <c r="CU80" s="60"/>
      <c r="CV80" s="60"/>
      <c r="CW80" s="60"/>
      <c r="CX80" s="60"/>
      <c r="CY80" s="60"/>
      <c r="CZ80" s="60"/>
      <c r="DA80" s="60"/>
      <c r="DB80" s="60"/>
      <c r="DC80" s="60"/>
      <c r="DD80" s="60"/>
      <c r="DE80" s="60"/>
      <c r="DF80" s="60"/>
      <c r="DG80" s="60"/>
      <c r="DH80" s="60"/>
      <c r="DI80" s="60"/>
      <c r="DJ80" s="60"/>
      <c r="DK80" s="60"/>
      <c r="DL80" s="60"/>
      <c r="DM80" s="60"/>
      <c r="DN80" s="60"/>
      <c r="DO80" s="60"/>
      <c r="DP80" s="60"/>
      <c r="DQ80" s="60"/>
      <c r="DR80" s="60"/>
      <c r="DS80" s="60"/>
      <c r="DT80" s="60"/>
      <c r="DU80" s="60"/>
      <c r="DV80" s="60"/>
      <c r="DW80" s="60"/>
      <c r="DX80" s="60"/>
      <c r="DY80" s="60"/>
      <c r="DZ80" s="60"/>
      <c r="EA80" s="60"/>
      <c r="EB80" s="60"/>
      <c r="EC80" s="60"/>
      <c r="ED80" s="60"/>
      <c r="EE80" s="60"/>
      <c r="EF80" s="60"/>
      <c r="EG80" s="60"/>
      <c r="EH80" s="60"/>
      <c r="EI80" s="60"/>
      <c r="EJ80" s="60"/>
      <c r="EK80" s="60"/>
      <c r="EL80" s="60"/>
      <c r="EM80" s="60"/>
      <c r="EN80" s="60"/>
      <c r="EO80" s="60"/>
      <c r="EP80" s="60"/>
      <c r="EQ80" s="60"/>
      <c r="ER80" s="60"/>
      <c r="ES80" s="60"/>
      <c r="ET80" s="60"/>
      <c r="EU80" s="60"/>
      <c r="EV80" s="60"/>
      <c r="EW80" s="60"/>
      <c r="EX80" s="60"/>
      <c r="EY80" s="60"/>
      <c r="EZ80" s="60"/>
      <c r="FA80" s="60"/>
      <c r="FB80" s="60"/>
      <c r="FC80" s="60"/>
      <c r="FD80" s="60"/>
      <c r="FE80" s="60"/>
      <c r="FF80" s="60"/>
      <c r="FG80" s="60"/>
      <c r="FH80" s="60"/>
      <c r="FI80" s="60"/>
      <c r="FJ80" s="60"/>
      <c r="FK80" s="60"/>
      <c r="FL80" s="60"/>
      <c r="FM80" s="60"/>
      <c r="FN80" s="60"/>
      <c r="FO80" s="60"/>
      <c r="FP80" s="60"/>
      <c r="FQ80" s="60"/>
      <c r="FR80" s="60"/>
      <c r="FS80" s="60"/>
      <c r="FT80" s="60"/>
      <c r="FU80" s="60"/>
      <c r="FV80" s="60"/>
      <c r="FW80" s="60"/>
      <c r="FX80" s="60"/>
      <c r="FY80" s="60"/>
      <c r="FZ80" s="60"/>
      <c r="GA80" s="60"/>
      <c r="GB80" s="60"/>
      <c r="GC80" s="60"/>
      <c r="GD80" s="60"/>
      <c r="GE80" s="60"/>
      <c r="GF80" s="60"/>
      <c r="GG80" s="60"/>
      <c r="GH80" s="60"/>
      <c r="GI80" s="60"/>
      <c r="GJ80" s="60"/>
      <c r="GK80" s="60"/>
      <c r="GL80" s="60"/>
      <c r="GM80" s="60"/>
      <c r="GN80" s="60"/>
      <c r="GO80" s="60"/>
      <c r="GP80" s="60"/>
      <c r="GQ80" s="60"/>
      <c r="GR80" s="60"/>
      <c r="GS80" s="60"/>
      <c r="GT80" s="60"/>
      <c r="GU80" s="60"/>
      <c r="GV80" s="60"/>
      <c r="GW80" s="60"/>
      <c r="GX80" s="60"/>
      <c r="GY80" s="60"/>
      <c r="GZ80" s="60"/>
      <c r="HA80" s="60"/>
      <c r="HB80" s="60"/>
      <c r="HC80" s="60"/>
      <c r="HD80" s="60"/>
      <c r="HE80" s="60"/>
      <c r="HF80" s="60"/>
      <c r="HG80" s="60"/>
      <c r="HH80" s="60"/>
      <c r="HI80" s="60"/>
      <c r="HJ80" s="60"/>
      <c r="HK80" s="60"/>
      <c r="HL80" s="60"/>
      <c r="HM80" s="60"/>
      <c r="HN80" s="60"/>
      <c r="HO80" s="60"/>
      <c r="HP80" s="60"/>
      <c r="HQ80" s="60"/>
      <c r="HR80" s="60"/>
      <c r="HS80" s="60"/>
      <c r="HT80" s="60"/>
      <c r="HU80" s="60"/>
      <c r="HV80" s="60"/>
      <c r="HW80" s="60"/>
      <c r="HX80" s="60"/>
      <c r="HY80" s="60"/>
      <c r="HZ80" s="60"/>
      <c r="IA80" s="60"/>
      <c r="IB80" s="60"/>
      <c r="IC80" s="60"/>
      <c r="ID80" s="60"/>
      <c r="IE80" s="60"/>
      <c r="IF80" s="60"/>
      <c r="IG80" s="60"/>
      <c r="IH80" s="60"/>
      <c r="II80" s="60"/>
      <c r="IJ80" s="60"/>
      <c r="IK80" s="60"/>
      <c r="IL80" s="60"/>
      <c r="IM80" s="60"/>
      <c r="IN80" s="60"/>
      <c r="IO80" s="60"/>
      <c r="IP80" s="60"/>
      <c r="IQ80" s="60"/>
      <c r="IR80" s="60"/>
      <c r="IS80" s="60"/>
      <c r="IT80" s="60"/>
      <c r="IU80" s="60"/>
      <c r="IV80" s="60"/>
      <c r="IW80" s="60"/>
      <c r="IX80" s="60"/>
      <c r="IY80" s="60"/>
      <c r="IZ80" s="60"/>
      <c r="JA80" s="60"/>
      <c r="JB80" s="60"/>
      <c r="JC80" s="60"/>
      <c r="JD80" s="60"/>
      <c r="JE80" s="60"/>
      <c r="JF80" s="60"/>
      <c r="JG80" s="60"/>
      <c r="JH80" s="60"/>
      <c r="JI80" s="60"/>
      <c r="JJ80" s="60"/>
      <c r="JK80" s="60"/>
      <c r="JL80" s="60"/>
      <c r="JM80" s="60"/>
      <c r="JN80" s="60"/>
      <c r="JO80" s="60"/>
      <c r="JP80" s="60"/>
      <c r="JQ80" s="60"/>
      <c r="JR80" s="60"/>
      <c r="JS80" s="60"/>
      <c r="JT80" s="60"/>
      <c r="JU80" s="60"/>
      <c r="JV80" s="60"/>
      <c r="JW80" s="60"/>
      <c r="JX80" s="60"/>
      <c r="JY80" s="60"/>
      <c r="JZ80" s="60"/>
      <c r="KA80" s="60"/>
      <c r="KB80" s="60"/>
      <c r="KC80" s="60"/>
      <c r="KD80" s="60"/>
      <c r="KE80" s="60"/>
      <c r="KF80" s="60"/>
    </row>
    <row r="81" spans="4:292" outlineLevel="1" x14ac:dyDescent="0.35">
      <c r="E81" s="13" t="s">
        <v>170</v>
      </c>
      <c r="J81" s="15" t="s">
        <v>34</v>
      </c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0"/>
      <c r="BU81" s="60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0"/>
      <c r="CO81" s="60"/>
      <c r="CP81" s="60"/>
      <c r="CQ81" s="60"/>
      <c r="CR81" s="60"/>
      <c r="CS81" s="60"/>
      <c r="CT81" s="60"/>
      <c r="CU81" s="60"/>
      <c r="CV81" s="60"/>
      <c r="CW81" s="60"/>
      <c r="CX81" s="60"/>
      <c r="CY81" s="60"/>
      <c r="CZ81" s="60"/>
      <c r="DA81" s="60"/>
      <c r="DB81" s="60"/>
      <c r="DC81" s="60"/>
      <c r="DD81" s="60"/>
      <c r="DE81" s="60"/>
      <c r="DF81" s="60"/>
      <c r="DG81" s="60"/>
      <c r="DH81" s="60"/>
      <c r="DI81" s="60"/>
      <c r="DJ81" s="60"/>
      <c r="DK81" s="60"/>
      <c r="DL81" s="60"/>
      <c r="DM81" s="60"/>
      <c r="DN81" s="60"/>
      <c r="DO81" s="60"/>
      <c r="DP81" s="60"/>
      <c r="DQ81" s="60"/>
      <c r="DR81" s="60"/>
      <c r="DS81" s="60"/>
      <c r="DT81" s="60"/>
      <c r="DU81" s="60"/>
      <c r="DV81" s="60"/>
      <c r="DW81" s="60"/>
      <c r="DX81" s="60"/>
      <c r="DY81" s="60"/>
      <c r="DZ81" s="60"/>
      <c r="EA81" s="60"/>
      <c r="EB81" s="60"/>
      <c r="EC81" s="60"/>
      <c r="ED81" s="60"/>
      <c r="EE81" s="60"/>
      <c r="EF81" s="60"/>
      <c r="EG81" s="60"/>
      <c r="EH81" s="60"/>
      <c r="EI81" s="60"/>
      <c r="EJ81" s="60"/>
      <c r="EK81" s="60"/>
      <c r="EL81" s="60"/>
      <c r="EM81" s="60"/>
      <c r="EN81" s="60"/>
      <c r="EO81" s="60"/>
      <c r="EP81" s="60"/>
      <c r="EQ81" s="60"/>
      <c r="ER81" s="60"/>
      <c r="ES81" s="60"/>
      <c r="ET81" s="60"/>
      <c r="EU81" s="60"/>
      <c r="EV81" s="60"/>
      <c r="EW81" s="60"/>
      <c r="EX81" s="60"/>
      <c r="EY81" s="60"/>
      <c r="EZ81" s="60"/>
      <c r="FA81" s="60"/>
      <c r="FB81" s="60"/>
      <c r="FC81" s="60"/>
      <c r="FD81" s="60"/>
      <c r="FE81" s="60"/>
      <c r="FF81" s="60"/>
      <c r="FG81" s="60"/>
      <c r="FH81" s="60"/>
      <c r="FI81" s="60"/>
      <c r="FJ81" s="60"/>
      <c r="FK81" s="60"/>
      <c r="FL81" s="60"/>
      <c r="FM81" s="60"/>
      <c r="FN81" s="60"/>
      <c r="FO81" s="60"/>
      <c r="FP81" s="60"/>
      <c r="FQ81" s="60"/>
      <c r="FR81" s="60"/>
      <c r="FS81" s="60"/>
      <c r="FT81" s="60"/>
      <c r="FU81" s="60"/>
      <c r="FV81" s="60"/>
      <c r="FW81" s="60"/>
      <c r="FX81" s="60"/>
      <c r="FY81" s="60"/>
      <c r="FZ81" s="60"/>
      <c r="GA81" s="60"/>
      <c r="GB81" s="60"/>
      <c r="GC81" s="60"/>
      <c r="GD81" s="60"/>
      <c r="GE81" s="60"/>
      <c r="GF81" s="60"/>
      <c r="GG81" s="60"/>
      <c r="GH81" s="60"/>
      <c r="GI81" s="60"/>
      <c r="GJ81" s="60"/>
      <c r="GK81" s="60"/>
      <c r="GL81" s="60"/>
      <c r="GM81" s="60"/>
      <c r="GN81" s="60"/>
      <c r="GO81" s="60"/>
      <c r="GP81" s="60"/>
      <c r="GQ81" s="60"/>
      <c r="GR81" s="60"/>
      <c r="GS81" s="60"/>
      <c r="GT81" s="60"/>
      <c r="GU81" s="60"/>
      <c r="GV81" s="60"/>
      <c r="GW81" s="60"/>
      <c r="GX81" s="60"/>
      <c r="GY81" s="60"/>
      <c r="GZ81" s="60"/>
      <c r="HA81" s="60"/>
      <c r="HB81" s="60"/>
      <c r="HC81" s="60"/>
      <c r="HD81" s="60"/>
      <c r="HE81" s="60"/>
      <c r="HF81" s="60"/>
      <c r="HG81" s="60"/>
      <c r="HH81" s="60"/>
      <c r="HI81" s="60"/>
      <c r="HJ81" s="60"/>
      <c r="HK81" s="60"/>
      <c r="HL81" s="60"/>
      <c r="HM81" s="60"/>
      <c r="HN81" s="60"/>
      <c r="HO81" s="60"/>
      <c r="HP81" s="60"/>
      <c r="HQ81" s="60"/>
      <c r="HR81" s="60"/>
      <c r="HS81" s="60"/>
      <c r="HT81" s="60"/>
      <c r="HU81" s="60"/>
      <c r="HV81" s="60"/>
      <c r="HW81" s="60"/>
      <c r="HX81" s="60"/>
      <c r="HY81" s="60"/>
      <c r="HZ81" s="60"/>
      <c r="IA81" s="60"/>
      <c r="IB81" s="60"/>
      <c r="IC81" s="60"/>
      <c r="ID81" s="60"/>
      <c r="IE81" s="60"/>
      <c r="IF81" s="60"/>
      <c r="IG81" s="60"/>
      <c r="IH81" s="60"/>
      <c r="II81" s="60"/>
      <c r="IJ81" s="60"/>
      <c r="IK81" s="60"/>
      <c r="IL81" s="60"/>
      <c r="IM81" s="60"/>
      <c r="IN81" s="60"/>
      <c r="IO81" s="60"/>
      <c r="IP81" s="60"/>
      <c r="IQ81" s="60"/>
      <c r="IR81" s="60"/>
      <c r="IS81" s="60"/>
      <c r="IT81" s="60"/>
      <c r="IU81" s="60"/>
      <c r="IV81" s="60"/>
      <c r="IW81" s="60"/>
      <c r="IX81" s="60"/>
      <c r="IY81" s="60"/>
      <c r="IZ81" s="60"/>
      <c r="JA81" s="60"/>
      <c r="JB81" s="60"/>
      <c r="JC81" s="60"/>
      <c r="JD81" s="60"/>
      <c r="JE81" s="60"/>
      <c r="JF81" s="60"/>
      <c r="JG81" s="60"/>
      <c r="JH81" s="60"/>
      <c r="JI81" s="60"/>
      <c r="JJ81" s="60"/>
      <c r="JK81" s="60"/>
      <c r="JL81" s="60"/>
      <c r="JM81" s="60"/>
      <c r="JN81" s="60"/>
      <c r="JO81" s="60"/>
      <c r="JP81" s="60"/>
      <c r="JQ81" s="60"/>
      <c r="JR81" s="60"/>
      <c r="JS81" s="60"/>
      <c r="JT81" s="60"/>
      <c r="JU81" s="60"/>
      <c r="JV81" s="60"/>
      <c r="JW81" s="60"/>
      <c r="JX81" s="60"/>
      <c r="JY81" s="60"/>
      <c r="JZ81" s="60"/>
      <c r="KA81" s="60"/>
      <c r="KB81" s="60"/>
      <c r="KC81" s="60"/>
      <c r="KD81" s="60"/>
      <c r="KE81" s="60"/>
      <c r="KF81" s="60"/>
    </row>
    <row r="82" spans="4:292" outlineLevel="1" x14ac:dyDescent="0.35">
      <c r="E82" s="13" t="s">
        <v>170</v>
      </c>
      <c r="J82" s="15" t="s">
        <v>34</v>
      </c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0"/>
      <c r="BU82" s="60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0"/>
      <c r="CO82" s="60"/>
      <c r="CP82" s="60"/>
      <c r="CQ82" s="60"/>
      <c r="CR82" s="60"/>
      <c r="CS82" s="60"/>
      <c r="CT82" s="60"/>
      <c r="CU82" s="60"/>
      <c r="CV82" s="60"/>
      <c r="CW82" s="60"/>
      <c r="CX82" s="60"/>
      <c r="CY82" s="60"/>
      <c r="CZ82" s="60"/>
      <c r="DA82" s="60"/>
      <c r="DB82" s="60"/>
      <c r="DC82" s="60"/>
      <c r="DD82" s="60"/>
      <c r="DE82" s="60"/>
      <c r="DF82" s="60"/>
      <c r="DG82" s="60"/>
      <c r="DH82" s="60"/>
      <c r="DI82" s="60"/>
      <c r="DJ82" s="60"/>
      <c r="DK82" s="60"/>
      <c r="DL82" s="60"/>
      <c r="DM82" s="60"/>
      <c r="DN82" s="60"/>
      <c r="DO82" s="60"/>
      <c r="DP82" s="60"/>
      <c r="DQ82" s="60"/>
      <c r="DR82" s="60"/>
      <c r="DS82" s="60"/>
      <c r="DT82" s="60"/>
      <c r="DU82" s="60"/>
      <c r="DV82" s="60"/>
      <c r="DW82" s="60"/>
      <c r="DX82" s="60"/>
      <c r="DY82" s="60"/>
      <c r="DZ82" s="60"/>
      <c r="EA82" s="60"/>
      <c r="EB82" s="60"/>
      <c r="EC82" s="60"/>
      <c r="ED82" s="60"/>
      <c r="EE82" s="60"/>
      <c r="EF82" s="60"/>
      <c r="EG82" s="60"/>
      <c r="EH82" s="60"/>
      <c r="EI82" s="60"/>
      <c r="EJ82" s="60"/>
      <c r="EK82" s="60"/>
      <c r="EL82" s="60"/>
      <c r="EM82" s="60"/>
      <c r="EN82" s="60"/>
      <c r="EO82" s="60"/>
      <c r="EP82" s="60"/>
      <c r="EQ82" s="60"/>
      <c r="ER82" s="60"/>
      <c r="ES82" s="60"/>
      <c r="ET82" s="60"/>
      <c r="EU82" s="60"/>
      <c r="EV82" s="60"/>
      <c r="EW82" s="60"/>
      <c r="EX82" s="60"/>
      <c r="EY82" s="60"/>
      <c r="EZ82" s="60"/>
      <c r="FA82" s="60"/>
      <c r="FB82" s="60"/>
      <c r="FC82" s="60"/>
      <c r="FD82" s="60"/>
      <c r="FE82" s="60"/>
      <c r="FF82" s="60"/>
      <c r="FG82" s="60"/>
      <c r="FH82" s="60"/>
      <c r="FI82" s="60"/>
      <c r="FJ82" s="60"/>
      <c r="FK82" s="60"/>
      <c r="FL82" s="60"/>
      <c r="FM82" s="60"/>
      <c r="FN82" s="60"/>
      <c r="FO82" s="60"/>
      <c r="FP82" s="60"/>
      <c r="FQ82" s="60"/>
      <c r="FR82" s="60"/>
      <c r="FS82" s="60"/>
      <c r="FT82" s="60"/>
      <c r="FU82" s="60"/>
      <c r="FV82" s="60"/>
      <c r="FW82" s="60"/>
      <c r="FX82" s="60"/>
      <c r="FY82" s="60"/>
      <c r="FZ82" s="60"/>
      <c r="GA82" s="60"/>
      <c r="GB82" s="60"/>
      <c r="GC82" s="60"/>
      <c r="GD82" s="60"/>
      <c r="GE82" s="60"/>
      <c r="GF82" s="60"/>
      <c r="GG82" s="60"/>
      <c r="GH82" s="60"/>
      <c r="GI82" s="60"/>
      <c r="GJ82" s="60"/>
      <c r="GK82" s="60"/>
      <c r="GL82" s="60"/>
      <c r="GM82" s="60"/>
      <c r="GN82" s="60"/>
      <c r="GO82" s="60"/>
      <c r="GP82" s="60"/>
      <c r="GQ82" s="60"/>
      <c r="GR82" s="60"/>
      <c r="GS82" s="60"/>
      <c r="GT82" s="60"/>
      <c r="GU82" s="60"/>
      <c r="GV82" s="60"/>
      <c r="GW82" s="60"/>
      <c r="GX82" s="60"/>
      <c r="GY82" s="60"/>
      <c r="GZ82" s="60"/>
      <c r="HA82" s="60"/>
      <c r="HB82" s="60"/>
      <c r="HC82" s="60"/>
      <c r="HD82" s="60"/>
      <c r="HE82" s="60"/>
      <c r="HF82" s="60"/>
      <c r="HG82" s="60"/>
      <c r="HH82" s="60"/>
      <c r="HI82" s="60"/>
      <c r="HJ82" s="60"/>
      <c r="HK82" s="60"/>
      <c r="HL82" s="60"/>
      <c r="HM82" s="60"/>
      <c r="HN82" s="60"/>
      <c r="HO82" s="60"/>
      <c r="HP82" s="60"/>
      <c r="HQ82" s="60"/>
      <c r="HR82" s="60"/>
      <c r="HS82" s="60"/>
      <c r="HT82" s="60"/>
      <c r="HU82" s="60"/>
      <c r="HV82" s="60"/>
      <c r="HW82" s="60"/>
      <c r="HX82" s="60"/>
      <c r="HY82" s="60"/>
      <c r="HZ82" s="60"/>
      <c r="IA82" s="60"/>
      <c r="IB82" s="60"/>
      <c r="IC82" s="60"/>
      <c r="ID82" s="60"/>
      <c r="IE82" s="60"/>
      <c r="IF82" s="60"/>
      <c r="IG82" s="60"/>
      <c r="IH82" s="60"/>
      <c r="II82" s="60"/>
      <c r="IJ82" s="60"/>
      <c r="IK82" s="60"/>
      <c r="IL82" s="60"/>
      <c r="IM82" s="60"/>
      <c r="IN82" s="60"/>
      <c r="IO82" s="60"/>
      <c r="IP82" s="60"/>
      <c r="IQ82" s="60"/>
      <c r="IR82" s="60"/>
      <c r="IS82" s="60"/>
      <c r="IT82" s="60"/>
      <c r="IU82" s="60"/>
      <c r="IV82" s="60"/>
      <c r="IW82" s="60"/>
      <c r="IX82" s="60"/>
      <c r="IY82" s="60"/>
      <c r="IZ82" s="60"/>
      <c r="JA82" s="60"/>
      <c r="JB82" s="60"/>
      <c r="JC82" s="60"/>
      <c r="JD82" s="60"/>
      <c r="JE82" s="60"/>
      <c r="JF82" s="60"/>
      <c r="JG82" s="60"/>
      <c r="JH82" s="60"/>
      <c r="JI82" s="60"/>
      <c r="JJ82" s="60"/>
      <c r="JK82" s="60"/>
      <c r="JL82" s="60"/>
      <c r="JM82" s="60"/>
      <c r="JN82" s="60"/>
      <c r="JO82" s="60"/>
      <c r="JP82" s="60"/>
      <c r="JQ82" s="60"/>
      <c r="JR82" s="60"/>
      <c r="JS82" s="60"/>
      <c r="JT82" s="60"/>
      <c r="JU82" s="60"/>
      <c r="JV82" s="60"/>
      <c r="JW82" s="60"/>
      <c r="JX82" s="60"/>
      <c r="JY82" s="60"/>
      <c r="JZ82" s="60"/>
      <c r="KA82" s="60"/>
      <c r="KB82" s="60"/>
      <c r="KC82" s="60"/>
      <c r="KD82" s="60"/>
      <c r="KE82" s="60"/>
      <c r="KF82" s="60"/>
    </row>
    <row r="83" spans="4:292" x14ac:dyDescent="0.35"/>
    <row r="84" spans="4:292" outlineLevel="1" x14ac:dyDescent="0.35">
      <c r="E84" s="1"/>
      <c r="H84" s="19" t="s">
        <v>171</v>
      </c>
      <c r="I84" s="19"/>
      <c r="J84" s="16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7"/>
      <c r="DK84" s="17"/>
      <c r="DL84" s="17"/>
      <c r="DM84" s="17"/>
      <c r="DN84" s="17"/>
      <c r="DO84" s="17"/>
      <c r="DP84" s="17"/>
      <c r="DQ84" s="17"/>
      <c r="DR84" s="17"/>
      <c r="DS84" s="17"/>
      <c r="DT84" s="17"/>
      <c r="DU84" s="17"/>
      <c r="DV84" s="17"/>
      <c r="DW84" s="17"/>
      <c r="DX84" s="17"/>
      <c r="DY84" s="17"/>
      <c r="DZ84" s="17"/>
      <c r="EA84" s="17"/>
      <c r="EB84" s="17"/>
      <c r="EC84" s="17"/>
      <c r="ED84" s="17"/>
      <c r="EE84" s="17"/>
      <c r="EF84" s="17"/>
      <c r="EG84" s="17"/>
      <c r="EH84" s="17"/>
      <c r="EI84" s="17"/>
      <c r="EJ84" s="17"/>
      <c r="EK84" s="17"/>
      <c r="EL84" s="17"/>
      <c r="EM84" s="17"/>
      <c r="EN84" s="17"/>
      <c r="EO84" s="17"/>
      <c r="EP84" s="17"/>
      <c r="EQ84" s="17"/>
      <c r="ER84" s="17"/>
      <c r="ES84" s="17"/>
      <c r="ET84" s="17"/>
      <c r="EU84" s="17"/>
      <c r="EV84" s="17"/>
      <c r="EW84" s="17"/>
      <c r="EX84" s="17"/>
      <c r="EY84" s="17"/>
      <c r="EZ84" s="17"/>
      <c r="FA84" s="17"/>
      <c r="FB84" s="17"/>
      <c r="FC84" s="17"/>
      <c r="FD84" s="17"/>
      <c r="FE84" s="17"/>
      <c r="FF84" s="17"/>
      <c r="FG84" s="17"/>
      <c r="FH84" s="17"/>
      <c r="FI84" s="17"/>
      <c r="FJ84" s="17"/>
      <c r="FK84" s="17"/>
      <c r="FL84" s="17"/>
      <c r="FM84" s="17"/>
      <c r="FN84" s="17"/>
      <c r="FO84" s="17"/>
      <c r="FP84" s="17"/>
      <c r="FQ84" s="17"/>
      <c r="FR84" s="17"/>
      <c r="FS84" s="17"/>
      <c r="FT84" s="17"/>
      <c r="FU84" s="17"/>
      <c r="FV84" s="17"/>
      <c r="FW84" s="17"/>
      <c r="FX84" s="17"/>
      <c r="FY84" s="17"/>
      <c r="FZ84" s="17"/>
      <c r="GA84" s="17"/>
      <c r="GB84" s="17"/>
      <c r="GC84" s="17"/>
      <c r="GD84" s="17"/>
      <c r="GE84" s="17"/>
      <c r="GF84" s="17"/>
      <c r="GG84" s="17"/>
      <c r="GH84" s="17"/>
      <c r="GI84" s="17"/>
      <c r="GJ84" s="17"/>
      <c r="GK84" s="17"/>
      <c r="GL84" s="17"/>
      <c r="GM84" s="17"/>
      <c r="GN84" s="17"/>
      <c r="GO84" s="17"/>
      <c r="GP84" s="17"/>
      <c r="GQ84" s="17"/>
      <c r="GR84" s="17"/>
      <c r="GS84" s="17"/>
      <c r="GT84" s="17"/>
      <c r="GU84" s="17"/>
      <c r="GV84" s="17"/>
      <c r="GW84" s="17"/>
      <c r="GX84" s="17"/>
      <c r="GY84" s="17"/>
      <c r="GZ84" s="17"/>
      <c r="HA84" s="17"/>
      <c r="HB84" s="17"/>
      <c r="HC84" s="17"/>
      <c r="HD84" s="17"/>
      <c r="HE84" s="17"/>
      <c r="HF84" s="17"/>
      <c r="HG84" s="17"/>
      <c r="HH84" s="17"/>
      <c r="HI84" s="17"/>
      <c r="HJ84" s="17"/>
      <c r="HK84" s="17"/>
      <c r="HL84" s="17"/>
      <c r="HM84" s="17"/>
      <c r="HN84" s="17"/>
      <c r="HO84" s="17"/>
      <c r="HP84" s="17"/>
      <c r="HQ84" s="17"/>
      <c r="HR84" s="17"/>
      <c r="HS84" s="17"/>
      <c r="HT84" s="17"/>
      <c r="HU84" s="17"/>
      <c r="HV84" s="17"/>
      <c r="HW84" s="17"/>
      <c r="HX84" s="17"/>
      <c r="HY84" s="17"/>
      <c r="HZ84" s="17"/>
      <c r="IA84" s="17"/>
      <c r="IB84" s="17"/>
      <c r="IC84" s="17"/>
      <c r="ID84" s="17"/>
      <c r="IE84" s="17"/>
      <c r="IF84" s="17"/>
      <c r="IG84" s="17"/>
      <c r="IH84" s="17"/>
      <c r="II84" s="17"/>
      <c r="IJ84" s="17"/>
      <c r="IK84" s="17"/>
      <c r="IL84" s="17"/>
      <c r="IM84" s="17"/>
      <c r="IN84" s="17"/>
      <c r="IO84" s="17"/>
      <c r="IP84" s="17"/>
      <c r="IQ84" s="17"/>
      <c r="IR84" s="17"/>
      <c r="IS84" s="17"/>
      <c r="IT84" s="17"/>
      <c r="IU84" s="17"/>
      <c r="IV84" s="17"/>
      <c r="IW84" s="17"/>
      <c r="IX84" s="17"/>
      <c r="IY84" s="17"/>
      <c r="IZ84" s="17"/>
      <c r="JA84" s="17"/>
      <c r="JB84" s="17"/>
      <c r="JC84" s="17"/>
      <c r="JD84" s="17"/>
      <c r="JE84" s="17"/>
      <c r="JF84" s="17"/>
      <c r="JG84" s="17"/>
      <c r="JH84" s="17"/>
      <c r="JI84" s="17"/>
      <c r="JJ84" s="17"/>
      <c r="JK84" s="17"/>
      <c r="JL84" s="17"/>
      <c r="JM84" s="17"/>
      <c r="JN84" s="17"/>
      <c r="JO84" s="17"/>
      <c r="JP84" s="17"/>
      <c r="JQ84" s="17"/>
      <c r="JR84" s="17"/>
      <c r="JS84" s="17"/>
      <c r="JT84" s="17"/>
      <c r="JU84" s="17"/>
      <c r="JV84" s="17"/>
      <c r="JW84" s="17"/>
      <c r="JX84" s="17"/>
      <c r="JY84" s="17"/>
      <c r="JZ84" s="17"/>
      <c r="KA84" s="17"/>
      <c r="KB84" s="17"/>
      <c r="KC84" s="17"/>
      <c r="KD84" s="17"/>
      <c r="KE84" s="17"/>
      <c r="KF84" s="17"/>
    </row>
    <row r="85" spans="4:292" outlineLevel="1" x14ac:dyDescent="0.35">
      <c r="E85" s="1"/>
    </row>
    <row r="86" spans="4:292" outlineLevel="1" x14ac:dyDescent="0.35">
      <c r="E86" s="1"/>
      <c r="J86" s="18" t="s">
        <v>29</v>
      </c>
      <c r="K86" s="18">
        <f>Control!H21</f>
        <v>1</v>
      </c>
      <c r="L86" s="13" t="str" cm="1">
        <f t="array" ref="L86">INDEX(J90:J98,K86)</f>
        <v>Base case</v>
      </c>
    </row>
    <row r="87" spans="4:292" outlineLevel="1" x14ac:dyDescent="0.35">
      <c r="E87" s="13" t="s">
        <v>170</v>
      </c>
      <c r="J87" s="13" t="s">
        <v>35</v>
      </c>
      <c r="K87" s="24" cm="1">
        <f t="array" ref="K87">INDEX(K90:K98,$K86)</f>
        <v>-2.625</v>
      </c>
      <c r="L87" s="24" cm="1">
        <f t="array" ref="L87">INDEX(L90:L98,$K86)</f>
        <v>-2.625</v>
      </c>
      <c r="M87" s="24" cm="1">
        <f t="array" ref="M87">INDEX(M90:M98,$K86)</f>
        <v>-2.625</v>
      </c>
      <c r="N87" s="24" cm="1">
        <f t="array" ref="N87">INDEX(N90:N98,$K86)</f>
        <v>-2.625</v>
      </c>
      <c r="O87" s="24" cm="1">
        <f t="array" ref="O87">INDEX(O90:O98,$K86)</f>
        <v>-2.625</v>
      </c>
      <c r="P87" s="24" cm="1">
        <f t="array" ref="P87">INDEX(P90:P98,$K86)</f>
        <v>-2.625</v>
      </c>
      <c r="Q87" s="24" cm="1">
        <f t="array" ref="Q87">INDEX(Q90:Q98,$K86)</f>
        <v>-2.625</v>
      </c>
      <c r="R87" s="24" cm="1">
        <f t="array" ref="R87">INDEX(R90:R98,$K86)</f>
        <v>-2.625</v>
      </c>
      <c r="S87" s="24" cm="1">
        <f t="array" ref="S87">INDEX(S90:S98,$K86)</f>
        <v>-2.625</v>
      </c>
      <c r="T87" s="24" cm="1">
        <f t="array" ref="T87">INDEX(T90:T98,$K86)</f>
        <v>-2.625</v>
      </c>
      <c r="U87" s="24" cm="1">
        <f t="array" ref="U87">INDEX(U90:U98,$K86)</f>
        <v>-2.625</v>
      </c>
      <c r="V87" s="24" cm="1">
        <f t="array" ref="V87">INDEX(V90:V98,$K86)</f>
        <v>-2.625</v>
      </c>
      <c r="W87" s="24" cm="1">
        <f t="array" ref="W87">INDEX(W90:W98,$K86)</f>
        <v>-2.625</v>
      </c>
      <c r="X87" s="24" cm="1">
        <f t="array" ref="X87">INDEX(X90:X98,$K86)</f>
        <v>-2.625</v>
      </c>
      <c r="Y87" s="24" cm="1">
        <f t="array" ref="Y87">INDEX(Y90:Y98,$K86)</f>
        <v>-2.625</v>
      </c>
      <c r="Z87" s="24" cm="1">
        <f t="array" ref="Z87">INDEX(Z90:Z98,$K86)</f>
        <v>-2.625</v>
      </c>
      <c r="AA87" s="24" cm="1">
        <f t="array" ref="AA87">INDEX(AA90:AA98,$K86)</f>
        <v>-2.625</v>
      </c>
      <c r="AB87" s="24" cm="1">
        <f t="array" ref="AB87">INDEX(AB90:AB98,$K86)</f>
        <v>-2.625</v>
      </c>
      <c r="AC87" s="24" cm="1">
        <f t="array" ref="AC87">INDEX(AC90:AC98,$K86)</f>
        <v>-2.625</v>
      </c>
      <c r="AD87" s="24" cm="1">
        <f t="array" ref="AD87">INDEX(AD90:AD98,$K86)</f>
        <v>-2.625</v>
      </c>
      <c r="AE87" s="24" cm="1">
        <f t="array" ref="AE87">INDEX(AE90:AE98,$K86)</f>
        <v>-2.625</v>
      </c>
      <c r="AF87" s="24" cm="1">
        <f t="array" ref="AF87">INDEX(AF90:AF98,$K86)</f>
        <v>-2.625</v>
      </c>
      <c r="AG87" s="24" cm="1">
        <f t="array" ref="AG87">INDEX(AG90:AG98,$K86)</f>
        <v>-2.625</v>
      </c>
      <c r="AH87" s="24" cm="1">
        <f t="array" ref="AH87">INDEX(AH90:AH98,$K86)</f>
        <v>-2.625</v>
      </c>
      <c r="AI87" s="24" cm="1">
        <f t="array" ref="AI87">INDEX(AI90:AI98,$K86)</f>
        <v>-2.625</v>
      </c>
      <c r="AJ87" s="24" cm="1">
        <f t="array" ref="AJ87">INDEX(AJ90:AJ98,$K86)</f>
        <v>-2.625</v>
      </c>
      <c r="AK87" s="24" cm="1">
        <f t="array" ref="AK87">INDEX(AK90:AK98,$K86)</f>
        <v>-2.625</v>
      </c>
      <c r="AL87" s="24" cm="1">
        <f t="array" ref="AL87">INDEX(AL90:AL98,$K86)</f>
        <v>-2.625</v>
      </c>
      <c r="AM87" s="24" cm="1">
        <f t="array" ref="AM87">INDEX(AM90:AM98,$K86)</f>
        <v>-2.625</v>
      </c>
      <c r="AN87" s="24" cm="1">
        <f t="array" ref="AN87">INDEX(AN90:AN98,$K86)</f>
        <v>-2.625</v>
      </c>
      <c r="AO87" s="24" cm="1">
        <f t="array" ref="AO87">INDEX(AO90:AO98,$K86)</f>
        <v>-2.625</v>
      </c>
      <c r="AP87" s="24" cm="1">
        <f t="array" ref="AP87">INDEX(AP90:AP98,$K86)</f>
        <v>-2.625</v>
      </c>
      <c r="AQ87" s="24" cm="1">
        <f t="array" ref="AQ87">INDEX(AQ90:AQ98,$K86)</f>
        <v>-2.625</v>
      </c>
      <c r="AR87" s="24" cm="1">
        <f t="array" ref="AR87">INDEX(AR90:AR98,$K86)</f>
        <v>-2.625</v>
      </c>
      <c r="AS87" s="24" cm="1">
        <f t="array" ref="AS87">INDEX(AS90:AS98,$K86)</f>
        <v>-2.625</v>
      </c>
      <c r="AT87" s="24" cm="1">
        <f t="array" ref="AT87">INDEX(AT90:AT98,$K86)</f>
        <v>-2.625</v>
      </c>
      <c r="AU87" s="24" cm="1">
        <f t="array" ref="AU87">INDEX(AU90:AU98,$K86)</f>
        <v>-2.625</v>
      </c>
      <c r="AV87" s="24" cm="1">
        <f t="array" ref="AV87">INDEX(AV90:AV98,$K86)</f>
        <v>-2.625</v>
      </c>
      <c r="AW87" s="24" cm="1">
        <f t="array" ref="AW87">INDEX(AW90:AW98,$K86)</f>
        <v>-2.625</v>
      </c>
      <c r="AX87" s="24" cm="1">
        <f t="array" ref="AX87">INDEX(AX90:AX98,$K86)</f>
        <v>-2.625</v>
      </c>
      <c r="AY87" s="24" cm="1">
        <f t="array" ref="AY87">INDEX(AY90:AY98,$K86)</f>
        <v>-2.625</v>
      </c>
      <c r="AZ87" s="24" cm="1">
        <f t="array" ref="AZ87">INDEX(AZ90:AZ98,$K86)</f>
        <v>-2.625</v>
      </c>
      <c r="BA87" s="24" cm="1">
        <f t="array" ref="BA87">INDEX(BA90:BA98,$K86)</f>
        <v>-2.625</v>
      </c>
      <c r="BB87" s="24" cm="1">
        <f t="array" ref="BB87">INDEX(BB90:BB98,$K86)</f>
        <v>-2.625</v>
      </c>
      <c r="BC87" s="24" cm="1">
        <f t="array" ref="BC87">INDEX(BC90:BC98,$K86)</f>
        <v>-2.625</v>
      </c>
      <c r="BD87" s="24" cm="1">
        <f t="array" ref="BD87">INDEX(BD90:BD98,$K86)</f>
        <v>-2.625</v>
      </c>
      <c r="BE87" s="24" cm="1">
        <f t="array" ref="BE87">INDEX(BE90:BE98,$K86)</f>
        <v>-2.625</v>
      </c>
      <c r="BF87" s="24" cm="1">
        <f t="array" ref="BF87">INDEX(BF90:BF98,$K86)</f>
        <v>-2.625</v>
      </c>
      <c r="BG87" s="24" cm="1">
        <f t="array" ref="BG87">INDEX(BG90:BG98,$K86)</f>
        <v>-2.625</v>
      </c>
      <c r="BH87" s="24" cm="1">
        <f t="array" ref="BH87">INDEX(BH90:BH98,$K86)</f>
        <v>-2.625</v>
      </c>
      <c r="BI87" s="24" cm="1">
        <f t="array" ref="BI87">INDEX(BI90:BI98,$K86)</f>
        <v>-2.625</v>
      </c>
      <c r="BJ87" s="24" cm="1">
        <f t="array" ref="BJ87">INDEX(BJ90:BJ98,$K86)</f>
        <v>-2.625</v>
      </c>
      <c r="BK87" s="24" cm="1">
        <f t="array" ref="BK87">INDEX(BK90:BK98,$K86)</f>
        <v>-2.625</v>
      </c>
      <c r="BL87" s="24" cm="1">
        <f t="array" ref="BL87">INDEX(BL90:BL98,$K86)</f>
        <v>-2.625</v>
      </c>
      <c r="BM87" s="24" cm="1">
        <f t="array" ref="BM87">INDEX(BM90:BM98,$K86)</f>
        <v>-2.625</v>
      </c>
      <c r="BN87" s="24" cm="1">
        <f t="array" ref="BN87">INDEX(BN90:BN98,$K86)</f>
        <v>-2.625</v>
      </c>
      <c r="BO87" s="24" cm="1">
        <f t="array" ref="BO87">INDEX(BO90:BO98,$K86)</f>
        <v>-2.625</v>
      </c>
      <c r="BP87" s="24" cm="1">
        <f t="array" ref="BP87">INDEX(BP90:BP98,$K86)</f>
        <v>-2.625</v>
      </c>
      <c r="BQ87" s="24" cm="1">
        <f t="array" ref="BQ87">INDEX(BQ90:BQ98,$K86)</f>
        <v>-2.625</v>
      </c>
      <c r="BR87" s="24" cm="1">
        <f t="array" ref="BR87">INDEX(BR90:BR98,$K86)</f>
        <v>-2.625</v>
      </c>
      <c r="BS87" s="24" cm="1">
        <f t="array" ref="BS87">INDEX(BS90:BS98,$K86)</f>
        <v>-2.625</v>
      </c>
      <c r="BT87" s="24" cm="1">
        <f t="array" ref="BT87">INDEX(BT90:BT98,$K86)</f>
        <v>-2.625</v>
      </c>
      <c r="BU87" s="24" cm="1">
        <f t="array" ref="BU87">INDEX(BU90:BU98,$K86)</f>
        <v>-2.625</v>
      </c>
      <c r="BV87" s="24" cm="1">
        <f t="array" ref="BV87">INDEX(BV90:BV98,$K86)</f>
        <v>-2.625</v>
      </c>
      <c r="BW87" s="24" cm="1">
        <f t="array" ref="BW87">INDEX(BW90:BW98,$K86)</f>
        <v>-2.625</v>
      </c>
      <c r="BX87" s="24" cm="1">
        <f t="array" ref="BX87">INDEX(BX90:BX98,$K86)</f>
        <v>-2.625</v>
      </c>
      <c r="BY87" s="24" cm="1">
        <f t="array" ref="BY87">INDEX(BY90:BY98,$K86)</f>
        <v>-2.625</v>
      </c>
      <c r="BZ87" s="24" cm="1">
        <f t="array" ref="BZ87">INDEX(BZ90:BZ98,$K86)</f>
        <v>-2.625</v>
      </c>
      <c r="CA87" s="24" cm="1">
        <f t="array" ref="CA87">INDEX(CA90:CA98,$K86)</f>
        <v>-2.625</v>
      </c>
      <c r="CB87" s="24" cm="1">
        <f t="array" ref="CB87">INDEX(CB90:CB98,$K86)</f>
        <v>-2.625</v>
      </c>
      <c r="CC87" s="24" cm="1">
        <f t="array" ref="CC87">INDEX(CC90:CC98,$K86)</f>
        <v>-2.625</v>
      </c>
      <c r="CD87" s="24" cm="1">
        <f t="array" ref="CD87">INDEX(CD90:CD98,$K86)</f>
        <v>-2.625</v>
      </c>
      <c r="CE87" s="24" cm="1">
        <f t="array" ref="CE87">INDEX(CE90:CE98,$K86)</f>
        <v>-2.625</v>
      </c>
      <c r="CF87" s="24" cm="1">
        <f t="array" ref="CF87">INDEX(CF90:CF98,$K86)</f>
        <v>-2.625</v>
      </c>
      <c r="CG87" s="24" cm="1">
        <f t="array" ref="CG87">INDEX(CG90:CG98,$K86)</f>
        <v>-2.625</v>
      </c>
      <c r="CH87" s="24" cm="1">
        <f t="array" ref="CH87">INDEX(CH90:CH98,$K86)</f>
        <v>-2.625</v>
      </c>
      <c r="CI87" s="24" cm="1">
        <f t="array" ref="CI87">INDEX(CI90:CI98,$K86)</f>
        <v>-2.625</v>
      </c>
      <c r="CJ87" s="24" cm="1">
        <f t="array" ref="CJ87">INDEX(CJ90:CJ98,$K86)</f>
        <v>-2.625</v>
      </c>
      <c r="CK87" s="24" cm="1">
        <f t="array" ref="CK87">INDEX(CK90:CK98,$K86)</f>
        <v>-2.625</v>
      </c>
      <c r="CL87" s="24" cm="1">
        <f t="array" ref="CL87">INDEX(CL90:CL98,$K86)</f>
        <v>-2.625</v>
      </c>
      <c r="CM87" s="24" cm="1">
        <f t="array" ref="CM87">INDEX(CM90:CM98,$K86)</f>
        <v>-2.625</v>
      </c>
      <c r="CN87" s="24" cm="1">
        <f t="array" ref="CN87">INDEX(CN90:CN98,$K86)</f>
        <v>-2.625</v>
      </c>
      <c r="CO87" s="24" cm="1">
        <f t="array" ref="CO87">INDEX(CO90:CO98,$K86)</f>
        <v>-2.625</v>
      </c>
      <c r="CP87" s="24" cm="1">
        <f t="array" ref="CP87">INDEX(CP90:CP98,$K86)</f>
        <v>-2.625</v>
      </c>
      <c r="CQ87" s="24" cm="1">
        <f t="array" ref="CQ87">INDEX(CQ90:CQ98,$K86)</f>
        <v>-2.625</v>
      </c>
      <c r="CR87" s="24" cm="1">
        <f t="array" ref="CR87">INDEX(CR90:CR98,$K86)</f>
        <v>-2.625</v>
      </c>
      <c r="CS87" s="24" cm="1">
        <f t="array" ref="CS87">INDEX(CS90:CS98,$K86)</f>
        <v>-2.625</v>
      </c>
      <c r="CT87" s="24" cm="1">
        <f t="array" ref="CT87">INDEX(CT90:CT98,$K86)</f>
        <v>-2.625</v>
      </c>
      <c r="CU87" s="24" cm="1">
        <f t="array" ref="CU87">INDEX(CU90:CU98,$K86)</f>
        <v>-2.625</v>
      </c>
      <c r="CV87" s="24" cm="1">
        <f t="array" ref="CV87">INDEX(CV90:CV98,$K86)</f>
        <v>-2.625</v>
      </c>
      <c r="CW87" s="24" cm="1">
        <f t="array" ref="CW87">INDEX(CW90:CW98,$K86)</f>
        <v>-2.625</v>
      </c>
      <c r="CX87" s="24" cm="1">
        <f t="array" ref="CX87">INDEX(CX90:CX98,$K86)</f>
        <v>-2.625</v>
      </c>
      <c r="CY87" s="24" cm="1">
        <f t="array" ref="CY87">INDEX(CY90:CY98,$K86)</f>
        <v>-2.625</v>
      </c>
      <c r="CZ87" s="24" cm="1">
        <f t="array" ref="CZ87">INDEX(CZ90:CZ98,$K86)</f>
        <v>-2.625</v>
      </c>
      <c r="DA87" s="24" cm="1">
        <f t="array" ref="DA87">INDEX(DA90:DA98,$K86)</f>
        <v>-2.625</v>
      </c>
      <c r="DB87" s="24" cm="1">
        <f t="array" ref="DB87">INDEX(DB90:DB98,$K86)</f>
        <v>-2.625</v>
      </c>
      <c r="DC87" s="24" cm="1">
        <f t="array" ref="DC87">INDEX(DC90:DC98,$K86)</f>
        <v>-2.625</v>
      </c>
      <c r="DD87" s="24" cm="1">
        <f t="array" ref="DD87">INDEX(DD90:DD98,$K86)</f>
        <v>-2.625</v>
      </c>
      <c r="DE87" s="24" cm="1">
        <f t="array" ref="DE87">INDEX(DE90:DE98,$K86)</f>
        <v>-2.625</v>
      </c>
      <c r="DF87" s="24" cm="1">
        <f t="array" ref="DF87">INDEX(DF90:DF98,$K86)</f>
        <v>-2.625</v>
      </c>
      <c r="DG87" s="24" cm="1">
        <f t="array" ref="DG87">INDEX(DG90:DG98,$K86)</f>
        <v>-2.625</v>
      </c>
      <c r="DH87" s="24" cm="1">
        <f t="array" ref="DH87">INDEX(DH90:DH98,$K86)</f>
        <v>-2.625</v>
      </c>
      <c r="DI87" s="24" cm="1">
        <f t="array" ref="DI87">INDEX(DI90:DI98,$K86)</f>
        <v>-2.625</v>
      </c>
      <c r="DJ87" s="24" cm="1">
        <f t="array" ref="DJ87">INDEX(DJ90:DJ98,$K86)</f>
        <v>-2.625</v>
      </c>
      <c r="DK87" s="24" cm="1">
        <f t="array" ref="DK87">INDEX(DK90:DK98,$K86)</f>
        <v>-2.625</v>
      </c>
      <c r="DL87" s="24" cm="1">
        <f t="array" ref="DL87">INDEX(DL90:DL98,$K86)</f>
        <v>-2.625</v>
      </c>
      <c r="DM87" s="24" cm="1">
        <f t="array" ref="DM87">INDEX(DM90:DM98,$K86)</f>
        <v>-2.625</v>
      </c>
      <c r="DN87" s="24" cm="1">
        <f t="array" ref="DN87">INDEX(DN90:DN98,$K86)</f>
        <v>-2.625</v>
      </c>
      <c r="DO87" s="24" cm="1">
        <f t="array" ref="DO87">INDEX(DO90:DO98,$K86)</f>
        <v>-2.625</v>
      </c>
      <c r="DP87" s="24" cm="1">
        <f t="array" ref="DP87">INDEX(DP90:DP98,$K86)</f>
        <v>-2.625</v>
      </c>
      <c r="DQ87" s="24" cm="1">
        <f t="array" ref="DQ87">INDEX(DQ90:DQ98,$K86)</f>
        <v>-2.625</v>
      </c>
      <c r="DR87" s="24" cm="1">
        <f t="array" ref="DR87">INDEX(DR90:DR98,$K86)</f>
        <v>-2.625</v>
      </c>
      <c r="DS87" s="24" cm="1">
        <f t="array" ref="DS87">INDEX(DS90:DS98,$K86)</f>
        <v>-2.625</v>
      </c>
      <c r="DT87" s="24" cm="1">
        <f t="array" ref="DT87">INDEX(DT90:DT98,$K86)</f>
        <v>-2.625</v>
      </c>
      <c r="DU87" s="24" cm="1">
        <f t="array" ref="DU87">INDEX(DU90:DU98,$K86)</f>
        <v>-2.625</v>
      </c>
      <c r="DV87" s="24" cm="1">
        <f t="array" ref="DV87">INDEX(DV90:DV98,$K86)</f>
        <v>-2.625</v>
      </c>
      <c r="DW87" s="24" cm="1">
        <f t="array" ref="DW87">INDEX(DW90:DW98,$K86)</f>
        <v>-2.625</v>
      </c>
      <c r="DX87" s="24" cm="1">
        <f t="array" ref="DX87">INDEX(DX90:DX98,$K86)</f>
        <v>-2.625</v>
      </c>
      <c r="DY87" s="24" cm="1">
        <f t="array" ref="DY87">INDEX(DY90:DY98,$K86)</f>
        <v>-2.625</v>
      </c>
      <c r="DZ87" s="24" cm="1">
        <f t="array" ref="DZ87">INDEX(DZ90:DZ98,$K86)</f>
        <v>-2.625</v>
      </c>
      <c r="EA87" s="24" cm="1">
        <f t="array" ref="EA87">INDEX(EA90:EA98,$K86)</f>
        <v>-2.625</v>
      </c>
      <c r="EB87" s="24" cm="1">
        <f t="array" ref="EB87">INDEX(EB90:EB98,$K86)</f>
        <v>-2.625</v>
      </c>
      <c r="EC87" s="24" cm="1">
        <f t="array" ref="EC87">INDEX(EC90:EC98,$K86)</f>
        <v>-2.625</v>
      </c>
      <c r="ED87" s="24" cm="1">
        <f t="array" ref="ED87">INDEX(ED90:ED98,$K86)</f>
        <v>-2.625</v>
      </c>
      <c r="EE87" s="24" cm="1">
        <f t="array" ref="EE87">INDEX(EE90:EE98,$K86)</f>
        <v>-2.625</v>
      </c>
      <c r="EF87" s="24" cm="1">
        <f t="array" ref="EF87">INDEX(EF90:EF98,$K86)</f>
        <v>-2.625</v>
      </c>
      <c r="EG87" s="24" cm="1">
        <f t="array" ref="EG87">INDEX(EG90:EG98,$K86)</f>
        <v>-2.625</v>
      </c>
      <c r="EH87" s="24" cm="1">
        <f t="array" ref="EH87">INDEX(EH90:EH98,$K86)</f>
        <v>-2.625</v>
      </c>
      <c r="EI87" s="24" cm="1">
        <f t="array" ref="EI87">INDEX(EI90:EI98,$K86)</f>
        <v>-2.625</v>
      </c>
      <c r="EJ87" s="24" cm="1">
        <f t="array" ref="EJ87">INDEX(EJ90:EJ98,$K86)</f>
        <v>-2.625</v>
      </c>
      <c r="EK87" s="24" cm="1">
        <f t="array" ref="EK87">INDEX(EK90:EK98,$K86)</f>
        <v>-2.625</v>
      </c>
      <c r="EL87" s="24" cm="1">
        <f t="array" ref="EL87">INDEX(EL90:EL98,$K86)</f>
        <v>-2.625</v>
      </c>
      <c r="EM87" s="24" cm="1">
        <f t="array" ref="EM87">INDEX(EM90:EM98,$K86)</f>
        <v>-2.625</v>
      </c>
      <c r="EN87" s="24" cm="1">
        <f t="array" ref="EN87">INDEX(EN90:EN98,$K86)</f>
        <v>-2.625</v>
      </c>
      <c r="EO87" s="24" cm="1">
        <f t="array" ref="EO87">INDEX(EO90:EO98,$K86)</f>
        <v>-2.625</v>
      </c>
      <c r="EP87" s="24" cm="1">
        <f t="array" ref="EP87">INDEX(EP90:EP98,$K86)</f>
        <v>-2.625</v>
      </c>
      <c r="EQ87" s="24" cm="1">
        <f t="array" ref="EQ87">INDEX(EQ90:EQ98,$K86)</f>
        <v>-2.625</v>
      </c>
      <c r="ER87" s="24" cm="1">
        <f t="array" ref="ER87">INDEX(ER90:ER98,$K86)</f>
        <v>-2.625</v>
      </c>
      <c r="ES87" s="24" cm="1">
        <f t="array" ref="ES87">INDEX(ES90:ES98,$K86)</f>
        <v>-2.625</v>
      </c>
      <c r="ET87" s="24" cm="1">
        <f t="array" ref="ET87">INDEX(ET90:ET98,$K86)</f>
        <v>-2.625</v>
      </c>
      <c r="EU87" s="24" cm="1">
        <f t="array" ref="EU87">INDEX(EU90:EU98,$K86)</f>
        <v>-2.625</v>
      </c>
      <c r="EV87" s="24" cm="1">
        <f t="array" ref="EV87">INDEX(EV90:EV98,$K86)</f>
        <v>-2.625</v>
      </c>
      <c r="EW87" s="24" cm="1">
        <f t="array" ref="EW87">INDEX(EW90:EW98,$K86)</f>
        <v>-2.625</v>
      </c>
      <c r="EX87" s="24" cm="1">
        <f t="array" ref="EX87">INDEX(EX90:EX98,$K86)</f>
        <v>-2.625</v>
      </c>
      <c r="EY87" s="24" cm="1">
        <f t="array" ref="EY87">INDEX(EY90:EY98,$K86)</f>
        <v>-2.625</v>
      </c>
      <c r="EZ87" s="24" cm="1">
        <f t="array" ref="EZ87">INDEX(EZ90:EZ98,$K86)</f>
        <v>-2.625</v>
      </c>
      <c r="FA87" s="24" cm="1">
        <f t="array" ref="FA87">INDEX(FA90:FA98,$K86)</f>
        <v>-2.625</v>
      </c>
      <c r="FB87" s="24" cm="1">
        <f t="array" ref="FB87">INDEX(FB90:FB98,$K86)</f>
        <v>-2.625</v>
      </c>
      <c r="FC87" s="24" cm="1">
        <f t="array" ref="FC87">INDEX(FC90:FC98,$K86)</f>
        <v>-2.625</v>
      </c>
      <c r="FD87" s="24" cm="1">
        <f t="array" ref="FD87">INDEX(FD90:FD98,$K86)</f>
        <v>-2.625</v>
      </c>
      <c r="FE87" s="24" cm="1">
        <f t="array" ref="FE87">INDEX(FE90:FE98,$K86)</f>
        <v>-2.625</v>
      </c>
      <c r="FF87" s="24" cm="1">
        <f t="array" ref="FF87">INDEX(FF90:FF98,$K86)</f>
        <v>-2.625</v>
      </c>
      <c r="FG87" s="24" cm="1">
        <f t="array" ref="FG87">INDEX(FG90:FG98,$K86)</f>
        <v>-2.625</v>
      </c>
      <c r="FH87" s="24" cm="1">
        <f t="array" ref="FH87">INDEX(FH90:FH98,$K86)</f>
        <v>-2.625</v>
      </c>
      <c r="FI87" s="24" cm="1">
        <f t="array" ref="FI87">INDEX(FI90:FI98,$K86)</f>
        <v>-2.625</v>
      </c>
      <c r="FJ87" s="24" cm="1">
        <f t="array" ref="FJ87">INDEX(FJ90:FJ98,$K86)</f>
        <v>-2.625</v>
      </c>
      <c r="FK87" s="24" cm="1">
        <f t="array" ref="FK87">INDEX(FK90:FK98,$K86)</f>
        <v>-2.625</v>
      </c>
      <c r="FL87" s="24" cm="1">
        <f t="array" ref="FL87">INDEX(FL90:FL98,$K86)</f>
        <v>-2.625</v>
      </c>
      <c r="FM87" s="24" cm="1">
        <f t="array" ref="FM87">INDEX(FM90:FM98,$K86)</f>
        <v>-2.625</v>
      </c>
      <c r="FN87" s="24" cm="1">
        <f t="array" ref="FN87">INDEX(FN90:FN98,$K86)</f>
        <v>-2.625</v>
      </c>
      <c r="FO87" s="24" cm="1">
        <f t="array" ref="FO87">INDEX(FO90:FO98,$K86)</f>
        <v>-2.625</v>
      </c>
      <c r="FP87" s="24" cm="1">
        <f t="array" ref="FP87">INDEX(FP90:FP98,$K86)</f>
        <v>-2.625</v>
      </c>
      <c r="FQ87" s="24" cm="1">
        <f t="array" ref="FQ87">INDEX(FQ90:FQ98,$K86)</f>
        <v>-2.625</v>
      </c>
      <c r="FR87" s="24" cm="1">
        <f t="array" ref="FR87">INDEX(FR90:FR98,$K86)</f>
        <v>-2.625</v>
      </c>
      <c r="FS87" s="24" cm="1">
        <f t="array" ref="FS87">INDEX(FS90:FS98,$K86)</f>
        <v>-2.625</v>
      </c>
      <c r="FT87" s="24" cm="1">
        <f t="array" ref="FT87">INDEX(FT90:FT98,$K86)</f>
        <v>-2.625</v>
      </c>
      <c r="FU87" s="24" cm="1">
        <f t="array" ref="FU87">INDEX(FU90:FU98,$K86)</f>
        <v>-2.625</v>
      </c>
      <c r="FV87" s="24" cm="1">
        <f t="array" ref="FV87">INDEX(FV90:FV98,$K86)</f>
        <v>-2.625</v>
      </c>
      <c r="FW87" s="24" cm="1">
        <f t="array" ref="FW87">INDEX(FW90:FW98,$K86)</f>
        <v>-2.625</v>
      </c>
      <c r="FX87" s="24" cm="1">
        <f t="array" ref="FX87">INDEX(FX90:FX98,$K86)</f>
        <v>-2.625</v>
      </c>
      <c r="FY87" s="24" cm="1">
        <f t="array" ref="FY87">INDEX(FY90:FY98,$K86)</f>
        <v>-2.625</v>
      </c>
      <c r="FZ87" s="24" cm="1">
        <f t="array" ref="FZ87">INDEX(FZ90:FZ98,$K86)</f>
        <v>-2.625</v>
      </c>
      <c r="GA87" s="24" cm="1">
        <f t="array" ref="GA87">INDEX(GA90:GA98,$K86)</f>
        <v>-2.625</v>
      </c>
      <c r="GB87" s="24" cm="1">
        <f t="array" ref="GB87">INDEX(GB90:GB98,$K86)</f>
        <v>-2.625</v>
      </c>
      <c r="GC87" s="24" cm="1">
        <f t="array" ref="GC87">INDEX(GC90:GC98,$K86)</f>
        <v>-2.625</v>
      </c>
      <c r="GD87" s="24" cm="1">
        <f t="array" ref="GD87">INDEX(GD90:GD98,$K86)</f>
        <v>-2.625</v>
      </c>
      <c r="GE87" s="24" cm="1">
        <f t="array" ref="GE87">INDEX(GE90:GE98,$K86)</f>
        <v>-2.625</v>
      </c>
      <c r="GF87" s="24" cm="1">
        <f t="array" ref="GF87">INDEX(GF90:GF98,$K86)</f>
        <v>-2.625</v>
      </c>
      <c r="GG87" s="24" cm="1">
        <f t="array" ref="GG87">INDEX(GG90:GG98,$K86)</f>
        <v>-2.625</v>
      </c>
      <c r="GH87" s="24" cm="1">
        <f t="array" ref="GH87">INDEX(GH90:GH98,$K86)</f>
        <v>-2.625</v>
      </c>
      <c r="GI87" s="24" cm="1">
        <f t="array" ref="GI87">INDEX(GI90:GI98,$K86)</f>
        <v>-2.625</v>
      </c>
      <c r="GJ87" s="24" cm="1">
        <f t="array" ref="GJ87">INDEX(GJ90:GJ98,$K86)</f>
        <v>-2.625</v>
      </c>
      <c r="GK87" s="24" cm="1">
        <f t="array" ref="GK87">INDEX(GK90:GK98,$K86)</f>
        <v>-2.625</v>
      </c>
      <c r="GL87" s="24" cm="1">
        <f t="array" ref="GL87">INDEX(GL90:GL98,$K86)</f>
        <v>-2.625</v>
      </c>
      <c r="GM87" s="24" cm="1">
        <f t="array" ref="GM87">INDEX(GM90:GM98,$K86)</f>
        <v>-2.625</v>
      </c>
      <c r="GN87" s="24" cm="1">
        <f t="array" ref="GN87">INDEX(GN90:GN98,$K86)</f>
        <v>-2.625</v>
      </c>
      <c r="GO87" s="24" cm="1">
        <f t="array" ref="GO87">INDEX(GO90:GO98,$K86)</f>
        <v>-2.625</v>
      </c>
      <c r="GP87" s="24" cm="1">
        <f t="array" ref="GP87">INDEX(GP90:GP98,$K86)</f>
        <v>-2.625</v>
      </c>
      <c r="GQ87" s="24" cm="1">
        <f t="array" ref="GQ87">INDEX(GQ90:GQ98,$K86)</f>
        <v>-2.625</v>
      </c>
      <c r="GR87" s="24" cm="1">
        <f t="array" ref="GR87">INDEX(GR90:GR98,$K86)</f>
        <v>-2.625</v>
      </c>
      <c r="GS87" s="24" cm="1">
        <f t="array" ref="GS87">INDEX(GS90:GS98,$K86)</f>
        <v>-2.625</v>
      </c>
      <c r="GT87" s="24" cm="1">
        <f t="array" ref="GT87">INDEX(GT90:GT98,$K86)</f>
        <v>-2.625</v>
      </c>
      <c r="GU87" s="24" cm="1">
        <f t="array" ref="GU87">INDEX(GU90:GU98,$K86)</f>
        <v>-2.625</v>
      </c>
      <c r="GV87" s="24" cm="1">
        <f t="array" ref="GV87">INDEX(GV90:GV98,$K86)</f>
        <v>-2.625</v>
      </c>
      <c r="GW87" s="24" cm="1">
        <f t="array" ref="GW87">INDEX(GW90:GW98,$K86)</f>
        <v>-2.625</v>
      </c>
      <c r="GX87" s="24" cm="1">
        <f t="array" ref="GX87">INDEX(GX90:GX98,$K86)</f>
        <v>-2.625</v>
      </c>
      <c r="GY87" s="24" cm="1">
        <f t="array" ref="GY87">INDEX(GY90:GY98,$K86)</f>
        <v>-2.625</v>
      </c>
      <c r="GZ87" s="24" cm="1">
        <f t="array" ref="GZ87">INDEX(GZ90:GZ98,$K86)</f>
        <v>-2.625</v>
      </c>
      <c r="HA87" s="24" cm="1">
        <f t="array" ref="HA87">INDEX(HA90:HA98,$K86)</f>
        <v>-2.625</v>
      </c>
      <c r="HB87" s="24" cm="1">
        <f t="array" ref="HB87">INDEX(HB90:HB98,$K86)</f>
        <v>-2.625</v>
      </c>
      <c r="HC87" s="24" cm="1">
        <f t="array" ref="HC87">INDEX(HC90:HC98,$K86)</f>
        <v>-2.625</v>
      </c>
      <c r="HD87" s="24" cm="1">
        <f t="array" ref="HD87">INDEX(HD90:HD98,$K86)</f>
        <v>-2.625</v>
      </c>
      <c r="HE87" s="24" cm="1">
        <f t="array" ref="HE87">INDEX(HE90:HE98,$K86)</f>
        <v>-2.625</v>
      </c>
      <c r="HF87" s="24" cm="1">
        <f t="array" ref="HF87">INDEX(HF90:HF98,$K86)</f>
        <v>-2.625</v>
      </c>
      <c r="HG87" s="24" cm="1">
        <f t="array" ref="HG87">INDEX(HG90:HG98,$K86)</f>
        <v>-2.625</v>
      </c>
      <c r="HH87" s="24" cm="1">
        <f t="array" ref="HH87">INDEX(HH90:HH98,$K86)</f>
        <v>-2.625</v>
      </c>
      <c r="HI87" s="24" cm="1">
        <f t="array" ref="HI87">INDEX(HI90:HI98,$K86)</f>
        <v>-2.625</v>
      </c>
      <c r="HJ87" s="24" cm="1">
        <f t="array" ref="HJ87">INDEX(HJ90:HJ98,$K86)</f>
        <v>-2.625</v>
      </c>
      <c r="HK87" s="24" cm="1">
        <f t="array" ref="HK87">INDEX(HK90:HK98,$K86)</f>
        <v>-2.625</v>
      </c>
      <c r="HL87" s="24" cm="1">
        <f t="array" ref="HL87">INDEX(HL90:HL98,$K86)</f>
        <v>-2.625</v>
      </c>
      <c r="HM87" s="24" cm="1">
        <f t="array" ref="HM87">INDEX(HM90:HM98,$K86)</f>
        <v>-2.625</v>
      </c>
      <c r="HN87" s="24" cm="1">
        <f t="array" ref="HN87">INDEX(HN90:HN98,$K86)</f>
        <v>-2.625</v>
      </c>
      <c r="HO87" s="24" cm="1">
        <f t="array" ref="HO87">INDEX(HO90:HO98,$K86)</f>
        <v>-2.625</v>
      </c>
      <c r="HP87" s="24" cm="1">
        <f t="array" ref="HP87">INDEX(HP90:HP98,$K86)</f>
        <v>-2.625</v>
      </c>
      <c r="HQ87" s="24" cm="1">
        <f t="array" ref="HQ87">INDEX(HQ90:HQ98,$K86)</f>
        <v>-2.625</v>
      </c>
      <c r="HR87" s="24" cm="1">
        <f t="array" ref="HR87">INDEX(HR90:HR98,$K86)</f>
        <v>-2.625</v>
      </c>
      <c r="HS87" s="24" cm="1">
        <f t="array" ref="HS87">INDEX(HS90:HS98,$K86)</f>
        <v>-2.625</v>
      </c>
      <c r="HT87" s="24" cm="1">
        <f t="array" ref="HT87">INDEX(HT90:HT98,$K86)</f>
        <v>-2.625</v>
      </c>
      <c r="HU87" s="24" cm="1">
        <f t="array" ref="HU87">INDEX(HU90:HU98,$K86)</f>
        <v>-2.625</v>
      </c>
      <c r="HV87" s="24" cm="1">
        <f t="array" ref="HV87">INDEX(HV90:HV98,$K86)</f>
        <v>-2.625</v>
      </c>
      <c r="HW87" s="24" cm="1">
        <f t="array" ref="HW87">INDEX(HW90:HW98,$K86)</f>
        <v>-2.625</v>
      </c>
      <c r="HX87" s="24" cm="1">
        <f t="array" ref="HX87">INDEX(HX90:HX98,$K86)</f>
        <v>-2.625</v>
      </c>
      <c r="HY87" s="24" cm="1">
        <f t="array" ref="HY87">INDEX(HY90:HY98,$K86)</f>
        <v>-2.625</v>
      </c>
      <c r="HZ87" s="24" cm="1">
        <f t="array" ref="HZ87">INDEX(HZ90:HZ98,$K86)</f>
        <v>-2.625</v>
      </c>
      <c r="IA87" s="24" cm="1">
        <f t="array" ref="IA87">INDEX(IA90:IA98,$K86)</f>
        <v>-2.625</v>
      </c>
      <c r="IB87" s="24" cm="1">
        <f t="array" ref="IB87">INDEX(IB90:IB98,$K86)</f>
        <v>-2.625</v>
      </c>
      <c r="IC87" s="24" cm="1">
        <f t="array" ref="IC87">INDEX(IC90:IC98,$K86)</f>
        <v>-2.625</v>
      </c>
      <c r="ID87" s="24" cm="1">
        <f t="array" ref="ID87">INDEX(ID90:ID98,$K86)</f>
        <v>-2.625</v>
      </c>
      <c r="IE87" s="24" cm="1">
        <f t="array" ref="IE87">INDEX(IE90:IE98,$K86)</f>
        <v>-2.625</v>
      </c>
      <c r="IF87" s="24" cm="1">
        <f t="array" ref="IF87">INDEX(IF90:IF98,$K86)</f>
        <v>-2.625</v>
      </c>
      <c r="IG87" s="24" cm="1">
        <f t="array" ref="IG87">INDEX(IG90:IG98,$K86)</f>
        <v>-2.625</v>
      </c>
      <c r="IH87" s="24" cm="1">
        <f t="array" ref="IH87">INDEX(IH90:IH98,$K86)</f>
        <v>-2.625</v>
      </c>
      <c r="II87" s="24" cm="1">
        <f t="array" ref="II87">INDEX(II90:II98,$K86)</f>
        <v>-2.625</v>
      </c>
      <c r="IJ87" s="24" cm="1">
        <f t="array" ref="IJ87">INDEX(IJ90:IJ98,$K86)</f>
        <v>-2.625</v>
      </c>
      <c r="IK87" s="24" cm="1">
        <f t="array" ref="IK87">INDEX(IK90:IK98,$K86)</f>
        <v>-2.625</v>
      </c>
      <c r="IL87" s="24" cm="1">
        <f t="array" ref="IL87">INDEX(IL90:IL98,$K86)</f>
        <v>-2.625</v>
      </c>
      <c r="IM87" s="24" cm="1">
        <f t="array" ref="IM87">INDEX(IM90:IM98,$K86)</f>
        <v>-2.625</v>
      </c>
      <c r="IN87" s="24" cm="1">
        <f t="array" ref="IN87">INDEX(IN90:IN98,$K86)</f>
        <v>-2.625</v>
      </c>
      <c r="IO87" s="24" cm="1">
        <f t="array" ref="IO87">INDEX(IO90:IO98,$K86)</f>
        <v>-2.625</v>
      </c>
      <c r="IP87" s="24" cm="1">
        <f t="array" ref="IP87">INDEX(IP90:IP98,$K86)</f>
        <v>-2.625</v>
      </c>
      <c r="IQ87" s="24" cm="1">
        <f t="array" ref="IQ87">INDEX(IQ90:IQ98,$K86)</f>
        <v>-2.625</v>
      </c>
      <c r="IR87" s="24" cm="1">
        <f t="array" ref="IR87">INDEX(IR90:IR98,$K86)</f>
        <v>-2.625</v>
      </c>
      <c r="IS87" s="24" cm="1">
        <f t="array" ref="IS87">INDEX(IS90:IS98,$K86)</f>
        <v>-2.625</v>
      </c>
      <c r="IT87" s="24" cm="1">
        <f t="array" ref="IT87">INDEX(IT90:IT98,$K86)</f>
        <v>-2.625</v>
      </c>
      <c r="IU87" s="24" cm="1">
        <f t="array" ref="IU87">INDEX(IU90:IU98,$K86)</f>
        <v>-2.625</v>
      </c>
      <c r="IV87" s="24" cm="1">
        <f t="array" ref="IV87">INDEX(IV90:IV98,$K86)</f>
        <v>-2.625</v>
      </c>
      <c r="IW87" s="24" cm="1">
        <f t="array" ref="IW87">INDEX(IW90:IW98,$K86)</f>
        <v>-2.625</v>
      </c>
      <c r="IX87" s="24" cm="1">
        <f t="array" ref="IX87">INDEX(IX90:IX98,$K86)</f>
        <v>-2.625</v>
      </c>
      <c r="IY87" s="24" cm="1">
        <f t="array" ref="IY87">INDEX(IY90:IY98,$K86)</f>
        <v>-2.625</v>
      </c>
      <c r="IZ87" s="24" cm="1">
        <f t="array" ref="IZ87">INDEX(IZ90:IZ98,$K86)</f>
        <v>-2.625</v>
      </c>
      <c r="JA87" s="24" cm="1">
        <f t="array" ref="JA87">INDEX(JA90:JA98,$K86)</f>
        <v>-2.625</v>
      </c>
      <c r="JB87" s="24" cm="1">
        <f t="array" ref="JB87">INDEX(JB90:JB98,$K86)</f>
        <v>-2.625</v>
      </c>
      <c r="JC87" s="24" cm="1">
        <f t="array" ref="JC87">INDEX(JC90:JC98,$K86)</f>
        <v>-2.625</v>
      </c>
      <c r="JD87" s="24" cm="1">
        <f t="array" ref="JD87">INDEX(JD90:JD98,$K86)</f>
        <v>-2.625</v>
      </c>
      <c r="JE87" s="24" cm="1">
        <f t="array" ref="JE87">INDEX(JE90:JE98,$K86)</f>
        <v>-2.625</v>
      </c>
      <c r="JF87" s="24" cm="1">
        <f t="array" ref="JF87">INDEX(JF90:JF98,$K86)</f>
        <v>-2.625</v>
      </c>
      <c r="JG87" s="24" cm="1">
        <f t="array" ref="JG87">INDEX(JG90:JG98,$K86)</f>
        <v>-2.625</v>
      </c>
      <c r="JH87" s="24" cm="1">
        <f t="array" ref="JH87">INDEX(JH90:JH98,$K86)</f>
        <v>-2.625</v>
      </c>
      <c r="JI87" s="24" cm="1">
        <f t="array" ref="JI87">INDEX(JI90:JI98,$K86)</f>
        <v>-2.625</v>
      </c>
      <c r="JJ87" s="24" cm="1">
        <f t="array" ref="JJ87">INDEX(JJ90:JJ98,$K86)</f>
        <v>-2.625</v>
      </c>
      <c r="JK87" s="24" cm="1">
        <f t="array" ref="JK87">INDEX(JK90:JK98,$K86)</f>
        <v>-2.625</v>
      </c>
      <c r="JL87" s="24" cm="1">
        <f t="array" ref="JL87">INDEX(JL90:JL98,$K86)</f>
        <v>-2.625</v>
      </c>
      <c r="JM87" s="24" cm="1">
        <f t="array" ref="JM87">INDEX(JM90:JM98,$K86)</f>
        <v>-2.625</v>
      </c>
      <c r="JN87" s="24" cm="1">
        <f t="array" ref="JN87">INDEX(JN90:JN98,$K86)</f>
        <v>-2.625</v>
      </c>
      <c r="JO87" s="24" cm="1">
        <f t="array" ref="JO87">INDEX(JO90:JO98,$K86)</f>
        <v>-2.625</v>
      </c>
      <c r="JP87" s="24" cm="1">
        <f t="array" ref="JP87">INDEX(JP90:JP98,$K86)</f>
        <v>-2.625</v>
      </c>
      <c r="JQ87" s="24" cm="1">
        <f t="array" ref="JQ87">INDEX(JQ90:JQ98,$K86)</f>
        <v>-2.625</v>
      </c>
      <c r="JR87" s="24" cm="1">
        <f t="array" ref="JR87">INDEX(JR90:JR98,$K86)</f>
        <v>-2.625</v>
      </c>
      <c r="JS87" s="24" cm="1">
        <f t="array" ref="JS87">INDEX(JS90:JS98,$K86)</f>
        <v>-2.625</v>
      </c>
      <c r="JT87" s="24" cm="1">
        <f t="array" ref="JT87">INDEX(JT90:JT98,$K86)</f>
        <v>-2.625</v>
      </c>
      <c r="JU87" s="24" cm="1">
        <f t="array" ref="JU87">INDEX(JU90:JU98,$K86)</f>
        <v>-2.625</v>
      </c>
      <c r="JV87" s="24" cm="1">
        <f t="array" ref="JV87">INDEX(JV90:JV98,$K86)</f>
        <v>-2.625</v>
      </c>
      <c r="JW87" s="24" cm="1">
        <f t="array" ref="JW87">INDEX(JW90:JW98,$K86)</f>
        <v>-2.625</v>
      </c>
      <c r="JX87" s="24" cm="1">
        <f t="array" ref="JX87">INDEX(JX90:JX98,$K86)</f>
        <v>-2.625</v>
      </c>
      <c r="JY87" s="24" cm="1">
        <f t="array" ref="JY87">INDEX(JY90:JY98,$K86)</f>
        <v>-2.625</v>
      </c>
      <c r="JZ87" s="24" cm="1">
        <f t="array" ref="JZ87">INDEX(JZ90:JZ98,$K86)</f>
        <v>-2.625</v>
      </c>
      <c r="KA87" s="24" cm="1">
        <f t="array" ref="KA87">INDEX(KA90:KA98,$K86)</f>
        <v>-2.625</v>
      </c>
      <c r="KB87" s="24" cm="1">
        <f t="array" ref="KB87">INDEX(KB90:KB98,$K86)</f>
        <v>-2.625</v>
      </c>
      <c r="KC87" s="24" cm="1">
        <f t="array" ref="KC87">INDEX(KC90:KC98,$K86)</f>
        <v>-2.625</v>
      </c>
      <c r="KD87" s="24" cm="1">
        <f t="array" ref="KD87">INDEX(KD90:KD98,$K86)</f>
        <v>-2.625</v>
      </c>
      <c r="KE87" s="24" cm="1">
        <f t="array" ref="KE87">INDEX(KE90:KE98,$K86)</f>
        <v>-2.625</v>
      </c>
      <c r="KF87" s="24" cm="1">
        <f t="array" ref="KF87">INDEX(KF90:KF98,$K86)</f>
        <v>-2.625</v>
      </c>
    </row>
    <row r="88" spans="4:292" outlineLevel="1" x14ac:dyDescent="0.35">
      <c r="D88" s="20">
        <v>0</v>
      </c>
      <c r="E88" s="13" t="s">
        <v>170</v>
      </c>
      <c r="J88" s="55" t="s">
        <v>161</v>
      </c>
      <c r="K88" s="62">
        <f>K87*(1+$D88)</f>
        <v>-2.625</v>
      </c>
      <c r="L88" s="62">
        <f t="shared" ref="L88" si="336">L87*(1+$D88)</f>
        <v>-2.625</v>
      </c>
      <c r="M88" s="62">
        <f t="shared" ref="M88" si="337">M87*(1+$D88)</f>
        <v>-2.625</v>
      </c>
      <c r="N88" s="62">
        <f t="shared" ref="N88" si="338">N87*(1+$D88)</f>
        <v>-2.625</v>
      </c>
      <c r="O88" s="62">
        <f t="shared" ref="O88" si="339">O87*(1+$D88)</f>
        <v>-2.625</v>
      </c>
      <c r="P88" s="62">
        <f t="shared" ref="P88" si="340">P87*(1+$D88)</f>
        <v>-2.625</v>
      </c>
      <c r="Q88" s="62">
        <f t="shared" ref="Q88" si="341">Q87*(1+$D88)</f>
        <v>-2.625</v>
      </c>
      <c r="R88" s="62">
        <f t="shared" ref="R88" si="342">R87*(1+$D88)</f>
        <v>-2.625</v>
      </c>
      <c r="S88" s="62">
        <f t="shared" ref="S88" si="343">S87*(1+$D88)</f>
        <v>-2.625</v>
      </c>
      <c r="T88" s="62">
        <f t="shared" ref="T88" si="344">T87*(1+$D88)</f>
        <v>-2.625</v>
      </c>
      <c r="U88" s="62">
        <f t="shared" ref="U88" si="345">U87*(1+$D88)</f>
        <v>-2.625</v>
      </c>
      <c r="V88" s="62">
        <f t="shared" ref="V88" si="346">V87*(1+$D88)</f>
        <v>-2.625</v>
      </c>
      <c r="W88" s="62">
        <f t="shared" ref="W88" si="347">W87*(1+$D88)</f>
        <v>-2.625</v>
      </c>
      <c r="X88" s="62">
        <f t="shared" ref="X88" si="348">X87*(1+$D88)</f>
        <v>-2.625</v>
      </c>
      <c r="Y88" s="62">
        <f t="shared" ref="Y88" si="349">Y87*(1+$D88)</f>
        <v>-2.625</v>
      </c>
      <c r="Z88" s="62">
        <f t="shared" ref="Z88" si="350">Z87*(1+$D88)</f>
        <v>-2.625</v>
      </c>
      <c r="AA88" s="62">
        <f t="shared" ref="AA88" si="351">AA87*(1+$D88)</f>
        <v>-2.625</v>
      </c>
      <c r="AB88" s="62">
        <f t="shared" ref="AB88" si="352">AB87*(1+$D88)</f>
        <v>-2.625</v>
      </c>
      <c r="AC88" s="62">
        <f t="shared" ref="AC88" si="353">AC87*(1+$D88)</f>
        <v>-2.625</v>
      </c>
      <c r="AD88" s="62">
        <f t="shared" ref="AD88" si="354">AD87*(1+$D88)</f>
        <v>-2.625</v>
      </c>
      <c r="AE88" s="62">
        <f t="shared" ref="AE88" si="355">AE87*(1+$D88)</f>
        <v>-2.625</v>
      </c>
      <c r="AF88" s="62">
        <f t="shared" ref="AF88" si="356">AF87*(1+$D88)</f>
        <v>-2.625</v>
      </c>
      <c r="AG88" s="62">
        <f t="shared" ref="AG88" si="357">AG87*(1+$D88)</f>
        <v>-2.625</v>
      </c>
      <c r="AH88" s="62">
        <f t="shared" ref="AH88" si="358">AH87*(1+$D88)</f>
        <v>-2.625</v>
      </c>
      <c r="AI88" s="62">
        <f t="shared" ref="AI88" si="359">AI87*(1+$D88)</f>
        <v>-2.625</v>
      </c>
      <c r="AJ88" s="62">
        <f t="shared" ref="AJ88" si="360">AJ87*(1+$D88)</f>
        <v>-2.625</v>
      </c>
      <c r="AK88" s="62">
        <f t="shared" ref="AK88" si="361">AK87*(1+$D88)</f>
        <v>-2.625</v>
      </c>
      <c r="AL88" s="62">
        <f t="shared" ref="AL88" si="362">AL87*(1+$D88)</f>
        <v>-2.625</v>
      </c>
      <c r="AM88" s="62">
        <f t="shared" ref="AM88" si="363">AM87*(1+$D88)</f>
        <v>-2.625</v>
      </c>
      <c r="AN88" s="62">
        <f t="shared" ref="AN88" si="364">AN87*(1+$D88)</f>
        <v>-2.625</v>
      </c>
      <c r="AO88" s="62">
        <f t="shared" ref="AO88" si="365">AO87*(1+$D88)</f>
        <v>-2.625</v>
      </c>
      <c r="AP88" s="62">
        <f t="shared" ref="AP88" si="366">AP87*(1+$D88)</f>
        <v>-2.625</v>
      </c>
      <c r="AQ88" s="62">
        <f t="shared" ref="AQ88" si="367">AQ87*(1+$D88)</f>
        <v>-2.625</v>
      </c>
      <c r="AR88" s="62">
        <f t="shared" ref="AR88" si="368">AR87*(1+$D88)</f>
        <v>-2.625</v>
      </c>
      <c r="AS88" s="62">
        <f t="shared" ref="AS88" si="369">AS87*(1+$D88)</f>
        <v>-2.625</v>
      </c>
      <c r="AT88" s="62">
        <f t="shared" ref="AT88" si="370">AT87*(1+$D88)</f>
        <v>-2.625</v>
      </c>
      <c r="AU88" s="62">
        <f t="shared" ref="AU88" si="371">AU87*(1+$D88)</f>
        <v>-2.625</v>
      </c>
      <c r="AV88" s="62">
        <f t="shared" ref="AV88" si="372">AV87*(1+$D88)</f>
        <v>-2.625</v>
      </c>
      <c r="AW88" s="62">
        <f t="shared" ref="AW88" si="373">AW87*(1+$D88)</f>
        <v>-2.625</v>
      </c>
      <c r="AX88" s="62">
        <f t="shared" ref="AX88" si="374">AX87*(1+$D88)</f>
        <v>-2.625</v>
      </c>
      <c r="AY88" s="62">
        <f t="shared" ref="AY88" si="375">AY87*(1+$D88)</f>
        <v>-2.625</v>
      </c>
      <c r="AZ88" s="62">
        <f t="shared" ref="AZ88" si="376">AZ87*(1+$D88)</f>
        <v>-2.625</v>
      </c>
      <c r="BA88" s="62">
        <f t="shared" ref="BA88" si="377">BA87*(1+$D88)</f>
        <v>-2.625</v>
      </c>
      <c r="BB88" s="62">
        <f t="shared" ref="BB88" si="378">BB87*(1+$D88)</f>
        <v>-2.625</v>
      </c>
      <c r="BC88" s="62">
        <f t="shared" ref="BC88" si="379">BC87*(1+$D88)</f>
        <v>-2.625</v>
      </c>
      <c r="BD88" s="62">
        <f t="shared" ref="BD88" si="380">BD87*(1+$D88)</f>
        <v>-2.625</v>
      </c>
      <c r="BE88" s="62">
        <f t="shared" ref="BE88" si="381">BE87*(1+$D88)</f>
        <v>-2.625</v>
      </c>
      <c r="BF88" s="62">
        <f t="shared" ref="BF88" si="382">BF87*(1+$D88)</f>
        <v>-2.625</v>
      </c>
      <c r="BG88" s="62">
        <f t="shared" ref="BG88" si="383">BG87*(1+$D88)</f>
        <v>-2.625</v>
      </c>
      <c r="BH88" s="62">
        <f t="shared" ref="BH88" si="384">BH87*(1+$D88)</f>
        <v>-2.625</v>
      </c>
      <c r="BI88" s="62">
        <f t="shared" ref="BI88" si="385">BI87*(1+$D88)</f>
        <v>-2.625</v>
      </c>
      <c r="BJ88" s="62">
        <f t="shared" ref="BJ88" si="386">BJ87*(1+$D88)</f>
        <v>-2.625</v>
      </c>
      <c r="BK88" s="62">
        <f t="shared" ref="BK88" si="387">BK87*(1+$D88)</f>
        <v>-2.625</v>
      </c>
      <c r="BL88" s="62">
        <f t="shared" ref="BL88" si="388">BL87*(1+$D88)</f>
        <v>-2.625</v>
      </c>
      <c r="BM88" s="62">
        <f t="shared" ref="BM88" si="389">BM87*(1+$D88)</f>
        <v>-2.625</v>
      </c>
      <c r="BN88" s="62">
        <f t="shared" ref="BN88" si="390">BN87*(1+$D88)</f>
        <v>-2.625</v>
      </c>
      <c r="BO88" s="62">
        <f t="shared" ref="BO88" si="391">BO87*(1+$D88)</f>
        <v>-2.625</v>
      </c>
      <c r="BP88" s="62">
        <f t="shared" ref="BP88" si="392">BP87*(1+$D88)</f>
        <v>-2.625</v>
      </c>
      <c r="BQ88" s="62">
        <f t="shared" ref="BQ88" si="393">BQ87*(1+$D88)</f>
        <v>-2.625</v>
      </c>
      <c r="BR88" s="62">
        <f t="shared" ref="BR88" si="394">BR87*(1+$D88)</f>
        <v>-2.625</v>
      </c>
      <c r="BS88" s="62">
        <f t="shared" ref="BS88" si="395">BS87*(1+$D88)</f>
        <v>-2.625</v>
      </c>
      <c r="BT88" s="62">
        <f t="shared" ref="BT88" si="396">BT87*(1+$D88)</f>
        <v>-2.625</v>
      </c>
      <c r="BU88" s="62">
        <f t="shared" ref="BU88" si="397">BU87*(1+$D88)</f>
        <v>-2.625</v>
      </c>
      <c r="BV88" s="62">
        <f t="shared" ref="BV88" si="398">BV87*(1+$D88)</f>
        <v>-2.625</v>
      </c>
      <c r="BW88" s="62">
        <f t="shared" ref="BW88" si="399">BW87*(1+$D88)</f>
        <v>-2.625</v>
      </c>
      <c r="BX88" s="62">
        <f t="shared" ref="BX88" si="400">BX87*(1+$D88)</f>
        <v>-2.625</v>
      </c>
      <c r="BY88" s="62">
        <f t="shared" ref="BY88" si="401">BY87*(1+$D88)</f>
        <v>-2.625</v>
      </c>
      <c r="BZ88" s="62">
        <f t="shared" ref="BZ88" si="402">BZ87*(1+$D88)</f>
        <v>-2.625</v>
      </c>
      <c r="CA88" s="62">
        <f t="shared" ref="CA88" si="403">CA87*(1+$D88)</f>
        <v>-2.625</v>
      </c>
      <c r="CB88" s="62">
        <f t="shared" ref="CB88" si="404">CB87*(1+$D88)</f>
        <v>-2.625</v>
      </c>
      <c r="CC88" s="62">
        <f t="shared" ref="CC88" si="405">CC87*(1+$D88)</f>
        <v>-2.625</v>
      </c>
      <c r="CD88" s="62">
        <f t="shared" ref="CD88" si="406">CD87*(1+$D88)</f>
        <v>-2.625</v>
      </c>
      <c r="CE88" s="62">
        <f t="shared" ref="CE88" si="407">CE87*(1+$D88)</f>
        <v>-2.625</v>
      </c>
      <c r="CF88" s="62">
        <f t="shared" ref="CF88" si="408">CF87*(1+$D88)</f>
        <v>-2.625</v>
      </c>
      <c r="CG88" s="62">
        <f t="shared" ref="CG88" si="409">CG87*(1+$D88)</f>
        <v>-2.625</v>
      </c>
      <c r="CH88" s="62">
        <f t="shared" ref="CH88" si="410">CH87*(1+$D88)</f>
        <v>-2.625</v>
      </c>
      <c r="CI88" s="62">
        <f t="shared" ref="CI88" si="411">CI87*(1+$D88)</f>
        <v>-2.625</v>
      </c>
      <c r="CJ88" s="62">
        <f t="shared" ref="CJ88" si="412">CJ87*(1+$D88)</f>
        <v>-2.625</v>
      </c>
      <c r="CK88" s="62">
        <f t="shared" ref="CK88" si="413">CK87*(1+$D88)</f>
        <v>-2.625</v>
      </c>
      <c r="CL88" s="62">
        <f t="shared" ref="CL88" si="414">CL87*(1+$D88)</f>
        <v>-2.625</v>
      </c>
      <c r="CM88" s="62">
        <f t="shared" ref="CM88" si="415">CM87*(1+$D88)</f>
        <v>-2.625</v>
      </c>
      <c r="CN88" s="62">
        <f t="shared" ref="CN88" si="416">CN87*(1+$D88)</f>
        <v>-2.625</v>
      </c>
      <c r="CO88" s="62">
        <f t="shared" ref="CO88" si="417">CO87*(1+$D88)</f>
        <v>-2.625</v>
      </c>
      <c r="CP88" s="62">
        <f t="shared" ref="CP88" si="418">CP87*(1+$D88)</f>
        <v>-2.625</v>
      </c>
      <c r="CQ88" s="62">
        <f t="shared" ref="CQ88" si="419">CQ87*(1+$D88)</f>
        <v>-2.625</v>
      </c>
      <c r="CR88" s="62">
        <f t="shared" ref="CR88" si="420">CR87*(1+$D88)</f>
        <v>-2.625</v>
      </c>
      <c r="CS88" s="62">
        <f t="shared" ref="CS88" si="421">CS87*(1+$D88)</f>
        <v>-2.625</v>
      </c>
      <c r="CT88" s="62">
        <f t="shared" ref="CT88" si="422">CT87*(1+$D88)</f>
        <v>-2.625</v>
      </c>
      <c r="CU88" s="62">
        <f t="shared" ref="CU88" si="423">CU87*(1+$D88)</f>
        <v>-2.625</v>
      </c>
      <c r="CV88" s="62">
        <f t="shared" ref="CV88" si="424">CV87*(1+$D88)</f>
        <v>-2.625</v>
      </c>
      <c r="CW88" s="62">
        <f t="shared" ref="CW88" si="425">CW87*(1+$D88)</f>
        <v>-2.625</v>
      </c>
      <c r="CX88" s="62">
        <f t="shared" ref="CX88" si="426">CX87*(1+$D88)</f>
        <v>-2.625</v>
      </c>
      <c r="CY88" s="62">
        <f t="shared" ref="CY88" si="427">CY87*(1+$D88)</f>
        <v>-2.625</v>
      </c>
      <c r="CZ88" s="62">
        <f t="shared" ref="CZ88" si="428">CZ87*(1+$D88)</f>
        <v>-2.625</v>
      </c>
      <c r="DA88" s="62">
        <f t="shared" ref="DA88" si="429">DA87*(1+$D88)</f>
        <v>-2.625</v>
      </c>
      <c r="DB88" s="62">
        <f t="shared" ref="DB88" si="430">DB87*(1+$D88)</f>
        <v>-2.625</v>
      </c>
      <c r="DC88" s="62">
        <f t="shared" ref="DC88" si="431">DC87*(1+$D88)</f>
        <v>-2.625</v>
      </c>
      <c r="DD88" s="62">
        <f t="shared" ref="DD88" si="432">DD87*(1+$D88)</f>
        <v>-2.625</v>
      </c>
      <c r="DE88" s="62">
        <f t="shared" ref="DE88" si="433">DE87*(1+$D88)</f>
        <v>-2.625</v>
      </c>
      <c r="DF88" s="62">
        <f t="shared" ref="DF88" si="434">DF87*(1+$D88)</f>
        <v>-2.625</v>
      </c>
      <c r="DG88" s="62">
        <f t="shared" ref="DG88" si="435">DG87*(1+$D88)</f>
        <v>-2.625</v>
      </c>
      <c r="DH88" s="62">
        <f t="shared" ref="DH88" si="436">DH87*(1+$D88)</f>
        <v>-2.625</v>
      </c>
      <c r="DI88" s="62">
        <f t="shared" ref="DI88" si="437">DI87*(1+$D88)</f>
        <v>-2.625</v>
      </c>
      <c r="DJ88" s="62">
        <f t="shared" ref="DJ88" si="438">DJ87*(1+$D88)</f>
        <v>-2.625</v>
      </c>
      <c r="DK88" s="62">
        <f t="shared" ref="DK88" si="439">DK87*(1+$D88)</f>
        <v>-2.625</v>
      </c>
      <c r="DL88" s="62">
        <f t="shared" ref="DL88" si="440">DL87*(1+$D88)</f>
        <v>-2.625</v>
      </c>
      <c r="DM88" s="62">
        <f t="shared" ref="DM88" si="441">DM87*(1+$D88)</f>
        <v>-2.625</v>
      </c>
      <c r="DN88" s="62">
        <f t="shared" ref="DN88" si="442">DN87*(1+$D88)</f>
        <v>-2.625</v>
      </c>
      <c r="DO88" s="62">
        <f t="shared" ref="DO88" si="443">DO87*(1+$D88)</f>
        <v>-2.625</v>
      </c>
      <c r="DP88" s="62">
        <f t="shared" ref="DP88" si="444">DP87*(1+$D88)</f>
        <v>-2.625</v>
      </c>
      <c r="DQ88" s="62">
        <f t="shared" ref="DQ88" si="445">DQ87*(1+$D88)</f>
        <v>-2.625</v>
      </c>
      <c r="DR88" s="62">
        <f t="shared" ref="DR88" si="446">DR87*(1+$D88)</f>
        <v>-2.625</v>
      </c>
      <c r="DS88" s="62">
        <f t="shared" ref="DS88" si="447">DS87*(1+$D88)</f>
        <v>-2.625</v>
      </c>
      <c r="DT88" s="62">
        <f t="shared" ref="DT88" si="448">DT87*(1+$D88)</f>
        <v>-2.625</v>
      </c>
      <c r="DU88" s="62">
        <f t="shared" ref="DU88" si="449">DU87*(1+$D88)</f>
        <v>-2.625</v>
      </c>
      <c r="DV88" s="62">
        <f t="shared" ref="DV88" si="450">DV87*(1+$D88)</f>
        <v>-2.625</v>
      </c>
      <c r="DW88" s="62">
        <f t="shared" ref="DW88" si="451">DW87*(1+$D88)</f>
        <v>-2.625</v>
      </c>
      <c r="DX88" s="62">
        <f t="shared" ref="DX88" si="452">DX87*(1+$D88)</f>
        <v>-2.625</v>
      </c>
      <c r="DY88" s="62">
        <f t="shared" ref="DY88" si="453">DY87*(1+$D88)</f>
        <v>-2.625</v>
      </c>
      <c r="DZ88" s="62">
        <f t="shared" ref="DZ88" si="454">DZ87*(1+$D88)</f>
        <v>-2.625</v>
      </c>
      <c r="EA88" s="62">
        <f t="shared" ref="EA88" si="455">EA87*(1+$D88)</f>
        <v>-2.625</v>
      </c>
      <c r="EB88" s="62">
        <f t="shared" ref="EB88" si="456">EB87*(1+$D88)</f>
        <v>-2.625</v>
      </c>
      <c r="EC88" s="62">
        <f t="shared" ref="EC88" si="457">EC87*(1+$D88)</f>
        <v>-2.625</v>
      </c>
      <c r="ED88" s="62">
        <f t="shared" ref="ED88" si="458">ED87*(1+$D88)</f>
        <v>-2.625</v>
      </c>
      <c r="EE88" s="62">
        <f t="shared" ref="EE88" si="459">EE87*(1+$D88)</f>
        <v>-2.625</v>
      </c>
      <c r="EF88" s="62">
        <f t="shared" ref="EF88" si="460">EF87*(1+$D88)</f>
        <v>-2.625</v>
      </c>
      <c r="EG88" s="62">
        <f t="shared" ref="EG88" si="461">EG87*(1+$D88)</f>
        <v>-2.625</v>
      </c>
      <c r="EH88" s="62">
        <f t="shared" ref="EH88" si="462">EH87*(1+$D88)</f>
        <v>-2.625</v>
      </c>
      <c r="EI88" s="62">
        <f t="shared" ref="EI88" si="463">EI87*(1+$D88)</f>
        <v>-2.625</v>
      </c>
      <c r="EJ88" s="62">
        <f t="shared" ref="EJ88" si="464">EJ87*(1+$D88)</f>
        <v>-2.625</v>
      </c>
      <c r="EK88" s="62">
        <f t="shared" ref="EK88" si="465">EK87*(1+$D88)</f>
        <v>-2.625</v>
      </c>
      <c r="EL88" s="62">
        <f t="shared" ref="EL88" si="466">EL87*(1+$D88)</f>
        <v>-2.625</v>
      </c>
      <c r="EM88" s="62">
        <f t="shared" ref="EM88" si="467">EM87*(1+$D88)</f>
        <v>-2.625</v>
      </c>
      <c r="EN88" s="62">
        <f t="shared" ref="EN88" si="468">EN87*(1+$D88)</f>
        <v>-2.625</v>
      </c>
      <c r="EO88" s="62">
        <f t="shared" ref="EO88" si="469">EO87*(1+$D88)</f>
        <v>-2.625</v>
      </c>
      <c r="EP88" s="62">
        <f t="shared" ref="EP88" si="470">EP87*(1+$D88)</f>
        <v>-2.625</v>
      </c>
      <c r="EQ88" s="62">
        <f t="shared" ref="EQ88" si="471">EQ87*(1+$D88)</f>
        <v>-2.625</v>
      </c>
      <c r="ER88" s="62">
        <f t="shared" ref="ER88" si="472">ER87*(1+$D88)</f>
        <v>-2.625</v>
      </c>
      <c r="ES88" s="62">
        <f t="shared" ref="ES88" si="473">ES87*(1+$D88)</f>
        <v>-2.625</v>
      </c>
      <c r="ET88" s="62">
        <f t="shared" ref="ET88" si="474">ET87*(1+$D88)</f>
        <v>-2.625</v>
      </c>
      <c r="EU88" s="62">
        <f t="shared" ref="EU88" si="475">EU87*(1+$D88)</f>
        <v>-2.625</v>
      </c>
      <c r="EV88" s="62">
        <f t="shared" ref="EV88" si="476">EV87*(1+$D88)</f>
        <v>-2.625</v>
      </c>
      <c r="EW88" s="62">
        <f t="shared" ref="EW88" si="477">EW87*(1+$D88)</f>
        <v>-2.625</v>
      </c>
      <c r="EX88" s="62">
        <f t="shared" ref="EX88" si="478">EX87*(1+$D88)</f>
        <v>-2.625</v>
      </c>
      <c r="EY88" s="62">
        <f t="shared" ref="EY88" si="479">EY87*(1+$D88)</f>
        <v>-2.625</v>
      </c>
      <c r="EZ88" s="62">
        <f t="shared" ref="EZ88" si="480">EZ87*(1+$D88)</f>
        <v>-2.625</v>
      </c>
      <c r="FA88" s="62">
        <f t="shared" ref="FA88" si="481">FA87*(1+$D88)</f>
        <v>-2.625</v>
      </c>
      <c r="FB88" s="62">
        <f t="shared" ref="FB88" si="482">FB87*(1+$D88)</f>
        <v>-2.625</v>
      </c>
      <c r="FC88" s="62">
        <f t="shared" ref="FC88" si="483">FC87*(1+$D88)</f>
        <v>-2.625</v>
      </c>
      <c r="FD88" s="62">
        <f t="shared" ref="FD88" si="484">FD87*(1+$D88)</f>
        <v>-2.625</v>
      </c>
      <c r="FE88" s="62">
        <f t="shared" ref="FE88" si="485">FE87*(1+$D88)</f>
        <v>-2.625</v>
      </c>
      <c r="FF88" s="62">
        <f t="shared" ref="FF88" si="486">FF87*(1+$D88)</f>
        <v>-2.625</v>
      </c>
      <c r="FG88" s="62">
        <f t="shared" ref="FG88" si="487">FG87*(1+$D88)</f>
        <v>-2.625</v>
      </c>
      <c r="FH88" s="62">
        <f t="shared" ref="FH88" si="488">FH87*(1+$D88)</f>
        <v>-2.625</v>
      </c>
      <c r="FI88" s="62">
        <f t="shared" ref="FI88" si="489">FI87*(1+$D88)</f>
        <v>-2.625</v>
      </c>
      <c r="FJ88" s="62">
        <f t="shared" ref="FJ88" si="490">FJ87*(1+$D88)</f>
        <v>-2.625</v>
      </c>
      <c r="FK88" s="62">
        <f t="shared" ref="FK88" si="491">FK87*(1+$D88)</f>
        <v>-2.625</v>
      </c>
      <c r="FL88" s="62">
        <f t="shared" ref="FL88" si="492">FL87*(1+$D88)</f>
        <v>-2.625</v>
      </c>
      <c r="FM88" s="62">
        <f t="shared" ref="FM88" si="493">FM87*(1+$D88)</f>
        <v>-2.625</v>
      </c>
      <c r="FN88" s="62">
        <f t="shared" ref="FN88" si="494">FN87*(1+$D88)</f>
        <v>-2.625</v>
      </c>
      <c r="FO88" s="62">
        <f t="shared" ref="FO88" si="495">FO87*(1+$D88)</f>
        <v>-2.625</v>
      </c>
      <c r="FP88" s="62">
        <f t="shared" ref="FP88" si="496">FP87*(1+$D88)</f>
        <v>-2.625</v>
      </c>
      <c r="FQ88" s="62">
        <f t="shared" ref="FQ88" si="497">FQ87*(1+$D88)</f>
        <v>-2.625</v>
      </c>
      <c r="FR88" s="62">
        <f t="shared" ref="FR88" si="498">FR87*(1+$D88)</f>
        <v>-2.625</v>
      </c>
      <c r="FS88" s="62">
        <f t="shared" ref="FS88" si="499">FS87*(1+$D88)</f>
        <v>-2.625</v>
      </c>
      <c r="FT88" s="62">
        <f t="shared" ref="FT88" si="500">FT87*(1+$D88)</f>
        <v>-2.625</v>
      </c>
      <c r="FU88" s="62">
        <f t="shared" ref="FU88" si="501">FU87*(1+$D88)</f>
        <v>-2.625</v>
      </c>
      <c r="FV88" s="62">
        <f t="shared" ref="FV88" si="502">FV87*(1+$D88)</f>
        <v>-2.625</v>
      </c>
      <c r="FW88" s="62">
        <f t="shared" ref="FW88" si="503">FW87*(1+$D88)</f>
        <v>-2.625</v>
      </c>
      <c r="FX88" s="62">
        <f t="shared" ref="FX88" si="504">FX87*(1+$D88)</f>
        <v>-2.625</v>
      </c>
      <c r="FY88" s="62">
        <f t="shared" ref="FY88" si="505">FY87*(1+$D88)</f>
        <v>-2.625</v>
      </c>
      <c r="FZ88" s="62">
        <f t="shared" ref="FZ88" si="506">FZ87*(1+$D88)</f>
        <v>-2.625</v>
      </c>
      <c r="GA88" s="62">
        <f t="shared" ref="GA88" si="507">GA87*(1+$D88)</f>
        <v>-2.625</v>
      </c>
      <c r="GB88" s="62">
        <f t="shared" ref="GB88" si="508">GB87*(1+$D88)</f>
        <v>-2.625</v>
      </c>
      <c r="GC88" s="62">
        <f t="shared" ref="GC88" si="509">GC87*(1+$D88)</f>
        <v>-2.625</v>
      </c>
      <c r="GD88" s="62">
        <f t="shared" ref="GD88" si="510">GD87*(1+$D88)</f>
        <v>-2.625</v>
      </c>
      <c r="GE88" s="62">
        <f t="shared" ref="GE88" si="511">GE87*(1+$D88)</f>
        <v>-2.625</v>
      </c>
      <c r="GF88" s="62">
        <f t="shared" ref="GF88" si="512">GF87*(1+$D88)</f>
        <v>-2.625</v>
      </c>
      <c r="GG88" s="62">
        <f t="shared" ref="GG88" si="513">GG87*(1+$D88)</f>
        <v>-2.625</v>
      </c>
      <c r="GH88" s="62">
        <f t="shared" ref="GH88" si="514">GH87*(1+$D88)</f>
        <v>-2.625</v>
      </c>
      <c r="GI88" s="62">
        <f t="shared" ref="GI88" si="515">GI87*(1+$D88)</f>
        <v>-2.625</v>
      </c>
      <c r="GJ88" s="62">
        <f t="shared" ref="GJ88" si="516">GJ87*(1+$D88)</f>
        <v>-2.625</v>
      </c>
      <c r="GK88" s="62">
        <f t="shared" ref="GK88" si="517">GK87*(1+$D88)</f>
        <v>-2.625</v>
      </c>
      <c r="GL88" s="62">
        <f t="shared" ref="GL88" si="518">GL87*(1+$D88)</f>
        <v>-2.625</v>
      </c>
      <c r="GM88" s="62">
        <f t="shared" ref="GM88" si="519">GM87*(1+$D88)</f>
        <v>-2.625</v>
      </c>
      <c r="GN88" s="62">
        <f t="shared" ref="GN88" si="520">GN87*(1+$D88)</f>
        <v>-2.625</v>
      </c>
      <c r="GO88" s="62">
        <f t="shared" ref="GO88" si="521">GO87*(1+$D88)</f>
        <v>-2.625</v>
      </c>
      <c r="GP88" s="62">
        <f t="shared" ref="GP88" si="522">GP87*(1+$D88)</f>
        <v>-2.625</v>
      </c>
      <c r="GQ88" s="62">
        <f t="shared" ref="GQ88" si="523">GQ87*(1+$D88)</f>
        <v>-2.625</v>
      </c>
      <c r="GR88" s="62">
        <f t="shared" ref="GR88" si="524">GR87*(1+$D88)</f>
        <v>-2.625</v>
      </c>
      <c r="GS88" s="62">
        <f t="shared" ref="GS88" si="525">GS87*(1+$D88)</f>
        <v>-2.625</v>
      </c>
      <c r="GT88" s="62">
        <f t="shared" ref="GT88" si="526">GT87*(1+$D88)</f>
        <v>-2.625</v>
      </c>
      <c r="GU88" s="62">
        <f t="shared" ref="GU88" si="527">GU87*(1+$D88)</f>
        <v>-2.625</v>
      </c>
      <c r="GV88" s="62">
        <f t="shared" ref="GV88" si="528">GV87*(1+$D88)</f>
        <v>-2.625</v>
      </c>
      <c r="GW88" s="62">
        <f t="shared" ref="GW88" si="529">GW87*(1+$D88)</f>
        <v>-2.625</v>
      </c>
      <c r="GX88" s="62">
        <f t="shared" ref="GX88" si="530">GX87*(1+$D88)</f>
        <v>-2.625</v>
      </c>
      <c r="GY88" s="62">
        <f t="shared" ref="GY88" si="531">GY87*(1+$D88)</f>
        <v>-2.625</v>
      </c>
      <c r="GZ88" s="62">
        <f t="shared" ref="GZ88" si="532">GZ87*(1+$D88)</f>
        <v>-2.625</v>
      </c>
      <c r="HA88" s="62">
        <f t="shared" ref="HA88" si="533">HA87*(1+$D88)</f>
        <v>-2.625</v>
      </c>
      <c r="HB88" s="62">
        <f t="shared" ref="HB88" si="534">HB87*(1+$D88)</f>
        <v>-2.625</v>
      </c>
      <c r="HC88" s="62">
        <f t="shared" ref="HC88" si="535">HC87*(1+$D88)</f>
        <v>-2.625</v>
      </c>
      <c r="HD88" s="62">
        <f t="shared" ref="HD88" si="536">HD87*(1+$D88)</f>
        <v>-2.625</v>
      </c>
      <c r="HE88" s="62">
        <f t="shared" ref="HE88" si="537">HE87*(1+$D88)</f>
        <v>-2.625</v>
      </c>
      <c r="HF88" s="62">
        <f t="shared" ref="HF88" si="538">HF87*(1+$D88)</f>
        <v>-2.625</v>
      </c>
      <c r="HG88" s="62">
        <f t="shared" ref="HG88" si="539">HG87*(1+$D88)</f>
        <v>-2.625</v>
      </c>
      <c r="HH88" s="62">
        <f t="shared" ref="HH88" si="540">HH87*(1+$D88)</f>
        <v>-2.625</v>
      </c>
      <c r="HI88" s="62">
        <f t="shared" ref="HI88" si="541">HI87*(1+$D88)</f>
        <v>-2.625</v>
      </c>
      <c r="HJ88" s="62">
        <f t="shared" ref="HJ88" si="542">HJ87*(1+$D88)</f>
        <v>-2.625</v>
      </c>
      <c r="HK88" s="62">
        <f t="shared" ref="HK88" si="543">HK87*(1+$D88)</f>
        <v>-2.625</v>
      </c>
      <c r="HL88" s="62">
        <f t="shared" ref="HL88" si="544">HL87*(1+$D88)</f>
        <v>-2.625</v>
      </c>
      <c r="HM88" s="62">
        <f t="shared" ref="HM88" si="545">HM87*(1+$D88)</f>
        <v>-2.625</v>
      </c>
      <c r="HN88" s="62">
        <f t="shared" ref="HN88" si="546">HN87*(1+$D88)</f>
        <v>-2.625</v>
      </c>
      <c r="HO88" s="62">
        <f t="shared" ref="HO88" si="547">HO87*(1+$D88)</f>
        <v>-2.625</v>
      </c>
      <c r="HP88" s="62">
        <f t="shared" ref="HP88" si="548">HP87*(1+$D88)</f>
        <v>-2.625</v>
      </c>
      <c r="HQ88" s="62">
        <f t="shared" ref="HQ88" si="549">HQ87*(1+$D88)</f>
        <v>-2.625</v>
      </c>
      <c r="HR88" s="62">
        <f t="shared" ref="HR88" si="550">HR87*(1+$D88)</f>
        <v>-2.625</v>
      </c>
      <c r="HS88" s="62">
        <f t="shared" ref="HS88" si="551">HS87*(1+$D88)</f>
        <v>-2.625</v>
      </c>
      <c r="HT88" s="62">
        <f t="shared" ref="HT88" si="552">HT87*(1+$D88)</f>
        <v>-2.625</v>
      </c>
      <c r="HU88" s="62">
        <f t="shared" ref="HU88" si="553">HU87*(1+$D88)</f>
        <v>-2.625</v>
      </c>
      <c r="HV88" s="62">
        <f t="shared" ref="HV88" si="554">HV87*(1+$D88)</f>
        <v>-2.625</v>
      </c>
      <c r="HW88" s="62">
        <f t="shared" ref="HW88" si="555">HW87*(1+$D88)</f>
        <v>-2.625</v>
      </c>
      <c r="HX88" s="62">
        <f t="shared" ref="HX88" si="556">HX87*(1+$D88)</f>
        <v>-2.625</v>
      </c>
      <c r="HY88" s="62">
        <f t="shared" ref="HY88" si="557">HY87*(1+$D88)</f>
        <v>-2.625</v>
      </c>
      <c r="HZ88" s="62">
        <f t="shared" ref="HZ88" si="558">HZ87*(1+$D88)</f>
        <v>-2.625</v>
      </c>
      <c r="IA88" s="62">
        <f t="shared" ref="IA88" si="559">IA87*(1+$D88)</f>
        <v>-2.625</v>
      </c>
      <c r="IB88" s="62">
        <f t="shared" ref="IB88" si="560">IB87*(1+$D88)</f>
        <v>-2.625</v>
      </c>
      <c r="IC88" s="62">
        <f t="shared" ref="IC88" si="561">IC87*(1+$D88)</f>
        <v>-2.625</v>
      </c>
      <c r="ID88" s="62">
        <f t="shared" ref="ID88" si="562">ID87*(1+$D88)</f>
        <v>-2.625</v>
      </c>
      <c r="IE88" s="62">
        <f t="shared" ref="IE88" si="563">IE87*(1+$D88)</f>
        <v>-2.625</v>
      </c>
      <c r="IF88" s="62">
        <f t="shared" ref="IF88" si="564">IF87*(1+$D88)</f>
        <v>-2.625</v>
      </c>
      <c r="IG88" s="62">
        <f t="shared" ref="IG88" si="565">IG87*(1+$D88)</f>
        <v>-2.625</v>
      </c>
      <c r="IH88" s="62">
        <f t="shared" ref="IH88" si="566">IH87*(1+$D88)</f>
        <v>-2.625</v>
      </c>
      <c r="II88" s="62">
        <f t="shared" ref="II88" si="567">II87*(1+$D88)</f>
        <v>-2.625</v>
      </c>
      <c r="IJ88" s="62">
        <f t="shared" ref="IJ88" si="568">IJ87*(1+$D88)</f>
        <v>-2.625</v>
      </c>
      <c r="IK88" s="62">
        <f t="shared" ref="IK88" si="569">IK87*(1+$D88)</f>
        <v>-2.625</v>
      </c>
      <c r="IL88" s="62">
        <f t="shared" ref="IL88" si="570">IL87*(1+$D88)</f>
        <v>-2.625</v>
      </c>
      <c r="IM88" s="62">
        <f t="shared" ref="IM88" si="571">IM87*(1+$D88)</f>
        <v>-2.625</v>
      </c>
      <c r="IN88" s="62">
        <f t="shared" ref="IN88" si="572">IN87*(1+$D88)</f>
        <v>-2.625</v>
      </c>
      <c r="IO88" s="62">
        <f t="shared" ref="IO88" si="573">IO87*(1+$D88)</f>
        <v>-2.625</v>
      </c>
      <c r="IP88" s="62">
        <f t="shared" ref="IP88" si="574">IP87*(1+$D88)</f>
        <v>-2.625</v>
      </c>
      <c r="IQ88" s="62">
        <f t="shared" ref="IQ88" si="575">IQ87*(1+$D88)</f>
        <v>-2.625</v>
      </c>
      <c r="IR88" s="62">
        <f t="shared" ref="IR88" si="576">IR87*(1+$D88)</f>
        <v>-2.625</v>
      </c>
      <c r="IS88" s="62">
        <f t="shared" ref="IS88" si="577">IS87*(1+$D88)</f>
        <v>-2.625</v>
      </c>
      <c r="IT88" s="62">
        <f t="shared" ref="IT88" si="578">IT87*(1+$D88)</f>
        <v>-2.625</v>
      </c>
      <c r="IU88" s="62">
        <f t="shared" ref="IU88" si="579">IU87*(1+$D88)</f>
        <v>-2.625</v>
      </c>
      <c r="IV88" s="62">
        <f t="shared" ref="IV88" si="580">IV87*(1+$D88)</f>
        <v>-2.625</v>
      </c>
      <c r="IW88" s="62">
        <f t="shared" ref="IW88" si="581">IW87*(1+$D88)</f>
        <v>-2.625</v>
      </c>
      <c r="IX88" s="62">
        <f t="shared" ref="IX88" si="582">IX87*(1+$D88)</f>
        <v>-2.625</v>
      </c>
      <c r="IY88" s="62">
        <f t="shared" ref="IY88" si="583">IY87*(1+$D88)</f>
        <v>-2.625</v>
      </c>
      <c r="IZ88" s="62">
        <f t="shared" ref="IZ88" si="584">IZ87*(1+$D88)</f>
        <v>-2.625</v>
      </c>
      <c r="JA88" s="62">
        <f t="shared" ref="JA88" si="585">JA87*(1+$D88)</f>
        <v>-2.625</v>
      </c>
      <c r="JB88" s="62">
        <f t="shared" ref="JB88" si="586">JB87*(1+$D88)</f>
        <v>-2.625</v>
      </c>
      <c r="JC88" s="62">
        <f t="shared" ref="JC88" si="587">JC87*(1+$D88)</f>
        <v>-2.625</v>
      </c>
      <c r="JD88" s="62">
        <f t="shared" ref="JD88" si="588">JD87*(1+$D88)</f>
        <v>-2.625</v>
      </c>
      <c r="JE88" s="62">
        <f t="shared" ref="JE88" si="589">JE87*(1+$D88)</f>
        <v>-2.625</v>
      </c>
      <c r="JF88" s="62">
        <f t="shared" ref="JF88" si="590">JF87*(1+$D88)</f>
        <v>-2.625</v>
      </c>
      <c r="JG88" s="62">
        <f t="shared" ref="JG88" si="591">JG87*(1+$D88)</f>
        <v>-2.625</v>
      </c>
      <c r="JH88" s="62">
        <f t="shared" ref="JH88" si="592">JH87*(1+$D88)</f>
        <v>-2.625</v>
      </c>
      <c r="JI88" s="62">
        <f t="shared" ref="JI88" si="593">JI87*(1+$D88)</f>
        <v>-2.625</v>
      </c>
      <c r="JJ88" s="62">
        <f t="shared" ref="JJ88" si="594">JJ87*(1+$D88)</f>
        <v>-2.625</v>
      </c>
      <c r="JK88" s="62">
        <f t="shared" ref="JK88" si="595">JK87*(1+$D88)</f>
        <v>-2.625</v>
      </c>
      <c r="JL88" s="62">
        <f t="shared" ref="JL88" si="596">JL87*(1+$D88)</f>
        <v>-2.625</v>
      </c>
      <c r="JM88" s="62">
        <f t="shared" ref="JM88" si="597">JM87*(1+$D88)</f>
        <v>-2.625</v>
      </c>
      <c r="JN88" s="62">
        <f t="shared" ref="JN88" si="598">JN87*(1+$D88)</f>
        <v>-2.625</v>
      </c>
      <c r="JO88" s="62">
        <f t="shared" ref="JO88" si="599">JO87*(1+$D88)</f>
        <v>-2.625</v>
      </c>
      <c r="JP88" s="62">
        <f t="shared" ref="JP88" si="600">JP87*(1+$D88)</f>
        <v>-2.625</v>
      </c>
      <c r="JQ88" s="62">
        <f t="shared" ref="JQ88" si="601">JQ87*(1+$D88)</f>
        <v>-2.625</v>
      </c>
      <c r="JR88" s="62">
        <f t="shared" ref="JR88" si="602">JR87*(1+$D88)</f>
        <v>-2.625</v>
      </c>
      <c r="JS88" s="62">
        <f t="shared" ref="JS88" si="603">JS87*(1+$D88)</f>
        <v>-2.625</v>
      </c>
      <c r="JT88" s="62">
        <f t="shared" ref="JT88" si="604">JT87*(1+$D88)</f>
        <v>-2.625</v>
      </c>
      <c r="JU88" s="62">
        <f t="shared" ref="JU88" si="605">JU87*(1+$D88)</f>
        <v>-2.625</v>
      </c>
      <c r="JV88" s="62">
        <f t="shared" ref="JV88" si="606">JV87*(1+$D88)</f>
        <v>-2.625</v>
      </c>
      <c r="JW88" s="62">
        <f t="shared" ref="JW88" si="607">JW87*(1+$D88)</f>
        <v>-2.625</v>
      </c>
      <c r="JX88" s="62">
        <f t="shared" ref="JX88" si="608">JX87*(1+$D88)</f>
        <v>-2.625</v>
      </c>
      <c r="JY88" s="62">
        <f t="shared" ref="JY88" si="609">JY87*(1+$D88)</f>
        <v>-2.625</v>
      </c>
      <c r="JZ88" s="62">
        <f t="shared" ref="JZ88" si="610">JZ87*(1+$D88)</f>
        <v>-2.625</v>
      </c>
      <c r="KA88" s="62">
        <f t="shared" ref="KA88" si="611">KA87*(1+$D88)</f>
        <v>-2.625</v>
      </c>
      <c r="KB88" s="62">
        <f t="shared" ref="KB88" si="612">KB87*(1+$D88)</f>
        <v>-2.625</v>
      </c>
      <c r="KC88" s="62">
        <f t="shared" ref="KC88" si="613">KC87*(1+$D88)</f>
        <v>-2.625</v>
      </c>
      <c r="KD88" s="62">
        <f t="shared" ref="KD88" si="614">KD87*(1+$D88)</f>
        <v>-2.625</v>
      </c>
      <c r="KE88" s="62">
        <f t="shared" ref="KE88" si="615">KE87*(1+$D88)</f>
        <v>-2.625</v>
      </c>
      <c r="KF88" s="62">
        <f t="shared" ref="KF88" si="616">KF87*(1+$D88)</f>
        <v>-2.625</v>
      </c>
    </row>
    <row r="89" spans="4:292" outlineLevel="1" x14ac:dyDescent="0.35"/>
    <row r="90" spans="4:292" outlineLevel="1" x14ac:dyDescent="0.35">
      <c r="E90" s="13" t="s">
        <v>170</v>
      </c>
      <c r="J90" s="15" t="s">
        <v>31</v>
      </c>
      <c r="K90" s="23">
        <v>-2.625</v>
      </c>
      <c r="L90" s="23">
        <v>-2.625</v>
      </c>
      <c r="M90" s="23">
        <v>-2.625</v>
      </c>
      <c r="N90" s="23">
        <v>-2.625</v>
      </c>
      <c r="O90" s="23">
        <v>-2.625</v>
      </c>
      <c r="P90" s="23">
        <v>-2.625</v>
      </c>
      <c r="Q90" s="23">
        <v>-2.625</v>
      </c>
      <c r="R90" s="23">
        <v>-2.625</v>
      </c>
      <c r="S90" s="23">
        <v>-2.625</v>
      </c>
      <c r="T90" s="23">
        <v>-2.625</v>
      </c>
      <c r="U90" s="23">
        <v>-2.625</v>
      </c>
      <c r="V90" s="23">
        <v>-2.625</v>
      </c>
      <c r="W90" s="23">
        <v>-2.625</v>
      </c>
      <c r="X90" s="23">
        <v>-2.625</v>
      </c>
      <c r="Y90" s="23">
        <v>-2.625</v>
      </c>
      <c r="Z90" s="23">
        <v>-2.625</v>
      </c>
      <c r="AA90" s="23">
        <v>-2.625</v>
      </c>
      <c r="AB90" s="23">
        <v>-2.625</v>
      </c>
      <c r="AC90" s="23">
        <v>-2.625</v>
      </c>
      <c r="AD90" s="23">
        <v>-2.625</v>
      </c>
      <c r="AE90" s="23">
        <v>-2.625</v>
      </c>
      <c r="AF90" s="23">
        <v>-2.625</v>
      </c>
      <c r="AG90" s="23">
        <v>-2.625</v>
      </c>
      <c r="AH90" s="23">
        <v>-2.625</v>
      </c>
      <c r="AI90" s="23">
        <v>-2.625</v>
      </c>
      <c r="AJ90" s="23">
        <v>-2.625</v>
      </c>
      <c r="AK90" s="23">
        <v>-2.625</v>
      </c>
      <c r="AL90" s="23">
        <v>-2.625</v>
      </c>
      <c r="AM90" s="23">
        <v>-2.625</v>
      </c>
      <c r="AN90" s="23">
        <v>-2.625</v>
      </c>
      <c r="AO90" s="23">
        <v>-2.625</v>
      </c>
      <c r="AP90" s="23">
        <v>-2.625</v>
      </c>
      <c r="AQ90" s="23">
        <v>-2.625</v>
      </c>
      <c r="AR90" s="23">
        <v>-2.625</v>
      </c>
      <c r="AS90" s="23">
        <v>-2.625</v>
      </c>
      <c r="AT90" s="23">
        <v>-2.625</v>
      </c>
      <c r="AU90" s="23">
        <v>-2.625</v>
      </c>
      <c r="AV90" s="23">
        <v>-2.625</v>
      </c>
      <c r="AW90" s="23">
        <v>-2.625</v>
      </c>
      <c r="AX90" s="23">
        <v>-2.625</v>
      </c>
      <c r="AY90" s="23">
        <v>-2.625</v>
      </c>
      <c r="AZ90" s="23">
        <v>-2.625</v>
      </c>
      <c r="BA90" s="23">
        <v>-2.625</v>
      </c>
      <c r="BB90" s="23">
        <v>-2.625</v>
      </c>
      <c r="BC90" s="23">
        <v>-2.625</v>
      </c>
      <c r="BD90" s="23">
        <v>-2.625</v>
      </c>
      <c r="BE90" s="23">
        <v>-2.625</v>
      </c>
      <c r="BF90" s="23">
        <v>-2.625</v>
      </c>
      <c r="BG90" s="23">
        <v>-2.625</v>
      </c>
      <c r="BH90" s="23">
        <v>-2.625</v>
      </c>
      <c r="BI90" s="23">
        <v>-2.625</v>
      </c>
      <c r="BJ90" s="23">
        <v>-2.625</v>
      </c>
      <c r="BK90" s="23">
        <v>-2.625</v>
      </c>
      <c r="BL90" s="23">
        <v>-2.625</v>
      </c>
      <c r="BM90" s="23">
        <v>-2.625</v>
      </c>
      <c r="BN90" s="23">
        <v>-2.625</v>
      </c>
      <c r="BO90" s="23">
        <v>-2.625</v>
      </c>
      <c r="BP90" s="23">
        <v>-2.625</v>
      </c>
      <c r="BQ90" s="23">
        <v>-2.625</v>
      </c>
      <c r="BR90" s="23">
        <v>-2.625</v>
      </c>
      <c r="BS90" s="23">
        <v>-2.625</v>
      </c>
      <c r="BT90" s="23">
        <v>-2.625</v>
      </c>
      <c r="BU90" s="23">
        <v>-2.625</v>
      </c>
      <c r="BV90" s="23">
        <v>-2.625</v>
      </c>
      <c r="BW90" s="23">
        <v>-2.625</v>
      </c>
      <c r="BX90" s="23">
        <v>-2.625</v>
      </c>
      <c r="BY90" s="23">
        <v>-2.625</v>
      </c>
      <c r="BZ90" s="23">
        <v>-2.625</v>
      </c>
      <c r="CA90" s="23">
        <v>-2.625</v>
      </c>
      <c r="CB90" s="23">
        <v>-2.625</v>
      </c>
      <c r="CC90" s="23">
        <v>-2.625</v>
      </c>
      <c r="CD90" s="23">
        <v>-2.625</v>
      </c>
      <c r="CE90" s="23">
        <v>-2.625</v>
      </c>
      <c r="CF90" s="23">
        <v>-2.625</v>
      </c>
      <c r="CG90" s="23">
        <v>-2.625</v>
      </c>
      <c r="CH90" s="23">
        <v>-2.625</v>
      </c>
      <c r="CI90" s="23">
        <v>-2.625</v>
      </c>
      <c r="CJ90" s="23">
        <v>-2.625</v>
      </c>
      <c r="CK90" s="23">
        <v>-2.625</v>
      </c>
      <c r="CL90" s="23">
        <v>-2.625</v>
      </c>
      <c r="CM90" s="23">
        <v>-2.625</v>
      </c>
      <c r="CN90" s="23">
        <v>-2.625</v>
      </c>
      <c r="CO90" s="23">
        <v>-2.625</v>
      </c>
      <c r="CP90" s="23">
        <v>-2.625</v>
      </c>
      <c r="CQ90" s="23">
        <v>-2.625</v>
      </c>
      <c r="CR90" s="23">
        <v>-2.625</v>
      </c>
      <c r="CS90" s="23">
        <v>-2.625</v>
      </c>
      <c r="CT90" s="23">
        <v>-2.625</v>
      </c>
      <c r="CU90" s="23">
        <v>-2.625</v>
      </c>
      <c r="CV90" s="23">
        <v>-2.625</v>
      </c>
      <c r="CW90" s="23">
        <v>-2.625</v>
      </c>
      <c r="CX90" s="23">
        <v>-2.625</v>
      </c>
      <c r="CY90" s="23">
        <v>-2.625</v>
      </c>
      <c r="CZ90" s="23">
        <v>-2.625</v>
      </c>
      <c r="DA90" s="23">
        <v>-2.625</v>
      </c>
      <c r="DB90" s="23">
        <v>-2.625</v>
      </c>
      <c r="DC90" s="23">
        <v>-2.625</v>
      </c>
      <c r="DD90" s="23">
        <v>-2.625</v>
      </c>
      <c r="DE90" s="23">
        <v>-2.625</v>
      </c>
      <c r="DF90" s="23">
        <v>-2.625</v>
      </c>
      <c r="DG90" s="23">
        <v>-2.625</v>
      </c>
      <c r="DH90" s="23">
        <v>-2.625</v>
      </c>
      <c r="DI90" s="23">
        <v>-2.625</v>
      </c>
      <c r="DJ90" s="23">
        <v>-2.625</v>
      </c>
      <c r="DK90" s="23">
        <v>-2.625</v>
      </c>
      <c r="DL90" s="23">
        <v>-2.625</v>
      </c>
      <c r="DM90" s="23">
        <v>-2.625</v>
      </c>
      <c r="DN90" s="23">
        <v>-2.625</v>
      </c>
      <c r="DO90" s="23">
        <v>-2.625</v>
      </c>
      <c r="DP90" s="23">
        <v>-2.625</v>
      </c>
      <c r="DQ90" s="23">
        <v>-2.625</v>
      </c>
      <c r="DR90" s="23">
        <v>-2.625</v>
      </c>
      <c r="DS90" s="23">
        <v>-2.625</v>
      </c>
      <c r="DT90" s="23">
        <v>-2.625</v>
      </c>
      <c r="DU90" s="23">
        <v>-2.625</v>
      </c>
      <c r="DV90" s="23">
        <v>-2.625</v>
      </c>
      <c r="DW90" s="23">
        <v>-2.625</v>
      </c>
      <c r="DX90" s="23">
        <v>-2.625</v>
      </c>
      <c r="DY90" s="23">
        <v>-2.625</v>
      </c>
      <c r="DZ90" s="23">
        <v>-2.625</v>
      </c>
      <c r="EA90" s="23">
        <v>-2.625</v>
      </c>
      <c r="EB90" s="23">
        <v>-2.625</v>
      </c>
      <c r="EC90" s="23">
        <v>-2.625</v>
      </c>
      <c r="ED90" s="23">
        <v>-2.625</v>
      </c>
      <c r="EE90" s="23">
        <v>-2.625</v>
      </c>
      <c r="EF90" s="23">
        <v>-2.625</v>
      </c>
      <c r="EG90" s="23">
        <v>-2.625</v>
      </c>
      <c r="EH90" s="23">
        <v>-2.625</v>
      </c>
      <c r="EI90" s="23">
        <v>-2.625</v>
      </c>
      <c r="EJ90" s="23">
        <v>-2.625</v>
      </c>
      <c r="EK90" s="23">
        <v>-2.625</v>
      </c>
      <c r="EL90" s="23">
        <v>-2.625</v>
      </c>
      <c r="EM90" s="23">
        <v>-2.625</v>
      </c>
      <c r="EN90" s="23">
        <v>-2.625</v>
      </c>
      <c r="EO90" s="23">
        <v>-2.625</v>
      </c>
      <c r="EP90" s="23">
        <v>-2.625</v>
      </c>
      <c r="EQ90" s="23">
        <v>-2.625</v>
      </c>
      <c r="ER90" s="23">
        <v>-2.625</v>
      </c>
      <c r="ES90" s="23">
        <v>-2.625</v>
      </c>
      <c r="ET90" s="23">
        <v>-2.625</v>
      </c>
      <c r="EU90" s="23">
        <v>-2.625</v>
      </c>
      <c r="EV90" s="23">
        <v>-2.625</v>
      </c>
      <c r="EW90" s="23">
        <v>-2.625</v>
      </c>
      <c r="EX90" s="23">
        <v>-2.625</v>
      </c>
      <c r="EY90" s="23">
        <v>-2.625</v>
      </c>
      <c r="EZ90" s="23">
        <v>-2.625</v>
      </c>
      <c r="FA90" s="23">
        <v>-2.625</v>
      </c>
      <c r="FB90" s="23">
        <v>-2.625</v>
      </c>
      <c r="FC90" s="23">
        <v>-2.625</v>
      </c>
      <c r="FD90" s="23">
        <v>-2.625</v>
      </c>
      <c r="FE90" s="23">
        <v>-2.625</v>
      </c>
      <c r="FF90" s="23">
        <v>-2.625</v>
      </c>
      <c r="FG90" s="23">
        <v>-2.625</v>
      </c>
      <c r="FH90" s="23">
        <v>-2.625</v>
      </c>
      <c r="FI90" s="23">
        <v>-2.625</v>
      </c>
      <c r="FJ90" s="23">
        <v>-2.625</v>
      </c>
      <c r="FK90" s="23">
        <v>-2.625</v>
      </c>
      <c r="FL90" s="23">
        <v>-2.625</v>
      </c>
      <c r="FM90" s="23">
        <v>-2.625</v>
      </c>
      <c r="FN90" s="23">
        <v>-2.625</v>
      </c>
      <c r="FO90" s="23">
        <v>-2.625</v>
      </c>
      <c r="FP90" s="23">
        <v>-2.625</v>
      </c>
      <c r="FQ90" s="23">
        <v>-2.625</v>
      </c>
      <c r="FR90" s="23">
        <v>-2.625</v>
      </c>
      <c r="FS90" s="23">
        <v>-2.625</v>
      </c>
      <c r="FT90" s="23">
        <v>-2.625</v>
      </c>
      <c r="FU90" s="23">
        <v>-2.625</v>
      </c>
      <c r="FV90" s="23">
        <v>-2.625</v>
      </c>
      <c r="FW90" s="23">
        <v>-2.625</v>
      </c>
      <c r="FX90" s="23">
        <v>-2.625</v>
      </c>
      <c r="FY90" s="23">
        <v>-2.625</v>
      </c>
      <c r="FZ90" s="23">
        <v>-2.625</v>
      </c>
      <c r="GA90" s="23">
        <v>-2.625</v>
      </c>
      <c r="GB90" s="23">
        <v>-2.625</v>
      </c>
      <c r="GC90" s="23">
        <v>-2.625</v>
      </c>
      <c r="GD90" s="23">
        <v>-2.625</v>
      </c>
      <c r="GE90" s="23">
        <v>-2.625</v>
      </c>
      <c r="GF90" s="23">
        <v>-2.625</v>
      </c>
      <c r="GG90" s="23">
        <v>-2.625</v>
      </c>
      <c r="GH90" s="23">
        <v>-2.625</v>
      </c>
      <c r="GI90" s="23">
        <v>-2.625</v>
      </c>
      <c r="GJ90" s="23">
        <v>-2.625</v>
      </c>
      <c r="GK90" s="23">
        <v>-2.625</v>
      </c>
      <c r="GL90" s="23">
        <v>-2.625</v>
      </c>
      <c r="GM90" s="23">
        <v>-2.625</v>
      </c>
      <c r="GN90" s="23">
        <v>-2.625</v>
      </c>
      <c r="GO90" s="23">
        <v>-2.625</v>
      </c>
      <c r="GP90" s="23">
        <v>-2.625</v>
      </c>
      <c r="GQ90" s="23">
        <v>-2.625</v>
      </c>
      <c r="GR90" s="23">
        <v>-2.625</v>
      </c>
      <c r="GS90" s="23">
        <v>-2.625</v>
      </c>
      <c r="GT90" s="23">
        <v>-2.625</v>
      </c>
      <c r="GU90" s="23">
        <v>-2.625</v>
      </c>
      <c r="GV90" s="23">
        <v>-2.625</v>
      </c>
      <c r="GW90" s="23">
        <v>-2.625</v>
      </c>
      <c r="GX90" s="23">
        <v>-2.625</v>
      </c>
      <c r="GY90" s="23">
        <v>-2.625</v>
      </c>
      <c r="GZ90" s="23">
        <v>-2.625</v>
      </c>
      <c r="HA90" s="23">
        <v>-2.625</v>
      </c>
      <c r="HB90" s="23">
        <v>-2.625</v>
      </c>
      <c r="HC90" s="23">
        <v>-2.625</v>
      </c>
      <c r="HD90" s="23">
        <v>-2.625</v>
      </c>
      <c r="HE90" s="23">
        <v>-2.625</v>
      </c>
      <c r="HF90" s="23">
        <v>-2.625</v>
      </c>
      <c r="HG90" s="23">
        <v>-2.625</v>
      </c>
      <c r="HH90" s="23">
        <v>-2.625</v>
      </c>
      <c r="HI90" s="23">
        <v>-2.625</v>
      </c>
      <c r="HJ90" s="23">
        <v>-2.625</v>
      </c>
      <c r="HK90" s="23">
        <v>-2.625</v>
      </c>
      <c r="HL90" s="23">
        <v>-2.625</v>
      </c>
      <c r="HM90" s="23">
        <v>-2.625</v>
      </c>
      <c r="HN90" s="23">
        <v>-2.625</v>
      </c>
      <c r="HO90" s="23">
        <v>-2.625</v>
      </c>
      <c r="HP90" s="23">
        <v>-2.625</v>
      </c>
      <c r="HQ90" s="23">
        <v>-2.625</v>
      </c>
      <c r="HR90" s="23">
        <v>-2.625</v>
      </c>
      <c r="HS90" s="23">
        <v>-2.625</v>
      </c>
      <c r="HT90" s="23">
        <v>-2.625</v>
      </c>
      <c r="HU90" s="23">
        <v>-2.625</v>
      </c>
      <c r="HV90" s="23">
        <v>-2.625</v>
      </c>
      <c r="HW90" s="23">
        <v>-2.625</v>
      </c>
      <c r="HX90" s="23">
        <v>-2.625</v>
      </c>
      <c r="HY90" s="23">
        <v>-2.625</v>
      </c>
      <c r="HZ90" s="23">
        <v>-2.625</v>
      </c>
      <c r="IA90" s="23">
        <v>-2.625</v>
      </c>
      <c r="IB90" s="23">
        <v>-2.625</v>
      </c>
      <c r="IC90" s="23">
        <v>-2.625</v>
      </c>
      <c r="ID90" s="23">
        <v>-2.625</v>
      </c>
      <c r="IE90" s="23">
        <v>-2.625</v>
      </c>
      <c r="IF90" s="23">
        <v>-2.625</v>
      </c>
      <c r="IG90" s="23">
        <v>-2.625</v>
      </c>
      <c r="IH90" s="23">
        <v>-2.625</v>
      </c>
      <c r="II90" s="23">
        <v>-2.625</v>
      </c>
      <c r="IJ90" s="23">
        <v>-2.625</v>
      </c>
      <c r="IK90" s="23">
        <v>-2.625</v>
      </c>
      <c r="IL90" s="23">
        <v>-2.625</v>
      </c>
      <c r="IM90" s="23">
        <v>-2.625</v>
      </c>
      <c r="IN90" s="23">
        <v>-2.625</v>
      </c>
      <c r="IO90" s="23">
        <v>-2.625</v>
      </c>
      <c r="IP90" s="23">
        <v>-2.625</v>
      </c>
      <c r="IQ90" s="23">
        <v>-2.625</v>
      </c>
      <c r="IR90" s="23">
        <v>-2.625</v>
      </c>
      <c r="IS90" s="23">
        <v>-2.625</v>
      </c>
      <c r="IT90" s="23">
        <v>-2.625</v>
      </c>
      <c r="IU90" s="23">
        <v>-2.625</v>
      </c>
      <c r="IV90" s="23">
        <v>-2.625</v>
      </c>
      <c r="IW90" s="23">
        <v>-2.625</v>
      </c>
      <c r="IX90" s="23">
        <v>-2.625</v>
      </c>
      <c r="IY90" s="23">
        <v>-2.625</v>
      </c>
      <c r="IZ90" s="23">
        <v>-2.625</v>
      </c>
      <c r="JA90" s="23">
        <v>-2.625</v>
      </c>
      <c r="JB90" s="23">
        <v>-2.625</v>
      </c>
      <c r="JC90" s="23">
        <v>-2.625</v>
      </c>
      <c r="JD90" s="23">
        <v>-2.625</v>
      </c>
      <c r="JE90" s="23">
        <v>-2.625</v>
      </c>
      <c r="JF90" s="23">
        <v>-2.625</v>
      </c>
      <c r="JG90" s="23">
        <v>-2.625</v>
      </c>
      <c r="JH90" s="23">
        <v>-2.625</v>
      </c>
      <c r="JI90" s="23">
        <v>-2.625</v>
      </c>
      <c r="JJ90" s="23">
        <v>-2.625</v>
      </c>
      <c r="JK90" s="23">
        <v>-2.625</v>
      </c>
      <c r="JL90" s="23">
        <v>-2.625</v>
      </c>
      <c r="JM90" s="23">
        <v>-2.625</v>
      </c>
      <c r="JN90" s="23">
        <v>-2.625</v>
      </c>
      <c r="JO90" s="23">
        <v>-2.625</v>
      </c>
      <c r="JP90" s="23">
        <v>-2.625</v>
      </c>
      <c r="JQ90" s="23">
        <v>-2.625</v>
      </c>
      <c r="JR90" s="23">
        <v>-2.625</v>
      </c>
      <c r="JS90" s="23">
        <v>-2.625</v>
      </c>
      <c r="JT90" s="23">
        <v>-2.625</v>
      </c>
      <c r="JU90" s="23">
        <v>-2.625</v>
      </c>
      <c r="JV90" s="23">
        <v>-2.625</v>
      </c>
      <c r="JW90" s="23">
        <v>-2.625</v>
      </c>
      <c r="JX90" s="23">
        <v>-2.625</v>
      </c>
      <c r="JY90" s="23">
        <v>-2.625</v>
      </c>
      <c r="JZ90" s="23">
        <v>-2.625</v>
      </c>
      <c r="KA90" s="23">
        <v>-2.625</v>
      </c>
      <c r="KB90" s="23">
        <v>-2.625</v>
      </c>
      <c r="KC90" s="23">
        <v>-2.625</v>
      </c>
      <c r="KD90" s="23">
        <v>-2.625</v>
      </c>
      <c r="KE90" s="23">
        <v>-2.625</v>
      </c>
      <c r="KF90" s="23">
        <v>-2.625</v>
      </c>
    </row>
    <row r="91" spans="4:292" outlineLevel="1" x14ac:dyDescent="0.35">
      <c r="E91" s="13" t="s">
        <v>170</v>
      </c>
      <c r="J91" s="15" t="s">
        <v>32</v>
      </c>
      <c r="K91" s="23">
        <v>-3.1500000000000004</v>
      </c>
      <c r="L91" s="23">
        <v>-3.1500000000000004</v>
      </c>
      <c r="M91" s="23">
        <v>-3.1500000000000004</v>
      </c>
      <c r="N91" s="23">
        <v>-3.1500000000000004</v>
      </c>
      <c r="O91" s="23">
        <v>-3.1500000000000004</v>
      </c>
      <c r="P91" s="23">
        <v>-3.1500000000000004</v>
      </c>
      <c r="Q91" s="23">
        <v>-3.1500000000000004</v>
      </c>
      <c r="R91" s="23">
        <v>-3.1500000000000004</v>
      </c>
      <c r="S91" s="23">
        <v>-3.1500000000000004</v>
      </c>
      <c r="T91" s="23">
        <v>-3.1500000000000004</v>
      </c>
      <c r="U91" s="23">
        <v>-3.1500000000000004</v>
      </c>
      <c r="V91" s="23">
        <v>-3.1500000000000004</v>
      </c>
      <c r="W91" s="23">
        <v>-3.1500000000000004</v>
      </c>
      <c r="X91" s="23">
        <v>-3.1500000000000004</v>
      </c>
      <c r="Y91" s="23">
        <v>-3.1500000000000004</v>
      </c>
      <c r="Z91" s="23">
        <v>-3.1500000000000004</v>
      </c>
      <c r="AA91" s="23">
        <v>-3.1500000000000004</v>
      </c>
      <c r="AB91" s="23">
        <v>-3.1500000000000004</v>
      </c>
      <c r="AC91" s="23">
        <v>-3.1500000000000004</v>
      </c>
      <c r="AD91" s="23">
        <v>-3.1500000000000004</v>
      </c>
      <c r="AE91" s="23">
        <v>-3.1500000000000004</v>
      </c>
      <c r="AF91" s="23">
        <v>-3.1500000000000004</v>
      </c>
      <c r="AG91" s="23">
        <v>-3.1500000000000004</v>
      </c>
      <c r="AH91" s="23">
        <v>-3.1500000000000004</v>
      </c>
      <c r="AI91" s="23">
        <v>-3.1500000000000004</v>
      </c>
      <c r="AJ91" s="23">
        <v>-3.1500000000000004</v>
      </c>
      <c r="AK91" s="23">
        <v>-3.1500000000000004</v>
      </c>
      <c r="AL91" s="23">
        <v>-3.1500000000000004</v>
      </c>
      <c r="AM91" s="23">
        <v>-3.1500000000000004</v>
      </c>
      <c r="AN91" s="23">
        <v>-3.1500000000000004</v>
      </c>
      <c r="AO91" s="23">
        <v>-3.1500000000000004</v>
      </c>
      <c r="AP91" s="23">
        <v>-3.1500000000000004</v>
      </c>
      <c r="AQ91" s="23">
        <v>-3.1500000000000004</v>
      </c>
      <c r="AR91" s="23">
        <v>-3.1500000000000004</v>
      </c>
      <c r="AS91" s="23">
        <v>-3.1500000000000004</v>
      </c>
      <c r="AT91" s="23">
        <v>-3.1500000000000004</v>
      </c>
      <c r="AU91" s="23">
        <v>-3.1500000000000004</v>
      </c>
      <c r="AV91" s="23">
        <v>-3.1500000000000004</v>
      </c>
      <c r="AW91" s="23">
        <v>-3.1500000000000004</v>
      </c>
      <c r="AX91" s="23">
        <v>-3.1500000000000004</v>
      </c>
      <c r="AY91" s="23">
        <v>-3.1500000000000004</v>
      </c>
      <c r="AZ91" s="23">
        <v>-3.1500000000000004</v>
      </c>
      <c r="BA91" s="23">
        <v>-3.1500000000000004</v>
      </c>
      <c r="BB91" s="23">
        <v>-3.1500000000000004</v>
      </c>
      <c r="BC91" s="23">
        <v>-3.1500000000000004</v>
      </c>
      <c r="BD91" s="23">
        <v>-3.1500000000000004</v>
      </c>
      <c r="BE91" s="23">
        <v>-3.1500000000000004</v>
      </c>
      <c r="BF91" s="23">
        <v>-3.1500000000000004</v>
      </c>
      <c r="BG91" s="23">
        <v>-3.1500000000000004</v>
      </c>
      <c r="BH91" s="23">
        <v>-3.1500000000000004</v>
      </c>
      <c r="BI91" s="23">
        <v>-3.1500000000000004</v>
      </c>
      <c r="BJ91" s="23">
        <v>-3.1500000000000004</v>
      </c>
      <c r="BK91" s="23">
        <v>-3.1500000000000004</v>
      </c>
      <c r="BL91" s="23">
        <v>-3.1500000000000004</v>
      </c>
      <c r="BM91" s="23">
        <v>-3.1500000000000004</v>
      </c>
      <c r="BN91" s="23">
        <v>-3.1500000000000004</v>
      </c>
      <c r="BO91" s="23">
        <v>-3.1500000000000004</v>
      </c>
      <c r="BP91" s="23">
        <v>-3.1500000000000004</v>
      </c>
      <c r="BQ91" s="23">
        <v>-3.1500000000000004</v>
      </c>
      <c r="BR91" s="23">
        <v>-3.1500000000000004</v>
      </c>
      <c r="BS91" s="23">
        <v>-3.1500000000000004</v>
      </c>
      <c r="BT91" s="23">
        <v>-3.1500000000000004</v>
      </c>
      <c r="BU91" s="23">
        <v>-3.1500000000000004</v>
      </c>
      <c r="BV91" s="23">
        <v>-3.1500000000000004</v>
      </c>
      <c r="BW91" s="23">
        <v>-3.1500000000000004</v>
      </c>
      <c r="BX91" s="23">
        <v>-3.1500000000000004</v>
      </c>
      <c r="BY91" s="23">
        <v>-3.1500000000000004</v>
      </c>
      <c r="BZ91" s="23">
        <v>-3.1500000000000004</v>
      </c>
      <c r="CA91" s="23">
        <v>-3.1500000000000004</v>
      </c>
      <c r="CB91" s="23">
        <v>-3.1500000000000004</v>
      </c>
      <c r="CC91" s="23">
        <v>-3.1500000000000004</v>
      </c>
      <c r="CD91" s="23">
        <v>-3.1500000000000004</v>
      </c>
      <c r="CE91" s="23">
        <v>-3.1500000000000004</v>
      </c>
      <c r="CF91" s="23">
        <v>-3.1500000000000004</v>
      </c>
      <c r="CG91" s="23">
        <v>-3.1500000000000004</v>
      </c>
      <c r="CH91" s="23">
        <v>-3.1500000000000004</v>
      </c>
      <c r="CI91" s="23">
        <v>-3.1500000000000004</v>
      </c>
      <c r="CJ91" s="23">
        <v>-3.1500000000000004</v>
      </c>
      <c r="CK91" s="23">
        <v>-3.1500000000000004</v>
      </c>
      <c r="CL91" s="23">
        <v>-3.1500000000000004</v>
      </c>
      <c r="CM91" s="23">
        <v>-3.1500000000000004</v>
      </c>
      <c r="CN91" s="23">
        <v>-3.1500000000000004</v>
      </c>
      <c r="CO91" s="23">
        <v>-3.1500000000000004</v>
      </c>
      <c r="CP91" s="23">
        <v>-3.1500000000000004</v>
      </c>
      <c r="CQ91" s="23">
        <v>-3.1500000000000004</v>
      </c>
      <c r="CR91" s="23">
        <v>-3.1500000000000004</v>
      </c>
      <c r="CS91" s="23">
        <v>-3.1500000000000004</v>
      </c>
      <c r="CT91" s="23">
        <v>-3.1500000000000004</v>
      </c>
      <c r="CU91" s="23">
        <v>-3.1500000000000004</v>
      </c>
      <c r="CV91" s="23">
        <v>-3.1500000000000004</v>
      </c>
      <c r="CW91" s="23">
        <v>-3.1500000000000004</v>
      </c>
      <c r="CX91" s="23">
        <v>-3.1500000000000004</v>
      </c>
      <c r="CY91" s="23">
        <v>-3.1500000000000004</v>
      </c>
      <c r="CZ91" s="23">
        <v>-3.1500000000000004</v>
      </c>
      <c r="DA91" s="23">
        <v>-3.1500000000000004</v>
      </c>
      <c r="DB91" s="23">
        <v>-3.1500000000000004</v>
      </c>
      <c r="DC91" s="23">
        <v>-3.1500000000000004</v>
      </c>
      <c r="DD91" s="23">
        <v>-3.1500000000000004</v>
      </c>
      <c r="DE91" s="23">
        <v>-3.1500000000000004</v>
      </c>
      <c r="DF91" s="23">
        <v>-3.1500000000000004</v>
      </c>
      <c r="DG91" s="23">
        <v>-3.1500000000000004</v>
      </c>
      <c r="DH91" s="23">
        <v>-3.1500000000000004</v>
      </c>
      <c r="DI91" s="23">
        <v>-3.1500000000000004</v>
      </c>
      <c r="DJ91" s="23">
        <v>-3.1500000000000004</v>
      </c>
      <c r="DK91" s="23">
        <v>-3.1500000000000004</v>
      </c>
      <c r="DL91" s="23">
        <v>-3.1500000000000004</v>
      </c>
      <c r="DM91" s="23">
        <v>-3.1500000000000004</v>
      </c>
      <c r="DN91" s="23">
        <v>-3.1500000000000004</v>
      </c>
      <c r="DO91" s="23">
        <v>-3.1500000000000004</v>
      </c>
      <c r="DP91" s="23">
        <v>-3.1500000000000004</v>
      </c>
      <c r="DQ91" s="23">
        <v>-3.1500000000000004</v>
      </c>
      <c r="DR91" s="23">
        <v>-3.1500000000000004</v>
      </c>
      <c r="DS91" s="23">
        <v>-3.1500000000000004</v>
      </c>
      <c r="DT91" s="23">
        <v>-3.1500000000000004</v>
      </c>
      <c r="DU91" s="23">
        <v>-3.1500000000000004</v>
      </c>
      <c r="DV91" s="23">
        <v>-3.1500000000000004</v>
      </c>
      <c r="DW91" s="23">
        <v>-3.1500000000000004</v>
      </c>
      <c r="DX91" s="23">
        <v>-3.1500000000000004</v>
      </c>
      <c r="DY91" s="23">
        <v>-3.1500000000000004</v>
      </c>
      <c r="DZ91" s="23">
        <v>-3.1500000000000004</v>
      </c>
      <c r="EA91" s="23">
        <v>-3.1500000000000004</v>
      </c>
      <c r="EB91" s="23">
        <v>-3.1500000000000004</v>
      </c>
      <c r="EC91" s="23">
        <v>-3.1500000000000004</v>
      </c>
      <c r="ED91" s="23">
        <v>-3.1500000000000004</v>
      </c>
      <c r="EE91" s="23">
        <v>-3.1500000000000004</v>
      </c>
      <c r="EF91" s="23">
        <v>-3.1500000000000004</v>
      </c>
      <c r="EG91" s="23">
        <v>-3.1500000000000004</v>
      </c>
      <c r="EH91" s="23">
        <v>-3.1500000000000004</v>
      </c>
      <c r="EI91" s="23">
        <v>-3.1500000000000004</v>
      </c>
      <c r="EJ91" s="23">
        <v>-3.1500000000000004</v>
      </c>
      <c r="EK91" s="23">
        <v>-3.1500000000000004</v>
      </c>
      <c r="EL91" s="23">
        <v>-3.1500000000000004</v>
      </c>
      <c r="EM91" s="23">
        <v>-3.1500000000000004</v>
      </c>
      <c r="EN91" s="23">
        <v>-3.1500000000000004</v>
      </c>
      <c r="EO91" s="23">
        <v>-3.1500000000000004</v>
      </c>
      <c r="EP91" s="23">
        <v>-3.1500000000000004</v>
      </c>
      <c r="EQ91" s="23">
        <v>-3.1500000000000004</v>
      </c>
      <c r="ER91" s="23">
        <v>-3.1500000000000004</v>
      </c>
      <c r="ES91" s="23">
        <v>-3.1500000000000004</v>
      </c>
      <c r="ET91" s="23">
        <v>-3.1500000000000004</v>
      </c>
      <c r="EU91" s="23">
        <v>-3.1500000000000004</v>
      </c>
      <c r="EV91" s="23">
        <v>-3.1500000000000004</v>
      </c>
      <c r="EW91" s="23">
        <v>-3.1500000000000004</v>
      </c>
      <c r="EX91" s="23">
        <v>-3.1500000000000004</v>
      </c>
      <c r="EY91" s="23">
        <v>-3.1500000000000004</v>
      </c>
      <c r="EZ91" s="23">
        <v>-3.1500000000000004</v>
      </c>
      <c r="FA91" s="23">
        <v>-3.1500000000000004</v>
      </c>
      <c r="FB91" s="23">
        <v>-3.1500000000000004</v>
      </c>
      <c r="FC91" s="23">
        <v>-3.1500000000000004</v>
      </c>
      <c r="FD91" s="23">
        <v>-3.1500000000000004</v>
      </c>
      <c r="FE91" s="23">
        <v>-3.1500000000000004</v>
      </c>
      <c r="FF91" s="23">
        <v>-3.1500000000000004</v>
      </c>
      <c r="FG91" s="23">
        <v>-3.1500000000000004</v>
      </c>
      <c r="FH91" s="23">
        <v>-3.1500000000000004</v>
      </c>
      <c r="FI91" s="23">
        <v>-3.1500000000000004</v>
      </c>
      <c r="FJ91" s="23">
        <v>-3.1500000000000004</v>
      </c>
      <c r="FK91" s="23">
        <v>-3.1500000000000004</v>
      </c>
      <c r="FL91" s="23">
        <v>-3.1500000000000004</v>
      </c>
      <c r="FM91" s="23">
        <v>-3.1500000000000004</v>
      </c>
      <c r="FN91" s="23">
        <v>-3.1500000000000004</v>
      </c>
      <c r="FO91" s="23">
        <v>-3.1500000000000004</v>
      </c>
      <c r="FP91" s="23">
        <v>-3.1500000000000004</v>
      </c>
      <c r="FQ91" s="23">
        <v>-3.1500000000000004</v>
      </c>
      <c r="FR91" s="23">
        <v>-3.1500000000000004</v>
      </c>
      <c r="FS91" s="23">
        <v>-3.1500000000000004</v>
      </c>
      <c r="FT91" s="23">
        <v>-3.1500000000000004</v>
      </c>
      <c r="FU91" s="23">
        <v>-3.1500000000000004</v>
      </c>
      <c r="FV91" s="23">
        <v>-3.1500000000000004</v>
      </c>
      <c r="FW91" s="23">
        <v>-3.1500000000000004</v>
      </c>
      <c r="FX91" s="23">
        <v>-3.1500000000000004</v>
      </c>
      <c r="FY91" s="23">
        <v>-3.1500000000000004</v>
      </c>
      <c r="FZ91" s="23">
        <v>-3.1500000000000004</v>
      </c>
      <c r="GA91" s="23">
        <v>-3.1500000000000004</v>
      </c>
      <c r="GB91" s="23">
        <v>-3.1500000000000004</v>
      </c>
      <c r="GC91" s="23">
        <v>-3.1500000000000004</v>
      </c>
      <c r="GD91" s="23">
        <v>-3.1500000000000004</v>
      </c>
      <c r="GE91" s="23">
        <v>-3.1500000000000004</v>
      </c>
      <c r="GF91" s="23">
        <v>-3.1500000000000004</v>
      </c>
      <c r="GG91" s="23">
        <v>-3.1500000000000004</v>
      </c>
      <c r="GH91" s="23">
        <v>-3.1500000000000004</v>
      </c>
      <c r="GI91" s="23">
        <v>-3.1500000000000004</v>
      </c>
      <c r="GJ91" s="23">
        <v>-3.1500000000000004</v>
      </c>
      <c r="GK91" s="23">
        <v>-3.1500000000000004</v>
      </c>
      <c r="GL91" s="23">
        <v>-3.1500000000000004</v>
      </c>
      <c r="GM91" s="23">
        <v>-3.1500000000000004</v>
      </c>
      <c r="GN91" s="23">
        <v>-3.1500000000000004</v>
      </c>
      <c r="GO91" s="23">
        <v>-3.1500000000000004</v>
      </c>
      <c r="GP91" s="23">
        <v>-3.1500000000000004</v>
      </c>
      <c r="GQ91" s="23">
        <v>-3.1500000000000004</v>
      </c>
      <c r="GR91" s="23">
        <v>-3.1500000000000004</v>
      </c>
      <c r="GS91" s="23">
        <v>-3.1500000000000004</v>
      </c>
      <c r="GT91" s="23">
        <v>-3.1500000000000004</v>
      </c>
      <c r="GU91" s="23">
        <v>-3.1500000000000004</v>
      </c>
      <c r="GV91" s="23">
        <v>-3.1500000000000004</v>
      </c>
      <c r="GW91" s="23">
        <v>-3.1500000000000004</v>
      </c>
      <c r="GX91" s="23">
        <v>-3.1500000000000004</v>
      </c>
      <c r="GY91" s="23">
        <v>-3.1500000000000004</v>
      </c>
      <c r="GZ91" s="23">
        <v>-3.1500000000000004</v>
      </c>
      <c r="HA91" s="23">
        <v>-3.1500000000000004</v>
      </c>
      <c r="HB91" s="23">
        <v>-3.1500000000000004</v>
      </c>
      <c r="HC91" s="23">
        <v>-3.1500000000000004</v>
      </c>
      <c r="HD91" s="23">
        <v>-3.1500000000000004</v>
      </c>
      <c r="HE91" s="23">
        <v>-3.1500000000000004</v>
      </c>
      <c r="HF91" s="23">
        <v>-3.1500000000000004</v>
      </c>
      <c r="HG91" s="23">
        <v>-3.1500000000000004</v>
      </c>
      <c r="HH91" s="23">
        <v>-3.1500000000000004</v>
      </c>
      <c r="HI91" s="23">
        <v>-3.1500000000000004</v>
      </c>
      <c r="HJ91" s="23">
        <v>-3.1500000000000004</v>
      </c>
      <c r="HK91" s="23">
        <v>-3.1500000000000004</v>
      </c>
      <c r="HL91" s="23">
        <v>-3.1500000000000004</v>
      </c>
      <c r="HM91" s="23">
        <v>-3.1500000000000004</v>
      </c>
      <c r="HN91" s="23">
        <v>-3.1500000000000004</v>
      </c>
      <c r="HO91" s="23">
        <v>-3.1500000000000004</v>
      </c>
      <c r="HP91" s="23">
        <v>-3.1500000000000004</v>
      </c>
      <c r="HQ91" s="23">
        <v>-3.1500000000000004</v>
      </c>
      <c r="HR91" s="23">
        <v>-3.1500000000000004</v>
      </c>
      <c r="HS91" s="23">
        <v>-3.1500000000000004</v>
      </c>
      <c r="HT91" s="23">
        <v>-3.1500000000000004</v>
      </c>
      <c r="HU91" s="23">
        <v>-3.1500000000000004</v>
      </c>
      <c r="HV91" s="23">
        <v>-3.1500000000000004</v>
      </c>
      <c r="HW91" s="23">
        <v>-3.1500000000000004</v>
      </c>
      <c r="HX91" s="23">
        <v>-3.1500000000000004</v>
      </c>
      <c r="HY91" s="23">
        <v>-3.1500000000000004</v>
      </c>
      <c r="HZ91" s="23">
        <v>-3.1500000000000004</v>
      </c>
      <c r="IA91" s="23">
        <v>-3.1500000000000004</v>
      </c>
      <c r="IB91" s="23">
        <v>-3.1500000000000004</v>
      </c>
      <c r="IC91" s="23">
        <v>-3.1500000000000004</v>
      </c>
      <c r="ID91" s="23">
        <v>-3.1500000000000004</v>
      </c>
      <c r="IE91" s="23">
        <v>-3.1500000000000004</v>
      </c>
      <c r="IF91" s="23">
        <v>-3.1500000000000004</v>
      </c>
      <c r="IG91" s="23">
        <v>-3.1500000000000004</v>
      </c>
      <c r="IH91" s="23">
        <v>-3.1500000000000004</v>
      </c>
      <c r="II91" s="23">
        <v>-3.1500000000000004</v>
      </c>
      <c r="IJ91" s="23">
        <v>-3.1500000000000004</v>
      </c>
      <c r="IK91" s="23">
        <v>-3.1500000000000004</v>
      </c>
      <c r="IL91" s="23">
        <v>-3.1500000000000004</v>
      </c>
      <c r="IM91" s="23">
        <v>-3.1500000000000004</v>
      </c>
      <c r="IN91" s="23">
        <v>-3.1500000000000004</v>
      </c>
      <c r="IO91" s="23">
        <v>-3.1500000000000004</v>
      </c>
      <c r="IP91" s="23">
        <v>-3.1500000000000004</v>
      </c>
      <c r="IQ91" s="23">
        <v>-3.1500000000000004</v>
      </c>
      <c r="IR91" s="23">
        <v>-3.1500000000000004</v>
      </c>
      <c r="IS91" s="23">
        <v>-3.1500000000000004</v>
      </c>
      <c r="IT91" s="23">
        <v>-3.1500000000000004</v>
      </c>
      <c r="IU91" s="23">
        <v>-3.1500000000000004</v>
      </c>
      <c r="IV91" s="23">
        <v>-3.1500000000000004</v>
      </c>
      <c r="IW91" s="23">
        <v>-3.1500000000000004</v>
      </c>
      <c r="IX91" s="23">
        <v>-3.1500000000000004</v>
      </c>
      <c r="IY91" s="23">
        <v>-3.1500000000000004</v>
      </c>
      <c r="IZ91" s="23">
        <v>-3.1500000000000004</v>
      </c>
      <c r="JA91" s="23">
        <v>-3.1500000000000004</v>
      </c>
      <c r="JB91" s="23">
        <v>-3.1500000000000004</v>
      </c>
      <c r="JC91" s="23">
        <v>-3.1500000000000004</v>
      </c>
      <c r="JD91" s="23">
        <v>-3.1500000000000004</v>
      </c>
      <c r="JE91" s="23">
        <v>-3.1500000000000004</v>
      </c>
      <c r="JF91" s="23">
        <v>-3.1500000000000004</v>
      </c>
      <c r="JG91" s="23">
        <v>-3.1500000000000004</v>
      </c>
      <c r="JH91" s="23">
        <v>-3.1500000000000004</v>
      </c>
      <c r="JI91" s="23">
        <v>-3.1500000000000004</v>
      </c>
      <c r="JJ91" s="23">
        <v>-3.1500000000000004</v>
      </c>
      <c r="JK91" s="23">
        <v>-3.1500000000000004</v>
      </c>
      <c r="JL91" s="23">
        <v>-3.1500000000000004</v>
      </c>
      <c r="JM91" s="23">
        <v>-3.1500000000000004</v>
      </c>
      <c r="JN91" s="23">
        <v>-3.1500000000000004</v>
      </c>
      <c r="JO91" s="23">
        <v>-3.1500000000000004</v>
      </c>
      <c r="JP91" s="23">
        <v>-3.1500000000000004</v>
      </c>
      <c r="JQ91" s="23">
        <v>-3.1500000000000004</v>
      </c>
      <c r="JR91" s="23">
        <v>-3.1500000000000004</v>
      </c>
      <c r="JS91" s="23">
        <v>-3.1500000000000004</v>
      </c>
      <c r="JT91" s="23">
        <v>-3.1500000000000004</v>
      </c>
      <c r="JU91" s="23">
        <v>-3.1500000000000004</v>
      </c>
      <c r="JV91" s="23">
        <v>-3.1500000000000004</v>
      </c>
      <c r="JW91" s="23">
        <v>-3.1500000000000004</v>
      </c>
      <c r="JX91" s="23">
        <v>-3.1500000000000004</v>
      </c>
      <c r="JY91" s="23">
        <v>-3.1500000000000004</v>
      </c>
      <c r="JZ91" s="23">
        <v>-3.1500000000000004</v>
      </c>
      <c r="KA91" s="23">
        <v>-3.1500000000000004</v>
      </c>
      <c r="KB91" s="23">
        <v>-3.1500000000000004</v>
      </c>
      <c r="KC91" s="23">
        <v>-3.1500000000000004</v>
      </c>
      <c r="KD91" s="23">
        <v>-3.1500000000000004</v>
      </c>
      <c r="KE91" s="23">
        <v>-3.1500000000000004</v>
      </c>
      <c r="KF91" s="23">
        <v>-3.1500000000000004</v>
      </c>
    </row>
    <row r="92" spans="4:292" outlineLevel="1" x14ac:dyDescent="0.35">
      <c r="E92" s="13" t="s">
        <v>170</v>
      </c>
      <c r="J92" s="15" t="s">
        <v>33</v>
      </c>
      <c r="K92" s="23">
        <v>-3.6750000000000003</v>
      </c>
      <c r="L92" s="23">
        <v>-3.6750000000000003</v>
      </c>
      <c r="M92" s="23">
        <v>-3.6750000000000003</v>
      </c>
      <c r="N92" s="23">
        <v>-3.6750000000000003</v>
      </c>
      <c r="O92" s="23">
        <v>-3.6750000000000003</v>
      </c>
      <c r="P92" s="23">
        <v>-3.6750000000000003</v>
      </c>
      <c r="Q92" s="23">
        <v>-3.6750000000000003</v>
      </c>
      <c r="R92" s="23">
        <v>-3.6750000000000003</v>
      </c>
      <c r="S92" s="23">
        <v>-3.6750000000000003</v>
      </c>
      <c r="T92" s="23">
        <v>-3.6750000000000003</v>
      </c>
      <c r="U92" s="23">
        <v>-3.6750000000000003</v>
      </c>
      <c r="V92" s="23">
        <v>-3.6750000000000003</v>
      </c>
      <c r="W92" s="23">
        <v>-3.6750000000000003</v>
      </c>
      <c r="X92" s="23">
        <v>-3.6750000000000003</v>
      </c>
      <c r="Y92" s="23">
        <v>-3.6750000000000003</v>
      </c>
      <c r="Z92" s="23">
        <v>-3.6750000000000003</v>
      </c>
      <c r="AA92" s="23">
        <v>-3.6750000000000003</v>
      </c>
      <c r="AB92" s="23">
        <v>-3.6750000000000003</v>
      </c>
      <c r="AC92" s="23">
        <v>-3.6750000000000003</v>
      </c>
      <c r="AD92" s="23">
        <v>-3.6750000000000003</v>
      </c>
      <c r="AE92" s="23">
        <v>-3.6750000000000003</v>
      </c>
      <c r="AF92" s="23">
        <v>-3.6750000000000003</v>
      </c>
      <c r="AG92" s="23">
        <v>-3.6750000000000003</v>
      </c>
      <c r="AH92" s="23">
        <v>-3.6750000000000003</v>
      </c>
      <c r="AI92" s="23">
        <v>-3.6750000000000003</v>
      </c>
      <c r="AJ92" s="23">
        <v>-3.6750000000000003</v>
      </c>
      <c r="AK92" s="23">
        <v>-3.6750000000000003</v>
      </c>
      <c r="AL92" s="23">
        <v>-3.6750000000000003</v>
      </c>
      <c r="AM92" s="23">
        <v>-3.6750000000000003</v>
      </c>
      <c r="AN92" s="23">
        <v>-3.6750000000000003</v>
      </c>
      <c r="AO92" s="23">
        <v>-3.6750000000000003</v>
      </c>
      <c r="AP92" s="23">
        <v>-3.6750000000000003</v>
      </c>
      <c r="AQ92" s="23">
        <v>-3.6750000000000003</v>
      </c>
      <c r="AR92" s="23">
        <v>-3.6750000000000003</v>
      </c>
      <c r="AS92" s="23">
        <v>-3.6750000000000003</v>
      </c>
      <c r="AT92" s="23">
        <v>-3.6750000000000003</v>
      </c>
      <c r="AU92" s="23">
        <v>-3.6750000000000003</v>
      </c>
      <c r="AV92" s="23">
        <v>-3.6750000000000003</v>
      </c>
      <c r="AW92" s="23">
        <v>-3.6750000000000003</v>
      </c>
      <c r="AX92" s="23">
        <v>-3.6750000000000003</v>
      </c>
      <c r="AY92" s="23">
        <v>-3.6750000000000003</v>
      </c>
      <c r="AZ92" s="23">
        <v>-3.6750000000000003</v>
      </c>
      <c r="BA92" s="23">
        <v>-3.6750000000000003</v>
      </c>
      <c r="BB92" s="23">
        <v>-3.6750000000000003</v>
      </c>
      <c r="BC92" s="23">
        <v>-3.6750000000000003</v>
      </c>
      <c r="BD92" s="23">
        <v>-3.6750000000000003</v>
      </c>
      <c r="BE92" s="23">
        <v>-3.6750000000000003</v>
      </c>
      <c r="BF92" s="23">
        <v>-3.6750000000000003</v>
      </c>
      <c r="BG92" s="23">
        <v>-3.6750000000000003</v>
      </c>
      <c r="BH92" s="23">
        <v>-3.6750000000000003</v>
      </c>
      <c r="BI92" s="23">
        <v>-3.6750000000000003</v>
      </c>
      <c r="BJ92" s="23">
        <v>-3.6750000000000003</v>
      </c>
      <c r="BK92" s="23">
        <v>-3.6750000000000003</v>
      </c>
      <c r="BL92" s="23">
        <v>-3.6750000000000003</v>
      </c>
      <c r="BM92" s="23">
        <v>-3.6750000000000003</v>
      </c>
      <c r="BN92" s="23">
        <v>-3.6750000000000003</v>
      </c>
      <c r="BO92" s="23">
        <v>-3.6750000000000003</v>
      </c>
      <c r="BP92" s="23">
        <v>-3.6750000000000003</v>
      </c>
      <c r="BQ92" s="23">
        <v>-3.6750000000000003</v>
      </c>
      <c r="BR92" s="23">
        <v>-3.6750000000000003</v>
      </c>
      <c r="BS92" s="23">
        <v>-3.6750000000000003</v>
      </c>
      <c r="BT92" s="23">
        <v>-3.6750000000000003</v>
      </c>
      <c r="BU92" s="23">
        <v>-3.6750000000000003</v>
      </c>
      <c r="BV92" s="23">
        <v>-3.6750000000000003</v>
      </c>
      <c r="BW92" s="23">
        <v>-3.6750000000000003</v>
      </c>
      <c r="BX92" s="23">
        <v>-3.6750000000000003</v>
      </c>
      <c r="BY92" s="23">
        <v>-3.6750000000000003</v>
      </c>
      <c r="BZ92" s="23">
        <v>-3.6750000000000003</v>
      </c>
      <c r="CA92" s="23">
        <v>-3.6750000000000003</v>
      </c>
      <c r="CB92" s="23">
        <v>-3.6750000000000003</v>
      </c>
      <c r="CC92" s="23">
        <v>-3.6750000000000003</v>
      </c>
      <c r="CD92" s="23">
        <v>-3.6750000000000003</v>
      </c>
      <c r="CE92" s="23">
        <v>-3.6750000000000003</v>
      </c>
      <c r="CF92" s="23">
        <v>-3.6750000000000003</v>
      </c>
      <c r="CG92" s="23">
        <v>-3.6750000000000003</v>
      </c>
      <c r="CH92" s="23">
        <v>-3.6750000000000003</v>
      </c>
      <c r="CI92" s="23">
        <v>-3.6750000000000003</v>
      </c>
      <c r="CJ92" s="23">
        <v>-3.6750000000000003</v>
      </c>
      <c r="CK92" s="23">
        <v>-3.6750000000000003</v>
      </c>
      <c r="CL92" s="23">
        <v>-3.6750000000000003</v>
      </c>
      <c r="CM92" s="23">
        <v>-3.6750000000000003</v>
      </c>
      <c r="CN92" s="23">
        <v>-3.6750000000000003</v>
      </c>
      <c r="CO92" s="23">
        <v>-3.6750000000000003</v>
      </c>
      <c r="CP92" s="23">
        <v>-3.6750000000000003</v>
      </c>
      <c r="CQ92" s="23">
        <v>-3.6750000000000003</v>
      </c>
      <c r="CR92" s="23">
        <v>-3.6750000000000003</v>
      </c>
      <c r="CS92" s="23">
        <v>-3.6750000000000003</v>
      </c>
      <c r="CT92" s="23">
        <v>-3.6750000000000003</v>
      </c>
      <c r="CU92" s="23">
        <v>-3.6750000000000003</v>
      </c>
      <c r="CV92" s="23">
        <v>-3.6750000000000003</v>
      </c>
      <c r="CW92" s="23">
        <v>-3.6750000000000003</v>
      </c>
      <c r="CX92" s="23">
        <v>-3.6750000000000003</v>
      </c>
      <c r="CY92" s="23">
        <v>-3.6750000000000003</v>
      </c>
      <c r="CZ92" s="23">
        <v>-3.6750000000000003</v>
      </c>
      <c r="DA92" s="23">
        <v>-3.6750000000000003</v>
      </c>
      <c r="DB92" s="23">
        <v>-3.6750000000000003</v>
      </c>
      <c r="DC92" s="23">
        <v>-3.6750000000000003</v>
      </c>
      <c r="DD92" s="23">
        <v>-3.6750000000000003</v>
      </c>
      <c r="DE92" s="23">
        <v>-3.6750000000000003</v>
      </c>
      <c r="DF92" s="23">
        <v>-3.6750000000000003</v>
      </c>
      <c r="DG92" s="23">
        <v>-3.6750000000000003</v>
      </c>
      <c r="DH92" s="23">
        <v>-3.6750000000000003</v>
      </c>
      <c r="DI92" s="23">
        <v>-3.6750000000000003</v>
      </c>
      <c r="DJ92" s="23">
        <v>-3.6750000000000003</v>
      </c>
      <c r="DK92" s="23">
        <v>-3.6750000000000003</v>
      </c>
      <c r="DL92" s="23">
        <v>-3.6750000000000003</v>
      </c>
      <c r="DM92" s="23">
        <v>-3.6750000000000003</v>
      </c>
      <c r="DN92" s="23">
        <v>-3.6750000000000003</v>
      </c>
      <c r="DO92" s="23">
        <v>-3.6750000000000003</v>
      </c>
      <c r="DP92" s="23">
        <v>-3.6750000000000003</v>
      </c>
      <c r="DQ92" s="23">
        <v>-3.6750000000000003</v>
      </c>
      <c r="DR92" s="23">
        <v>-3.6750000000000003</v>
      </c>
      <c r="DS92" s="23">
        <v>-3.6750000000000003</v>
      </c>
      <c r="DT92" s="23">
        <v>-3.6750000000000003</v>
      </c>
      <c r="DU92" s="23">
        <v>-3.6750000000000003</v>
      </c>
      <c r="DV92" s="23">
        <v>-3.6750000000000003</v>
      </c>
      <c r="DW92" s="23">
        <v>-3.6750000000000003</v>
      </c>
      <c r="DX92" s="23">
        <v>-3.6750000000000003</v>
      </c>
      <c r="DY92" s="23">
        <v>-3.6750000000000003</v>
      </c>
      <c r="DZ92" s="23">
        <v>-3.6750000000000003</v>
      </c>
      <c r="EA92" s="23">
        <v>-3.6750000000000003</v>
      </c>
      <c r="EB92" s="23">
        <v>-3.6750000000000003</v>
      </c>
      <c r="EC92" s="23">
        <v>-3.6750000000000003</v>
      </c>
      <c r="ED92" s="23">
        <v>-3.6750000000000003</v>
      </c>
      <c r="EE92" s="23">
        <v>-3.6750000000000003</v>
      </c>
      <c r="EF92" s="23">
        <v>-3.6750000000000003</v>
      </c>
      <c r="EG92" s="23">
        <v>-3.6750000000000003</v>
      </c>
      <c r="EH92" s="23">
        <v>-3.6750000000000003</v>
      </c>
      <c r="EI92" s="23">
        <v>-3.6750000000000003</v>
      </c>
      <c r="EJ92" s="23">
        <v>-3.6750000000000003</v>
      </c>
      <c r="EK92" s="23">
        <v>-3.6750000000000003</v>
      </c>
      <c r="EL92" s="23">
        <v>-3.6750000000000003</v>
      </c>
      <c r="EM92" s="23">
        <v>-3.6750000000000003</v>
      </c>
      <c r="EN92" s="23">
        <v>-3.6750000000000003</v>
      </c>
      <c r="EO92" s="23">
        <v>-3.6750000000000003</v>
      </c>
      <c r="EP92" s="23">
        <v>-3.6750000000000003</v>
      </c>
      <c r="EQ92" s="23">
        <v>-3.6750000000000003</v>
      </c>
      <c r="ER92" s="23">
        <v>-3.6750000000000003</v>
      </c>
      <c r="ES92" s="23">
        <v>-3.6750000000000003</v>
      </c>
      <c r="ET92" s="23">
        <v>-3.6750000000000003</v>
      </c>
      <c r="EU92" s="23">
        <v>-3.6750000000000003</v>
      </c>
      <c r="EV92" s="23">
        <v>-3.6750000000000003</v>
      </c>
      <c r="EW92" s="23">
        <v>-3.6750000000000003</v>
      </c>
      <c r="EX92" s="23">
        <v>-3.6750000000000003</v>
      </c>
      <c r="EY92" s="23">
        <v>-3.6750000000000003</v>
      </c>
      <c r="EZ92" s="23">
        <v>-3.6750000000000003</v>
      </c>
      <c r="FA92" s="23">
        <v>-3.6750000000000003</v>
      </c>
      <c r="FB92" s="23">
        <v>-3.6750000000000003</v>
      </c>
      <c r="FC92" s="23">
        <v>-3.6750000000000003</v>
      </c>
      <c r="FD92" s="23">
        <v>-3.6750000000000003</v>
      </c>
      <c r="FE92" s="23">
        <v>-3.6750000000000003</v>
      </c>
      <c r="FF92" s="23">
        <v>-3.6750000000000003</v>
      </c>
      <c r="FG92" s="23">
        <v>-3.6750000000000003</v>
      </c>
      <c r="FH92" s="23">
        <v>-3.6750000000000003</v>
      </c>
      <c r="FI92" s="23">
        <v>-3.6750000000000003</v>
      </c>
      <c r="FJ92" s="23">
        <v>-3.6750000000000003</v>
      </c>
      <c r="FK92" s="23">
        <v>-3.6750000000000003</v>
      </c>
      <c r="FL92" s="23">
        <v>-3.6750000000000003</v>
      </c>
      <c r="FM92" s="23">
        <v>-3.6750000000000003</v>
      </c>
      <c r="FN92" s="23">
        <v>-3.6750000000000003</v>
      </c>
      <c r="FO92" s="23">
        <v>-3.6750000000000003</v>
      </c>
      <c r="FP92" s="23">
        <v>-3.6750000000000003</v>
      </c>
      <c r="FQ92" s="23">
        <v>-3.6750000000000003</v>
      </c>
      <c r="FR92" s="23">
        <v>-3.6750000000000003</v>
      </c>
      <c r="FS92" s="23">
        <v>-3.6750000000000003</v>
      </c>
      <c r="FT92" s="23">
        <v>-3.6750000000000003</v>
      </c>
      <c r="FU92" s="23">
        <v>-3.6750000000000003</v>
      </c>
      <c r="FV92" s="23">
        <v>-3.6750000000000003</v>
      </c>
      <c r="FW92" s="23">
        <v>-3.6750000000000003</v>
      </c>
      <c r="FX92" s="23">
        <v>-3.6750000000000003</v>
      </c>
      <c r="FY92" s="23">
        <v>-3.6750000000000003</v>
      </c>
      <c r="FZ92" s="23">
        <v>-3.6750000000000003</v>
      </c>
      <c r="GA92" s="23">
        <v>-3.6750000000000003</v>
      </c>
      <c r="GB92" s="23">
        <v>-3.6750000000000003</v>
      </c>
      <c r="GC92" s="23">
        <v>-3.6750000000000003</v>
      </c>
      <c r="GD92" s="23">
        <v>-3.6750000000000003</v>
      </c>
      <c r="GE92" s="23">
        <v>-3.6750000000000003</v>
      </c>
      <c r="GF92" s="23">
        <v>-3.6750000000000003</v>
      </c>
      <c r="GG92" s="23">
        <v>-3.6750000000000003</v>
      </c>
      <c r="GH92" s="23">
        <v>-3.6750000000000003</v>
      </c>
      <c r="GI92" s="23">
        <v>-3.6750000000000003</v>
      </c>
      <c r="GJ92" s="23">
        <v>-3.6750000000000003</v>
      </c>
      <c r="GK92" s="23">
        <v>-3.6750000000000003</v>
      </c>
      <c r="GL92" s="23">
        <v>-3.6750000000000003</v>
      </c>
      <c r="GM92" s="23">
        <v>-3.6750000000000003</v>
      </c>
      <c r="GN92" s="23">
        <v>-3.6750000000000003</v>
      </c>
      <c r="GO92" s="23">
        <v>-3.6750000000000003</v>
      </c>
      <c r="GP92" s="23">
        <v>-3.6750000000000003</v>
      </c>
      <c r="GQ92" s="23">
        <v>-3.6750000000000003</v>
      </c>
      <c r="GR92" s="23">
        <v>-3.6750000000000003</v>
      </c>
      <c r="GS92" s="23">
        <v>-3.6750000000000003</v>
      </c>
      <c r="GT92" s="23">
        <v>-3.6750000000000003</v>
      </c>
      <c r="GU92" s="23">
        <v>-3.6750000000000003</v>
      </c>
      <c r="GV92" s="23">
        <v>-3.6750000000000003</v>
      </c>
      <c r="GW92" s="23">
        <v>-3.6750000000000003</v>
      </c>
      <c r="GX92" s="23">
        <v>-3.6750000000000003</v>
      </c>
      <c r="GY92" s="23">
        <v>-3.6750000000000003</v>
      </c>
      <c r="GZ92" s="23">
        <v>-3.6750000000000003</v>
      </c>
      <c r="HA92" s="23">
        <v>-3.6750000000000003</v>
      </c>
      <c r="HB92" s="23">
        <v>-3.6750000000000003</v>
      </c>
      <c r="HC92" s="23">
        <v>-3.6750000000000003</v>
      </c>
      <c r="HD92" s="23">
        <v>-3.6750000000000003</v>
      </c>
      <c r="HE92" s="23">
        <v>-3.6750000000000003</v>
      </c>
      <c r="HF92" s="23">
        <v>-3.6750000000000003</v>
      </c>
      <c r="HG92" s="23">
        <v>-3.6750000000000003</v>
      </c>
      <c r="HH92" s="23">
        <v>-3.6750000000000003</v>
      </c>
      <c r="HI92" s="23">
        <v>-3.6750000000000003</v>
      </c>
      <c r="HJ92" s="23">
        <v>-3.6750000000000003</v>
      </c>
      <c r="HK92" s="23">
        <v>-3.6750000000000003</v>
      </c>
      <c r="HL92" s="23">
        <v>-3.6750000000000003</v>
      </c>
      <c r="HM92" s="23">
        <v>-3.6750000000000003</v>
      </c>
      <c r="HN92" s="23">
        <v>-3.6750000000000003</v>
      </c>
      <c r="HO92" s="23">
        <v>-3.6750000000000003</v>
      </c>
      <c r="HP92" s="23">
        <v>-3.6750000000000003</v>
      </c>
      <c r="HQ92" s="23">
        <v>-3.6750000000000003</v>
      </c>
      <c r="HR92" s="23">
        <v>-3.6750000000000003</v>
      </c>
      <c r="HS92" s="23">
        <v>-3.6750000000000003</v>
      </c>
      <c r="HT92" s="23">
        <v>-3.6750000000000003</v>
      </c>
      <c r="HU92" s="23">
        <v>-3.6750000000000003</v>
      </c>
      <c r="HV92" s="23">
        <v>-3.6750000000000003</v>
      </c>
      <c r="HW92" s="23">
        <v>-3.6750000000000003</v>
      </c>
      <c r="HX92" s="23">
        <v>-3.6750000000000003</v>
      </c>
      <c r="HY92" s="23">
        <v>-3.6750000000000003</v>
      </c>
      <c r="HZ92" s="23">
        <v>-3.6750000000000003</v>
      </c>
      <c r="IA92" s="23">
        <v>-3.6750000000000003</v>
      </c>
      <c r="IB92" s="23">
        <v>-3.6750000000000003</v>
      </c>
      <c r="IC92" s="23">
        <v>-3.6750000000000003</v>
      </c>
      <c r="ID92" s="23">
        <v>-3.6750000000000003</v>
      </c>
      <c r="IE92" s="23">
        <v>-3.6750000000000003</v>
      </c>
      <c r="IF92" s="23">
        <v>-3.6750000000000003</v>
      </c>
      <c r="IG92" s="23">
        <v>-3.6750000000000003</v>
      </c>
      <c r="IH92" s="23">
        <v>-3.6750000000000003</v>
      </c>
      <c r="II92" s="23">
        <v>-3.6750000000000003</v>
      </c>
      <c r="IJ92" s="23">
        <v>-3.6750000000000003</v>
      </c>
      <c r="IK92" s="23">
        <v>-3.6750000000000003</v>
      </c>
      <c r="IL92" s="23">
        <v>-3.6750000000000003</v>
      </c>
      <c r="IM92" s="23">
        <v>-3.6750000000000003</v>
      </c>
      <c r="IN92" s="23">
        <v>-3.6750000000000003</v>
      </c>
      <c r="IO92" s="23">
        <v>-3.6750000000000003</v>
      </c>
      <c r="IP92" s="23">
        <v>-3.6750000000000003</v>
      </c>
      <c r="IQ92" s="23">
        <v>-3.6750000000000003</v>
      </c>
      <c r="IR92" s="23">
        <v>-3.6750000000000003</v>
      </c>
      <c r="IS92" s="23">
        <v>-3.6750000000000003</v>
      </c>
      <c r="IT92" s="23">
        <v>-3.6750000000000003</v>
      </c>
      <c r="IU92" s="23">
        <v>-3.6750000000000003</v>
      </c>
      <c r="IV92" s="23">
        <v>-3.6750000000000003</v>
      </c>
      <c r="IW92" s="23">
        <v>-3.6750000000000003</v>
      </c>
      <c r="IX92" s="23">
        <v>-3.6750000000000003</v>
      </c>
      <c r="IY92" s="23">
        <v>-3.6750000000000003</v>
      </c>
      <c r="IZ92" s="23">
        <v>-3.6750000000000003</v>
      </c>
      <c r="JA92" s="23">
        <v>-3.6750000000000003</v>
      </c>
      <c r="JB92" s="23">
        <v>-3.6750000000000003</v>
      </c>
      <c r="JC92" s="23">
        <v>-3.6750000000000003</v>
      </c>
      <c r="JD92" s="23">
        <v>-3.6750000000000003</v>
      </c>
      <c r="JE92" s="23">
        <v>-3.6750000000000003</v>
      </c>
      <c r="JF92" s="23">
        <v>-3.6750000000000003</v>
      </c>
      <c r="JG92" s="23">
        <v>-3.6750000000000003</v>
      </c>
      <c r="JH92" s="23">
        <v>-3.6750000000000003</v>
      </c>
      <c r="JI92" s="23">
        <v>-3.6750000000000003</v>
      </c>
      <c r="JJ92" s="23">
        <v>-3.6750000000000003</v>
      </c>
      <c r="JK92" s="23">
        <v>-3.6750000000000003</v>
      </c>
      <c r="JL92" s="23">
        <v>-3.6750000000000003</v>
      </c>
      <c r="JM92" s="23">
        <v>-3.6750000000000003</v>
      </c>
      <c r="JN92" s="23">
        <v>-3.6750000000000003</v>
      </c>
      <c r="JO92" s="23">
        <v>-3.6750000000000003</v>
      </c>
      <c r="JP92" s="23">
        <v>-3.6750000000000003</v>
      </c>
      <c r="JQ92" s="23">
        <v>-3.6750000000000003</v>
      </c>
      <c r="JR92" s="23">
        <v>-3.6750000000000003</v>
      </c>
      <c r="JS92" s="23">
        <v>-3.6750000000000003</v>
      </c>
      <c r="JT92" s="23">
        <v>-3.6750000000000003</v>
      </c>
      <c r="JU92" s="23">
        <v>-3.6750000000000003</v>
      </c>
      <c r="JV92" s="23">
        <v>-3.6750000000000003</v>
      </c>
      <c r="JW92" s="23">
        <v>-3.6750000000000003</v>
      </c>
      <c r="JX92" s="23">
        <v>-3.6750000000000003</v>
      </c>
      <c r="JY92" s="23">
        <v>-3.6750000000000003</v>
      </c>
      <c r="JZ92" s="23">
        <v>-3.6750000000000003</v>
      </c>
      <c r="KA92" s="23">
        <v>-3.6750000000000003</v>
      </c>
      <c r="KB92" s="23">
        <v>-3.6750000000000003</v>
      </c>
      <c r="KC92" s="23">
        <v>-3.6750000000000003</v>
      </c>
      <c r="KD92" s="23">
        <v>-3.6750000000000003</v>
      </c>
      <c r="KE92" s="23">
        <v>-3.6750000000000003</v>
      </c>
      <c r="KF92" s="23">
        <v>-3.6750000000000003</v>
      </c>
    </row>
    <row r="93" spans="4:292" outlineLevel="1" x14ac:dyDescent="0.35">
      <c r="E93" s="13" t="s">
        <v>170</v>
      </c>
      <c r="J93" s="15" t="s">
        <v>34</v>
      </c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  <c r="BZ93" s="23"/>
      <c r="CA93" s="23"/>
      <c r="CB93" s="23"/>
      <c r="CC93" s="23"/>
      <c r="CD93" s="23"/>
      <c r="CE93" s="23"/>
      <c r="CF93" s="23"/>
      <c r="CG93" s="23"/>
      <c r="CH93" s="23"/>
      <c r="CI93" s="23"/>
      <c r="CJ93" s="23"/>
      <c r="CK93" s="23"/>
      <c r="CL93" s="23"/>
      <c r="CM93" s="23"/>
      <c r="CN93" s="23"/>
      <c r="CO93" s="23"/>
      <c r="CP93" s="23"/>
      <c r="CQ93" s="23"/>
      <c r="CR93" s="23"/>
      <c r="CS93" s="23"/>
      <c r="CT93" s="23"/>
      <c r="CU93" s="23"/>
      <c r="CV93" s="23"/>
      <c r="CW93" s="23"/>
      <c r="CX93" s="23"/>
      <c r="CY93" s="23"/>
      <c r="CZ93" s="23"/>
      <c r="DA93" s="23"/>
      <c r="DB93" s="23"/>
      <c r="DC93" s="23"/>
      <c r="DD93" s="23"/>
      <c r="DE93" s="23"/>
      <c r="DF93" s="23"/>
      <c r="DG93" s="23"/>
      <c r="DH93" s="23"/>
      <c r="DI93" s="23"/>
      <c r="DJ93" s="23"/>
      <c r="DK93" s="23"/>
      <c r="DL93" s="23"/>
      <c r="DM93" s="23"/>
      <c r="DN93" s="23"/>
      <c r="DO93" s="23"/>
      <c r="DP93" s="23"/>
      <c r="DQ93" s="23"/>
      <c r="DR93" s="23"/>
      <c r="DS93" s="23"/>
      <c r="DT93" s="23"/>
      <c r="DU93" s="23"/>
      <c r="DV93" s="23"/>
      <c r="DW93" s="23"/>
      <c r="DX93" s="23"/>
      <c r="DY93" s="23"/>
      <c r="DZ93" s="23"/>
      <c r="EA93" s="23"/>
      <c r="EB93" s="23"/>
      <c r="EC93" s="23"/>
      <c r="ED93" s="23"/>
      <c r="EE93" s="23"/>
      <c r="EF93" s="23"/>
      <c r="EG93" s="23"/>
      <c r="EH93" s="23"/>
      <c r="EI93" s="23"/>
      <c r="EJ93" s="23"/>
      <c r="EK93" s="23"/>
      <c r="EL93" s="23"/>
      <c r="EM93" s="23"/>
      <c r="EN93" s="23"/>
      <c r="EO93" s="23"/>
      <c r="EP93" s="23"/>
      <c r="EQ93" s="23"/>
      <c r="ER93" s="23"/>
      <c r="ES93" s="23"/>
      <c r="ET93" s="23"/>
      <c r="EU93" s="23"/>
      <c r="EV93" s="23"/>
      <c r="EW93" s="23"/>
      <c r="EX93" s="23"/>
      <c r="EY93" s="23"/>
      <c r="EZ93" s="23"/>
      <c r="FA93" s="23"/>
      <c r="FB93" s="23"/>
      <c r="FC93" s="23"/>
      <c r="FD93" s="23"/>
      <c r="FE93" s="23"/>
      <c r="FF93" s="23"/>
      <c r="FG93" s="23"/>
      <c r="FH93" s="23"/>
      <c r="FI93" s="23"/>
      <c r="FJ93" s="23"/>
      <c r="FK93" s="23"/>
      <c r="FL93" s="23"/>
      <c r="FM93" s="23"/>
      <c r="FN93" s="23"/>
      <c r="FO93" s="23"/>
      <c r="FP93" s="23"/>
      <c r="FQ93" s="23"/>
      <c r="FR93" s="23"/>
      <c r="FS93" s="23"/>
      <c r="FT93" s="23"/>
      <c r="FU93" s="23"/>
      <c r="FV93" s="23"/>
      <c r="FW93" s="23"/>
      <c r="FX93" s="23"/>
      <c r="FY93" s="23"/>
      <c r="FZ93" s="23"/>
      <c r="GA93" s="23"/>
      <c r="GB93" s="23"/>
      <c r="GC93" s="23"/>
      <c r="GD93" s="23"/>
      <c r="GE93" s="23"/>
      <c r="GF93" s="23"/>
      <c r="GG93" s="23"/>
      <c r="GH93" s="23"/>
      <c r="GI93" s="23"/>
      <c r="GJ93" s="23"/>
      <c r="GK93" s="23"/>
      <c r="GL93" s="23"/>
      <c r="GM93" s="23"/>
      <c r="GN93" s="23"/>
      <c r="GO93" s="23"/>
      <c r="GP93" s="23"/>
      <c r="GQ93" s="23"/>
      <c r="GR93" s="23"/>
      <c r="GS93" s="23"/>
      <c r="GT93" s="23"/>
      <c r="GU93" s="23"/>
      <c r="GV93" s="23"/>
      <c r="GW93" s="23"/>
      <c r="GX93" s="23"/>
      <c r="GY93" s="23"/>
      <c r="GZ93" s="23"/>
      <c r="HA93" s="23"/>
      <c r="HB93" s="23"/>
      <c r="HC93" s="23"/>
      <c r="HD93" s="23"/>
      <c r="HE93" s="23"/>
      <c r="HF93" s="23"/>
      <c r="HG93" s="23"/>
      <c r="HH93" s="23"/>
      <c r="HI93" s="23"/>
      <c r="HJ93" s="23"/>
      <c r="HK93" s="23"/>
      <c r="HL93" s="23"/>
      <c r="HM93" s="23"/>
      <c r="HN93" s="23"/>
      <c r="HO93" s="23"/>
      <c r="HP93" s="23"/>
      <c r="HQ93" s="23"/>
      <c r="HR93" s="23"/>
      <c r="HS93" s="23"/>
      <c r="HT93" s="23"/>
      <c r="HU93" s="23"/>
      <c r="HV93" s="23"/>
      <c r="HW93" s="23"/>
      <c r="HX93" s="23"/>
      <c r="HY93" s="23"/>
      <c r="HZ93" s="23"/>
      <c r="IA93" s="23"/>
      <c r="IB93" s="23"/>
      <c r="IC93" s="23"/>
      <c r="ID93" s="23"/>
      <c r="IE93" s="23"/>
      <c r="IF93" s="23"/>
      <c r="IG93" s="23"/>
      <c r="IH93" s="23"/>
      <c r="II93" s="23"/>
      <c r="IJ93" s="23"/>
      <c r="IK93" s="23"/>
      <c r="IL93" s="23"/>
      <c r="IM93" s="23"/>
      <c r="IN93" s="23"/>
      <c r="IO93" s="23"/>
      <c r="IP93" s="23"/>
      <c r="IQ93" s="23"/>
      <c r="IR93" s="23"/>
      <c r="IS93" s="23"/>
      <c r="IT93" s="23"/>
      <c r="IU93" s="23"/>
      <c r="IV93" s="23"/>
      <c r="IW93" s="23"/>
      <c r="IX93" s="23"/>
      <c r="IY93" s="23"/>
      <c r="IZ93" s="23"/>
      <c r="JA93" s="23"/>
      <c r="JB93" s="23"/>
      <c r="JC93" s="23"/>
      <c r="JD93" s="23"/>
      <c r="JE93" s="23"/>
      <c r="JF93" s="23"/>
      <c r="JG93" s="23"/>
      <c r="JH93" s="23"/>
      <c r="JI93" s="23"/>
      <c r="JJ93" s="23"/>
      <c r="JK93" s="23"/>
      <c r="JL93" s="23"/>
      <c r="JM93" s="23"/>
      <c r="JN93" s="23"/>
      <c r="JO93" s="23"/>
      <c r="JP93" s="23"/>
      <c r="JQ93" s="23"/>
      <c r="JR93" s="23"/>
      <c r="JS93" s="23"/>
      <c r="JT93" s="23"/>
      <c r="JU93" s="23"/>
      <c r="JV93" s="23"/>
      <c r="JW93" s="23"/>
      <c r="JX93" s="23"/>
      <c r="JY93" s="23"/>
      <c r="JZ93" s="23"/>
      <c r="KA93" s="23"/>
      <c r="KB93" s="23"/>
      <c r="KC93" s="23"/>
      <c r="KD93" s="23"/>
      <c r="KE93" s="23"/>
      <c r="KF93" s="23"/>
    </row>
    <row r="94" spans="4:292" outlineLevel="1" x14ac:dyDescent="0.35">
      <c r="E94" s="13" t="s">
        <v>170</v>
      </c>
      <c r="J94" s="15" t="s">
        <v>34</v>
      </c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  <c r="BZ94" s="23"/>
      <c r="CA94" s="23"/>
      <c r="CB94" s="23"/>
      <c r="CC94" s="23"/>
      <c r="CD94" s="23"/>
      <c r="CE94" s="23"/>
      <c r="CF94" s="23"/>
      <c r="CG94" s="23"/>
      <c r="CH94" s="23"/>
      <c r="CI94" s="23"/>
      <c r="CJ94" s="23"/>
      <c r="CK94" s="23"/>
      <c r="CL94" s="23"/>
      <c r="CM94" s="23"/>
      <c r="CN94" s="23"/>
      <c r="CO94" s="23"/>
      <c r="CP94" s="23"/>
      <c r="CQ94" s="23"/>
      <c r="CR94" s="23"/>
      <c r="CS94" s="23"/>
      <c r="CT94" s="23"/>
      <c r="CU94" s="23"/>
      <c r="CV94" s="23"/>
      <c r="CW94" s="23"/>
      <c r="CX94" s="23"/>
      <c r="CY94" s="23"/>
      <c r="CZ94" s="23"/>
      <c r="DA94" s="23"/>
      <c r="DB94" s="23"/>
      <c r="DC94" s="23"/>
      <c r="DD94" s="23"/>
      <c r="DE94" s="23"/>
      <c r="DF94" s="23"/>
      <c r="DG94" s="23"/>
      <c r="DH94" s="23"/>
      <c r="DI94" s="23"/>
      <c r="DJ94" s="23"/>
      <c r="DK94" s="23"/>
      <c r="DL94" s="23"/>
      <c r="DM94" s="23"/>
      <c r="DN94" s="23"/>
      <c r="DO94" s="23"/>
      <c r="DP94" s="23"/>
      <c r="DQ94" s="23"/>
      <c r="DR94" s="23"/>
      <c r="DS94" s="23"/>
      <c r="DT94" s="23"/>
      <c r="DU94" s="23"/>
      <c r="DV94" s="23"/>
      <c r="DW94" s="23"/>
      <c r="DX94" s="23"/>
      <c r="DY94" s="23"/>
      <c r="DZ94" s="23"/>
      <c r="EA94" s="23"/>
      <c r="EB94" s="23"/>
      <c r="EC94" s="23"/>
      <c r="ED94" s="23"/>
      <c r="EE94" s="23"/>
      <c r="EF94" s="23"/>
      <c r="EG94" s="23"/>
      <c r="EH94" s="23"/>
      <c r="EI94" s="23"/>
      <c r="EJ94" s="23"/>
      <c r="EK94" s="23"/>
      <c r="EL94" s="23"/>
      <c r="EM94" s="23"/>
      <c r="EN94" s="23"/>
      <c r="EO94" s="23"/>
      <c r="EP94" s="23"/>
      <c r="EQ94" s="23"/>
      <c r="ER94" s="23"/>
      <c r="ES94" s="23"/>
      <c r="ET94" s="23"/>
      <c r="EU94" s="23"/>
      <c r="EV94" s="23"/>
      <c r="EW94" s="23"/>
      <c r="EX94" s="23"/>
      <c r="EY94" s="23"/>
      <c r="EZ94" s="23"/>
      <c r="FA94" s="23"/>
      <c r="FB94" s="23"/>
      <c r="FC94" s="23"/>
      <c r="FD94" s="23"/>
      <c r="FE94" s="23"/>
      <c r="FF94" s="23"/>
      <c r="FG94" s="23"/>
      <c r="FH94" s="23"/>
      <c r="FI94" s="23"/>
      <c r="FJ94" s="23"/>
      <c r="FK94" s="23"/>
      <c r="FL94" s="23"/>
      <c r="FM94" s="23"/>
      <c r="FN94" s="23"/>
      <c r="FO94" s="23"/>
      <c r="FP94" s="23"/>
      <c r="FQ94" s="23"/>
      <c r="FR94" s="23"/>
      <c r="FS94" s="23"/>
      <c r="FT94" s="23"/>
      <c r="FU94" s="23"/>
      <c r="FV94" s="23"/>
      <c r="FW94" s="23"/>
      <c r="FX94" s="23"/>
      <c r="FY94" s="23"/>
      <c r="FZ94" s="23"/>
      <c r="GA94" s="23"/>
      <c r="GB94" s="23"/>
      <c r="GC94" s="23"/>
      <c r="GD94" s="23"/>
      <c r="GE94" s="23"/>
      <c r="GF94" s="23"/>
      <c r="GG94" s="23"/>
      <c r="GH94" s="23"/>
      <c r="GI94" s="23"/>
      <c r="GJ94" s="23"/>
      <c r="GK94" s="23"/>
      <c r="GL94" s="23"/>
      <c r="GM94" s="23"/>
      <c r="GN94" s="23"/>
      <c r="GO94" s="23"/>
      <c r="GP94" s="23"/>
      <c r="GQ94" s="23"/>
      <c r="GR94" s="23"/>
      <c r="GS94" s="23"/>
      <c r="GT94" s="23"/>
      <c r="GU94" s="23"/>
      <c r="GV94" s="23"/>
      <c r="GW94" s="23"/>
      <c r="GX94" s="23"/>
      <c r="GY94" s="23"/>
      <c r="GZ94" s="23"/>
      <c r="HA94" s="23"/>
      <c r="HB94" s="23"/>
      <c r="HC94" s="23"/>
      <c r="HD94" s="23"/>
      <c r="HE94" s="23"/>
      <c r="HF94" s="23"/>
      <c r="HG94" s="23"/>
      <c r="HH94" s="23"/>
      <c r="HI94" s="23"/>
      <c r="HJ94" s="23"/>
      <c r="HK94" s="23"/>
      <c r="HL94" s="23"/>
      <c r="HM94" s="23"/>
      <c r="HN94" s="23"/>
      <c r="HO94" s="23"/>
      <c r="HP94" s="23"/>
      <c r="HQ94" s="23"/>
      <c r="HR94" s="23"/>
      <c r="HS94" s="23"/>
      <c r="HT94" s="23"/>
      <c r="HU94" s="23"/>
      <c r="HV94" s="23"/>
      <c r="HW94" s="23"/>
      <c r="HX94" s="23"/>
      <c r="HY94" s="23"/>
      <c r="HZ94" s="23"/>
      <c r="IA94" s="23"/>
      <c r="IB94" s="23"/>
      <c r="IC94" s="23"/>
      <c r="ID94" s="23"/>
      <c r="IE94" s="23"/>
      <c r="IF94" s="23"/>
      <c r="IG94" s="23"/>
      <c r="IH94" s="23"/>
      <c r="II94" s="23"/>
      <c r="IJ94" s="23"/>
      <c r="IK94" s="23"/>
      <c r="IL94" s="23"/>
      <c r="IM94" s="23"/>
      <c r="IN94" s="23"/>
      <c r="IO94" s="23"/>
      <c r="IP94" s="23"/>
      <c r="IQ94" s="23"/>
      <c r="IR94" s="23"/>
      <c r="IS94" s="23"/>
      <c r="IT94" s="23"/>
      <c r="IU94" s="23"/>
      <c r="IV94" s="23"/>
      <c r="IW94" s="23"/>
      <c r="IX94" s="23"/>
      <c r="IY94" s="23"/>
      <c r="IZ94" s="23"/>
      <c r="JA94" s="23"/>
      <c r="JB94" s="23"/>
      <c r="JC94" s="23"/>
      <c r="JD94" s="23"/>
      <c r="JE94" s="23"/>
      <c r="JF94" s="23"/>
      <c r="JG94" s="23"/>
      <c r="JH94" s="23"/>
      <c r="JI94" s="23"/>
      <c r="JJ94" s="23"/>
      <c r="JK94" s="23"/>
      <c r="JL94" s="23"/>
      <c r="JM94" s="23"/>
      <c r="JN94" s="23"/>
      <c r="JO94" s="23"/>
      <c r="JP94" s="23"/>
      <c r="JQ94" s="23"/>
      <c r="JR94" s="23"/>
      <c r="JS94" s="23"/>
      <c r="JT94" s="23"/>
      <c r="JU94" s="23"/>
      <c r="JV94" s="23"/>
      <c r="JW94" s="23"/>
      <c r="JX94" s="23"/>
      <c r="JY94" s="23"/>
      <c r="JZ94" s="23"/>
      <c r="KA94" s="23"/>
      <c r="KB94" s="23"/>
      <c r="KC94" s="23"/>
      <c r="KD94" s="23"/>
      <c r="KE94" s="23"/>
      <c r="KF94" s="23"/>
    </row>
    <row r="95" spans="4:292" outlineLevel="1" x14ac:dyDescent="0.35">
      <c r="E95" s="13" t="s">
        <v>170</v>
      </c>
      <c r="J95" s="15" t="s">
        <v>34</v>
      </c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  <c r="BZ95" s="23"/>
      <c r="CA95" s="23"/>
      <c r="CB95" s="23"/>
      <c r="CC95" s="23"/>
      <c r="CD95" s="23"/>
      <c r="CE95" s="23"/>
      <c r="CF95" s="23"/>
      <c r="CG95" s="23"/>
      <c r="CH95" s="23"/>
      <c r="CI95" s="23"/>
      <c r="CJ95" s="23"/>
      <c r="CK95" s="23"/>
      <c r="CL95" s="23"/>
      <c r="CM95" s="23"/>
      <c r="CN95" s="23"/>
      <c r="CO95" s="23"/>
      <c r="CP95" s="23"/>
      <c r="CQ95" s="23"/>
      <c r="CR95" s="23"/>
      <c r="CS95" s="23"/>
      <c r="CT95" s="23"/>
      <c r="CU95" s="23"/>
      <c r="CV95" s="23"/>
      <c r="CW95" s="23"/>
      <c r="CX95" s="23"/>
      <c r="CY95" s="23"/>
      <c r="CZ95" s="23"/>
      <c r="DA95" s="23"/>
      <c r="DB95" s="23"/>
      <c r="DC95" s="23"/>
      <c r="DD95" s="23"/>
      <c r="DE95" s="23"/>
      <c r="DF95" s="23"/>
      <c r="DG95" s="23"/>
      <c r="DH95" s="23"/>
      <c r="DI95" s="23"/>
      <c r="DJ95" s="23"/>
      <c r="DK95" s="23"/>
      <c r="DL95" s="23"/>
      <c r="DM95" s="23"/>
      <c r="DN95" s="23"/>
      <c r="DO95" s="23"/>
      <c r="DP95" s="23"/>
      <c r="DQ95" s="23"/>
      <c r="DR95" s="23"/>
      <c r="DS95" s="23"/>
      <c r="DT95" s="23"/>
      <c r="DU95" s="23"/>
      <c r="DV95" s="23"/>
      <c r="DW95" s="23"/>
      <c r="DX95" s="23"/>
      <c r="DY95" s="23"/>
      <c r="DZ95" s="23"/>
      <c r="EA95" s="23"/>
      <c r="EB95" s="23"/>
      <c r="EC95" s="23"/>
      <c r="ED95" s="23"/>
      <c r="EE95" s="23"/>
      <c r="EF95" s="23"/>
      <c r="EG95" s="23"/>
      <c r="EH95" s="23"/>
      <c r="EI95" s="23"/>
      <c r="EJ95" s="23"/>
      <c r="EK95" s="23"/>
      <c r="EL95" s="23"/>
      <c r="EM95" s="23"/>
      <c r="EN95" s="23"/>
      <c r="EO95" s="23"/>
      <c r="EP95" s="23"/>
      <c r="EQ95" s="23"/>
      <c r="ER95" s="23"/>
      <c r="ES95" s="23"/>
      <c r="ET95" s="23"/>
      <c r="EU95" s="23"/>
      <c r="EV95" s="23"/>
      <c r="EW95" s="23"/>
      <c r="EX95" s="23"/>
      <c r="EY95" s="23"/>
      <c r="EZ95" s="23"/>
      <c r="FA95" s="23"/>
      <c r="FB95" s="23"/>
      <c r="FC95" s="23"/>
      <c r="FD95" s="23"/>
      <c r="FE95" s="23"/>
      <c r="FF95" s="23"/>
      <c r="FG95" s="23"/>
      <c r="FH95" s="23"/>
      <c r="FI95" s="23"/>
      <c r="FJ95" s="23"/>
      <c r="FK95" s="23"/>
      <c r="FL95" s="23"/>
      <c r="FM95" s="23"/>
      <c r="FN95" s="23"/>
      <c r="FO95" s="23"/>
      <c r="FP95" s="23"/>
      <c r="FQ95" s="23"/>
      <c r="FR95" s="23"/>
      <c r="FS95" s="23"/>
      <c r="FT95" s="23"/>
      <c r="FU95" s="23"/>
      <c r="FV95" s="23"/>
      <c r="FW95" s="23"/>
      <c r="FX95" s="23"/>
      <c r="FY95" s="23"/>
      <c r="FZ95" s="23"/>
      <c r="GA95" s="23"/>
      <c r="GB95" s="23"/>
      <c r="GC95" s="23"/>
      <c r="GD95" s="23"/>
      <c r="GE95" s="23"/>
      <c r="GF95" s="23"/>
      <c r="GG95" s="23"/>
      <c r="GH95" s="23"/>
      <c r="GI95" s="23"/>
      <c r="GJ95" s="23"/>
      <c r="GK95" s="23"/>
      <c r="GL95" s="23"/>
      <c r="GM95" s="23"/>
      <c r="GN95" s="23"/>
      <c r="GO95" s="23"/>
      <c r="GP95" s="23"/>
      <c r="GQ95" s="23"/>
      <c r="GR95" s="23"/>
      <c r="GS95" s="23"/>
      <c r="GT95" s="23"/>
      <c r="GU95" s="23"/>
      <c r="GV95" s="23"/>
      <c r="GW95" s="23"/>
      <c r="GX95" s="23"/>
      <c r="GY95" s="23"/>
      <c r="GZ95" s="23"/>
      <c r="HA95" s="23"/>
      <c r="HB95" s="23"/>
      <c r="HC95" s="23"/>
      <c r="HD95" s="23"/>
      <c r="HE95" s="23"/>
      <c r="HF95" s="23"/>
      <c r="HG95" s="23"/>
      <c r="HH95" s="23"/>
      <c r="HI95" s="23"/>
      <c r="HJ95" s="23"/>
      <c r="HK95" s="23"/>
      <c r="HL95" s="23"/>
      <c r="HM95" s="23"/>
      <c r="HN95" s="23"/>
      <c r="HO95" s="23"/>
      <c r="HP95" s="23"/>
      <c r="HQ95" s="23"/>
      <c r="HR95" s="23"/>
      <c r="HS95" s="23"/>
      <c r="HT95" s="23"/>
      <c r="HU95" s="23"/>
      <c r="HV95" s="23"/>
      <c r="HW95" s="23"/>
      <c r="HX95" s="23"/>
      <c r="HY95" s="23"/>
      <c r="HZ95" s="23"/>
      <c r="IA95" s="23"/>
      <c r="IB95" s="23"/>
      <c r="IC95" s="23"/>
      <c r="ID95" s="23"/>
      <c r="IE95" s="23"/>
      <c r="IF95" s="23"/>
      <c r="IG95" s="23"/>
      <c r="IH95" s="23"/>
      <c r="II95" s="23"/>
      <c r="IJ95" s="23"/>
      <c r="IK95" s="23"/>
      <c r="IL95" s="23"/>
      <c r="IM95" s="23"/>
      <c r="IN95" s="23"/>
      <c r="IO95" s="23"/>
      <c r="IP95" s="23"/>
      <c r="IQ95" s="23"/>
      <c r="IR95" s="23"/>
      <c r="IS95" s="23"/>
      <c r="IT95" s="23"/>
      <c r="IU95" s="23"/>
      <c r="IV95" s="23"/>
      <c r="IW95" s="23"/>
      <c r="IX95" s="23"/>
      <c r="IY95" s="23"/>
      <c r="IZ95" s="23"/>
      <c r="JA95" s="23"/>
      <c r="JB95" s="23"/>
      <c r="JC95" s="23"/>
      <c r="JD95" s="23"/>
      <c r="JE95" s="23"/>
      <c r="JF95" s="23"/>
      <c r="JG95" s="23"/>
      <c r="JH95" s="23"/>
      <c r="JI95" s="23"/>
      <c r="JJ95" s="23"/>
      <c r="JK95" s="23"/>
      <c r="JL95" s="23"/>
      <c r="JM95" s="23"/>
      <c r="JN95" s="23"/>
      <c r="JO95" s="23"/>
      <c r="JP95" s="23"/>
      <c r="JQ95" s="23"/>
      <c r="JR95" s="23"/>
      <c r="JS95" s="23"/>
      <c r="JT95" s="23"/>
      <c r="JU95" s="23"/>
      <c r="JV95" s="23"/>
      <c r="JW95" s="23"/>
      <c r="JX95" s="23"/>
      <c r="JY95" s="23"/>
      <c r="JZ95" s="23"/>
      <c r="KA95" s="23"/>
      <c r="KB95" s="23"/>
      <c r="KC95" s="23"/>
      <c r="KD95" s="23"/>
      <c r="KE95" s="23"/>
      <c r="KF95" s="23"/>
    </row>
    <row r="96" spans="4:292" outlineLevel="1" x14ac:dyDescent="0.35">
      <c r="E96" s="13" t="s">
        <v>170</v>
      </c>
      <c r="J96" s="15" t="s">
        <v>34</v>
      </c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  <c r="BZ96" s="23"/>
      <c r="CA96" s="23"/>
      <c r="CB96" s="23"/>
      <c r="CC96" s="23"/>
      <c r="CD96" s="23"/>
      <c r="CE96" s="23"/>
      <c r="CF96" s="23"/>
      <c r="CG96" s="23"/>
      <c r="CH96" s="23"/>
      <c r="CI96" s="23"/>
      <c r="CJ96" s="23"/>
      <c r="CK96" s="23"/>
      <c r="CL96" s="23"/>
      <c r="CM96" s="23"/>
      <c r="CN96" s="23"/>
      <c r="CO96" s="23"/>
      <c r="CP96" s="23"/>
      <c r="CQ96" s="23"/>
      <c r="CR96" s="23"/>
      <c r="CS96" s="23"/>
      <c r="CT96" s="23"/>
      <c r="CU96" s="23"/>
      <c r="CV96" s="23"/>
      <c r="CW96" s="23"/>
      <c r="CX96" s="23"/>
      <c r="CY96" s="23"/>
      <c r="CZ96" s="23"/>
      <c r="DA96" s="23"/>
      <c r="DB96" s="23"/>
      <c r="DC96" s="23"/>
      <c r="DD96" s="23"/>
      <c r="DE96" s="23"/>
      <c r="DF96" s="23"/>
      <c r="DG96" s="23"/>
      <c r="DH96" s="23"/>
      <c r="DI96" s="23"/>
      <c r="DJ96" s="23"/>
      <c r="DK96" s="23"/>
      <c r="DL96" s="23"/>
      <c r="DM96" s="23"/>
      <c r="DN96" s="23"/>
      <c r="DO96" s="23"/>
      <c r="DP96" s="23"/>
      <c r="DQ96" s="23"/>
      <c r="DR96" s="23"/>
      <c r="DS96" s="23"/>
      <c r="DT96" s="23"/>
      <c r="DU96" s="23"/>
      <c r="DV96" s="23"/>
      <c r="DW96" s="23"/>
      <c r="DX96" s="23"/>
      <c r="DY96" s="23"/>
      <c r="DZ96" s="23"/>
      <c r="EA96" s="23"/>
      <c r="EB96" s="23"/>
      <c r="EC96" s="23"/>
      <c r="ED96" s="23"/>
      <c r="EE96" s="23"/>
      <c r="EF96" s="23"/>
      <c r="EG96" s="23"/>
      <c r="EH96" s="23"/>
      <c r="EI96" s="23"/>
      <c r="EJ96" s="23"/>
      <c r="EK96" s="23"/>
      <c r="EL96" s="23"/>
      <c r="EM96" s="23"/>
      <c r="EN96" s="23"/>
      <c r="EO96" s="23"/>
      <c r="EP96" s="23"/>
      <c r="EQ96" s="23"/>
      <c r="ER96" s="23"/>
      <c r="ES96" s="23"/>
      <c r="ET96" s="23"/>
      <c r="EU96" s="23"/>
      <c r="EV96" s="23"/>
      <c r="EW96" s="23"/>
      <c r="EX96" s="23"/>
      <c r="EY96" s="23"/>
      <c r="EZ96" s="23"/>
      <c r="FA96" s="23"/>
      <c r="FB96" s="23"/>
      <c r="FC96" s="23"/>
      <c r="FD96" s="23"/>
      <c r="FE96" s="23"/>
      <c r="FF96" s="23"/>
      <c r="FG96" s="23"/>
      <c r="FH96" s="23"/>
      <c r="FI96" s="23"/>
      <c r="FJ96" s="23"/>
      <c r="FK96" s="23"/>
      <c r="FL96" s="23"/>
      <c r="FM96" s="23"/>
      <c r="FN96" s="23"/>
      <c r="FO96" s="23"/>
      <c r="FP96" s="23"/>
      <c r="FQ96" s="23"/>
      <c r="FR96" s="23"/>
      <c r="FS96" s="23"/>
      <c r="FT96" s="23"/>
      <c r="FU96" s="23"/>
      <c r="FV96" s="23"/>
      <c r="FW96" s="23"/>
      <c r="FX96" s="23"/>
      <c r="FY96" s="23"/>
      <c r="FZ96" s="23"/>
      <c r="GA96" s="23"/>
      <c r="GB96" s="23"/>
      <c r="GC96" s="23"/>
      <c r="GD96" s="23"/>
      <c r="GE96" s="23"/>
      <c r="GF96" s="23"/>
      <c r="GG96" s="23"/>
      <c r="GH96" s="23"/>
      <c r="GI96" s="23"/>
      <c r="GJ96" s="23"/>
      <c r="GK96" s="23"/>
      <c r="GL96" s="23"/>
      <c r="GM96" s="23"/>
      <c r="GN96" s="23"/>
      <c r="GO96" s="23"/>
      <c r="GP96" s="23"/>
      <c r="GQ96" s="23"/>
      <c r="GR96" s="23"/>
      <c r="GS96" s="23"/>
      <c r="GT96" s="23"/>
      <c r="GU96" s="23"/>
      <c r="GV96" s="23"/>
      <c r="GW96" s="23"/>
      <c r="GX96" s="23"/>
      <c r="GY96" s="23"/>
      <c r="GZ96" s="23"/>
      <c r="HA96" s="23"/>
      <c r="HB96" s="23"/>
      <c r="HC96" s="23"/>
      <c r="HD96" s="23"/>
      <c r="HE96" s="23"/>
      <c r="HF96" s="23"/>
      <c r="HG96" s="23"/>
      <c r="HH96" s="23"/>
      <c r="HI96" s="23"/>
      <c r="HJ96" s="23"/>
      <c r="HK96" s="23"/>
      <c r="HL96" s="23"/>
      <c r="HM96" s="23"/>
      <c r="HN96" s="23"/>
      <c r="HO96" s="23"/>
      <c r="HP96" s="23"/>
      <c r="HQ96" s="23"/>
      <c r="HR96" s="23"/>
      <c r="HS96" s="23"/>
      <c r="HT96" s="23"/>
      <c r="HU96" s="23"/>
      <c r="HV96" s="23"/>
      <c r="HW96" s="23"/>
      <c r="HX96" s="23"/>
      <c r="HY96" s="23"/>
      <c r="HZ96" s="23"/>
      <c r="IA96" s="23"/>
      <c r="IB96" s="23"/>
      <c r="IC96" s="23"/>
      <c r="ID96" s="23"/>
      <c r="IE96" s="23"/>
      <c r="IF96" s="23"/>
      <c r="IG96" s="23"/>
      <c r="IH96" s="23"/>
      <c r="II96" s="23"/>
      <c r="IJ96" s="23"/>
      <c r="IK96" s="23"/>
      <c r="IL96" s="23"/>
      <c r="IM96" s="23"/>
      <c r="IN96" s="23"/>
      <c r="IO96" s="23"/>
      <c r="IP96" s="23"/>
      <c r="IQ96" s="23"/>
      <c r="IR96" s="23"/>
      <c r="IS96" s="23"/>
      <c r="IT96" s="23"/>
      <c r="IU96" s="23"/>
      <c r="IV96" s="23"/>
      <c r="IW96" s="23"/>
      <c r="IX96" s="23"/>
      <c r="IY96" s="23"/>
      <c r="IZ96" s="23"/>
      <c r="JA96" s="23"/>
      <c r="JB96" s="23"/>
      <c r="JC96" s="23"/>
      <c r="JD96" s="23"/>
      <c r="JE96" s="23"/>
      <c r="JF96" s="23"/>
      <c r="JG96" s="23"/>
      <c r="JH96" s="23"/>
      <c r="JI96" s="23"/>
      <c r="JJ96" s="23"/>
      <c r="JK96" s="23"/>
      <c r="JL96" s="23"/>
      <c r="JM96" s="23"/>
      <c r="JN96" s="23"/>
      <c r="JO96" s="23"/>
      <c r="JP96" s="23"/>
      <c r="JQ96" s="23"/>
      <c r="JR96" s="23"/>
      <c r="JS96" s="23"/>
      <c r="JT96" s="23"/>
      <c r="JU96" s="23"/>
      <c r="JV96" s="23"/>
      <c r="JW96" s="23"/>
      <c r="JX96" s="23"/>
      <c r="JY96" s="23"/>
      <c r="JZ96" s="23"/>
      <c r="KA96" s="23"/>
      <c r="KB96" s="23"/>
      <c r="KC96" s="23"/>
      <c r="KD96" s="23"/>
      <c r="KE96" s="23"/>
      <c r="KF96" s="23"/>
    </row>
    <row r="97" spans="4:292" outlineLevel="1" x14ac:dyDescent="0.35">
      <c r="E97" s="13" t="s">
        <v>170</v>
      </c>
      <c r="J97" s="15" t="s">
        <v>34</v>
      </c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  <c r="BZ97" s="23"/>
      <c r="CA97" s="23"/>
      <c r="CB97" s="23"/>
      <c r="CC97" s="23"/>
      <c r="CD97" s="23"/>
      <c r="CE97" s="23"/>
      <c r="CF97" s="23"/>
      <c r="CG97" s="23"/>
      <c r="CH97" s="23"/>
      <c r="CI97" s="23"/>
      <c r="CJ97" s="23"/>
      <c r="CK97" s="23"/>
      <c r="CL97" s="23"/>
      <c r="CM97" s="23"/>
      <c r="CN97" s="23"/>
      <c r="CO97" s="23"/>
      <c r="CP97" s="23"/>
      <c r="CQ97" s="23"/>
      <c r="CR97" s="23"/>
      <c r="CS97" s="23"/>
      <c r="CT97" s="23"/>
      <c r="CU97" s="23"/>
      <c r="CV97" s="23"/>
      <c r="CW97" s="23"/>
      <c r="CX97" s="23"/>
      <c r="CY97" s="23"/>
      <c r="CZ97" s="23"/>
      <c r="DA97" s="23"/>
      <c r="DB97" s="23"/>
      <c r="DC97" s="23"/>
      <c r="DD97" s="23"/>
      <c r="DE97" s="23"/>
      <c r="DF97" s="23"/>
      <c r="DG97" s="23"/>
      <c r="DH97" s="23"/>
      <c r="DI97" s="23"/>
      <c r="DJ97" s="23"/>
      <c r="DK97" s="23"/>
      <c r="DL97" s="23"/>
      <c r="DM97" s="23"/>
      <c r="DN97" s="23"/>
      <c r="DO97" s="23"/>
      <c r="DP97" s="23"/>
      <c r="DQ97" s="23"/>
      <c r="DR97" s="23"/>
      <c r="DS97" s="23"/>
      <c r="DT97" s="23"/>
      <c r="DU97" s="23"/>
      <c r="DV97" s="23"/>
      <c r="DW97" s="23"/>
      <c r="DX97" s="23"/>
      <c r="DY97" s="23"/>
      <c r="DZ97" s="23"/>
      <c r="EA97" s="23"/>
      <c r="EB97" s="23"/>
      <c r="EC97" s="23"/>
      <c r="ED97" s="23"/>
      <c r="EE97" s="23"/>
      <c r="EF97" s="23"/>
      <c r="EG97" s="23"/>
      <c r="EH97" s="23"/>
      <c r="EI97" s="23"/>
      <c r="EJ97" s="23"/>
      <c r="EK97" s="23"/>
      <c r="EL97" s="23"/>
      <c r="EM97" s="23"/>
      <c r="EN97" s="23"/>
      <c r="EO97" s="23"/>
      <c r="EP97" s="23"/>
      <c r="EQ97" s="23"/>
      <c r="ER97" s="23"/>
      <c r="ES97" s="23"/>
      <c r="ET97" s="23"/>
      <c r="EU97" s="23"/>
      <c r="EV97" s="23"/>
      <c r="EW97" s="23"/>
      <c r="EX97" s="23"/>
      <c r="EY97" s="23"/>
      <c r="EZ97" s="23"/>
      <c r="FA97" s="23"/>
      <c r="FB97" s="23"/>
      <c r="FC97" s="23"/>
      <c r="FD97" s="23"/>
      <c r="FE97" s="23"/>
      <c r="FF97" s="23"/>
      <c r="FG97" s="23"/>
      <c r="FH97" s="23"/>
      <c r="FI97" s="23"/>
      <c r="FJ97" s="23"/>
      <c r="FK97" s="23"/>
      <c r="FL97" s="23"/>
      <c r="FM97" s="23"/>
      <c r="FN97" s="23"/>
      <c r="FO97" s="23"/>
      <c r="FP97" s="23"/>
      <c r="FQ97" s="23"/>
      <c r="FR97" s="23"/>
      <c r="FS97" s="23"/>
      <c r="FT97" s="23"/>
      <c r="FU97" s="23"/>
      <c r="FV97" s="23"/>
      <c r="FW97" s="23"/>
      <c r="FX97" s="23"/>
      <c r="FY97" s="23"/>
      <c r="FZ97" s="23"/>
      <c r="GA97" s="23"/>
      <c r="GB97" s="23"/>
      <c r="GC97" s="23"/>
      <c r="GD97" s="23"/>
      <c r="GE97" s="23"/>
      <c r="GF97" s="23"/>
      <c r="GG97" s="23"/>
      <c r="GH97" s="23"/>
      <c r="GI97" s="23"/>
      <c r="GJ97" s="23"/>
      <c r="GK97" s="23"/>
      <c r="GL97" s="23"/>
      <c r="GM97" s="23"/>
      <c r="GN97" s="23"/>
      <c r="GO97" s="23"/>
      <c r="GP97" s="23"/>
      <c r="GQ97" s="23"/>
      <c r="GR97" s="23"/>
      <c r="GS97" s="23"/>
      <c r="GT97" s="23"/>
      <c r="GU97" s="23"/>
      <c r="GV97" s="23"/>
      <c r="GW97" s="23"/>
      <c r="GX97" s="23"/>
      <c r="GY97" s="23"/>
      <c r="GZ97" s="23"/>
      <c r="HA97" s="23"/>
      <c r="HB97" s="23"/>
      <c r="HC97" s="23"/>
      <c r="HD97" s="23"/>
      <c r="HE97" s="23"/>
      <c r="HF97" s="23"/>
      <c r="HG97" s="23"/>
      <c r="HH97" s="23"/>
      <c r="HI97" s="23"/>
      <c r="HJ97" s="23"/>
      <c r="HK97" s="23"/>
      <c r="HL97" s="23"/>
      <c r="HM97" s="23"/>
      <c r="HN97" s="23"/>
      <c r="HO97" s="23"/>
      <c r="HP97" s="23"/>
      <c r="HQ97" s="23"/>
      <c r="HR97" s="23"/>
      <c r="HS97" s="23"/>
      <c r="HT97" s="23"/>
      <c r="HU97" s="23"/>
      <c r="HV97" s="23"/>
      <c r="HW97" s="23"/>
      <c r="HX97" s="23"/>
      <c r="HY97" s="23"/>
      <c r="HZ97" s="23"/>
      <c r="IA97" s="23"/>
      <c r="IB97" s="23"/>
      <c r="IC97" s="23"/>
      <c r="ID97" s="23"/>
      <c r="IE97" s="23"/>
      <c r="IF97" s="23"/>
      <c r="IG97" s="23"/>
      <c r="IH97" s="23"/>
      <c r="II97" s="23"/>
      <c r="IJ97" s="23"/>
      <c r="IK97" s="23"/>
      <c r="IL97" s="23"/>
      <c r="IM97" s="23"/>
      <c r="IN97" s="23"/>
      <c r="IO97" s="23"/>
      <c r="IP97" s="23"/>
      <c r="IQ97" s="23"/>
      <c r="IR97" s="23"/>
      <c r="IS97" s="23"/>
      <c r="IT97" s="23"/>
      <c r="IU97" s="23"/>
      <c r="IV97" s="23"/>
      <c r="IW97" s="23"/>
      <c r="IX97" s="23"/>
      <c r="IY97" s="23"/>
      <c r="IZ97" s="23"/>
      <c r="JA97" s="23"/>
      <c r="JB97" s="23"/>
      <c r="JC97" s="23"/>
      <c r="JD97" s="23"/>
      <c r="JE97" s="23"/>
      <c r="JF97" s="23"/>
      <c r="JG97" s="23"/>
      <c r="JH97" s="23"/>
      <c r="JI97" s="23"/>
      <c r="JJ97" s="23"/>
      <c r="JK97" s="23"/>
      <c r="JL97" s="23"/>
      <c r="JM97" s="23"/>
      <c r="JN97" s="23"/>
      <c r="JO97" s="23"/>
      <c r="JP97" s="23"/>
      <c r="JQ97" s="23"/>
      <c r="JR97" s="23"/>
      <c r="JS97" s="23"/>
      <c r="JT97" s="23"/>
      <c r="JU97" s="23"/>
      <c r="JV97" s="23"/>
      <c r="JW97" s="23"/>
      <c r="JX97" s="23"/>
      <c r="JY97" s="23"/>
      <c r="JZ97" s="23"/>
      <c r="KA97" s="23"/>
      <c r="KB97" s="23"/>
      <c r="KC97" s="23"/>
      <c r="KD97" s="23"/>
      <c r="KE97" s="23"/>
      <c r="KF97" s="23"/>
    </row>
    <row r="98" spans="4:292" outlineLevel="1" x14ac:dyDescent="0.35">
      <c r="E98" s="13" t="s">
        <v>170</v>
      </c>
      <c r="J98" s="15" t="s">
        <v>34</v>
      </c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  <c r="BZ98" s="23"/>
      <c r="CA98" s="23"/>
      <c r="CB98" s="23"/>
      <c r="CC98" s="23"/>
      <c r="CD98" s="23"/>
      <c r="CE98" s="23"/>
      <c r="CF98" s="23"/>
      <c r="CG98" s="23"/>
      <c r="CH98" s="23"/>
      <c r="CI98" s="23"/>
      <c r="CJ98" s="23"/>
      <c r="CK98" s="23"/>
      <c r="CL98" s="23"/>
      <c r="CM98" s="23"/>
      <c r="CN98" s="23"/>
      <c r="CO98" s="23"/>
      <c r="CP98" s="23"/>
      <c r="CQ98" s="23"/>
      <c r="CR98" s="23"/>
      <c r="CS98" s="23"/>
      <c r="CT98" s="23"/>
      <c r="CU98" s="23"/>
      <c r="CV98" s="23"/>
      <c r="CW98" s="23"/>
      <c r="CX98" s="23"/>
      <c r="CY98" s="23"/>
      <c r="CZ98" s="23"/>
      <c r="DA98" s="23"/>
      <c r="DB98" s="23"/>
      <c r="DC98" s="23"/>
      <c r="DD98" s="23"/>
      <c r="DE98" s="23"/>
      <c r="DF98" s="23"/>
      <c r="DG98" s="23"/>
      <c r="DH98" s="23"/>
      <c r="DI98" s="23"/>
      <c r="DJ98" s="23"/>
      <c r="DK98" s="23"/>
      <c r="DL98" s="23"/>
      <c r="DM98" s="23"/>
      <c r="DN98" s="23"/>
      <c r="DO98" s="23"/>
      <c r="DP98" s="23"/>
      <c r="DQ98" s="23"/>
      <c r="DR98" s="23"/>
      <c r="DS98" s="23"/>
      <c r="DT98" s="23"/>
      <c r="DU98" s="23"/>
      <c r="DV98" s="23"/>
      <c r="DW98" s="23"/>
      <c r="DX98" s="23"/>
      <c r="DY98" s="23"/>
      <c r="DZ98" s="23"/>
      <c r="EA98" s="23"/>
      <c r="EB98" s="23"/>
      <c r="EC98" s="23"/>
      <c r="ED98" s="23"/>
      <c r="EE98" s="23"/>
      <c r="EF98" s="23"/>
      <c r="EG98" s="23"/>
      <c r="EH98" s="23"/>
      <c r="EI98" s="23"/>
      <c r="EJ98" s="23"/>
      <c r="EK98" s="23"/>
      <c r="EL98" s="23"/>
      <c r="EM98" s="23"/>
      <c r="EN98" s="23"/>
      <c r="EO98" s="23"/>
      <c r="EP98" s="23"/>
      <c r="EQ98" s="23"/>
      <c r="ER98" s="23"/>
      <c r="ES98" s="23"/>
      <c r="ET98" s="23"/>
      <c r="EU98" s="23"/>
      <c r="EV98" s="23"/>
      <c r="EW98" s="23"/>
      <c r="EX98" s="23"/>
      <c r="EY98" s="23"/>
      <c r="EZ98" s="23"/>
      <c r="FA98" s="23"/>
      <c r="FB98" s="23"/>
      <c r="FC98" s="23"/>
      <c r="FD98" s="23"/>
      <c r="FE98" s="23"/>
      <c r="FF98" s="23"/>
      <c r="FG98" s="23"/>
      <c r="FH98" s="23"/>
      <c r="FI98" s="23"/>
      <c r="FJ98" s="23"/>
      <c r="FK98" s="23"/>
      <c r="FL98" s="23"/>
      <c r="FM98" s="23"/>
      <c r="FN98" s="23"/>
      <c r="FO98" s="23"/>
      <c r="FP98" s="23"/>
      <c r="FQ98" s="23"/>
      <c r="FR98" s="23"/>
      <c r="FS98" s="23"/>
      <c r="FT98" s="23"/>
      <c r="FU98" s="23"/>
      <c r="FV98" s="23"/>
      <c r="FW98" s="23"/>
      <c r="FX98" s="23"/>
      <c r="FY98" s="23"/>
      <c r="FZ98" s="23"/>
      <c r="GA98" s="23"/>
      <c r="GB98" s="23"/>
      <c r="GC98" s="23"/>
      <c r="GD98" s="23"/>
      <c r="GE98" s="23"/>
      <c r="GF98" s="23"/>
      <c r="GG98" s="23"/>
      <c r="GH98" s="23"/>
      <c r="GI98" s="23"/>
      <c r="GJ98" s="23"/>
      <c r="GK98" s="23"/>
      <c r="GL98" s="23"/>
      <c r="GM98" s="23"/>
      <c r="GN98" s="23"/>
      <c r="GO98" s="23"/>
      <c r="GP98" s="23"/>
      <c r="GQ98" s="23"/>
      <c r="GR98" s="23"/>
      <c r="GS98" s="23"/>
      <c r="GT98" s="23"/>
      <c r="GU98" s="23"/>
      <c r="GV98" s="23"/>
      <c r="GW98" s="23"/>
      <c r="GX98" s="23"/>
      <c r="GY98" s="23"/>
      <c r="GZ98" s="23"/>
      <c r="HA98" s="23"/>
      <c r="HB98" s="23"/>
      <c r="HC98" s="23"/>
      <c r="HD98" s="23"/>
      <c r="HE98" s="23"/>
      <c r="HF98" s="23"/>
      <c r="HG98" s="23"/>
      <c r="HH98" s="23"/>
      <c r="HI98" s="23"/>
      <c r="HJ98" s="23"/>
      <c r="HK98" s="23"/>
      <c r="HL98" s="23"/>
      <c r="HM98" s="23"/>
      <c r="HN98" s="23"/>
      <c r="HO98" s="23"/>
      <c r="HP98" s="23"/>
      <c r="HQ98" s="23"/>
      <c r="HR98" s="23"/>
      <c r="HS98" s="23"/>
      <c r="HT98" s="23"/>
      <c r="HU98" s="23"/>
      <c r="HV98" s="23"/>
      <c r="HW98" s="23"/>
      <c r="HX98" s="23"/>
      <c r="HY98" s="23"/>
      <c r="HZ98" s="23"/>
      <c r="IA98" s="23"/>
      <c r="IB98" s="23"/>
      <c r="IC98" s="23"/>
      <c r="ID98" s="23"/>
      <c r="IE98" s="23"/>
      <c r="IF98" s="23"/>
      <c r="IG98" s="23"/>
      <c r="IH98" s="23"/>
      <c r="II98" s="23"/>
      <c r="IJ98" s="23"/>
      <c r="IK98" s="23"/>
      <c r="IL98" s="23"/>
      <c r="IM98" s="23"/>
      <c r="IN98" s="23"/>
      <c r="IO98" s="23"/>
      <c r="IP98" s="23"/>
      <c r="IQ98" s="23"/>
      <c r="IR98" s="23"/>
      <c r="IS98" s="23"/>
      <c r="IT98" s="23"/>
      <c r="IU98" s="23"/>
      <c r="IV98" s="23"/>
      <c r="IW98" s="23"/>
      <c r="IX98" s="23"/>
      <c r="IY98" s="23"/>
      <c r="IZ98" s="23"/>
      <c r="JA98" s="23"/>
      <c r="JB98" s="23"/>
      <c r="JC98" s="23"/>
      <c r="JD98" s="23"/>
      <c r="JE98" s="23"/>
      <c r="JF98" s="23"/>
      <c r="JG98" s="23"/>
      <c r="JH98" s="23"/>
      <c r="JI98" s="23"/>
      <c r="JJ98" s="23"/>
      <c r="JK98" s="23"/>
      <c r="JL98" s="23"/>
      <c r="JM98" s="23"/>
      <c r="JN98" s="23"/>
      <c r="JO98" s="23"/>
      <c r="JP98" s="23"/>
      <c r="JQ98" s="23"/>
      <c r="JR98" s="23"/>
      <c r="JS98" s="23"/>
      <c r="JT98" s="23"/>
      <c r="JU98" s="23"/>
      <c r="JV98" s="23"/>
      <c r="JW98" s="23"/>
      <c r="JX98" s="23"/>
      <c r="JY98" s="23"/>
      <c r="JZ98" s="23"/>
      <c r="KA98" s="23"/>
      <c r="KB98" s="23"/>
      <c r="KC98" s="23"/>
      <c r="KD98" s="23"/>
      <c r="KE98" s="23"/>
      <c r="KF98" s="23"/>
    </row>
    <row r="99" spans="4:292" outlineLevel="1" x14ac:dyDescent="0.35"/>
    <row r="100" spans="4:292" outlineLevel="1" x14ac:dyDescent="0.35">
      <c r="H100" s="19" t="s">
        <v>25</v>
      </c>
      <c r="I100" s="19"/>
      <c r="J100" s="16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7"/>
      <c r="DK100" s="17"/>
      <c r="DL100" s="17"/>
      <c r="DM100" s="17"/>
      <c r="DN100" s="17"/>
      <c r="DO100" s="17"/>
      <c r="DP100" s="17"/>
      <c r="DQ100" s="17"/>
      <c r="DR100" s="17"/>
      <c r="DS100" s="17"/>
      <c r="DT100" s="17"/>
      <c r="DU100" s="17"/>
      <c r="DV100" s="17"/>
      <c r="DW100" s="17"/>
      <c r="DX100" s="17"/>
      <c r="DY100" s="17"/>
      <c r="DZ100" s="17"/>
      <c r="EA100" s="17"/>
      <c r="EB100" s="17"/>
      <c r="EC100" s="17"/>
      <c r="ED100" s="17"/>
      <c r="EE100" s="17"/>
      <c r="EF100" s="17"/>
      <c r="EG100" s="17"/>
      <c r="EH100" s="17"/>
      <c r="EI100" s="17"/>
      <c r="EJ100" s="17"/>
      <c r="EK100" s="17"/>
      <c r="EL100" s="17"/>
      <c r="EM100" s="17"/>
      <c r="EN100" s="17"/>
      <c r="EO100" s="17"/>
      <c r="EP100" s="17"/>
      <c r="EQ100" s="17"/>
      <c r="ER100" s="17"/>
      <c r="ES100" s="17"/>
      <c r="ET100" s="17"/>
      <c r="EU100" s="17"/>
      <c r="EV100" s="17"/>
      <c r="EW100" s="17"/>
      <c r="EX100" s="17"/>
      <c r="EY100" s="17"/>
      <c r="EZ100" s="17"/>
      <c r="FA100" s="17"/>
      <c r="FB100" s="17"/>
      <c r="FC100" s="17"/>
      <c r="FD100" s="17"/>
      <c r="FE100" s="17"/>
      <c r="FF100" s="17"/>
      <c r="FG100" s="17"/>
      <c r="FH100" s="17"/>
      <c r="FI100" s="17"/>
      <c r="FJ100" s="17"/>
      <c r="FK100" s="17"/>
      <c r="FL100" s="17"/>
      <c r="FM100" s="17"/>
      <c r="FN100" s="17"/>
      <c r="FO100" s="17"/>
      <c r="FP100" s="17"/>
      <c r="FQ100" s="17"/>
      <c r="FR100" s="17"/>
      <c r="FS100" s="17"/>
      <c r="FT100" s="17"/>
      <c r="FU100" s="17"/>
      <c r="FV100" s="17"/>
      <c r="FW100" s="17"/>
      <c r="FX100" s="17"/>
      <c r="FY100" s="17"/>
      <c r="FZ100" s="17"/>
      <c r="GA100" s="17"/>
      <c r="GB100" s="17"/>
      <c r="GC100" s="17"/>
      <c r="GD100" s="17"/>
      <c r="GE100" s="17"/>
      <c r="GF100" s="17"/>
      <c r="GG100" s="17"/>
      <c r="GH100" s="17"/>
      <c r="GI100" s="17"/>
      <c r="GJ100" s="17"/>
      <c r="GK100" s="17"/>
      <c r="GL100" s="17"/>
      <c r="GM100" s="17"/>
      <c r="GN100" s="17"/>
      <c r="GO100" s="17"/>
      <c r="GP100" s="17"/>
      <c r="GQ100" s="17"/>
      <c r="GR100" s="17"/>
      <c r="GS100" s="17"/>
      <c r="GT100" s="17"/>
      <c r="GU100" s="17"/>
      <c r="GV100" s="17"/>
      <c r="GW100" s="17"/>
      <c r="GX100" s="17"/>
      <c r="GY100" s="17"/>
      <c r="GZ100" s="17"/>
      <c r="HA100" s="17"/>
      <c r="HB100" s="17"/>
      <c r="HC100" s="17"/>
      <c r="HD100" s="17"/>
      <c r="HE100" s="17"/>
      <c r="HF100" s="17"/>
      <c r="HG100" s="17"/>
      <c r="HH100" s="17"/>
      <c r="HI100" s="17"/>
      <c r="HJ100" s="17"/>
      <c r="HK100" s="17"/>
      <c r="HL100" s="17"/>
      <c r="HM100" s="17"/>
      <c r="HN100" s="17"/>
      <c r="HO100" s="17"/>
      <c r="HP100" s="17"/>
      <c r="HQ100" s="17"/>
      <c r="HR100" s="17"/>
      <c r="HS100" s="17"/>
      <c r="HT100" s="17"/>
      <c r="HU100" s="17"/>
      <c r="HV100" s="17"/>
      <c r="HW100" s="17"/>
      <c r="HX100" s="17"/>
      <c r="HY100" s="17"/>
      <c r="HZ100" s="17"/>
      <c r="IA100" s="17"/>
      <c r="IB100" s="17"/>
      <c r="IC100" s="17"/>
      <c r="ID100" s="17"/>
      <c r="IE100" s="17"/>
      <c r="IF100" s="17"/>
      <c r="IG100" s="17"/>
      <c r="IH100" s="17"/>
      <c r="II100" s="17"/>
      <c r="IJ100" s="17"/>
      <c r="IK100" s="17"/>
      <c r="IL100" s="17"/>
      <c r="IM100" s="17"/>
      <c r="IN100" s="17"/>
      <c r="IO100" s="17"/>
      <c r="IP100" s="17"/>
      <c r="IQ100" s="17"/>
      <c r="IR100" s="17"/>
      <c r="IS100" s="17"/>
      <c r="IT100" s="17"/>
      <c r="IU100" s="17"/>
      <c r="IV100" s="17"/>
      <c r="IW100" s="17"/>
      <c r="IX100" s="17"/>
      <c r="IY100" s="17"/>
      <c r="IZ100" s="17"/>
      <c r="JA100" s="17"/>
      <c r="JB100" s="17"/>
      <c r="JC100" s="17"/>
      <c r="JD100" s="17"/>
      <c r="JE100" s="17"/>
      <c r="JF100" s="17"/>
      <c r="JG100" s="17"/>
      <c r="JH100" s="17"/>
      <c r="JI100" s="17"/>
      <c r="JJ100" s="17"/>
      <c r="JK100" s="17"/>
      <c r="JL100" s="17"/>
      <c r="JM100" s="17"/>
      <c r="JN100" s="17"/>
      <c r="JO100" s="17"/>
      <c r="JP100" s="17"/>
      <c r="JQ100" s="17"/>
      <c r="JR100" s="17"/>
      <c r="JS100" s="17"/>
      <c r="JT100" s="17"/>
      <c r="JU100" s="17"/>
      <c r="JV100" s="17"/>
      <c r="JW100" s="17"/>
      <c r="JX100" s="17"/>
      <c r="JY100" s="17"/>
      <c r="JZ100" s="17"/>
      <c r="KA100" s="17"/>
      <c r="KB100" s="17"/>
      <c r="KC100" s="17"/>
      <c r="KD100" s="17"/>
      <c r="KE100" s="17"/>
      <c r="KF100" s="17"/>
    </row>
    <row r="101" spans="4:292" outlineLevel="1" x14ac:dyDescent="0.35"/>
    <row r="102" spans="4:292" outlineLevel="1" x14ac:dyDescent="0.35">
      <c r="J102" s="18" t="s">
        <v>29</v>
      </c>
      <c r="K102" s="18">
        <f>Control!H22</f>
        <v>1</v>
      </c>
      <c r="L102" s="13" t="str" cm="1">
        <f t="array" ref="L102">INDEX(J106:J114,K102)</f>
        <v>Base case</v>
      </c>
    </row>
    <row r="103" spans="4:292" outlineLevel="1" x14ac:dyDescent="0.35">
      <c r="E103" s="13" t="s">
        <v>170</v>
      </c>
      <c r="J103" s="13" t="s">
        <v>35</v>
      </c>
      <c r="K103" s="24" cm="1">
        <f t="array" ref="K103">INDEX(K106:K114,$K102)</f>
        <v>-2.1</v>
      </c>
      <c r="L103" s="24" cm="1">
        <f t="array" ref="L103">INDEX(L106:L114,$K102)</f>
        <v>-2.1</v>
      </c>
      <c r="M103" s="24" cm="1">
        <f t="array" ref="M103">INDEX(M106:M114,$K102)</f>
        <v>-2.1</v>
      </c>
      <c r="N103" s="24" cm="1">
        <f t="array" ref="N103">INDEX(N106:N114,$K102)</f>
        <v>-2.1</v>
      </c>
      <c r="O103" s="24" cm="1">
        <f t="array" ref="O103">INDEX(O106:O114,$K102)</f>
        <v>-2.1</v>
      </c>
      <c r="P103" s="24" cm="1">
        <f t="array" ref="P103">INDEX(P106:P114,$K102)</f>
        <v>-2.1</v>
      </c>
      <c r="Q103" s="24" cm="1">
        <f t="array" ref="Q103">INDEX(Q106:Q114,$K102)</f>
        <v>-2.1</v>
      </c>
      <c r="R103" s="24" cm="1">
        <f t="array" ref="R103">INDEX(R106:R114,$K102)</f>
        <v>-2.1</v>
      </c>
      <c r="S103" s="24" cm="1">
        <f t="array" ref="S103">INDEX(S106:S114,$K102)</f>
        <v>-2.1</v>
      </c>
      <c r="T103" s="24" cm="1">
        <f t="array" ref="T103">INDEX(T106:T114,$K102)</f>
        <v>-2.1</v>
      </c>
      <c r="U103" s="24" cm="1">
        <f t="array" ref="U103">INDEX(U106:U114,$K102)</f>
        <v>-2.1</v>
      </c>
      <c r="V103" s="24" cm="1">
        <f t="array" ref="V103">INDEX(V106:V114,$K102)</f>
        <v>-2.1</v>
      </c>
      <c r="W103" s="24" cm="1">
        <f t="array" ref="W103">INDEX(W106:W114,$K102)</f>
        <v>-2.1</v>
      </c>
      <c r="X103" s="24" cm="1">
        <f t="array" ref="X103">INDEX(X106:X114,$K102)</f>
        <v>-2.1</v>
      </c>
      <c r="Y103" s="24" cm="1">
        <f t="array" ref="Y103">INDEX(Y106:Y114,$K102)</f>
        <v>-2.1</v>
      </c>
      <c r="Z103" s="24" cm="1">
        <f t="array" ref="Z103">INDEX(Z106:Z114,$K102)</f>
        <v>-2.1</v>
      </c>
      <c r="AA103" s="24" cm="1">
        <f t="array" ref="AA103">INDEX(AA106:AA114,$K102)</f>
        <v>-2.1</v>
      </c>
      <c r="AB103" s="24" cm="1">
        <f t="array" ref="AB103">INDEX(AB106:AB114,$K102)</f>
        <v>-2.1</v>
      </c>
      <c r="AC103" s="24" cm="1">
        <f t="array" ref="AC103">INDEX(AC106:AC114,$K102)</f>
        <v>-2.1</v>
      </c>
      <c r="AD103" s="24" cm="1">
        <f t="array" ref="AD103">INDEX(AD106:AD114,$K102)</f>
        <v>-2.1</v>
      </c>
      <c r="AE103" s="24" cm="1">
        <f t="array" ref="AE103">INDEX(AE106:AE114,$K102)</f>
        <v>-2.1</v>
      </c>
      <c r="AF103" s="24" cm="1">
        <f t="array" ref="AF103">INDEX(AF106:AF114,$K102)</f>
        <v>-2.1</v>
      </c>
      <c r="AG103" s="24" cm="1">
        <f t="array" ref="AG103">INDEX(AG106:AG114,$K102)</f>
        <v>-2.1</v>
      </c>
      <c r="AH103" s="24" cm="1">
        <f t="array" ref="AH103">INDEX(AH106:AH114,$K102)</f>
        <v>-2.1</v>
      </c>
      <c r="AI103" s="24" cm="1">
        <f t="array" ref="AI103">INDEX(AI106:AI114,$K102)</f>
        <v>-2.1</v>
      </c>
      <c r="AJ103" s="24" cm="1">
        <f t="array" ref="AJ103">INDEX(AJ106:AJ114,$K102)</f>
        <v>-2.1</v>
      </c>
      <c r="AK103" s="24" cm="1">
        <f t="array" ref="AK103">INDEX(AK106:AK114,$K102)</f>
        <v>-2.1</v>
      </c>
      <c r="AL103" s="24" cm="1">
        <f t="array" ref="AL103">INDEX(AL106:AL114,$K102)</f>
        <v>-2.1</v>
      </c>
      <c r="AM103" s="24" cm="1">
        <f t="array" ref="AM103">INDEX(AM106:AM114,$K102)</f>
        <v>-2.1</v>
      </c>
      <c r="AN103" s="24" cm="1">
        <f t="array" ref="AN103">INDEX(AN106:AN114,$K102)</f>
        <v>-2.1</v>
      </c>
      <c r="AO103" s="24" cm="1">
        <f t="array" ref="AO103">INDEX(AO106:AO114,$K102)</f>
        <v>-2.1</v>
      </c>
      <c r="AP103" s="24" cm="1">
        <f t="array" ref="AP103">INDEX(AP106:AP114,$K102)</f>
        <v>-2.1</v>
      </c>
      <c r="AQ103" s="24" cm="1">
        <f t="array" ref="AQ103">INDEX(AQ106:AQ114,$K102)</f>
        <v>-2.1</v>
      </c>
      <c r="AR103" s="24" cm="1">
        <f t="array" ref="AR103">INDEX(AR106:AR114,$K102)</f>
        <v>-2.1</v>
      </c>
      <c r="AS103" s="24" cm="1">
        <f t="array" ref="AS103">INDEX(AS106:AS114,$K102)</f>
        <v>-2.1</v>
      </c>
      <c r="AT103" s="24" cm="1">
        <f t="array" ref="AT103">INDEX(AT106:AT114,$K102)</f>
        <v>-2.1</v>
      </c>
      <c r="AU103" s="24" cm="1">
        <f t="array" ref="AU103">INDEX(AU106:AU114,$K102)</f>
        <v>-2.1</v>
      </c>
      <c r="AV103" s="24" cm="1">
        <f t="array" ref="AV103">INDEX(AV106:AV114,$K102)</f>
        <v>-2.1</v>
      </c>
      <c r="AW103" s="24" cm="1">
        <f t="array" ref="AW103">INDEX(AW106:AW114,$K102)</f>
        <v>-2.1</v>
      </c>
      <c r="AX103" s="24" cm="1">
        <f t="array" ref="AX103">INDEX(AX106:AX114,$K102)</f>
        <v>-2.1</v>
      </c>
      <c r="AY103" s="24" cm="1">
        <f t="array" ref="AY103">INDEX(AY106:AY114,$K102)</f>
        <v>-2.1</v>
      </c>
      <c r="AZ103" s="24" cm="1">
        <f t="array" ref="AZ103">INDEX(AZ106:AZ114,$K102)</f>
        <v>-2.1</v>
      </c>
      <c r="BA103" s="24" cm="1">
        <f t="array" ref="BA103">INDEX(BA106:BA114,$K102)</f>
        <v>-2.1</v>
      </c>
      <c r="BB103" s="24" cm="1">
        <f t="array" ref="BB103">INDEX(BB106:BB114,$K102)</f>
        <v>-2.1</v>
      </c>
      <c r="BC103" s="24" cm="1">
        <f t="array" ref="BC103">INDEX(BC106:BC114,$K102)</f>
        <v>-2.1</v>
      </c>
      <c r="BD103" s="24" cm="1">
        <f t="array" ref="BD103">INDEX(BD106:BD114,$K102)</f>
        <v>-2.1</v>
      </c>
      <c r="BE103" s="24" cm="1">
        <f t="array" ref="BE103">INDEX(BE106:BE114,$K102)</f>
        <v>-2.1</v>
      </c>
      <c r="BF103" s="24" cm="1">
        <f t="array" ref="BF103">INDEX(BF106:BF114,$K102)</f>
        <v>-2.1</v>
      </c>
      <c r="BG103" s="24" cm="1">
        <f t="array" ref="BG103">INDEX(BG106:BG114,$K102)</f>
        <v>-2.1</v>
      </c>
      <c r="BH103" s="24" cm="1">
        <f t="array" ref="BH103">INDEX(BH106:BH114,$K102)</f>
        <v>-2.1</v>
      </c>
      <c r="BI103" s="24" cm="1">
        <f t="array" ref="BI103">INDEX(BI106:BI114,$K102)</f>
        <v>-2.1</v>
      </c>
      <c r="BJ103" s="24" cm="1">
        <f t="array" ref="BJ103">INDEX(BJ106:BJ114,$K102)</f>
        <v>-2.1</v>
      </c>
      <c r="BK103" s="24" cm="1">
        <f t="array" ref="BK103">INDEX(BK106:BK114,$K102)</f>
        <v>-2.1</v>
      </c>
      <c r="BL103" s="24" cm="1">
        <f t="array" ref="BL103">INDEX(BL106:BL114,$K102)</f>
        <v>-2.1</v>
      </c>
      <c r="BM103" s="24" cm="1">
        <f t="array" ref="BM103">INDEX(BM106:BM114,$K102)</f>
        <v>-2.1</v>
      </c>
      <c r="BN103" s="24" cm="1">
        <f t="array" ref="BN103">INDEX(BN106:BN114,$K102)</f>
        <v>-2.1</v>
      </c>
      <c r="BO103" s="24" cm="1">
        <f t="array" ref="BO103">INDEX(BO106:BO114,$K102)</f>
        <v>-2.1</v>
      </c>
      <c r="BP103" s="24" cm="1">
        <f t="array" ref="BP103">INDEX(BP106:BP114,$K102)</f>
        <v>-2.1</v>
      </c>
      <c r="BQ103" s="24" cm="1">
        <f t="array" ref="BQ103">INDEX(BQ106:BQ114,$K102)</f>
        <v>-2.1</v>
      </c>
      <c r="BR103" s="24" cm="1">
        <f t="array" ref="BR103">INDEX(BR106:BR114,$K102)</f>
        <v>-2.1</v>
      </c>
      <c r="BS103" s="24" cm="1">
        <f t="array" ref="BS103">INDEX(BS106:BS114,$K102)</f>
        <v>-2.1</v>
      </c>
      <c r="BT103" s="24" cm="1">
        <f t="array" ref="BT103">INDEX(BT106:BT114,$K102)</f>
        <v>-2.1</v>
      </c>
      <c r="BU103" s="24" cm="1">
        <f t="array" ref="BU103">INDEX(BU106:BU114,$K102)</f>
        <v>-2.1</v>
      </c>
      <c r="BV103" s="24" cm="1">
        <f t="array" ref="BV103">INDEX(BV106:BV114,$K102)</f>
        <v>-2.1</v>
      </c>
      <c r="BW103" s="24" cm="1">
        <f t="array" ref="BW103">INDEX(BW106:BW114,$K102)</f>
        <v>-2.1</v>
      </c>
      <c r="BX103" s="24" cm="1">
        <f t="array" ref="BX103">INDEX(BX106:BX114,$K102)</f>
        <v>-2.1</v>
      </c>
      <c r="BY103" s="24" cm="1">
        <f t="array" ref="BY103">INDEX(BY106:BY114,$K102)</f>
        <v>-2.1</v>
      </c>
      <c r="BZ103" s="24" cm="1">
        <f t="array" ref="BZ103">INDEX(BZ106:BZ114,$K102)</f>
        <v>-2.1</v>
      </c>
      <c r="CA103" s="24" cm="1">
        <f t="array" ref="CA103">INDEX(CA106:CA114,$K102)</f>
        <v>-2.1</v>
      </c>
      <c r="CB103" s="24" cm="1">
        <f t="array" ref="CB103">INDEX(CB106:CB114,$K102)</f>
        <v>-2.1</v>
      </c>
      <c r="CC103" s="24" cm="1">
        <f t="array" ref="CC103">INDEX(CC106:CC114,$K102)</f>
        <v>-2.1</v>
      </c>
      <c r="CD103" s="24" cm="1">
        <f t="array" ref="CD103">INDEX(CD106:CD114,$K102)</f>
        <v>-2.1</v>
      </c>
      <c r="CE103" s="24" cm="1">
        <f t="array" ref="CE103">INDEX(CE106:CE114,$K102)</f>
        <v>-2.1</v>
      </c>
      <c r="CF103" s="24" cm="1">
        <f t="array" ref="CF103">INDEX(CF106:CF114,$K102)</f>
        <v>-2.1</v>
      </c>
      <c r="CG103" s="24" cm="1">
        <f t="array" ref="CG103">INDEX(CG106:CG114,$K102)</f>
        <v>-2.1</v>
      </c>
      <c r="CH103" s="24" cm="1">
        <f t="array" ref="CH103">INDEX(CH106:CH114,$K102)</f>
        <v>-2.1</v>
      </c>
      <c r="CI103" s="24" cm="1">
        <f t="array" ref="CI103">INDEX(CI106:CI114,$K102)</f>
        <v>-2.1</v>
      </c>
      <c r="CJ103" s="24" cm="1">
        <f t="array" ref="CJ103">INDEX(CJ106:CJ114,$K102)</f>
        <v>-2.1</v>
      </c>
      <c r="CK103" s="24" cm="1">
        <f t="array" ref="CK103">INDEX(CK106:CK114,$K102)</f>
        <v>-2.1</v>
      </c>
      <c r="CL103" s="24" cm="1">
        <f t="array" ref="CL103">INDEX(CL106:CL114,$K102)</f>
        <v>-2.1</v>
      </c>
      <c r="CM103" s="24" cm="1">
        <f t="array" ref="CM103">INDEX(CM106:CM114,$K102)</f>
        <v>-2.1</v>
      </c>
      <c r="CN103" s="24" cm="1">
        <f t="array" ref="CN103">INDEX(CN106:CN114,$K102)</f>
        <v>-2.1</v>
      </c>
      <c r="CO103" s="24" cm="1">
        <f t="array" ref="CO103">INDEX(CO106:CO114,$K102)</f>
        <v>-2.1</v>
      </c>
      <c r="CP103" s="24" cm="1">
        <f t="array" ref="CP103">INDEX(CP106:CP114,$K102)</f>
        <v>-2.1</v>
      </c>
      <c r="CQ103" s="24" cm="1">
        <f t="array" ref="CQ103">INDEX(CQ106:CQ114,$K102)</f>
        <v>-2.1</v>
      </c>
      <c r="CR103" s="24" cm="1">
        <f t="array" ref="CR103">INDEX(CR106:CR114,$K102)</f>
        <v>-2.1</v>
      </c>
      <c r="CS103" s="24" cm="1">
        <f t="array" ref="CS103">INDEX(CS106:CS114,$K102)</f>
        <v>-2.1</v>
      </c>
      <c r="CT103" s="24" cm="1">
        <f t="array" ref="CT103">INDEX(CT106:CT114,$K102)</f>
        <v>-2.1</v>
      </c>
      <c r="CU103" s="24" cm="1">
        <f t="array" ref="CU103">INDEX(CU106:CU114,$K102)</f>
        <v>-2.1</v>
      </c>
      <c r="CV103" s="24" cm="1">
        <f t="array" ref="CV103">INDEX(CV106:CV114,$K102)</f>
        <v>-2.1</v>
      </c>
      <c r="CW103" s="24" cm="1">
        <f t="array" ref="CW103">INDEX(CW106:CW114,$K102)</f>
        <v>-2.1</v>
      </c>
      <c r="CX103" s="24" cm="1">
        <f t="array" ref="CX103">INDEX(CX106:CX114,$K102)</f>
        <v>-2.1</v>
      </c>
      <c r="CY103" s="24" cm="1">
        <f t="array" ref="CY103">INDEX(CY106:CY114,$K102)</f>
        <v>-2.1</v>
      </c>
      <c r="CZ103" s="24" cm="1">
        <f t="array" ref="CZ103">INDEX(CZ106:CZ114,$K102)</f>
        <v>-2.1</v>
      </c>
      <c r="DA103" s="24" cm="1">
        <f t="array" ref="DA103">INDEX(DA106:DA114,$K102)</f>
        <v>-2.1</v>
      </c>
      <c r="DB103" s="24" cm="1">
        <f t="array" ref="DB103">INDEX(DB106:DB114,$K102)</f>
        <v>-2.1</v>
      </c>
      <c r="DC103" s="24" cm="1">
        <f t="array" ref="DC103">INDEX(DC106:DC114,$K102)</f>
        <v>-2.1</v>
      </c>
      <c r="DD103" s="24" cm="1">
        <f t="array" ref="DD103">INDEX(DD106:DD114,$K102)</f>
        <v>-2.1</v>
      </c>
      <c r="DE103" s="24" cm="1">
        <f t="array" ref="DE103">INDEX(DE106:DE114,$K102)</f>
        <v>-2.1</v>
      </c>
      <c r="DF103" s="24" cm="1">
        <f t="array" ref="DF103">INDEX(DF106:DF114,$K102)</f>
        <v>-2.1</v>
      </c>
      <c r="DG103" s="24" cm="1">
        <f t="array" ref="DG103">INDEX(DG106:DG114,$K102)</f>
        <v>-2.1</v>
      </c>
      <c r="DH103" s="24" cm="1">
        <f t="array" ref="DH103">INDEX(DH106:DH114,$K102)</f>
        <v>-2.1</v>
      </c>
      <c r="DI103" s="24" cm="1">
        <f t="array" ref="DI103">INDEX(DI106:DI114,$K102)</f>
        <v>-2.1</v>
      </c>
      <c r="DJ103" s="24" cm="1">
        <f t="array" ref="DJ103">INDEX(DJ106:DJ114,$K102)</f>
        <v>-2.1</v>
      </c>
      <c r="DK103" s="24" cm="1">
        <f t="array" ref="DK103">INDEX(DK106:DK114,$K102)</f>
        <v>-2.1</v>
      </c>
      <c r="DL103" s="24" cm="1">
        <f t="array" ref="DL103">INDEX(DL106:DL114,$K102)</f>
        <v>-2.1</v>
      </c>
      <c r="DM103" s="24" cm="1">
        <f t="array" ref="DM103">INDEX(DM106:DM114,$K102)</f>
        <v>-2.1</v>
      </c>
      <c r="DN103" s="24" cm="1">
        <f t="array" ref="DN103">INDEX(DN106:DN114,$K102)</f>
        <v>-2.1</v>
      </c>
      <c r="DO103" s="24" cm="1">
        <f t="array" ref="DO103">INDEX(DO106:DO114,$K102)</f>
        <v>-2.1</v>
      </c>
      <c r="DP103" s="24" cm="1">
        <f t="array" ref="DP103">INDEX(DP106:DP114,$K102)</f>
        <v>-2.1</v>
      </c>
      <c r="DQ103" s="24" cm="1">
        <f t="array" ref="DQ103">INDEX(DQ106:DQ114,$K102)</f>
        <v>-2.1</v>
      </c>
      <c r="DR103" s="24" cm="1">
        <f t="array" ref="DR103">INDEX(DR106:DR114,$K102)</f>
        <v>-2.1</v>
      </c>
      <c r="DS103" s="24" cm="1">
        <f t="array" ref="DS103">INDEX(DS106:DS114,$K102)</f>
        <v>-2.1</v>
      </c>
      <c r="DT103" s="24" cm="1">
        <f t="array" ref="DT103">INDEX(DT106:DT114,$K102)</f>
        <v>-2.1</v>
      </c>
      <c r="DU103" s="24" cm="1">
        <f t="array" ref="DU103">INDEX(DU106:DU114,$K102)</f>
        <v>-2.1</v>
      </c>
      <c r="DV103" s="24" cm="1">
        <f t="array" ref="DV103">INDEX(DV106:DV114,$K102)</f>
        <v>-2.1</v>
      </c>
      <c r="DW103" s="24" cm="1">
        <f t="array" ref="DW103">INDEX(DW106:DW114,$K102)</f>
        <v>-2.1</v>
      </c>
      <c r="DX103" s="24" cm="1">
        <f t="array" ref="DX103">INDEX(DX106:DX114,$K102)</f>
        <v>-2.1</v>
      </c>
      <c r="DY103" s="24" cm="1">
        <f t="array" ref="DY103">INDEX(DY106:DY114,$K102)</f>
        <v>-2.1</v>
      </c>
      <c r="DZ103" s="24" cm="1">
        <f t="array" ref="DZ103">INDEX(DZ106:DZ114,$K102)</f>
        <v>-2.1</v>
      </c>
      <c r="EA103" s="24" cm="1">
        <f t="array" ref="EA103">INDEX(EA106:EA114,$K102)</f>
        <v>-2.1</v>
      </c>
      <c r="EB103" s="24" cm="1">
        <f t="array" ref="EB103">INDEX(EB106:EB114,$K102)</f>
        <v>-2.1</v>
      </c>
      <c r="EC103" s="24" cm="1">
        <f t="array" ref="EC103">INDEX(EC106:EC114,$K102)</f>
        <v>-2.1</v>
      </c>
      <c r="ED103" s="24" cm="1">
        <f t="array" ref="ED103">INDEX(ED106:ED114,$K102)</f>
        <v>-2.1</v>
      </c>
      <c r="EE103" s="24" cm="1">
        <f t="array" ref="EE103">INDEX(EE106:EE114,$K102)</f>
        <v>-2.1</v>
      </c>
      <c r="EF103" s="24" cm="1">
        <f t="array" ref="EF103">INDEX(EF106:EF114,$K102)</f>
        <v>-2.1</v>
      </c>
      <c r="EG103" s="24" cm="1">
        <f t="array" ref="EG103">INDEX(EG106:EG114,$K102)</f>
        <v>-2.1</v>
      </c>
      <c r="EH103" s="24" cm="1">
        <f t="array" ref="EH103">INDEX(EH106:EH114,$K102)</f>
        <v>-2.1</v>
      </c>
      <c r="EI103" s="24" cm="1">
        <f t="array" ref="EI103">INDEX(EI106:EI114,$K102)</f>
        <v>-2.1</v>
      </c>
      <c r="EJ103" s="24" cm="1">
        <f t="array" ref="EJ103">INDEX(EJ106:EJ114,$K102)</f>
        <v>-2.1</v>
      </c>
      <c r="EK103" s="24" cm="1">
        <f t="array" ref="EK103">INDEX(EK106:EK114,$K102)</f>
        <v>-2.1</v>
      </c>
      <c r="EL103" s="24" cm="1">
        <f t="array" ref="EL103">INDEX(EL106:EL114,$K102)</f>
        <v>-2.1</v>
      </c>
      <c r="EM103" s="24" cm="1">
        <f t="array" ref="EM103">INDEX(EM106:EM114,$K102)</f>
        <v>-2.1</v>
      </c>
      <c r="EN103" s="24" cm="1">
        <f t="array" ref="EN103">INDEX(EN106:EN114,$K102)</f>
        <v>-2.1</v>
      </c>
      <c r="EO103" s="24" cm="1">
        <f t="array" ref="EO103">INDEX(EO106:EO114,$K102)</f>
        <v>-2.1</v>
      </c>
      <c r="EP103" s="24" cm="1">
        <f t="array" ref="EP103">INDEX(EP106:EP114,$K102)</f>
        <v>-2.1</v>
      </c>
      <c r="EQ103" s="24" cm="1">
        <f t="array" ref="EQ103">INDEX(EQ106:EQ114,$K102)</f>
        <v>-2.1</v>
      </c>
      <c r="ER103" s="24" cm="1">
        <f t="array" ref="ER103">INDEX(ER106:ER114,$K102)</f>
        <v>-2.1</v>
      </c>
      <c r="ES103" s="24" cm="1">
        <f t="array" ref="ES103">INDEX(ES106:ES114,$K102)</f>
        <v>-2.1</v>
      </c>
      <c r="ET103" s="24" cm="1">
        <f t="array" ref="ET103">INDEX(ET106:ET114,$K102)</f>
        <v>-2.1</v>
      </c>
      <c r="EU103" s="24" cm="1">
        <f t="array" ref="EU103">INDEX(EU106:EU114,$K102)</f>
        <v>-2.1</v>
      </c>
      <c r="EV103" s="24" cm="1">
        <f t="array" ref="EV103">INDEX(EV106:EV114,$K102)</f>
        <v>-2.1</v>
      </c>
      <c r="EW103" s="24" cm="1">
        <f t="array" ref="EW103">INDEX(EW106:EW114,$K102)</f>
        <v>-2.1</v>
      </c>
      <c r="EX103" s="24" cm="1">
        <f t="array" ref="EX103">INDEX(EX106:EX114,$K102)</f>
        <v>-2.1</v>
      </c>
      <c r="EY103" s="24" cm="1">
        <f t="array" ref="EY103">INDEX(EY106:EY114,$K102)</f>
        <v>-2.1</v>
      </c>
      <c r="EZ103" s="24" cm="1">
        <f t="array" ref="EZ103">INDEX(EZ106:EZ114,$K102)</f>
        <v>-2.1</v>
      </c>
      <c r="FA103" s="24" cm="1">
        <f t="array" ref="FA103">INDEX(FA106:FA114,$K102)</f>
        <v>-2.1</v>
      </c>
      <c r="FB103" s="24" cm="1">
        <f t="array" ref="FB103">INDEX(FB106:FB114,$K102)</f>
        <v>-2.1</v>
      </c>
      <c r="FC103" s="24" cm="1">
        <f t="array" ref="FC103">INDEX(FC106:FC114,$K102)</f>
        <v>-2.1</v>
      </c>
      <c r="FD103" s="24" cm="1">
        <f t="array" ref="FD103">INDEX(FD106:FD114,$K102)</f>
        <v>-2.1</v>
      </c>
      <c r="FE103" s="24" cm="1">
        <f t="array" ref="FE103">INDEX(FE106:FE114,$K102)</f>
        <v>-2.1</v>
      </c>
      <c r="FF103" s="24" cm="1">
        <f t="array" ref="FF103">INDEX(FF106:FF114,$K102)</f>
        <v>-2.1</v>
      </c>
      <c r="FG103" s="24" cm="1">
        <f t="array" ref="FG103">INDEX(FG106:FG114,$K102)</f>
        <v>-2.1</v>
      </c>
      <c r="FH103" s="24" cm="1">
        <f t="array" ref="FH103">INDEX(FH106:FH114,$K102)</f>
        <v>-2.1</v>
      </c>
      <c r="FI103" s="24" cm="1">
        <f t="array" ref="FI103">INDEX(FI106:FI114,$K102)</f>
        <v>-2.1</v>
      </c>
      <c r="FJ103" s="24" cm="1">
        <f t="array" ref="FJ103">INDEX(FJ106:FJ114,$K102)</f>
        <v>-2.1</v>
      </c>
      <c r="FK103" s="24" cm="1">
        <f t="array" ref="FK103">INDEX(FK106:FK114,$K102)</f>
        <v>-2.1</v>
      </c>
      <c r="FL103" s="24" cm="1">
        <f t="array" ref="FL103">INDEX(FL106:FL114,$K102)</f>
        <v>-2.1</v>
      </c>
      <c r="FM103" s="24" cm="1">
        <f t="array" ref="FM103">INDEX(FM106:FM114,$K102)</f>
        <v>-2.1</v>
      </c>
      <c r="FN103" s="24" cm="1">
        <f t="array" ref="FN103">INDEX(FN106:FN114,$K102)</f>
        <v>-2.1</v>
      </c>
      <c r="FO103" s="24" cm="1">
        <f t="array" ref="FO103">INDEX(FO106:FO114,$K102)</f>
        <v>-2.1</v>
      </c>
      <c r="FP103" s="24" cm="1">
        <f t="array" ref="FP103">INDEX(FP106:FP114,$K102)</f>
        <v>-2.1</v>
      </c>
      <c r="FQ103" s="24" cm="1">
        <f t="array" ref="FQ103">INDEX(FQ106:FQ114,$K102)</f>
        <v>-2.1</v>
      </c>
      <c r="FR103" s="24" cm="1">
        <f t="array" ref="FR103">INDEX(FR106:FR114,$K102)</f>
        <v>-2.1</v>
      </c>
      <c r="FS103" s="24" cm="1">
        <f t="array" ref="FS103">INDEX(FS106:FS114,$K102)</f>
        <v>-2.1</v>
      </c>
      <c r="FT103" s="24" cm="1">
        <f t="array" ref="FT103">INDEX(FT106:FT114,$K102)</f>
        <v>-2.1</v>
      </c>
      <c r="FU103" s="24" cm="1">
        <f t="array" ref="FU103">INDEX(FU106:FU114,$K102)</f>
        <v>-2.1</v>
      </c>
      <c r="FV103" s="24" cm="1">
        <f t="array" ref="FV103">INDEX(FV106:FV114,$K102)</f>
        <v>-2.1</v>
      </c>
      <c r="FW103" s="24" cm="1">
        <f t="array" ref="FW103">INDEX(FW106:FW114,$K102)</f>
        <v>-2.1</v>
      </c>
      <c r="FX103" s="24" cm="1">
        <f t="array" ref="FX103">INDEX(FX106:FX114,$K102)</f>
        <v>-2.1</v>
      </c>
      <c r="FY103" s="24" cm="1">
        <f t="array" ref="FY103">INDEX(FY106:FY114,$K102)</f>
        <v>-2.1</v>
      </c>
      <c r="FZ103" s="24" cm="1">
        <f t="array" ref="FZ103">INDEX(FZ106:FZ114,$K102)</f>
        <v>-2.1</v>
      </c>
      <c r="GA103" s="24" cm="1">
        <f t="array" ref="GA103">INDEX(GA106:GA114,$K102)</f>
        <v>-2.1</v>
      </c>
      <c r="GB103" s="24" cm="1">
        <f t="array" ref="GB103">INDEX(GB106:GB114,$K102)</f>
        <v>-2.1</v>
      </c>
      <c r="GC103" s="24" cm="1">
        <f t="array" ref="GC103">INDEX(GC106:GC114,$K102)</f>
        <v>-2.1</v>
      </c>
      <c r="GD103" s="24" cm="1">
        <f t="array" ref="GD103">INDEX(GD106:GD114,$K102)</f>
        <v>-2.1</v>
      </c>
      <c r="GE103" s="24" cm="1">
        <f t="array" ref="GE103">INDEX(GE106:GE114,$K102)</f>
        <v>-2.1</v>
      </c>
      <c r="GF103" s="24" cm="1">
        <f t="array" ref="GF103">INDEX(GF106:GF114,$K102)</f>
        <v>-2.1</v>
      </c>
      <c r="GG103" s="24" cm="1">
        <f t="array" ref="GG103">INDEX(GG106:GG114,$K102)</f>
        <v>-2.1</v>
      </c>
      <c r="GH103" s="24" cm="1">
        <f t="array" ref="GH103">INDEX(GH106:GH114,$K102)</f>
        <v>-2.1</v>
      </c>
      <c r="GI103" s="24" cm="1">
        <f t="array" ref="GI103">INDEX(GI106:GI114,$K102)</f>
        <v>-2.1</v>
      </c>
      <c r="GJ103" s="24" cm="1">
        <f t="array" ref="GJ103">INDEX(GJ106:GJ114,$K102)</f>
        <v>-2.1</v>
      </c>
      <c r="GK103" s="24" cm="1">
        <f t="array" ref="GK103">INDEX(GK106:GK114,$K102)</f>
        <v>-2.1</v>
      </c>
      <c r="GL103" s="24" cm="1">
        <f t="array" ref="GL103">INDEX(GL106:GL114,$K102)</f>
        <v>-2.1</v>
      </c>
      <c r="GM103" s="24" cm="1">
        <f t="array" ref="GM103">INDEX(GM106:GM114,$K102)</f>
        <v>-2.1</v>
      </c>
      <c r="GN103" s="24" cm="1">
        <f t="array" ref="GN103">INDEX(GN106:GN114,$K102)</f>
        <v>-2.1</v>
      </c>
      <c r="GO103" s="24" cm="1">
        <f t="array" ref="GO103">INDEX(GO106:GO114,$K102)</f>
        <v>-2.1</v>
      </c>
      <c r="GP103" s="24" cm="1">
        <f t="array" ref="GP103">INDEX(GP106:GP114,$K102)</f>
        <v>-2.1</v>
      </c>
      <c r="GQ103" s="24" cm="1">
        <f t="array" ref="GQ103">INDEX(GQ106:GQ114,$K102)</f>
        <v>-2.1</v>
      </c>
      <c r="GR103" s="24" cm="1">
        <f t="array" ref="GR103">INDEX(GR106:GR114,$K102)</f>
        <v>-2.1</v>
      </c>
      <c r="GS103" s="24" cm="1">
        <f t="array" ref="GS103">INDEX(GS106:GS114,$K102)</f>
        <v>-2.1</v>
      </c>
      <c r="GT103" s="24" cm="1">
        <f t="array" ref="GT103">INDEX(GT106:GT114,$K102)</f>
        <v>-2.1</v>
      </c>
      <c r="GU103" s="24" cm="1">
        <f t="array" ref="GU103">INDEX(GU106:GU114,$K102)</f>
        <v>-2.1</v>
      </c>
      <c r="GV103" s="24" cm="1">
        <f t="array" ref="GV103">INDEX(GV106:GV114,$K102)</f>
        <v>-2.1</v>
      </c>
      <c r="GW103" s="24" cm="1">
        <f t="array" ref="GW103">INDEX(GW106:GW114,$K102)</f>
        <v>-2.1</v>
      </c>
      <c r="GX103" s="24" cm="1">
        <f t="array" ref="GX103">INDEX(GX106:GX114,$K102)</f>
        <v>-2.1</v>
      </c>
      <c r="GY103" s="24" cm="1">
        <f t="array" ref="GY103">INDEX(GY106:GY114,$K102)</f>
        <v>-2.1</v>
      </c>
      <c r="GZ103" s="24" cm="1">
        <f t="array" ref="GZ103">INDEX(GZ106:GZ114,$K102)</f>
        <v>-2.1</v>
      </c>
      <c r="HA103" s="24" cm="1">
        <f t="array" ref="HA103">INDEX(HA106:HA114,$K102)</f>
        <v>-2.1</v>
      </c>
      <c r="HB103" s="24" cm="1">
        <f t="array" ref="HB103">INDEX(HB106:HB114,$K102)</f>
        <v>-2.1</v>
      </c>
      <c r="HC103" s="24" cm="1">
        <f t="array" ref="HC103">INDEX(HC106:HC114,$K102)</f>
        <v>-2.1</v>
      </c>
      <c r="HD103" s="24" cm="1">
        <f t="array" ref="HD103">INDEX(HD106:HD114,$K102)</f>
        <v>-2.1</v>
      </c>
      <c r="HE103" s="24" cm="1">
        <f t="array" ref="HE103">INDEX(HE106:HE114,$K102)</f>
        <v>-2.1</v>
      </c>
      <c r="HF103" s="24" cm="1">
        <f t="array" ref="HF103">INDEX(HF106:HF114,$K102)</f>
        <v>-2.1</v>
      </c>
      <c r="HG103" s="24" cm="1">
        <f t="array" ref="HG103">INDEX(HG106:HG114,$K102)</f>
        <v>-2.1</v>
      </c>
      <c r="HH103" s="24" cm="1">
        <f t="array" ref="HH103">INDEX(HH106:HH114,$K102)</f>
        <v>-2.1</v>
      </c>
      <c r="HI103" s="24" cm="1">
        <f t="array" ref="HI103">INDEX(HI106:HI114,$K102)</f>
        <v>-2.1</v>
      </c>
      <c r="HJ103" s="24" cm="1">
        <f t="array" ref="HJ103">INDEX(HJ106:HJ114,$K102)</f>
        <v>-2.1</v>
      </c>
      <c r="HK103" s="24" cm="1">
        <f t="array" ref="HK103">INDEX(HK106:HK114,$K102)</f>
        <v>-2.1</v>
      </c>
      <c r="HL103" s="24" cm="1">
        <f t="array" ref="HL103">INDEX(HL106:HL114,$K102)</f>
        <v>-2.1</v>
      </c>
      <c r="HM103" s="24" cm="1">
        <f t="array" ref="HM103">INDEX(HM106:HM114,$K102)</f>
        <v>-2.1</v>
      </c>
      <c r="HN103" s="24" cm="1">
        <f t="array" ref="HN103">INDEX(HN106:HN114,$K102)</f>
        <v>-2.1</v>
      </c>
      <c r="HO103" s="24" cm="1">
        <f t="array" ref="HO103">INDEX(HO106:HO114,$K102)</f>
        <v>-2.1</v>
      </c>
      <c r="HP103" s="24" cm="1">
        <f t="array" ref="HP103">INDEX(HP106:HP114,$K102)</f>
        <v>-2.1</v>
      </c>
      <c r="HQ103" s="24" cm="1">
        <f t="array" ref="HQ103">INDEX(HQ106:HQ114,$K102)</f>
        <v>-2.1</v>
      </c>
      <c r="HR103" s="24" cm="1">
        <f t="array" ref="HR103">INDEX(HR106:HR114,$K102)</f>
        <v>-2.1</v>
      </c>
      <c r="HS103" s="24" cm="1">
        <f t="array" ref="HS103">INDEX(HS106:HS114,$K102)</f>
        <v>-2.1</v>
      </c>
      <c r="HT103" s="24" cm="1">
        <f t="array" ref="HT103">INDEX(HT106:HT114,$K102)</f>
        <v>-2.1</v>
      </c>
      <c r="HU103" s="24" cm="1">
        <f t="array" ref="HU103">INDEX(HU106:HU114,$K102)</f>
        <v>-2.1</v>
      </c>
      <c r="HV103" s="24" cm="1">
        <f t="array" ref="HV103">INDEX(HV106:HV114,$K102)</f>
        <v>-2.1</v>
      </c>
      <c r="HW103" s="24" cm="1">
        <f t="array" ref="HW103">INDEX(HW106:HW114,$K102)</f>
        <v>-2.1</v>
      </c>
      <c r="HX103" s="24" cm="1">
        <f t="array" ref="HX103">INDEX(HX106:HX114,$K102)</f>
        <v>-2.1</v>
      </c>
      <c r="HY103" s="24" cm="1">
        <f t="array" ref="HY103">INDEX(HY106:HY114,$K102)</f>
        <v>-2.1</v>
      </c>
      <c r="HZ103" s="24" cm="1">
        <f t="array" ref="HZ103">INDEX(HZ106:HZ114,$K102)</f>
        <v>-2.1</v>
      </c>
      <c r="IA103" s="24" cm="1">
        <f t="array" ref="IA103">INDEX(IA106:IA114,$K102)</f>
        <v>-2.1</v>
      </c>
      <c r="IB103" s="24" cm="1">
        <f t="array" ref="IB103">INDEX(IB106:IB114,$K102)</f>
        <v>-2.1</v>
      </c>
      <c r="IC103" s="24" cm="1">
        <f t="array" ref="IC103">INDEX(IC106:IC114,$K102)</f>
        <v>-2.1</v>
      </c>
      <c r="ID103" s="24" cm="1">
        <f t="array" ref="ID103">INDEX(ID106:ID114,$K102)</f>
        <v>-2.1</v>
      </c>
      <c r="IE103" s="24" cm="1">
        <f t="array" ref="IE103">INDEX(IE106:IE114,$K102)</f>
        <v>-2.1</v>
      </c>
      <c r="IF103" s="24" cm="1">
        <f t="array" ref="IF103">INDEX(IF106:IF114,$K102)</f>
        <v>-2.1</v>
      </c>
      <c r="IG103" s="24" cm="1">
        <f t="array" ref="IG103">INDEX(IG106:IG114,$K102)</f>
        <v>-2.1</v>
      </c>
      <c r="IH103" s="24" cm="1">
        <f t="array" ref="IH103">INDEX(IH106:IH114,$K102)</f>
        <v>-2.1</v>
      </c>
      <c r="II103" s="24" cm="1">
        <f t="array" ref="II103">INDEX(II106:II114,$K102)</f>
        <v>-2.1</v>
      </c>
      <c r="IJ103" s="24" cm="1">
        <f t="array" ref="IJ103">INDEX(IJ106:IJ114,$K102)</f>
        <v>-2.1</v>
      </c>
      <c r="IK103" s="24" cm="1">
        <f t="array" ref="IK103">INDEX(IK106:IK114,$K102)</f>
        <v>-2.1</v>
      </c>
      <c r="IL103" s="24" cm="1">
        <f t="array" ref="IL103">INDEX(IL106:IL114,$K102)</f>
        <v>-2.1</v>
      </c>
      <c r="IM103" s="24" cm="1">
        <f t="array" ref="IM103">INDEX(IM106:IM114,$K102)</f>
        <v>-2.1</v>
      </c>
      <c r="IN103" s="24" cm="1">
        <f t="array" ref="IN103">INDEX(IN106:IN114,$K102)</f>
        <v>-2.1</v>
      </c>
      <c r="IO103" s="24" cm="1">
        <f t="array" ref="IO103">INDEX(IO106:IO114,$K102)</f>
        <v>-2.1</v>
      </c>
      <c r="IP103" s="24" cm="1">
        <f t="array" ref="IP103">INDEX(IP106:IP114,$K102)</f>
        <v>-2.1</v>
      </c>
      <c r="IQ103" s="24" cm="1">
        <f t="array" ref="IQ103">INDEX(IQ106:IQ114,$K102)</f>
        <v>-2.1</v>
      </c>
      <c r="IR103" s="24" cm="1">
        <f t="array" ref="IR103">INDEX(IR106:IR114,$K102)</f>
        <v>-2.1</v>
      </c>
      <c r="IS103" s="24" cm="1">
        <f t="array" ref="IS103">INDEX(IS106:IS114,$K102)</f>
        <v>-2.1</v>
      </c>
      <c r="IT103" s="24" cm="1">
        <f t="array" ref="IT103">INDEX(IT106:IT114,$K102)</f>
        <v>-2.1</v>
      </c>
      <c r="IU103" s="24" cm="1">
        <f t="array" ref="IU103">INDEX(IU106:IU114,$K102)</f>
        <v>-2.1</v>
      </c>
      <c r="IV103" s="24" cm="1">
        <f t="array" ref="IV103">INDEX(IV106:IV114,$K102)</f>
        <v>-2.1</v>
      </c>
      <c r="IW103" s="24" cm="1">
        <f t="array" ref="IW103">INDEX(IW106:IW114,$K102)</f>
        <v>-2.1</v>
      </c>
      <c r="IX103" s="24" cm="1">
        <f t="array" ref="IX103">INDEX(IX106:IX114,$K102)</f>
        <v>-2.1</v>
      </c>
      <c r="IY103" s="24" cm="1">
        <f t="array" ref="IY103">INDEX(IY106:IY114,$K102)</f>
        <v>-2.1</v>
      </c>
      <c r="IZ103" s="24" cm="1">
        <f t="array" ref="IZ103">INDEX(IZ106:IZ114,$K102)</f>
        <v>-2.1</v>
      </c>
      <c r="JA103" s="24" cm="1">
        <f t="array" ref="JA103">INDEX(JA106:JA114,$K102)</f>
        <v>-2.1</v>
      </c>
      <c r="JB103" s="24" cm="1">
        <f t="array" ref="JB103">INDEX(JB106:JB114,$K102)</f>
        <v>-2.1</v>
      </c>
      <c r="JC103" s="24" cm="1">
        <f t="array" ref="JC103">INDEX(JC106:JC114,$K102)</f>
        <v>-2.1</v>
      </c>
      <c r="JD103" s="24" cm="1">
        <f t="array" ref="JD103">INDEX(JD106:JD114,$K102)</f>
        <v>-2.1</v>
      </c>
      <c r="JE103" s="24" cm="1">
        <f t="array" ref="JE103">INDEX(JE106:JE114,$K102)</f>
        <v>-2.1</v>
      </c>
      <c r="JF103" s="24" cm="1">
        <f t="array" ref="JF103">INDEX(JF106:JF114,$K102)</f>
        <v>-2.1</v>
      </c>
      <c r="JG103" s="24" cm="1">
        <f t="array" ref="JG103">INDEX(JG106:JG114,$K102)</f>
        <v>-2.1</v>
      </c>
      <c r="JH103" s="24" cm="1">
        <f t="array" ref="JH103">INDEX(JH106:JH114,$K102)</f>
        <v>-2.1</v>
      </c>
      <c r="JI103" s="24" cm="1">
        <f t="array" ref="JI103">INDEX(JI106:JI114,$K102)</f>
        <v>-2.1</v>
      </c>
      <c r="JJ103" s="24" cm="1">
        <f t="array" ref="JJ103">INDEX(JJ106:JJ114,$K102)</f>
        <v>-2.1</v>
      </c>
      <c r="JK103" s="24" cm="1">
        <f t="array" ref="JK103">INDEX(JK106:JK114,$K102)</f>
        <v>-2.1</v>
      </c>
      <c r="JL103" s="24" cm="1">
        <f t="array" ref="JL103">INDEX(JL106:JL114,$K102)</f>
        <v>-2.1</v>
      </c>
      <c r="JM103" s="24" cm="1">
        <f t="array" ref="JM103">INDEX(JM106:JM114,$K102)</f>
        <v>-2.1</v>
      </c>
      <c r="JN103" s="24" cm="1">
        <f t="array" ref="JN103">INDEX(JN106:JN114,$K102)</f>
        <v>-2.1</v>
      </c>
      <c r="JO103" s="24" cm="1">
        <f t="array" ref="JO103">INDEX(JO106:JO114,$K102)</f>
        <v>-2.1</v>
      </c>
      <c r="JP103" s="24" cm="1">
        <f t="array" ref="JP103">INDEX(JP106:JP114,$K102)</f>
        <v>-2.1</v>
      </c>
      <c r="JQ103" s="24" cm="1">
        <f t="array" ref="JQ103">INDEX(JQ106:JQ114,$K102)</f>
        <v>-2.1</v>
      </c>
      <c r="JR103" s="24" cm="1">
        <f t="array" ref="JR103">INDEX(JR106:JR114,$K102)</f>
        <v>-2.1</v>
      </c>
      <c r="JS103" s="24" cm="1">
        <f t="array" ref="JS103">INDEX(JS106:JS114,$K102)</f>
        <v>-2.1</v>
      </c>
      <c r="JT103" s="24" cm="1">
        <f t="array" ref="JT103">INDEX(JT106:JT114,$K102)</f>
        <v>-2.1</v>
      </c>
      <c r="JU103" s="24" cm="1">
        <f t="array" ref="JU103">INDEX(JU106:JU114,$K102)</f>
        <v>-2.1</v>
      </c>
      <c r="JV103" s="24" cm="1">
        <f t="array" ref="JV103">INDEX(JV106:JV114,$K102)</f>
        <v>-2.1</v>
      </c>
      <c r="JW103" s="24" cm="1">
        <f t="array" ref="JW103">INDEX(JW106:JW114,$K102)</f>
        <v>-2.1</v>
      </c>
      <c r="JX103" s="24" cm="1">
        <f t="array" ref="JX103">INDEX(JX106:JX114,$K102)</f>
        <v>-2.1</v>
      </c>
      <c r="JY103" s="24" cm="1">
        <f t="array" ref="JY103">INDEX(JY106:JY114,$K102)</f>
        <v>-2.1</v>
      </c>
      <c r="JZ103" s="24" cm="1">
        <f t="array" ref="JZ103">INDEX(JZ106:JZ114,$K102)</f>
        <v>-2.1</v>
      </c>
      <c r="KA103" s="24" cm="1">
        <f t="array" ref="KA103">INDEX(KA106:KA114,$K102)</f>
        <v>-2.1</v>
      </c>
      <c r="KB103" s="24" cm="1">
        <f t="array" ref="KB103">INDEX(KB106:KB114,$K102)</f>
        <v>-2.1</v>
      </c>
      <c r="KC103" s="24" cm="1">
        <f t="array" ref="KC103">INDEX(KC106:KC114,$K102)</f>
        <v>-2.1</v>
      </c>
      <c r="KD103" s="24" cm="1">
        <f t="array" ref="KD103">INDEX(KD106:KD114,$K102)</f>
        <v>-2.1</v>
      </c>
      <c r="KE103" s="24" cm="1">
        <f t="array" ref="KE103">INDEX(KE106:KE114,$K102)</f>
        <v>-2.1</v>
      </c>
      <c r="KF103" s="24" cm="1">
        <f t="array" ref="KF103">INDEX(KF106:KF114,$K102)</f>
        <v>-2.1</v>
      </c>
    </row>
    <row r="104" spans="4:292" outlineLevel="1" x14ac:dyDescent="0.35">
      <c r="D104" s="20">
        <v>0</v>
      </c>
      <c r="E104" s="13" t="s">
        <v>170</v>
      </c>
      <c r="J104" s="55" t="s">
        <v>161</v>
      </c>
      <c r="K104" s="62">
        <f>K103*(1+$D104)</f>
        <v>-2.1</v>
      </c>
      <c r="L104" s="62">
        <f t="shared" ref="L104" si="617">L103*(1+$D104)</f>
        <v>-2.1</v>
      </c>
      <c r="M104" s="62">
        <f t="shared" ref="M104" si="618">M103*(1+$D104)</f>
        <v>-2.1</v>
      </c>
      <c r="N104" s="62">
        <f t="shared" ref="N104" si="619">N103*(1+$D104)</f>
        <v>-2.1</v>
      </c>
      <c r="O104" s="62">
        <f t="shared" ref="O104" si="620">O103*(1+$D104)</f>
        <v>-2.1</v>
      </c>
      <c r="P104" s="62">
        <f t="shared" ref="P104" si="621">P103*(1+$D104)</f>
        <v>-2.1</v>
      </c>
      <c r="Q104" s="62">
        <f t="shared" ref="Q104" si="622">Q103*(1+$D104)</f>
        <v>-2.1</v>
      </c>
      <c r="R104" s="62">
        <f t="shared" ref="R104" si="623">R103*(1+$D104)</f>
        <v>-2.1</v>
      </c>
      <c r="S104" s="62">
        <f t="shared" ref="S104" si="624">S103*(1+$D104)</f>
        <v>-2.1</v>
      </c>
      <c r="T104" s="62">
        <f t="shared" ref="T104" si="625">T103*(1+$D104)</f>
        <v>-2.1</v>
      </c>
      <c r="U104" s="62">
        <f t="shared" ref="U104" si="626">U103*(1+$D104)</f>
        <v>-2.1</v>
      </c>
      <c r="V104" s="62">
        <f t="shared" ref="V104" si="627">V103*(1+$D104)</f>
        <v>-2.1</v>
      </c>
      <c r="W104" s="62">
        <f t="shared" ref="W104" si="628">W103*(1+$D104)</f>
        <v>-2.1</v>
      </c>
      <c r="X104" s="62">
        <f t="shared" ref="X104" si="629">X103*(1+$D104)</f>
        <v>-2.1</v>
      </c>
      <c r="Y104" s="62">
        <f t="shared" ref="Y104" si="630">Y103*(1+$D104)</f>
        <v>-2.1</v>
      </c>
      <c r="Z104" s="62">
        <f t="shared" ref="Z104" si="631">Z103*(1+$D104)</f>
        <v>-2.1</v>
      </c>
      <c r="AA104" s="62">
        <f t="shared" ref="AA104" si="632">AA103*(1+$D104)</f>
        <v>-2.1</v>
      </c>
      <c r="AB104" s="62">
        <f t="shared" ref="AB104" si="633">AB103*(1+$D104)</f>
        <v>-2.1</v>
      </c>
      <c r="AC104" s="62">
        <f t="shared" ref="AC104" si="634">AC103*(1+$D104)</f>
        <v>-2.1</v>
      </c>
      <c r="AD104" s="62">
        <f t="shared" ref="AD104" si="635">AD103*(1+$D104)</f>
        <v>-2.1</v>
      </c>
      <c r="AE104" s="62">
        <f t="shared" ref="AE104" si="636">AE103*(1+$D104)</f>
        <v>-2.1</v>
      </c>
      <c r="AF104" s="62">
        <f t="shared" ref="AF104" si="637">AF103*(1+$D104)</f>
        <v>-2.1</v>
      </c>
      <c r="AG104" s="62">
        <f t="shared" ref="AG104" si="638">AG103*(1+$D104)</f>
        <v>-2.1</v>
      </c>
      <c r="AH104" s="62">
        <f t="shared" ref="AH104" si="639">AH103*(1+$D104)</f>
        <v>-2.1</v>
      </c>
      <c r="AI104" s="62">
        <f t="shared" ref="AI104" si="640">AI103*(1+$D104)</f>
        <v>-2.1</v>
      </c>
      <c r="AJ104" s="62">
        <f t="shared" ref="AJ104" si="641">AJ103*(1+$D104)</f>
        <v>-2.1</v>
      </c>
      <c r="AK104" s="62">
        <f t="shared" ref="AK104" si="642">AK103*(1+$D104)</f>
        <v>-2.1</v>
      </c>
      <c r="AL104" s="62">
        <f t="shared" ref="AL104" si="643">AL103*(1+$D104)</f>
        <v>-2.1</v>
      </c>
      <c r="AM104" s="62">
        <f t="shared" ref="AM104" si="644">AM103*(1+$D104)</f>
        <v>-2.1</v>
      </c>
      <c r="AN104" s="62">
        <f t="shared" ref="AN104" si="645">AN103*(1+$D104)</f>
        <v>-2.1</v>
      </c>
      <c r="AO104" s="62">
        <f t="shared" ref="AO104" si="646">AO103*(1+$D104)</f>
        <v>-2.1</v>
      </c>
      <c r="AP104" s="62">
        <f t="shared" ref="AP104" si="647">AP103*(1+$D104)</f>
        <v>-2.1</v>
      </c>
      <c r="AQ104" s="62">
        <f t="shared" ref="AQ104" si="648">AQ103*(1+$D104)</f>
        <v>-2.1</v>
      </c>
      <c r="AR104" s="62">
        <f t="shared" ref="AR104" si="649">AR103*(1+$D104)</f>
        <v>-2.1</v>
      </c>
      <c r="AS104" s="62">
        <f t="shared" ref="AS104" si="650">AS103*(1+$D104)</f>
        <v>-2.1</v>
      </c>
      <c r="AT104" s="62">
        <f t="shared" ref="AT104" si="651">AT103*(1+$D104)</f>
        <v>-2.1</v>
      </c>
      <c r="AU104" s="62">
        <f t="shared" ref="AU104" si="652">AU103*(1+$D104)</f>
        <v>-2.1</v>
      </c>
      <c r="AV104" s="62">
        <f t="shared" ref="AV104" si="653">AV103*(1+$D104)</f>
        <v>-2.1</v>
      </c>
      <c r="AW104" s="62">
        <f t="shared" ref="AW104" si="654">AW103*(1+$D104)</f>
        <v>-2.1</v>
      </c>
      <c r="AX104" s="62">
        <f t="shared" ref="AX104" si="655">AX103*(1+$D104)</f>
        <v>-2.1</v>
      </c>
      <c r="AY104" s="62">
        <f t="shared" ref="AY104" si="656">AY103*(1+$D104)</f>
        <v>-2.1</v>
      </c>
      <c r="AZ104" s="62">
        <f t="shared" ref="AZ104" si="657">AZ103*(1+$D104)</f>
        <v>-2.1</v>
      </c>
      <c r="BA104" s="62">
        <f t="shared" ref="BA104" si="658">BA103*(1+$D104)</f>
        <v>-2.1</v>
      </c>
      <c r="BB104" s="62">
        <f t="shared" ref="BB104" si="659">BB103*(1+$D104)</f>
        <v>-2.1</v>
      </c>
      <c r="BC104" s="62">
        <f t="shared" ref="BC104" si="660">BC103*(1+$D104)</f>
        <v>-2.1</v>
      </c>
      <c r="BD104" s="62">
        <f t="shared" ref="BD104" si="661">BD103*(1+$D104)</f>
        <v>-2.1</v>
      </c>
      <c r="BE104" s="62">
        <f t="shared" ref="BE104" si="662">BE103*(1+$D104)</f>
        <v>-2.1</v>
      </c>
      <c r="BF104" s="62">
        <f t="shared" ref="BF104" si="663">BF103*(1+$D104)</f>
        <v>-2.1</v>
      </c>
      <c r="BG104" s="62">
        <f t="shared" ref="BG104" si="664">BG103*(1+$D104)</f>
        <v>-2.1</v>
      </c>
      <c r="BH104" s="62">
        <f t="shared" ref="BH104" si="665">BH103*(1+$D104)</f>
        <v>-2.1</v>
      </c>
      <c r="BI104" s="62">
        <f t="shared" ref="BI104" si="666">BI103*(1+$D104)</f>
        <v>-2.1</v>
      </c>
      <c r="BJ104" s="62">
        <f t="shared" ref="BJ104" si="667">BJ103*(1+$D104)</f>
        <v>-2.1</v>
      </c>
      <c r="BK104" s="62">
        <f t="shared" ref="BK104" si="668">BK103*(1+$D104)</f>
        <v>-2.1</v>
      </c>
      <c r="BL104" s="62">
        <f t="shared" ref="BL104" si="669">BL103*(1+$D104)</f>
        <v>-2.1</v>
      </c>
      <c r="BM104" s="62">
        <f t="shared" ref="BM104" si="670">BM103*(1+$D104)</f>
        <v>-2.1</v>
      </c>
      <c r="BN104" s="62">
        <f t="shared" ref="BN104" si="671">BN103*(1+$D104)</f>
        <v>-2.1</v>
      </c>
      <c r="BO104" s="62">
        <f t="shared" ref="BO104" si="672">BO103*(1+$D104)</f>
        <v>-2.1</v>
      </c>
      <c r="BP104" s="62">
        <f t="shared" ref="BP104" si="673">BP103*(1+$D104)</f>
        <v>-2.1</v>
      </c>
      <c r="BQ104" s="62">
        <f t="shared" ref="BQ104" si="674">BQ103*(1+$D104)</f>
        <v>-2.1</v>
      </c>
      <c r="BR104" s="62">
        <f t="shared" ref="BR104" si="675">BR103*(1+$D104)</f>
        <v>-2.1</v>
      </c>
      <c r="BS104" s="62">
        <f t="shared" ref="BS104" si="676">BS103*(1+$D104)</f>
        <v>-2.1</v>
      </c>
      <c r="BT104" s="62">
        <f t="shared" ref="BT104" si="677">BT103*(1+$D104)</f>
        <v>-2.1</v>
      </c>
      <c r="BU104" s="62">
        <f t="shared" ref="BU104" si="678">BU103*(1+$D104)</f>
        <v>-2.1</v>
      </c>
      <c r="BV104" s="62">
        <f t="shared" ref="BV104" si="679">BV103*(1+$D104)</f>
        <v>-2.1</v>
      </c>
      <c r="BW104" s="62">
        <f t="shared" ref="BW104" si="680">BW103*(1+$D104)</f>
        <v>-2.1</v>
      </c>
      <c r="BX104" s="62">
        <f t="shared" ref="BX104" si="681">BX103*(1+$D104)</f>
        <v>-2.1</v>
      </c>
      <c r="BY104" s="62">
        <f t="shared" ref="BY104" si="682">BY103*(1+$D104)</f>
        <v>-2.1</v>
      </c>
      <c r="BZ104" s="62">
        <f t="shared" ref="BZ104" si="683">BZ103*(1+$D104)</f>
        <v>-2.1</v>
      </c>
      <c r="CA104" s="62">
        <f t="shared" ref="CA104" si="684">CA103*(1+$D104)</f>
        <v>-2.1</v>
      </c>
      <c r="CB104" s="62">
        <f t="shared" ref="CB104" si="685">CB103*(1+$D104)</f>
        <v>-2.1</v>
      </c>
      <c r="CC104" s="62">
        <f t="shared" ref="CC104" si="686">CC103*(1+$D104)</f>
        <v>-2.1</v>
      </c>
      <c r="CD104" s="62">
        <f t="shared" ref="CD104" si="687">CD103*(1+$D104)</f>
        <v>-2.1</v>
      </c>
      <c r="CE104" s="62">
        <f t="shared" ref="CE104" si="688">CE103*(1+$D104)</f>
        <v>-2.1</v>
      </c>
      <c r="CF104" s="62">
        <f t="shared" ref="CF104" si="689">CF103*(1+$D104)</f>
        <v>-2.1</v>
      </c>
      <c r="CG104" s="62">
        <f t="shared" ref="CG104" si="690">CG103*(1+$D104)</f>
        <v>-2.1</v>
      </c>
      <c r="CH104" s="62">
        <f t="shared" ref="CH104" si="691">CH103*(1+$D104)</f>
        <v>-2.1</v>
      </c>
      <c r="CI104" s="62">
        <f t="shared" ref="CI104" si="692">CI103*(1+$D104)</f>
        <v>-2.1</v>
      </c>
      <c r="CJ104" s="62">
        <f t="shared" ref="CJ104" si="693">CJ103*(1+$D104)</f>
        <v>-2.1</v>
      </c>
      <c r="CK104" s="62">
        <f t="shared" ref="CK104" si="694">CK103*(1+$D104)</f>
        <v>-2.1</v>
      </c>
      <c r="CL104" s="62">
        <f t="shared" ref="CL104" si="695">CL103*(1+$D104)</f>
        <v>-2.1</v>
      </c>
      <c r="CM104" s="62">
        <f t="shared" ref="CM104" si="696">CM103*(1+$D104)</f>
        <v>-2.1</v>
      </c>
      <c r="CN104" s="62">
        <f t="shared" ref="CN104" si="697">CN103*(1+$D104)</f>
        <v>-2.1</v>
      </c>
      <c r="CO104" s="62">
        <f t="shared" ref="CO104" si="698">CO103*(1+$D104)</f>
        <v>-2.1</v>
      </c>
      <c r="CP104" s="62">
        <f t="shared" ref="CP104" si="699">CP103*(1+$D104)</f>
        <v>-2.1</v>
      </c>
      <c r="CQ104" s="62">
        <f t="shared" ref="CQ104" si="700">CQ103*(1+$D104)</f>
        <v>-2.1</v>
      </c>
      <c r="CR104" s="62">
        <f t="shared" ref="CR104" si="701">CR103*(1+$D104)</f>
        <v>-2.1</v>
      </c>
      <c r="CS104" s="62">
        <f t="shared" ref="CS104" si="702">CS103*(1+$D104)</f>
        <v>-2.1</v>
      </c>
      <c r="CT104" s="62">
        <f t="shared" ref="CT104" si="703">CT103*(1+$D104)</f>
        <v>-2.1</v>
      </c>
      <c r="CU104" s="62">
        <f t="shared" ref="CU104" si="704">CU103*(1+$D104)</f>
        <v>-2.1</v>
      </c>
      <c r="CV104" s="62">
        <f t="shared" ref="CV104" si="705">CV103*(1+$D104)</f>
        <v>-2.1</v>
      </c>
      <c r="CW104" s="62">
        <f t="shared" ref="CW104" si="706">CW103*(1+$D104)</f>
        <v>-2.1</v>
      </c>
      <c r="CX104" s="62">
        <f t="shared" ref="CX104" si="707">CX103*(1+$D104)</f>
        <v>-2.1</v>
      </c>
      <c r="CY104" s="62">
        <f t="shared" ref="CY104" si="708">CY103*(1+$D104)</f>
        <v>-2.1</v>
      </c>
      <c r="CZ104" s="62">
        <f t="shared" ref="CZ104" si="709">CZ103*(1+$D104)</f>
        <v>-2.1</v>
      </c>
      <c r="DA104" s="62">
        <f t="shared" ref="DA104" si="710">DA103*(1+$D104)</f>
        <v>-2.1</v>
      </c>
      <c r="DB104" s="62">
        <f t="shared" ref="DB104" si="711">DB103*(1+$D104)</f>
        <v>-2.1</v>
      </c>
      <c r="DC104" s="62">
        <f t="shared" ref="DC104" si="712">DC103*(1+$D104)</f>
        <v>-2.1</v>
      </c>
      <c r="DD104" s="62">
        <f t="shared" ref="DD104" si="713">DD103*(1+$D104)</f>
        <v>-2.1</v>
      </c>
      <c r="DE104" s="62">
        <f t="shared" ref="DE104" si="714">DE103*(1+$D104)</f>
        <v>-2.1</v>
      </c>
      <c r="DF104" s="62">
        <f t="shared" ref="DF104" si="715">DF103*(1+$D104)</f>
        <v>-2.1</v>
      </c>
      <c r="DG104" s="62">
        <f t="shared" ref="DG104" si="716">DG103*(1+$D104)</f>
        <v>-2.1</v>
      </c>
      <c r="DH104" s="62">
        <f t="shared" ref="DH104" si="717">DH103*(1+$D104)</f>
        <v>-2.1</v>
      </c>
      <c r="DI104" s="62">
        <f t="shared" ref="DI104" si="718">DI103*(1+$D104)</f>
        <v>-2.1</v>
      </c>
      <c r="DJ104" s="62">
        <f t="shared" ref="DJ104" si="719">DJ103*(1+$D104)</f>
        <v>-2.1</v>
      </c>
      <c r="DK104" s="62">
        <f t="shared" ref="DK104" si="720">DK103*(1+$D104)</f>
        <v>-2.1</v>
      </c>
      <c r="DL104" s="62">
        <f t="shared" ref="DL104" si="721">DL103*(1+$D104)</f>
        <v>-2.1</v>
      </c>
      <c r="DM104" s="62">
        <f t="shared" ref="DM104" si="722">DM103*(1+$D104)</f>
        <v>-2.1</v>
      </c>
      <c r="DN104" s="62">
        <f t="shared" ref="DN104" si="723">DN103*(1+$D104)</f>
        <v>-2.1</v>
      </c>
      <c r="DO104" s="62">
        <f t="shared" ref="DO104" si="724">DO103*(1+$D104)</f>
        <v>-2.1</v>
      </c>
      <c r="DP104" s="62">
        <f t="shared" ref="DP104" si="725">DP103*(1+$D104)</f>
        <v>-2.1</v>
      </c>
      <c r="DQ104" s="62">
        <f t="shared" ref="DQ104" si="726">DQ103*(1+$D104)</f>
        <v>-2.1</v>
      </c>
      <c r="DR104" s="62">
        <f t="shared" ref="DR104" si="727">DR103*(1+$D104)</f>
        <v>-2.1</v>
      </c>
      <c r="DS104" s="62">
        <f t="shared" ref="DS104" si="728">DS103*(1+$D104)</f>
        <v>-2.1</v>
      </c>
      <c r="DT104" s="62">
        <f t="shared" ref="DT104" si="729">DT103*(1+$D104)</f>
        <v>-2.1</v>
      </c>
      <c r="DU104" s="62">
        <f t="shared" ref="DU104" si="730">DU103*(1+$D104)</f>
        <v>-2.1</v>
      </c>
      <c r="DV104" s="62">
        <f t="shared" ref="DV104" si="731">DV103*(1+$D104)</f>
        <v>-2.1</v>
      </c>
      <c r="DW104" s="62">
        <f t="shared" ref="DW104" si="732">DW103*(1+$D104)</f>
        <v>-2.1</v>
      </c>
      <c r="DX104" s="62">
        <f t="shared" ref="DX104" si="733">DX103*(1+$D104)</f>
        <v>-2.1</v>
      </c>
      <c r="DY104" s="62">
        <f t="shared" ref="DY104" si="734">DY103*(1+$D104)</f>
        <v>-2.1</v>
      </c>
      <c r="DZ104" s="62">
        <f t="shared" ref="DZ104" si="735">DZ103*(1+$D104)</f>
        <v>-2.1</v>
      </c>
      <c r="EA104" s="62">
        <f t="shared" ref="EA104" si="736">EA103*(1+$D104)</f>
        <v>-2.1</v>
      </c>
      <c r="EB104" s="62">
        <f t="shared" ref="EB104" si="737">EB103*(1+$D104)</f>
        <v>-2.1</v>
      </c>
      <c r="EC104" s="62">
        <f t="shared" ref="EC104" si="738">EC103*(1+$D104)</f>
        <v>-2.1</v>
      </c>
      <c r="ED104" s="62">
        <f t="shared" ref="ED104" si="739">ED103*(1+$D104)</f>
        <v>-2.1</v>
      </c>
      <c r="EE104" s="62">
        <f t="shared" ref="EE104" si="740">EE103*(1+$D104)</f>
        <v>-2.1</v>
      </c>
      <c r="EF104" s="62">
        <f t="shared" ref="EF104" si="741">EF103*(1+$D104)</f>
        <v>-2.1</v>
      </c>
      <c r="EG104" s="62">
        <f t="shared" ref="EG104" si="742">EG103*(1+$D104)</f>
        <v>-2.1</v>
      </c>
      <c r="EH104" s="62">
        <f t="shared" ref="EH104" si="743">EH103*(1+$D104)</f>
        <v>-2.1</v>
      </c>
      <c r="EI104" s="62">
        <f t="shared" ref="EI104" si="744">EI103*(1+$D104)</f>
        <v>-2.1</v>
      </c>
      <c r="EJ104" s="62">
        <f t="shared" ref="EJ104" si="745">EJ103*(1+$D104)</f>
        <v>-2.1</v>
      </c>
      <c r="EK104" s="62">
        <f t="shared" ref="EK104" si="746">EK103*(1+$D104)</f>
        <v>-2.1</v>
      </c>
      <c r="EL104" s="62">
        <f t="shared" ref="EL104" si="747">EL103*(1+$D104)</f>
        <v>-2.1</v>
      </c>
      <c r="EM104" s="62">
        <f t="shared" ref="EM104" si="748">EM103*(1+$D104)</f>
        <v>-2.1</v>
      </c>
      <c r="EN104" s="62">
        <f t="shared" ref="EN104" si="749">EN103*(1+$D104)</f>
        <v>-2.1</v>
      </c>
      <c r="EO104" s="62">
        <f t="shared" ref="EO104" si="750">EO103*(1+$D104)</f>
        <v>-2.1</v>
      </c>
      <c r="EP104" s="62">
        <f t="shared" ref="EP104" si="751">EP103*(1+$D104)</f>
        <v>-2.1</v>
      </c>
      <c r="EQ104" s="62">
        <f t="shared" ref="EQ104" si="752">EQ103*(1+$D104)</f>
        <v>-2.1</v>
      </c>
      <c r="ER104" s="62">
        <f t="shared" ref="ER104" si="753">ER103*(1+$D104)</f>
        <v>-2.1</v>
      </c>
      <c r="ES104" s="62">
        <f t="shared" ref="ES104" si="754">ES103*(1+$D104)</f>
        <v>-2.1</v>
      </c>
      <c r="ET104" s="62">
        <f t="shared" ref="ET104" si="755">ET103*(1+$D104)</f>
        <v>-2.1</v>
      </c>
      <c r="EU104" s="62">
        <f t="shared" ref="EU104" si="756">EU103*(1+$D104)</f>
        <v>-2.1</v>
      </c>
      <c r="EV104" s="62">
        <f t="shared" ref="EV104" si="757">EV103*(1+$D104)</f>
        <v>-2.1</v>
      </c>
      <c r="EW104" s="62">
        <f t="shared" ref="EW104" si="758">EW103*(1+$D104)</f>
        <v>-2.1</v>
      </c>
      <c r="EX104" s="62">
        <f t="shared" ref="EX104" si="759">EX103*(1+$D104)</f>
        <v>-2.1</v>
      </c>
      <c r="EY104" s="62">
        <f t="shared" ref="EY104" si="760">EY103*(1+$D104)</f>
        <v>-2.1</v>
      </c>
      <c r="EZ104" s="62">
        <f t="shared" ref="EZ104" si="761">EZ103*(1+$D104)</f>
        <v>-2.1</v>
      </c>
      <c r="FA104" s="62">
        <f t="shared" ref="FA104" si="762">FA103*(1+$D104)</f>
        <v>-2.1</v>
      </c>
      <c r="FB104" s="62">
        <f t="shared" ref="FB104" si="763">FB103*(1+$D104)</f>
        <v>-2.1</v>
      </c>
      <c r="FC104" s="62">
        <f t="shared" ref="FC104" si="764">FC103*(1+$D104)</f>
        <v>-2.1</v>
      </c>
      <c r="FD104" s="62">
        <f t="shared" ref="FD104" si="765">FD103*(1+$D104)</f>
        <v>-2.1</v>
      </c>
      <c r="FE104" s="62">
        <f t="shared" ref="FE104" si="766">FE103*(1+$D104)</f>
        <v>-2.1</v>
      </c>
      <c r="FF104" s="62">
        <f t="shared" ref="FF104" si="767">FF103*(1+$D104)</f>
        <v>-2.1</v>
      </c>
      <c r="FG104" s="62">
        <f t="shared" ref="FG104" si="768">FG103*(1+$D104)</f>
        <v>-2.1</v>
      </c>
      <c r="FH104" s="62">
        <f t="shared" ref="FH104" si="769">FH103*(1+$D104)</f>
        <v>-2.1</v>
      </c>
      <c r="FI104" s="62">
        <f t="shared" ref="FI104" si="770">FI103*(1+$D104)</f>
        <v>-2.1</v>
      </c>
      <c r="FJ104" s="62">
        <f t="shared" ref="FJ104" si="771">FJ103*(1+$D104)</f>
        <v>-2.1</v>
      </c>
      <c r="FK104" s="62">
        <f t="shared" ref="FK104" si="772">FK103*(1+$D104)</f>
        <v>-2.1</v>
      </c>
      <c r="FL104" s="62">
        <f t="shared" ref="FL104" si="773">FL103*(1+$D104)</f>
        <v>-2.1</v>
      </c>
      <c r="FM104" s="62">
        <f t="shared" ref="FM104" si="774">FM103*(1+$D104)</f>
        <v>-2.1</v>
      </c>
      <c r="FN104" s="62">
        <f t="shared" ref="FN104" si="775">FN103*(1+$D104)</f>
        <v>-2.1</v>
      </c>
      <c r="FO104" s="62">
        <f t="shared" ref="FO104" si="776">FO103*(1+$D104)</f>
        <v>-2.1</v>
      </c>
      <c r="FP104" s="62">
        <f t="shared" ref="FP104" si="777">FP103*(1+$D104)</f>
        <v>-2.1</v>
      </c>
      <c r="FQ104" s="62">
        <f t="shared" ref="FQ104" si="778">FQ103*(1+$D104)</f>
        <v>-2.1</v>
      </c>
      <c r="FR104" s="62">
        <f t="shared" ref="FR104" si="779">FR103*(1+$D104)</f>
        <v>-2.1</v>
      </c>
      <c r="FS104" s="62">
        <f t="shared" ref="FS104" si="780">FS103*(1+$D104)</f>
        <v>-2.1</v>
      </c>
      <c r="FT104" s="62">
        <f t="shared" ref="FT104" si="781">FT103*(1+$D104)</f>
        <v>-2.1</v>
      </c>
      <c r="FU104" s="62">
        <f t="shared" ref="FU104" si="782">FU103*(1+$D104)</f>
        <v>-2.1</v>
      </c>
      <c r="FV104" s="62">
        <f t="shared" ref="FV104" si="783">FV103*(1+$D104)</f>
        <v>-2.1</v>
      </c>
      <c r="FW104" s="62">
        <f t="shared" ref="FW104" si="784">FW103*(1+$D104)</f>
        <v>-2.1</v>
      </c>
      <c r="FX104" s="62">
        <f t="shared" ref="FX104" si="785">FX103*(1+$D104)</f>
        <v>-2.1</v>
      </c>
      <c r="FY104" s="62">
        <f t="shared" ref="FY104" si="786">FY103*(1+$D104)</f>
        <v>-2.1</v>
      </c>
      <c r="FZ104" s="62">
        <f t="shared" ref="FZ104" si="787">FZ103*(1+$D104)</f>
        <v>-2.1</v>
      </c>
      <c r="GA104" s="62">
        <f t="shared" ref="GA104" si="788">GA103*(1+$D104)</f>
        <v>-2.1</v>
      </c>
      <c r="GB104" s="62">
        <f t="shared" ref="GB104" si="789">GB103*(1+$D104)</f>
        <v>-2.1</v>
      </c>
      <c r="GC104" s="62">
        <f t="shared" ref="GC104" si="790">GC103*(1+$D104)</f>
        <v>-2.1</v>
      </c>
      <c r="GD104" s="62">
        <f t="shared" ref="GD104" si="791">GD103*(1+$D104)</f>
        <v>-2.1</v>
      </c>
      <c r="GE104" s="62">
        <f t="shared" ref="GE104" si="792">GE103*(1+$D104)</f>
        <v>-2.1</v>
      </c>
      <c r="GF104" s="62">
        <f t="shared" ref="GF104" si="793">GF103*(1+$D104)</f>
        <v>-2.1</v>
      </c>
      <c r="GG104" s="62">
        <f t="shared" ref="GG104" si="794">GG103*(1+$D104)</f>
        <v>-2.1</v>
      </c>
      <c r="GH104" s="62">
        <f t="shared" ref="GH104" si="795">GH103*(1+$D104)</f>
        <v>-2.1</v>
      </c>
      <c r="GI104" s="62">
        <f t="shared" ref="GI104" si="796">GI103*(1+$D104)</f>
        <v>-2.1</v>
      </c>
      <c r="GJ104" s="62">
        <f t="shared" ref="GJ104" si="797">GJ103*(1+$D104)</f>
        <v>-2.1</v>
      </c>
      <c r="GK104" s="62">
        <f t="shared" ref="GK104" si="798">GK103*(1+$D104)</f>
        <v>-2.1</v>
      </c>
      <c r="GL104" s="62">
        <f t="shared" ref="GL104" si="799">GL103*(1+$D104)</f>
        <v>-2.1</v>
      </c>
      <c r="GM104" s="62">
        <f t="shared" ref="GM104" si="800">GM103*(1+$D104)</f>
        <v>-2.1</v>
      </c>
      <c r="GN104" s="62">
        <f t="shared" ref="GN104" si="801">GN103*(1+$D104)</f>
        <v>-2.1</v>
      </c>
      <c r="GO104" s="62">
        <f t="shared" ref="GO104" si="802">GO103*(1+$D104)</f>
        <v>-2.1</v>
      </c>
      <c r="GP104" s="62">
        <f t="shared" ref="GP104" si="803">GP103*(1+$D104)</f>
        <v>-2.1</v>
      </c>
      <c r="GQ104" s="62">
        <f t="shared" ref="GQ104" si="804">GQ103*(1+$D104)</f>
        <v>-2.1</v>
      </c>
      <c r="GR104" s="62">
        <f t="shared" ref="GR104" si="805">GR103*(1+$D104)</f>
        <v>-2.1</v>
      </c>
      <c r="GS104" s="62">
        <f t="shared" ref="GS104" si="806">GS103*(1+$D104)</f>
        <v>-2.1</v>
      </c>
      <c r="GT104" s="62">
        <f t="shared" ref="GT104" si="807">GT103*(1+$D104)</f>
        <v>-2.1</v>
      </c>
      <c r="GU104" s="62">
        <f t="shared" ref="GU104" si="808">GU103*(1+$D104)</f>
        <v>-2.1</v>
      </c>
      <c r="GV104" s="62">
        <f t="shared" ref="GV104" si="809">GV103*(1+$D104)</f>
        <v>-2.1</v>
      </c>
      <c r="GW104" s="62">
        <f t="shared" ref="GW104" si="810">GW103*(1+$D104)</f>
        <v>-2.1</v>
      </c>
      <c r="GX104" s="62">
        <f t="shared" ref="GX104" si="811">GX103*(1+$D104)</f>
        <v>-2.1</v>
      </c>
      <c r="GY104" s="62">
        <f t="shared" ref="GY104" si="812">GY103*(1+$D104)</f>
        <v>-2.1</v>
      </c>
      <c r="GZ104" s="62">
        <f t="shared" ref="GZ104" si="813">GZ103*(1+$D104)</f>
        <v>-2.1</v>
      </c>
      <c r="HA104" s="62">
        <f t="shared" ref="HA104" si="814">HA103*(1+$D104)</f>
        <v>-2.1</v>
      </c>
      <c r="HB104" s="62">
        <f t="shared" ref="HB104" si="815">HB103*(1+$D104)</f>
        <v>-2.1</v>
      </c>
      <c r="HC104" s="62">
        <f t="shared" ref="HC104" si="816">HC103*(1+$D104)</f>
        <v>-2.1</v>
      </c>
      <c r="HD104" s="62">
        <f t="shared" ref="HD104" si="817">HD103*(1+$D104)</f>
        <v>-2.1</v>
      </c>
      <c r="HE104" s="62">
        <f t="shared" ref="HE104" si="818">HE103*(1+$D104)</f>
        <v>-2.1</v>
      </c>
      <c r="HF104" s="62">
        <f t="shared" ref="HF104" si="819">HF103*(1+$D104)</f>
        <v>-2.1</v>
      </c>
      <c r="HG104" s="62">
        <f t="shared" ref="HG104" si="820">HG103*(1+$D104)</f>
        <v>-2.1</v>
      </c>
      <c r="HH104" s="62">
        <f t="shared" ref="HH104" si="821">HH103*(1+$D104)</f>
        <v>-2.1</v>
      </c>
      <c r="HI104" s="62">
        <f t="shared" ref="HI104" si="822">HI103*(1+$D104)</f>
        <v>-2.1</v>
      </c>
      <c r="HJ104" s="62">
        <f t="shared" ref="HJ104" si="823">HJ103*(1+$D104)</f>
        <v>-2.1</v>
      </c>
      <c r="HK104" s="62">
        <f t="shared" ref="HK104" si="824">HK103*(1+$D104)</f>
        <v>-2.1</v>
      </c>
      <c r="HL104" s="62">
        <f t="shared" ref="HL104" si="825">HL103*(1+$D104)</f>
        <v>-2.1</v>
      </c>
      <c r="HM104" s="62">
        <f t="shared" ref="HM104" si="826">HM103*(1+$D104)</f>
        <v>-2.1</v>
      </c>
      <c r="HN104" s="62">
        <f t="shared" ref="HN104" si="827">HN103*(1+$D104)</f>
        <v>-2.1</v>
      </c>
      <c r="HO104" s="62">
        <f t="shared" ref="HO104" si="828">HO103*(1+$D104)</f>
        <v>-2.1</v>
      </c>
      <c r="HP104" s="62">
        <f t="shared" ref="HP104" si="829">HP103*(1+$D104)</f>
        <v>-2.1</v>
      </c>
      <c r="HQ104" s="62">
        <f t="shared" ref="HQ104" si="830">HQ103*(1+$D104)</f>
        <v>-2.1</v>
      </c>
      <c r="HR104" s="62">
        <f t="shared" ref="HR104" si="831">HR103*(1+$D104)</f>
        <v>-2.1</v>
      </c>
      <c r="HS104" s="62">
        <f t="shared" ref="HS104" si="832">HS103*(1+$D104)</f>
        <v>-2.1</v>
      </c>
      <c r="HT104" s="62">
        <f t="shared" ref="HT104" si="833">HT103*(1+$D104)</f>
        <v>-2.1</v>
      </c>
      <c r="HU104" s="62">
        <f t="shared" ref="HU104" si="834">HU103*(1+$D104)</f>
        <v>-2.1</v>
      </c>
      <c r="HV104" s="62">
        <f t="shared" ref="HV104" si="835">HV103*(1+$D104)</f>
        <v>-2.1</v>
      </c>
      <c r="HW104" s="62">
        <f t="shared" ref="HW104" si="836">HW103*(1+$D104)</f>
        <v>-2.1</v>
      </c>
      <c r="HX104" s="62">
        <f t="shared" ref="HX104" si="837">HX103*(1+$D104)</f>
        <v>-2.1</v>
      </c>
      <c r="HY104" s="62">
        <f t="shared" ref="HY104" si="838">HY103*(1+$D104)</f>
        <v>-2.1</v>
      </c>
      <c r="HZ104" s="62">
        <f t="shared" ref="HZ104" si="839">HZ103*(1+$D104)</f>
        <v>-2.1</v>
      </c>
      <c r="IA104" s="62">
        <f t="shared" ref="IA104" si="840">IA103*(1+$D104)</f>
        <v>-2.1</v>
      </c>
      <c r="IB104" s="62">
        <f t="shared" ref="IB104" si="841">IB103*(1+$D104)</f>
        <v>-2.1</v>
      </c>
      <c r="IC104" s="62">
        <f t="shared" ref="IC104" si="842">IC103*(1+$D104)</f>
        <v>-2.1</v>
      </c>
      <c r="ID104" s="62">
        <f t="shared" ref="ID104" si="843">ID103*(1+$D104)</f>
        <v>-2.1</v>
      </c>
      <c r="IE104" s="62">
        <f t="shared" ref="IE104" si="844">IE103*(1+$D104)</f>
        <v>-2.1</v>
      </c>
      <c r="IF104" s="62">
        <f t="shared" ref="IF104" si="845">IF103*(1+$D104)</f>
        <v>-2.1</v>
      </c>
      <c r="IG104" s="62">
        <f t="shared" ref="IG104" si="846">IG103*(1+$D104)</f>
        <v>-2.1</v>
      </c>
      <c r="IH104" s="62">
        <f t="shared" ref="IH104" si="847">IH103*(1+$D104)</f>
        <v>-2.1</v>
      </c>
      <c r="II104" s="62">
        <f t="shared" ref="II104" si="848">II103*(1+$D104)</f>
        <v>-2.1</v>
      </c>
      <c r="IJ104" s="62">
        <f t="shared" ref="IJ104" si="849">IJ103*(1+$D104)</f>
        <v>-2.1</v>
      </c>
      <c r="IK104" s="62">
        <f t="shared" ref="IK104" si="850">IK103*(1+$D104)</f>
        <v>-2.1</v>
      </c>
      <c r="IL104" s="62">
        <f t="shared" ref="IL104" si="851">IL103*(1+$D104)</f>
        <v>-2.1</v>
      </c>
      <c r="IM104" s="62">
        <f t="shared" ref="IM104" si="852">IM103*(1+$D104)</f>
        <v>-2.1</v>
      </c>
      <c r="IN104" s="62">
        <f t="shared" ref="IN104" si="853">IN103*(1+$D104)</f>
        <v>-2.1</v>
      </c>
      <c r="IO104" s="62">
        <f t="shared" ref="IO104" si="854">IO103*(1+$D104)</f>
        <v>-2.1</v>
      </c>
      <c r="IP104" s="62">
        <f t="shared" ref="IP104" si="855">IP103*(1+$D104)</f>
        <v>-2.1</v>
      </c>
      <c r="IQ104" s="62">
        <f t="shared" ref="IQ104" si="856">IQ103*(1+$D104)</f>
        <v>-2.1</v>
      </c>
      <c r="IR104" s="62">
        <f t="shared" ref="IR104" si="857">IR103*(1+$D104)</f>
        <v>-2.1</v>
      </c>
      <c r="IS104" s="62">
        <f t="shared" ref="IS104" si="858">IS103*(1+$D104)</f>
        <v>-2.1</v>
      </c>
      <c r="IT104" s="62">
        <f t="shared" ref="IT104" si="859">IT103*(1+$D104)</f>
        <v>-2.1</v>
      </c>
      <c r="IU104" s="62">
        <f t="shared" ref="IU104" si="860">IU103*(1+$D104)</f>
        <v>-2.1</v>
      </c>
      <c r="IV104" s="62">
        <f t="shared" ref="IV104" si="861">IV103*(1+$D104)</f>
        <v>-2.1</v>
      </c>
      <c r="IW104" s="62">
        <f t="shared" ref="IW104" si="862">IW103*(1+$D104)</f>
        <v>-2.1</v>
      </c>
      <c r="IX104" s="62">
        <f t="shared" ref="IX104" si="863">IX103*(1+$D104)</f>
        <v>-2.1</v>
      </c>
      <c r="IY104" s="62">
        <f t="shared" ref="IY104" si="864">IY103*(1+$D104)</f>
        <v>-2.1</v>
      </c>
      <c r="IZ104" s="62">
        <f t="shared" ref="IZ104" si="865">IZ103*(1+$D104)</f>
        <v>-2.1</v>
      </c>
      <c r="JA104" s="62">
        <f t="shared" ref="JA104" si="866">JA103*(1+$D104)</f>
        <v>-2.1</v>
      </c>
      <c r="JB104" s="62">
        <f t="shared" ref="JB104" si="867">JB103*(1+$D104)</f>
        <v>-2.1</v>
      </c>
      <c r="JC104" s="62">
        <f t="shared" ref="JC104" si="868">JC103*(1+$D104)</f>
        <v>-2.1</v>
      </c>
      <c r="JD104" s="62">
        <f t="shared" ref="JD104" si="869">JD103*(1+$D104)</f>
        <v>-2.1</v>
      </c>
      <c r="JE104" s="62">
        <f t="shared" ref="JE104" si="870">JE103*(1+$D104)</f>
        <v>-2.1</v>
      </c>
      <c r="JF104" s="62">
        <f t="shared" ref="JF104" si="871">JF103*(1+$D104)</f>
        <v>-2.1</v>
      </c>
      <c r="JG104" s="62">
        <f t="shared" ref="JG104" si="872">JG103*(1+$D104)</f>
        <v>-2.1</v>
      </c>
      <c r="JH104" s="62">
        <f t="shared" ref="JH104" si="873">JH103*(1+$D104)</f>
        <v>-2.1</v>
      </c>
      <c r="JI104" s="62">
        <f t="shared" ref="JI104" si="874">JI103*(1+$D104)</f>
        <v>-2.1</v>
      </c>
      <c r="JJ104" s="62">
        <f t="shared" ref="JJ104" si="875">JJ103*(1+$D104)</f>
        <v>-2.1</v>
      </c>
      <c r="JK104" s="62">
        <f t="shared" ref="JK104" si="876">JK103*(1+$D104)</f>
        <v>-2.1</v>
      </c>
      <c r="JL104" s="62">
        <f t="shared" ref="JL104" si="877">JL103*(1+$D104)</f>
        <v>-2.1</v>
      </c>
      <c r="JM104" s="62">
        <f t="shared" ref="JM104" si="878">JM103*(1+$D104)</f>
        <v>-2.1</v>
      </c>
      <c r="JN104" s="62">
        <f t="shared" ref="JN104" si="879">JN103*(1+$D104)</f>
        <v>-2.1</v>
      </c>
      <c r="JO104" s="62">
        <f t="shared" ref="JO104" si="880">JO103*(1+$D104)</f>
        <v>-2.1</v>
      </c>
      <c r="JP104" s="62">
        <f t="shared" ref="JP104" si="881">JP103*(1+$D104)</f>
        <v>-2.1</v>
      </c>
      <c r="JQ104" s="62">
        <f t="shared" ref="JQ104" si="882">JQ103*(1+$D104)</f>
        <v>-2.1</v>
      </c>
      <c r="JR104" s="62">
        <f t="shared" ref="JR104" si="883">JR103*(1+$D104)</f>
        <v>-2.1</v>
      </c>
      <c r="JS104" s="62">
        <f t="shared" ref="JS104" si="884">JS103*(1+$D104)</f>
        <v>-2.1</v>
      </c>
      <c r="JT104" s="62">
        <f t="shared" ref="JT104" si="885">JT103*(1+$D104)</f>
        <v>-2.1</v>
      </c>
      <c r="JU104" s="62">
        <f t="shared" ref="JU104" si="886">JU103*(1+$D104)</f>
        <v>-2.1</v>
      </c>
      <c r="JV104" s="62">
        <f t="shared" ref="JV104" si="887">JV103*(1+$D104)</f>
        <v>-2.1</v>
      </c>
      <c r="JW104" s="62">
        <f t="shared" ref="JW104" si="888">JW103*(1+$D104)</f>
        <v>-2.1</v>
      </c>
      <c r="JX104" s="62">
        <f t="shared" ref="JX104" si="889">JX103*(1+$D104)</f>
        <v>-2.1</v>
      </c>
      <c r="JY104" s="62">
        <f t="shared" ref="JY104" si="890">JY103*(1+$D104)</f>
        <v>-2.1</v>
      </c>
      <c r="JZ104" s="62">
        <f t="shared" ref="JZ104" si="891">JZ103*(1+$D104)</f>
        <v>-2.1</v>
      </c>
      <c r="KA104" s="62">
        <f t="shared" ref="KA104" si="892">KA103*(1+$D104)</f>
        <v>-2.1</v>
      </c>
      <c r="KB104" s="62">
        <f t="shared" ref="KB104" si="893">KB103*(1+$D104)</f>
        <v>-2.1</v>
      </c>
      <c r="KC104" s="62">
        <f t="shared" ref="KC104" si="894">KC103*(1+$D104)</f>
        <v>-2.1</v>
      </c>
      <c r="KD104" s="62">
        <f t="shared" ref="KD104" si="895">KD103*(1+$D104)</f>
        <v>-2.1</v>
      </c>
      <c r="KE104" s="62">
        <f t="shared" ref="KE104" si="896">KE103*(1+$D104)</f>
        <v>-2.1</v>
      </c>
      <c r="KF104" s="62">
        <f t="shared" ref="KF104" si="897">KF103*(1+$D104)</f>
        <v>-2.1</v>
      </c>
    </row>
    <row r="105" spans="4:292" outlineLevel="1" x14ac:dyDescent="0.35"/>
    <row r="106" spans="4:292" outlineLevel="1" x14ac:dyDescent="0.35">
      <c r="E106" s="13" t="s">
        <v>170</v>
      </c>
      <c r="J106" s="15" t="s">
        <v>31</v>
      </c>
      <c r="K106" s="23">
        <v>-2.1</v>
      </c>
      <c r="L106" s="23">
        <v>-2.1</v>
      </c>
      <c r="M106" s="23">
        <v>-2.1</v>
      </c>
      <c r="N106" s="23">
        <v>-2.1</v>
      </c>
      <c r="O106" s="23">
        <v>-2.1</v>
      </c>
      <c r="P106" s="23">
        <v>-2.1</v>
      </c>
      <c r="Q106" s="23">
        <v>-2.1</v>
      </c>
      <c r="R106" s="23">
        <v>-2.1</v>
      </c>
      <c r="S106" s="23">
        <v>-2.1</v>
      </c>
      <c r="T106" s="23">
        <v>-2.1</v>
      </c>
      <c r="U106" s="23">
        <v>-2.1</v>
      </c>
      <c r="V106" s="23">
        <v>-2.1</v>
      </c>
      <c r="W106" s="23">
        <v>-2.1</v>
      </c>
      <c r="X106" s="23">
        <v>-2.1</v>
      </c>
      <c r="Y106" s="23">
        <v>-2.1</v>
      </c>
      <c r="Z106" s="23">
        <v>-2.1</v>
      </c>
      <c r="AA106" s="23">
        <v>-2.1</v>
      </c>
      <c r="AB106" s="23">
        <v>-2.1</v>
      </c>
      <c r="AC106" s="23">
        <v>-2.1</v>
      </c>
      <c r="AD106" s="23">
        <v>-2.1</v>
      </c>
      <c r="AE106" s="23">
        <v>-2.1</v>
      </c>
      <c r="AF106" s="23">
        <v>-2.1</v>
      </c>
      <c r="AG106" s="23">
        <v>-2.1</v>
      </c>
      <c r="AH106" s="23">
        <v>-2.1</v>
      </c>
      <c r="AI106" s="23">
        <v>-2.1</v>
      </c>
      <c r="AJ106" s="23">
        <v>-2.1</v>
      </c>
      <c r="AK106" s="23">
        <v>-2.1</v>
      </c>
      <c r="AL106" s="23">
        <v>-2.1</v>
      </c>
      <c r="AM106" s="23">
        <v>-2.1</v>
      </c>
      <c r="AN106" s="23">
        <v>-2.1</v>
      </c>
      <c r="AO106" s="23">
        <v>-2.1</v>
      </c>
      <c r="AP106" s="23">
        <v>-2.1</v>
      </c>
      <c r="AQ106" s="23">
        <v>-2.1</v>
      </c>
      <c r="AR106" s="23">
        <v>-2.1</v>
      </c>
      <c r="AS106" s="23">
        <v>-2.1</v>
      </c>
      <c r="AT106" s="23">
        <v>-2.1</v>
      </c>
      <c r="AU106" s="23">
        <v>-2.1</v>
      </c>
      <c r="AV106" s="23">
        <v>-2.1</v>
      </c>
      <c r="AW106" s="23">
        <v>-2.1</v>
      </c>
      <c r="AX106" s="23">
        <v>-2.1</v>
      </c>
      <c r="AY106" s="23">
        <v>-2.1</v>
      </c>
      <c r="AZ106" s="23">
        <v>-2.1</v>
      </c>
      <c r="BA106" s="23">
        <v>-2.1</v>
      </c>
      <c r="BB106" s="23">
        <v>-2.1</v>
      </c>
      <c r="BC106" s="23">
        <v>-2.1</v>
      </c>
      <c r="BD106" s="23">
        <v>-2.1</v>
      </c>
      <c r="BE106" s="23">
        <v>-2.1</v>
      </c>
      <c r="BF106" s="23">
        <v>-2.1</v>
      </c>
      <c r="BG106" s="23">
        <v>-2.1</v>
      </c>
      <c r="BH106" s="23">
        <v>-2.1</v>
      </c>
      <c r="BI106" s="23">
        <v>-2.1</v>
      </c>
      <c r="BJ106" s="23">
        <v>-2.1</v>
      </c>
      <c r="BK106" s="23">
        <v>-2.1</v>
      </c>
      <c r="BL106" s="23">
        <v>-2.1</v>
      </c>
      <c r="BM106" s="23">
        <v>-2.1</v>
      </c>
      <c r="BN106" s="23">
        <v>-2.1</v>
      </c>
      <c r="BO106" s="23">
        <v>-2.1</v>
      </c>
      <c r="BP106" s="23">
        <v>-2.1</v>
      </c>
      <c r="BQ106" s="23">
        <v>-2.1</v>
      </c>
      <c r="BR106" s="23">
        <v>-2.1</v>
      </c>
      <c r="BS106" s="23">
        <v>-2.1</v>
      </c>
      <c r="BT106" s="23">
        <v>-2.1</v>
      </c>
      <c r="BU106" s="23">
        <v>-2.1</v>
      </c>
      <c r="BV106" s="23">
        <v>-2.1</v>
      </c>
      <c r="BW106" s="23">
        <v>-2.1</v>
      </c>
      <c r="BX106" s="23">
        <v>-2.1</v>
      </c>
      <c r="BY106" s="23">
        <v>-2.1</v>
      </c>
      <c r="BZ106" s="23">
        <v>-2.1</v>
      </c>
      <c r="CA106" s="23">
        <v>-2.1</v>
      </c>
      <c r="CB106" s="23">
        <v>-2.1</v>
      </c>
      <c r="CC106" s="23">
        <v>-2.1</v>
      </c>
      <c r="CD106" s="23">
        <v>-2.1</v>
      </c>
      <c r="CE106" s="23">
        <v>-2.1</v>
      </c>
      <c r="CF106" s="23">
        <v>-2.1</v>
      </c>
      <c r="CG106" s="23">
        <v>-2.1</v>
      </c>
      <c r="CH106" s="23">
        <v>-2.1</v>
      </c>
      <c r="CI106" s="23">
        <v>-2.1</v>
      </c>
      <c r="CJ106" s="23">
        <v>-2.1</v>
      </c>
      <c r="CK106" s="23">
        <v>-2.1</v>
      </c>
      <c r="CL106" s="23">
        <v>-2.1</v>
      </c>
      <c r="CM106" s="23">
        <v>-2.1</v>
      </c>
      <c r="CN106" s="23">
        <v>-2.1</v>
      </c>
      <c r="CO106" s="23">
        <v>-2.1</v>
      </c>
      <c r="CP106" s="23">
        <v>-2.1</v>
      </c>
      <c r="CQ106" s="23">
        <v>-2.1</v>
      </c>
      <c r="CR106" s="23">
        <v>-2.1</v>
      </c>
      <c r="CS106" s="23">
        <v>-2.1</v>
      </c>
      <c r="CT106" s="23">
        <v>-2.1</v>
      </c>
      <c r="CU106" s="23">
        <v>-2.1</v>
      </c>
      <c r="CV106" s="23">
        <v>-2.1</v>
      </c>
      <c r="CW106" s="23">
        <v>-2.1</v>
      </c>
      <c r="CX106" s="23">
        <v>-2.1</v>
      </c>
      <c r="CY106" s="23">
        <v>-2.1</v>
      </c>
      <c r="CZ106" s="23">
        <v>-2.1</v>
      </c>
      <c r="DA106" s="23">
        <v>-2.1</v>
      </c>
      <c r="DB106" s="23">
        <v>-2.1</v>
      </c>
      <c r="DC106" s="23">
        <v>-2.1</v>
      </c>
      <c r="DD106" s="23">
        <v>-2.1</v>
      </c>
      <c r="DE106" s="23">
        <v>-2.1</v>
      </c>
      <c r="DF106" s="23">
        <v>-2.1</v>
      </c>
      <c r="DG106" s="23">
        <v>-2.1</v>
      </c>
      <c r="DH106" s="23">
        <v>-2.1</v>
      </c>
      <c r="DI106" s="23">
        <v>-2.1</v>
      </c>
      <c r="DJ106" s="23">
        <v>-2.1</v>
      </c>
      <c r="DK106" s="23">
        <v>-2.1</v>
      </c>
      <c r="DL106" s="23">
        <v>-2.1</v>
      </c>
      <c r="DM106" s="23">
        <v>-2.1</v>
      </c>
      <c r="DN106" s="23">
        <v>-2.1</v>
      </c>
      <c r="DO106" s="23">
        <v>-2.1</v>
      </c>
      <c r="DP106" s="23">
        <v>-2.1</v>
      </c>
      <c r="DQ106" s="23">
        <v>-2.1</v>
      </c>
      <c r="DR106" s="23">
        <v>-2.1</v>
      </c>
      <c r="DS106" s="23">
        <v>-2.1</v>
      </c>
      <c r="DT106" s="23">
        <v>-2.1</v>
      </c>
      <c r="DU106" s="23">
        <v>-2.1</v>
      </c>
      <c r="DV106" s="23">
        <v>-2.1</v>
      </c>
      <c r="DW106" s="23">
        <v>-2.1</v>
      </c>
      <c r="DX106" s="23">
        <v>-2.1</v>
      </c>
      <c r="DY106" s="23">
        <v>-2.1</v>
      </c>
      <c r="DZ106" s="23">
        <v>-2.1</v>
      </c>
      <c r="EA106" s="23">
        <v>-2.1</v>
      </c>
      <c r="EB106" s="23">
        <v>-2.1</v>
      </c>
      <c r="EC106" s="23">
        <v>-2.1</v>
      </c>
      <c r="ED106" s="23">
        <v>-2.1</v>
      </c>
      <c r="EE106" s="23">
        <v>-2.1</v>
      </c>
      <c r="EF106" s="23">
        <v>-2.1</v>
      </c>
      <c r="EG106" s="23">
        <v>-2.1</v>
      </c>
      <c r="EH106" s="23">
        <v>-2.1</v>
      </c>
      <c r="EI106" s="23">
        <v>-2.1</v>
      </c>
      <c r="EJ106" s="23">
        <v>-2.1</v>
      </c>
      <c r="EK106" s="23">
        <v>-2.1</v>
      </c>
      <c r="EL106" s="23">
        <v>-2.1</v>
      </c>
      <c r="EM106" s="23">
        <v>-2.1</v>
      </c>
      <c r="EN106" s="23">
        <v>-2.1</v>
      </c>
      <c r="EO106" s="23">
        <v>-2.1</v>
      </c>
      <c r="EP106" s="23">
        <v>-2.1</v>
      </c>
      <c r="EQ106" s="23">
        <v>-2.1</v>
      </c>
      <c r="ER106" s="23">
        <v>-2.1</v>
      </c>
      <c r="ES106" s="23">
        <v>-2.1</v>
      </c>
      <c r="ET106" s="23">
        <v>-2.1</v>
      </c>
      <c r="EU106" s="23">
        <v>-2.1</v>
      </c>
      <c r="EV106" s="23">
        <v>-2.1</v>
      </c>
      <c r="EW106" s="23">
        <v>-2.1</v>
      </c>
      <c r="EX106" s="23">
        <v>-2.1</v>
      </c>
      <c r="EY106" s="23">
        <v>-2.1</v>
      </c>
      <c r="EZ106" s="23">
        <v>-2.1</v>
      </c>
      <c r="FA106" s="23">
        <v>-2.1</v>
      </c>
      <c r="FB106" s="23">
        <v>-2.1</v>
      </c>
      <c r="FC106" s="23">
        <v>-2.1</v>
      </c>
      <c r="FD106" s="23">
        <v>-2.1</v>
      </c>
      <c r="FE106" s="23">
        <v>-2.1</v>
      </c>
      <c r="FF106" s="23">
        <v>-2.1</v>
      </c>
      <c r="FG106" s="23">
        <v>-2.1</v>
      </c>
      <c r="FH106" s="23">
        <v>-2.1</v>
      </c>
      <c r="FI106" s="23">
        <v>-2.1</v>
      </c>
      <c r="FJ106" s="23">
        <v>-2.1</v>
      </c>
      <c r="FK106" s="23">
        <v>-2.1</v>
      </c>
      <c r="FL106" s="23">
        <v>-2.1</v>
      </c>
      <c r="FM106" s="23">
        <v>-2.1</v>
      </c>
      <c r="FN106" s="23">
        <v>-2.1</v>
      </c>
      <c r="FO106" s="23">
        <v>-2.1</v>
      </c>
      <c r="FP106" s="23">
        <v>-2.1</v>
      </c>
      <c r="FQ106" s="23">
        <v>-2.1</v>
      </c>
      <c r="FR106" s="23">
        <v>-2.1</v>
      </c>
      <c r="FS106" s="23">
        <v>-2.1</v>
      </c>
      <c r="FT106" s="23">
        <v>-2.1</v>
      </c>
      <c r="FU106" s="23">
        <v>-2.1</v>
      </c>
      <c r="FV106" s="23">
        <v>-2.1</v>
      </c>
      <c r="FW106" s="23">
        <v>-2.1</v>
      </c>
      <c r="FX106" s="23">
        <v>-2.1</v>
      </c>
      <c r="FY106" s="23">
        <v>-2.1</v>
      </c>
      <c r="FZ106" s="23">
        <v>-2.1</v>
      </c>
      <c r="GA106" s="23">
        <v>-2.1</v>
      </c>
      <c r="GB106" s="23">
        <v>-2.1</v>
      </c>
      <c r="GC106" s="23">
        <v>-2.1</v>
      </c>
      <c r="GD106" s="23">
        <v>-2.1</v>
      </c>
      <c r="GE106" s="23">
        <v>-2.1</v>
      </c>
      <c r="GF106" s="23">
        <v>-2.1</v>
      </c>
      <c r="GG106" s="23">
        <v>-2.1</v>
      </c>
      <c r="GH106" s="23">
        <v>-2.1</v>
      </c>
      <c r="GI106" s="23">
        <v>-2.1</v>
      </c>
      <c r="GJ106" s="23">
        <v>-2.1</v>
      </c>
      <c r="GK106" s="23">
        <v>-2.1</v>
      </c>
      <c r="GL106" s="23">
        <v>-2.1</v>
      </c>
      <c r="GM106" s="23">
        <v>-2.1</v>
      </c>
      <c r="GN106" s="23">
        <v>-2.1</v>
      </c>
      <c r="GO106" s="23">
        <v>-2.1</v>
      </c>
      <c r="GP106" s="23">
        <v>-2.1</v>
      </c>
      <c r="GQ106" s="23">
        <v>-2.1</v>
      </c>
      <c r="GR106" s="23">
        <v>-2.1</v>
      </c>
      <c r="GS106" s="23">
        <v>-2.1</v>
      </c>
      <c r="GT106" s="23">
        <v>-2.1</v>
      </c>
      <c r="GU106" s="23">
        <v>-2.1</v>
      </c>
      <c r="GV106" s="23">
        <v>-2.1</v>
      </c>
      <c r="GW106" s="23">
        <v>-2.1</v>
      </c>
      <c r="GX106" s="23">
        <v>-2.1</v>
      </c>
      <c r="GY106" s="23">
        <v>-2.1</v>
      </c>
      <c r="GZ106" s="23">
        <v>-2.1</v>
      </c>
      <c r="HA106" s="23">
        <v>-2.1</v>
      </c>
      <c r="HB106" s="23">
        <v>-2.1</v>
      </c>
      <c r="HC106" s="23">
        <v>-2.1</v>
      </c>
      <c r="HD106" s="23">
        <v>-2.1</v>
      </c>
      <c r="HE106" s="23">
        <v>-2.1</v>
      </c>
      <c r="HF106" s="23">
        <v>-2.1</v>
      </c>
      <c r="HG106" s="23">
        <v>-2.1</v>
      </c>
      <c r="HH106" s="23">
        <v>-2.1</v>
      </c>
      <c r="HI106" s="23">
        <v>-2.1</v>
      </c>
      <c r="HJ106" s="23">
        <v>-2.1</v>
      </c>
      <c r="HK106" s="23">
        <v>-2.1</v>
      </c>
      <c r="HL106" s="23">
        <v>-2.1</v>
      </c>
      <c r="HM106" s="23">
        <v>-2.1</v>
      </c>
      <c r="HN106" s="23">
        <v>-2.1</v>
      </c>
      <c r="HO106" s="23">
        <v>-2.1</v>
      </c>
      <c r="HP106" s="23">
        <v>-2.1</v>
      </c>
      <c r="HQ106" s="23">
        <v>-2.1</v>
      </c>
      <c r="HR106" s="23">
        <v>-2.1</v>
      </c>
      <c r="HS106" s="23">
        <v>-2.1</v>
      </c>
      <c r="HT106" s="23">
        <v>-2.1</v>
      </c>
      <c r="HU106" s="23">
        <v>-2.1</v>
      </c>
      <c r="HV106" s="23">
        <v>-2.1</v>
      </c>
      <c r="HW106" s="23">
        <v>-2.1</v>
      </c>
      <c r="HX106" s="23">
        <v>-2.1</v>
      </c>
      <c r="HY106" s="23">
        <v>-2.1</v>
      </c>
      <c r="HZ106" s="23">
        <v>-2.1</v>
      </c>
      <c r="IA106" s="23">
        <v>-2.1</v>
      </c>
      <c r="IB106" s="23">
        <v>-2.1</v>
      </c>
      <c r="IC106" s="23">
        <v>-2.1</v>
      </c>
      <c r="ID106" s="23">
        <v>-2.1</v>
      </c>
      <c r="IE106" s="23">
        <v>-2.1</v>
      </c>
      <c r="IF106" s="23">
        <v>-2.1</v>
      </c>
      <c r="IG106" s="23">
        <v>-2.1</v>
      </c>
      <c r="IH106" s="23">
        <v>-2.1</v>
      </c>
      <c r="II106" s="23">
        <v>-2.1</v>
      </c>
      <c r="IJ106" s="23">
        <v>-2.1</v>
      </c>
      <c r="IK106" s="23">
        <v>-2.1</v>
      </c>
      <c r="IL106" s="23">
        <v>-2.1</v>
      </c>
      <c r="IM106" s="23">
        <v>-2.1</v>
      </c>
      <c r="IN106" s="23">
        <v>-2.1</v>
      </c>
      <c r="IO106" s="23">
        <v>-2.1</v>
      </c>
      <c r="IP106" s="23">
        <v>-2.1</v>
      </c>
      <c r="IQ106" s="23">
        <v>-2.1</v>
      </c>
      <c r="IR106" s="23">
        <v>-2.1</v>
      </c>
      <c r="IS106" s="23">
        <v>-2.1</v>
      </c>
      <c r="IT106" s="23">
        <v>-2.1</v>
      </c>
      <c r="IU106" s="23">
        <v>-2.1</v>
      </c>
      <c r="IV106" s="23">
        <v>-2.1</v>
      </c>
      <c r="IW106" s="23">
        <v>-2.1</v>
      </c>
      <c r="IX106" s="23">
        <v>-2.1</v>
      </c>
      <c r="IY106" s="23">
        <v>-2.1</v>
      </c>
      <c r="IZ106" s="23">
        <v>-2.1</v>
      </c>
      <c r="JA106" s="23">
        <v>-2.1</v>
      </c>
      <c r="JB106" s="23">
        <v>-2.1</v>
      </c>
      <c r="JC106" s="23">
        <v>-2.1</v>
      </c>
      <c r="JD106" s="23">
        <v>-2.1</v>
      </c>
      <c r="JE106" s="23">
        <v>-2.1</v>
      </c>
      <c r="JF106" s="23">
        <v>-2.1</v>
      </c>
      <c r="JG106" s="23">
        <v>-2.1</v>
      </c>
      <c r="JH106" s="23">
        <v>-2.1</v>
      </c>
      <c r="JI106" s="23">
        <v>-2.1</v>
      </c>
      <c r="JJ106" s="23">
        <v>-2.1</v>
      </c>
      <c r="JK106" s="23">
        <v>-2.1</v>
      </c>
      <c r="JL106" s="23">
        <v>-2.1</v>
      </c>
      <c r="JM106" s="23">
        <v>-2.1</v>
      </c>
      <c r="JN106" s="23">
        <v>-2.1</v>
      </c>
      <c r="JO106" s="23">
        <v>-2.1</v>
      </c>
      <c r="JP106" s="23">
        <v>-2.1</v>
      </c>
      <c r="JQ106" s="23">
        <v>-2.1</v>
      </c>
      <c r="JR106" s="23">
        <v>-2.1</v>
      </c>
      <c r="JS106" s="23">
        <v>-2.1</v>
      </c>
      <c r="JT106" s="23">
        <v>-2.1</v>
      </c>
      <c r="JU106" s="23">
        <v>-2.1</v>
      </c>
      <c r="JV106" s="23">
        <v>-2.1</v>
      </c>
      <c r="JW106" s="23">
        <v>-2.1</v>
      </c>
      <c r="JX106" s="23">
        <v>-2.1</v>
      </c>
      <c r="JY106" s="23">
        <v>-2.1</v>
      </c>
      <c r="JZ106" s="23">
        <v>-2.1</v>
      </c>
      <c r="KA106" s="23">
        <v>-2.1</v>
      </c>
      <c r="KB106" s="23">
        <v>-2.1</v>
      </c>
      <c r="KC106" s="23">
        <v>-2.1</v>
      </c>
      <c r="KD106" s="23">
        <v>-2.1</v>
      </c>
      <c r="KE106" s="23">
        <v>-2.1</v>
      </c>
      <c r="KF106" s="23">
        <v>-2.1</v>
      </c>
    </row>
    <row r="107" spans="4:292" outlineLevel="1" x14ac:dyDescent="0.35">
      <c r="E107" s="13" t="s">
        <v>170</v>
      </c>
      <c r="J107" s="15" t="s">
        <v>32</v>
      </c>
      <c r="K107" s="23">
        <v>-2.5200000000000005</v>
      </c>
      <c r="L107" s="23">
        <v>-2.5200000000000005</v>
      </c>
      <c r="M107" s="23">
        <v>-2.5200000000000005</v>
      </c>
      <c r="N107" s="23">
        <v>-2.5200000000000005</v>
      </c>
      <c r="O107" s="23">
        <v>-2.5200000000000005</v>
      </c>
      <c r="P107" s="23">
        <v>-2.5200000000000005</v>
      </c>
      <c r="Q107" s="23">
        <v>-2.5200000000000005</v>
      </c>
      <c r="R107" s="23">
        <v>-2.5200000000000005</v>
      </c>
      <c r="S107" s="23">
        <v>-2.5200000000000005</v>
      </c>
      <c r="T107" s="23">
        <v>-2.5200000000000005</v>
      </c>
      <c r="U107" s="23">
        <v>-2.5200000000000005</v>
      </c>
      <c r="V107" s="23">
        <v>-2.5200000000000005</v>
      </c>
      <c r="W107" s="23">
        <v>-2.5200000000000005</v>
      </c>
      <c r="X107" s="23">
        <v>-2.5200000000000005</v>
      </c>
      <c r="Y107" s="23">
        <v>-2.5200000000000005</v>
      </c>
      <c r="Z107" s="23">
        <v>-2.5200000000000005</v>
      </c>
      <c r="AA107" s="23">
        <v>-2.5200000000000005</v>
      </c>
      <c r="AB107" s="23">
        <v>-2.5200000000000005</v>
      </c>
      <c r="AC107" s="23">
        <v>-2.5200000000000005</v>
      </c>
      <c r="AD107" s="23">
        <v>-2.5200000000000005</v>
      </c>
      <c r="AE107" s="23">
        <v>-2.5200000000000005</v>
      </c>
      <c r="AF107" s="23">
        <v>-2.5200000000000005</v>
      </c>
      <c r="AG107" s="23">
        <v>-2.5200000000000005</v>
      </c>
      <c r="AH107" s="23">
        <v>-2.5200000000000005</v>
      </c>
      <c r="AI107" s="23">
        <v>-2.5200000000000005</v>
      </c>
      <c r="AJ107" s="23">
        <v>-2.5200000000000005</v>
      </c>
      <c r="AK107" s="23">
        <v>-2.5200000000000005</v>
      </c>
      <c r="AL107" s="23">
        <v>-2.5200000000000005</v>
      </c>
      <c r="AM107" s="23">
        <v>-2.5200000000000005</v>
      </c>
      <c r="AN107" s="23">
        <v>-2.5200000000000005</v>
      </c>
      <c r="AO107" s="23">
        <v>-2.5200000000000005</v>
      </c>
      <c r="AP107" s="23">
        <v>-2.5200000000000005</v>
      </c>
      <c r="AQ107" s="23">
        <v>-2.5200000000000005</v>
      </c>
      <c r="AR107" s="23">
        <v>-2.5200000000000005</v>
      </c>
      <c r="AS107" s="23">
        <v>-2.5200000000000005</v>
      </c>
      <c r="AT107" s="23">
        <v>-2.5200000000000005</v>
      </c>
      <c r="AU107" s="23">
        <v>-2.5200000000000005</v>
      </c>
      <c r="AV107" s="23">
        <v>-2.5200000000000005</v>
      </c>
      <c r="AW107" s="23">
        <v>-2.5200000000000005</v>
      </c>
      <c r="AX107" s="23">
        <v>-2.5200000000000005</v>
      </c>
      <c r="AY107" s="23">
        <v>-2.5200000000000005</v>
      </c>
      <c r="AZ107" s="23">
        <v>-2.5200000000000005</v>
      </c>
      <c r="BA107" s="23">
        <v>-2.5200000000000005</v>
      </c>
      <c r="BB107" s="23">
        <v>-2.5200000000000005</v>
      </c>
      <c r="BC107" s="23">
        <v>-2.5200000000000005</v>
      </c>
      <c r="BD107" s="23">
        <v>-2.5200000000000005</v>
      </c>
      <c r="BE107" s="23">
        <v>-2.5200000000000005</v>
      </c>
      <c r="BF107" s="23">
        <v>-2.5200000000000005</v>
      </c>
      <c r="BG107" s="23">
        <v>-2.5200000000000005</v>
      </c>
      <c r="BH107" s="23">
        <v>-2.5200000000000005</v>
      </c>
      <c r="BI107" s="23">
        <v>-2.5200000000000005</v>
      </c>
      <c r="BJ107" s="23">
        <v>-2.5200000000000005</v>
      </c>
      <c r="BK107" s="23">
        <v>-2.5200000000000005</v>
      </c>
      <c r="BL107" s="23">
        <v>-2.5200000000000005</v>
      </c>
      <c r="BM107" s="23">
        <v>-2.5200000000000005</v>
      </c>
      <c r="BN107" s="23">
        <v>-2.5200000000000005</v>
      </c>
      <c r="BO107" s="23">
        <v>-2.5200000000000005</v>
      </c>
      <c r="BP107" s="23">
        <v>-2.5200000000000005</v>
      </c>
      <c r="BQ107" s="23">
        <v>-2.5200000000000005</v>
      </c>
      <c r="BR107" s="23">
        <v>-2.5200000000000005</v>
      </c>
      <c r="BS107" s="23">
        <v>-2.5200000000000005</v>
      </c>
      <c r="BT107" s="23">
        <v>-2.5200000000000005</v>
      </c>
      <c r="BU107" s="23">
        <v>-2.5200000000000005</v>
      </c>
      <c r="BV107" s="23">
        <v>-2.5200000000000005</v>
      </c>
      <c r="BW107" s="23">
        <v>-2.5200000000000005</v>
      </c>
      <c r="BX107" s="23">
        <v>-2.5200000000000005</v>
      </c>
      <c r="BY107" s="23">
        <v>-2.5200000000000005</v>
      </c>
      <c r="BZ107" s="23">
        <v>-2.5200000000000005</v>
      </c>
      <c r="CA107" s="23">
        <v>-2.5200000000000005</v>
      </c>
      <c r="CB107" s="23">
        <v>-2.5200000000000005</v>
      </c>
      <c r="CC107" s="23">
        <v>-2.5200000000000005</v>
      </c>
      <c r="CD107" s="23">
        <v>-2.5200000000000005</v>
      </c>
      <c r="CE107" s="23">
        <v>-2.5200000000000005</v>
      </c>
      <c r="CF107" s="23">
        <v>-2.5200000000000005</v>
      </c>
      <c r="CG107" s="23">
        <v>-2.5200000000000005</v>
      </c>
      <c r="CH107" s="23">
        <v>-2.5200000000000005</v>
      </c>
      <c r="CI107" s="23">
        <v>-2.5200000000000005</v>
      </c>
      <c r="CJ107" s="23">
        <v>-2.5200000000000005</v>
      </c>
      <c r="CK107" s="23">
        <v>-2.5200000000000005</v>
      </c>
      <c r="CL107" s="23">
        <v>-2.5200000000000005</v>
      </c>
      <c r="CM107" s="23">
        <v>-2.5200000000000005</v>
      </c>
      <c r="CN107" s="23">
        <v>-2.5200000000000005</v>
      </c>
      <c r="CO107" s="23">
        <v>-2.5200000000000005</v>
      </c>
      <c r="CP107" s="23">
        <v>-2.5200000000000005</v>
      </c>
      <c r="CQ107" s="23">
        <v>-2.5200000000000005</v>
      </c>
      <c r="CR107" s="23">
        <v>-2.5200000000000005</v>
      </c>
      <c r="CS107" s="23">
        <v>-2.5200000000000005</v>
      </c>
      <c r="CT107" s="23">
        <v>-2.5200000000000005</v>
      </c>
      <c r="CU107" s="23">
        <v>-2.5200000000000005</v>
      </c>
      <c r="CV107" s="23">
        <v>-2.5200000000000005</v>
      </c>
      <c r="CW107" s="23">
        <v>-2.5200000000000005</v>
      </c>
      <c r="CX107" s="23">
        <v>-2.5200000000000005</v>
      </c>
      <c r="CY107" s="23">
        <v>-2.5200000000000005</v>
      </c>
      <c r="CZ107" s="23">
        <v>-2.5200000000000005</v>
      </c>
      <c r="DA107" s="23">
        <v>-2.5200000000000005</v>
      </c>
      <c r="DB107" s="23">
        <v>-2.5200000000000005</v>
      </c>
      <c r="DC107" s="23">
        <v>-2.5200000000000005</v>
      </c>
      <c r="DD107" s="23">
        <v>-2.5200000000000005</v>
      </c>
      <c r="DE107" s="23">
        <v>-2.5200000000000005</v>
      </c>
      <c r="DF107" s="23">
        <v>-2.5200000000000005</v>
      </c>
      <c r="DG107" s="23">
        <v>-2.5200000000000005</v>
      </c>
      <c r="DH107" s="23">
        <v>-2.5200000000000005</v>
      </c>
      <c r="DI107" s="23">
        <v>-2.5200000000000005</v>
      </c>
      <c r="DJ107" s="23">
        <v>-2.5200000000000005</v>
      </c>
      <c r="DK107" s="23">
        <v>-2.5200000000000005</v>
      </c>
      <c r="DL107" s="23">
        <v>-2.5200000000000005</v>
      </c>
      <c r="DM107" s="23">
        <v>-2.5200000000000005</v>
      </c>
      <c r="DN107" s="23">
        <v>-2.5200000000000005</v>
      </c>
      <c r="DO107" s="23">
        <v>-2.5200000000000005</v>
      </c>
      <c r="DP107" s="23">
        <v>-2.5200000000000005</v>
      </c>
      <c r="DQ107" s="23">
        <v>-2.5200000000000005</v>
      </c>
      <c r="DR107" s="23">
        <v>-2.5200000000000005</v>
      </c>
      <c r="DS107" s="23">
        <v>-2.5200000000000005</v>
      </c>
      <c r="DT107" s="23">
        <v>-2.5200000000000005</v>
      </c>
      <c r="DU107" s="23">
        <v>-2.5200000000000005</v>
      </c>
      <c r="DV107" s="23">
        <v>-2.5200000000000005</v>
      </c>
      <c r="DW107" s="23">
        <v>-2.5200000000000005</v>
      </c>
      <c r="DX107" s="23">
        <v>-2.5200000000000005</v>
      </c>
      <c r="DY107" s="23">
        <v>-2.5200000000000005</v>
      </c>
      <c r="DZ107" s="23">
        <v>-2.5200000000000005</v>
      </c>
      <c r="EA107" s="23">
        <v>-2.5200000000000005</v>
      </c>
      <c r="EB107" s="23">
        <v>-2.5200000000000005</v>
      </c>
      <c r="EC107" s="23">
        <v>-2.5200000000000005</v>
      </c>
      <c r="ED107" s="23">
        <v>-2.5200000000000005</v>
      </c>
      <c r="EE107" s="23">
        <v>-2.5200000000000005</v>
      </c>
      <c r="EF107" s="23">
        <v>-2.5200000000000005</v>
      </c>
      <c r="EG107" s="23">
        <v>-2.5200000000000005</v>
      </c>
      <c r="EH107" s="23">
        <v>-2.5200000000000005</v>
      </c>
      <c r="EI107" s="23">
        <v>-2.5200000000000005</v>
      </c>
      <c r="EJ107" s="23">
        <v>-2.5200000000000005</v>
      </c>
      <c r="EK107" s="23">
        <v>-2.5200000000000005</v>
      </c>
      <c r="EL107" s="23">
        <v>-2.5200000000000005</v>
      </c>
      <c r="EM107" s="23">
        <v>-2.5200000000000005</v>
      </c>
      <c r="EN107" s="23">
        <v>-2.5200000000000005</v>
      </c>
      <c r="EO107" s="23">
        <v>-2.5200000000000005</v>
      </c>
      <c r="EP107" s="23">
        <v>-2.5200000000000005</v>
      </c>
      <c r="EQ107" s="23">
        <v>-2.5200000000000005</v>
      </c>
      <c r="ER107" s="23">
        <v>-2.5200000000000005</v>
      </c>
      <c r="ES107" s="23">
        <v>-2.5200000000000005</v>
      </c>
      <c r="ET107" s="23">
        <v>-2.5200000000000005</v>
      </c>
      <c r="EU107" s="23">
        <v>-2.5200000000000005</v>
      </c>
      <c r="EV107" s="23">
        <v>-2.5200000000000005</v>
      </c>
      <c r="EW107" s="23">
        <v>-2.5200000000000005</v>
      </c>
      <c r="EX107" s="23">
        <v>-2.5200000000000005</v>
      </c>
      <c r="EY107" s="23">
        <v>-2.5200000000000005</v>
      </c>
      <c r="EZ107" s="23">
        <v>-2.5200000000000005</v>
      </c>
      <c r="FA107" s="23">
        <v>-2.5200000000000005</v>
      </c>
      <c r="FB107" s="23">
        <v>-2.5200000000000005</v>
      </c>
      <c r="FC107" s="23">
        <v>-2.5200000000000005</v>
      </c>
      <c r="FD107" s="23">
        <v>-2.5200000000000005</v>
      </c>
      <c r="FE107" s="23">
        <v>-2.5200000000000005</v>
      </c>
      <c r="FF107" s="23">
        <v>-2.5200000000000005</v>
      </c>
      <c r="FG107" s="23">
        <v>-2.5200000000000005</v>
      </c>
      <c r="FH107" s="23">
        <v>-2.5200000000000005</v>
      </c>
      <c r="FI107" s="23">
        <v>-2.5200000000000005</v>
      </c>
      <c r="FJ107" s="23">
        <v>-2.5200000000000005</v>
      </c>
      <c r="FK107" s="23">
        <v>-2.5200000000000005</v>
      </c>
      <c r="FL107" s="23">
        <v>-2.5200000000000005</v>
      </c>
      <c r="FM107" s="23">
        <v>-2.5200000000000005</v>
      </c>
      <c r="FN107" s="23">
        <v>-2.5200000000000005</v>
      </c>
      <c r="FO107" s="23">
        <v>-2.5200000000000005</v>
      </c>
      <c r="FP107" s="23">
        <v>-2.5200000000000005</v>
      </c>
      <c r="FQ107" s="23">
        <v>-2.5200000000000005</v>
      </c>
      <c r="FR107" s="23">
        <v>-2.5200000000000005</v>
      </c>
      <c r="FS107" s="23">
        <v>-2.5200000000000005</v>
      </c>
      <c r="FT107" s="23">
        <v>-2.5200000000000005</v>
      </c>
      <c r="FU107" s="23">
        <v>-2.5200000000000005</v>
      </c>
      <c r="FV107" s="23">
        <v>-2.5200000000000005</v>
      </c>
      <c r="FW107" s="23">
        <v>-2.5200000000000005</v>
      </c>
      <c r="FX107" s="23">
        <v>-2.5200000000000005</v>
      </c>
      <c r="FY107" s="23">
        <v>-2.5200000000000005</v>
      </c>
      <c r="FZ107" s="23">
        <v>-2.5200000000000005</v>
      </c>
      <c r="GA107" s="23">
        <v>-2.5200000000000005</v>
      </c>
      <c r="GB107" s="23">
        <v>-2.5200000000000005</v>
      </c>
      <c r="GC107" s="23">
        <v>-2.5200000000000005</v>
      </c>
      <c r="GD107" s="23">
        <v>-2.5200000000000005</v>
      </c>
      <c r="GE107" s="23">
        <v>-2.5200000000000005</v>
      </c>
      <c r="GF107" s="23">
        <v>-2.5200000000000005</v>
      </c>
      <c r="GG107" s="23">
        <v>-2.5200000000000005</v>
      </c>
      <c r="GH107" s="23">
        <v>-2.5200000000000005</v>
      </c>
      <c r="GI107" s="23">
        <v>-2.5200000000000005</v>
      </c>
      <c r="GJ107" s="23">
        <v>-2.5200000000000005</v>
      </c>
      <c r="GK107" s="23">
        <v>-2.5200000000000005</v>
      </c>
      <c r="GL107" s="23">
        <v>-2.5200000000000005</v>
      </c>
      <c r="GM107" s="23">
        <v>-2.5200000000000005</v>
      </c>
      <c r="GN107" s="23">
        <v>-2.5200000000000005</v>
      </c>
      <c r="GO107" s="23">
        <v>-2.5200000000000005</v>
      </c>
      <c r="GP107" s="23">
        <v>-2.5200000000000005</v>
      </c>
      <c r="GQ107" s="23">
        <v>-2.5200000000000005</v>
      </c>
      <c r="GR107" s="23">
        <v>-2.5200000000000005</v>
      </c>
      <c r="GS107" s="23">
        <v>-2.5200000000000005</v>
      </c>
      <c r="GT107" s="23">
        <v>-2.5200000000000005</v>
      </c>
      <c r="GU107" s="23">
        <v>-2.5200000000000005</v>
      </c>
      <c r="GV107" s="23">
        <v>-2.5200000000000005</v>
      </c>
      <c r="GW107" s="23">
        <v>-2.5200000000000005</v>
      </c>
      <c r="GX107" s="23">
        <v>-2.5200000000000005</v>
      </c>
      <c r="GY107" s="23">
        <v>-2.5200000000000005</v>
      </c>
      <c r="GZ107" s="23">
        <v>-2.5200000000000005</v>
      </c>
      <c r="HA107" s="23">
        <v>-2.5200000000000005</v>
      </c>
      <c r="HB107" s="23">
        <v>-2.5200000000000005</v>
      </c>
      <c r="HC107" s="23">
        <v>-2.5200000000000005</v>
      </c>
      <c r="HD107" s="23">
        <v>-2.5200000000000005</v>
      </c>
      <c r="HE107" s="23">
        <v>-2.5200000000000005</v>
      </c>
      <c r="HF107" s="23">
        <v>-2.5200000000000005</v>
      </c>
      <c r="HG107" s="23">
        <v>-2.5200000000000005</v>
      </c>
      <c r="HH107" s="23">
        <v>-2.5200000000000005</v>
      </c>
      <c r="HI107" s="23">
        <v>-2.5200000000000005</v>
      </c>
      <c r="HJ107" s="23">
        <v>-2.5200000000000005</v>
      </c>
      <c r="HK107" s="23">
        <v>-2.5200000000000005</v>
      </c>
      <c r="HL107" s="23">
        <v>-2.5200000000000005</v>
      </c>
      <c r="HM107" s="23">
        <v>-2.5200000000000005</v>
      </c>
      <c r="HN107" s="23">
        <v>-2.5200000000000005</v>
      </c>
      <c r="HO107" s="23">
        <v>-2.5200000000000005</v>
      </c>
      <c r="HP107" s="23">
        <v>-2.5200000000000005</v>
      </c>
      <c r="HQ107" s="23">
        <v>-2.5200000000000005</v>
      </c>
      <c r="HR107" s="23">
        <v>-2.5200000000000005</v>
      </c>
      <c r="HS107" s="23">
        <v>-2.5200000000000005</v>
      </c>
      <c r="HT107" s="23">
        <v>-2.5200000000000005</v>
      </c>
      <c r="HU107" s="23">
        <v>-2.5200000000000005</v>
      </c>
      <c r="HV107" s="23">
        <v>-2.5200000000000005</v>
      </c>
      <c r="HW107" s="23">
        <v>-2.5200000000000005</v>
      </c>
      <c r="HX107" s="23">
        <v>-2.5200000000000005</v>
      </c>
      <c r="HY107" s="23">
        <v>-2.5200000000000005</v>
      </c>
      <c r="HZ107" s="23">
        <v>-2.5200000000000005</v>
      </c>
      <c r="IA107" s="23">
        <v>-2.5200000000000005</v>
      </c>
      <c r="IB107" s="23">
        <v>-2.5200000000000005</v>
      </c>
      <c r="IC107" s="23">
        <v>-2.5200000000000005</v>
      </c>
      <c r="ID107" s="23">
        <v>-2.5200000000000005</v>
      </c>
      <c r="IE107" s="23">
        <v>-2.5200000000000005</v>
      </c>
      <c r="IF107" s="23">
        <v>-2.5200000000000005</v>
      </c>
      <c r="IG107" s="23">
        <v>-2.5200000000000005</v>
      </c>
      <c r="IH107" s="23">
        <v>-2.5200000000000005</v>
      </c>
      <c r="II107" s="23">
        <v>-2.5200000000000005</v>
      </c>
      <c r="IJ107" s="23">
        <v>-2.5200000000000005</v>
      </c>
      <c r="IK107" s="23">
        <v>-2.5200000000000005</v>
      </c>
      <c r="IL107" s="23">
        <v>-2.5200000000000005</v>
      </c>
      <c r="IM107" s="23">
        <v>-2.5200000000000005</v>
      </c>
      <c r="IN107" s="23">
        <v>-2.5200000000000005</v>
      </c>
      <c r="IO107" s="23">
        <v>-2.5200000000000005</v>
      </c>
      <c r="IP107" s="23">
        <v>-2.5200000000000005</v>
      </c>
      <c r="IQ107" s="23">
        <v>-2.5200000000000005</v>
      </c>
      <c r="IR107" s="23">
        <v>-2.5200000000000005</v>
      </c>
      <c r="IS107" s="23">
        <v>-2.5200000000000005</v>
      </c>
      <c r="IT107" s="23">
        <v>-2.5200000000000005</v>
      </c>
      <c r="IU107" s="23">
        <v>-2.5200000000000005</v>
      </c>
      <c r="IV107" s="23">
        <v>-2.5200000000000005</v>
      </c>
      <c r="IW107" s="23">
        <v>-2.5200000000000005</v>
      </c>
      <c r="IX107" s="23">
        <v>-2.5200000000000005</v>
      </c>
      <c r="IY107" s="23">
        <v>-2.5200000000000005</v>
      </c>
      <c r="IZ107" s="23">
        <v>-2.5200000000000005</v>
      </c>
      <c r="JA107" s="23">
        <v>-2.5200000000000005</v>
      </c>
      <c r="JB107" s="23">
        <v>-2.5200000000000005</v>
      </c>
      <c r="JC107" s="23">
        <v>-2.5200000000000005</v>
      </c>
      <c r="JD107" s="23">
        <v>-2.5200000000000005</v>
      </c>
      <c r="JE107" s="23">
        <v>-2.5200000000000005</v>
      </c>
      <c r="JF107" s="23">
        <v>-2.5200000000000005</v>
      </c>
      <c r="JG107" s="23">
        <v>-2.5200000000000005</v>
      </c>
      <c r="JH107" s="23">
        <v>-2.5200000000000005</v>
      </c>
      <c r="JI107" s="23">
        <v>-2.5200000000000005</v>
      </c>
      <c r="JJ107" s="23">
        <v>-2.5200000000000005</v>
      </c>
      <c r="JK107" s="23">
        <v>-2.5200000000000005</v>
      </c>
      <c r="JL107" s="23">
        <v>-2.5200000000000005</v>
      </c>
      <c r="JM107" s="23">
        <v>-2.5200000000000005</v>
      </c>
      <c r="JN107" s="23">
        <v>-2.5200000000000005</v>
      </c>
      <c r="JO107" s="23">
        <v>-2.5200000000000005</v>
      </c>
      <c r="JP107" s="23">
        <v>-2.5200000000000005</v>
      </c>
      <c r="JQ107" s="23">
        <v>-2.5200000000000005</v>
      </c>
      <c r="JR107" s="23">
        <v>-2.5200000000000005</v>
      </c>
      <c r="JS107" s="23">
        <v>-2.5200000000000005</v>
      </c>
      <c r="JT107" s="23">
        <v>-2.5200000000000005</v>
      </c>
      <c r="JU107" s="23">
        <v>-2.5200000000000005</v>
      </c>
      <c r="JV107" s="23">
        <v>-2.5200000000000005</v>
      </c>
      <c r="JW107" s="23">
        <v>-2.5200000000000005</v>
      </c>
      <c r="JX107" s="23">
        <v>-2.5200000000000005</v>
      </c>
      <c r="JY107" s="23">
        <v>-2.5200000000000005</v>
      </c>
      <c r="JZ107" s="23">
        <v>-2.5200000000000005</v>
      </c>
      <c r="KA107" s="23">
        <v>-2.5200000000000005</v>
      </c>
      <c r="KB107" s="23">
        <v>-2.5200000000000005</v>
      </c>
      <c r="KC107" s="23">
        <v>-2.5200000000000005</v>
      </c>
      <c r="KD107" s="23">
        <v>-2.5200000000000005</v>
      </c>
      <c r="KE107" s="23">
        <v>-2.5200000000000005</v>
      </c>
      <c r="KF107" s="23">
        <v>-2.5200000000000005</v>
      </c>
    </row>
    <row r="108" spans="4:292" outlineLevel="1" x14ac:dyDescent="0.35">
      <c r="E108" s="13" t="s">
        <v>170</v>
      </c>
      <c r="J108" s="15" t="s">
        <v>33</v>
      </c>
      <c r="K108" s="23">
        <v>-2.9400000000000004</v>
      </c>
      <c r="L108" s="23">
        <v>-2.9400000000000004</v>
      </c>
      <c r="M108" s="23">
        <v>-2.9400000000000004</v>
      </c>
      <c r="N108" s="23">
        <v>-2.9400000000000004</v>
      </c>
      <c r="O108" s="23">
        <v>-2.9400000000000004</v>
      </c>
      <c r="P108" s="23">
        <v>-2.9400000000000004</v>
      </c>
      <c r="Q108" s="23">
        <v>-2.9400000000000004</v>
      </c>
      <c r="R108" s="23">
        <v>-2.9400000000000004</v>
      </c>
      <c r="S108" s="23">
        <v>-2.9400000000000004</v>
      </c>
      <c r="T108" s="23">
        <v>-2.9400000000000004</v>
      </c>
      <c r="U108" s="23">
        <v>-2.9400000000000004</v>
      </c>
      <c r="V108" s="23">
        <v>-2.9400000000000004</v>
      </c>
      <c r="W108" s="23">
        <v>-2.9400000000000004</v>
      </c>
      <c r="X108" s="23">
        <v>-2.9400000000000004</v>
      </c>
      <c r="Y108" s="23">
        <v>-2.9400000000000004</v>
      </c>
      <c r="Z108" s="23">
        <v>-2.9400000000000004</v>
      </c>
      <c r="AA108" s="23">
        <v>-2.9400000000000004</v>
      </c>
      <c r="AB108" s="23">
        <v>-2.9400000000000004</v>
      </c>
      <c r="AC108" s="23">
        <v>-2.9400000000000004</v>
      </c>
      <c r="AD108" s="23">
        <v>-2.9400000000000004</v>
      </c>
      <c r="AE108" s="23">
        <v>-2.9400000000000004</v>
      </c>
      <c r="AF108" s="23">
        <v>-2.9400000000000004</v>
      </c>
      <c r="AG108" s="23">
        <v>-2.9400000000000004</v>
      </c>
      <c r="AH108" s="23">
        <v>-2.9400000000000004</v>
      </c>
      <c r="AI108" s="23">
        <v>-2.9400000000000004</v>
      </c>
      <c r="AJ108" s="23">
        <v>-2.9400000000000004</v>
      </c>
      <c r="AK108" s="23">
        <v>-2.9400000000000004</v>
      </c>
      <c r="AL108" s="23">
        <v>-2.9400000000000004</v>
      </c>
      <c r="AM108" s="23">
        <v>-2.9400000000000004</v>
      </c>
      <c r="AN108" s="23">
        <v>-2.9400000000000004</v>
      </c>
      <c r="AO108" s="23">
        <v>-2.9400000000000004</v>
      </c>
      <c r="AP108" s="23">
        <v>-2.9400000000000004</v>
      </c>
      <c r="AQ108" s="23">
        <v>-2.9400000000000004</v>
      </c>
      <c r="AR108" s="23">
        <v>-2.9400000000000004</v>
      </c>
      <c r="AS108" s="23">
        <v>-2.9400000000000004</v>
      </c>
      <c r="AT108" s="23">
        <v>-2.9400000000000004</v>
      </c>
      <c r="AU108" s="23">
        <v>-2.9400000000000004</v>
      </c>
      <c r="AV108" s="23">
        <v>-2.9400000000000004</v>
      </c>
      <c r="AW108" s="23">
        <v>-2.9400000000000004</v>
      </c>
      <c r="AX108" s="23">
        <v>-2.9400000000000004</v>
      </c>
      <c r="AY108" s="23">
        <v>-2.9400000000000004</v>
      </c>
      <c r="AZ108" s="23">
        <v>-2.9400000000000004</v>
      </c>
      <c r="BA108" s="23">
        <v>-2.9400000000000004</v>
      </c>
      <c r="BB108" s="23">
        <v>-2.9400000000000004</v>
      </c>
      <c r="BC108" s="23">
        <v>-2.9400000000000004</v>
      </c>
      <c r="BD108" s="23">
        <v>-2.9400000000000004</v>
      </c>
      <c r="BE108" s="23">
        <v>-2.9400000000000004</v>
      </c>
      <c r="BF108" s="23">
        <v>-2.9400000000000004</v>
      </c>
      <c r="BG108" s="23">
        <v>-2.9400000000000004</v>
      </c>
      <c r="BH108" s="23">
        <v>-2.9400000000000004</v>
      </c>
      <c r="BI108" s="23">
        <v>-2.9400000000000004</v>
      </c>
      <c r="BJ108" s="23">
        <v>-2.9400000000000004</v>
      </c>
      <c r="BK108" s="23">
        <v>-2.9400000000000004</v>
      </c>
      <c r="BL108" s="23">
        <v>-2.9400000000000004</v>
      </c>
      <c r="BM108" s="23">
        <v>-2.9400000000000004</v>
      </c>
      <c r="BN108" s="23">
        <v>-2.9400000000000004</v>
      </c>
      <c r="BO108" s="23">
        <v>-2.9400000000000004</v>
      </c>
      <c r="BP108" s="23">
        <v>-2.9400000000000004</v>
      </c>
      <c r="BQ108" s="23">
        <v>-2.9400000000000004</v>
      </c>
      <c r="BR108" s="23">
        <v>-2.9400000000000004</v>
      </c>
      <c r="BS108" s="23">
        <v>-2.9400000000000004</v>
      </c>
      <c r="BT108" s="23">
        <v>-2.9400000000000004</v>
      </c>
      <c r="BU108" s="23">
        <v>-2.9400000000000004</v>
      </c>
      <c r="BV108" s="23">
        <v>-2.9400000000000004</v>
      </c>
      <c r="BW108" s="23">
        <v>-2.9400000000000004</v>
      </c>
      <c r="BX108" s="23">
        <v>-2.9400000000000004</v>
      </c>
      <c r="BY108" s="23">
        <v>-2.9400000000000004</v>
      </c>
      <c r="BZ108" s="23">
        <v>-2.9400000000000004</v>
      </c>
      <c r="CA108" s="23">
        <v>-2.9400000000000004</v>
      </c>
      <c r="CB108" s="23">
        <v>-2.9400000000000004</v>
      </c>
      <c r="CC108" s="23">
        <v>-2.9400000000000004</v>
      </c>
      <c r="CD108" s="23">
        <v>-2.9400000000000004</v>
      </c>
      <c r="CE108" s="23">
        <v>-2.9400000000000004</v>
      </c>
      <c r="CF108" s="23">
        <v>-2.9400000000000004</v>
      </c>
      <c r="CG108" s="23">
        <v>-2.9400000000000004</v>
      </c>
      <c r="CH108" s="23">
        <v>-2.9400000000000004</v>
      </c>
      <c r="CI108" s="23">
        <v>-2.9400000000000004</v>
      </c>
      <c r="CJ108" s="23">
        <v>-2.9400000000000004</v>
      </c>
      <c r="CK108" s="23">
        <v>-2.9400000000000004</v>
      </c>
      <c r="CL108" s="23">
        <v>-2.9400000000000004</v>
      </c>
      <c r="CM108" s="23">
        <v>-2.9400000000000004</v>
      </c>
      <c r="CN108" s="23">
        <v>-2.9400000000000004</v>
      </c>
      <c r="CO108" s="23">
        <v>-2.9400000000000004</v>
      </c>
      <c r="CP108" s="23">
        <v>-2.9400000000000004</v>
      </c>
      <c r="CQ108" s="23">
        <v>-2.9400000000000004</v>
      </c>
      <c r="CR108" s="23">
        <v>-2.9400000000000004</v>
      </c>
      <c r="CS108" s="23">
        <v>-2.9400000000000004</v>
      </c>
      <c r="CT108" s="23">
        <v>-2.9400000000000004</v>
      </c>
      <c r="CU108" s="23">
        <v>-2.9400000000000004</v>
      </c>
      <c r="CV108" s="23">
        <v>-2.9400000000000004</v>
      </c>
      <c r="CW108" s="23">
        <v>-2.9400000000000004</v>
      </c>
      <c r="CX108" s="23">
        <v>-2.9400000000000004</v>
      </c>
      <c r="CY108" s="23">
        <v>-2.9400000000000004</v>
      </c>
      <c r="CZ108" s="23">
        <v>-2.9400000000000004</v>
      </c>
      <c r="DA108" s="23">
        <v>-2.9400000000000004</v>
      </c>
      <c r="DB108" s="23">
        <v>-2.9400000000000004</v>
      </c>
      <c r="DC108" s="23">
        <v>-2.9400000000000004</v>
      </c>
      <c r="DD108" s="23">
        <v>-2.9400000000000004</v>
      </c>
      <c r="DE108" s="23">
        <v>-2.9400000000000004</v>
      </c>
      <c r="DF108" s="23">
        <v>-2.9400000000000004</v>
      </c>
      <c r="DG108" s="23">
        <v>-2.9400000000000004</v>
      </c>
      <c r="DH108" s="23">
        <v>-2.9400000000000004</v>
      </c>
      <c r="DI108" s="23">
        <v>-2.9400000000000004</v>
      </c>
      <c r="DJ108" s="23">
        <v>-2.9400000000000004</v>
      </c>
      <c r="DK108" s="23">
        <v>-2.9400000000000004</v>
      </c>
      <c r="DL108" s="23">
        <v>-2.9400000000000004</v>
      </c>
      <c r="DM108" s="23">
        <v>-2.9400000000000004</v>
      </c>
      <c r="DN108" s="23">
        <v>-2.9400000000000004</v>
      </c>
      <c r="DO108" s="23">
        <v>-2.9400000000000004</v>
      </c>
      <c r="DP108" s="23">
        <v>-2.9400000000000004</v>
      </c>
      <c r="DQ108" s="23">
        <v>-2.9400000000000004</v>
      </c>
      <c r="DR108" s="23">
        <v>-2.9400000000000004</v>
      </c>
      <c r="DS108" s="23">
        <v>-2.9400000000000004</v>
      </c>
      <c r="DT108" s="23">
        <v>-2.9400000000000004</v>
      </c>
      <c r="DU108" s="23">
        <v>-2.9400000000000004</v>
      </c>
      <c r="DV108" s="23">
        <v>-2.9400000000000004</v>
      </c>
      <c r="DW108" s="23">
        <v>-2.9400000000000004</v>
      </c>
      <c r="DX108" s="23">
        <v>-2.9400000000000004</v>
      </c>
      <c r="DY108" s="23">
        <v>-2.9400000000000004</v>
      </c>
      <c r="DZ108" s="23">
        <v>-2.9400000000000004</v>
      </c>
      <c r="EA108" s="23">
        <v>-2.9400000000000004</v>
      </c>
      <c r="EB108" s="23">
        <v>-2.9400000000000004</v>
      </c>
      <c r="EC108" s="23">
        <v>-2.9400000000000004</v>
      </c>
      <c r="ED108" s="23">
        <v>-2.9400000000000004</v>
      </c>
      <c r="EE108" s="23">
        <v>-2.9400000000000004</v>
      </c>
      <c r="EF108" s="23">
        <v>-2.9400000000000004</v>
      </c>
      <c r="EG108" s="23">
        <v>-2.9400000000000004</v>
      </c>
      <c r="EH108" s="23">
        <v>-2.9400000000000004</v>
      </c>
      <c r="EI108" s="23">
        <v>-2.9400000000000004</v>
      </c>
      <c r="EJ108" s="23">
        <v>-2.9400000000000004</v>
      </c>
      <c r="EK108" s="23">
        <v>-2.9400000000000004</v>
      </c>
      <c r="EL108" s="23">
        <v>-2.9400000000000004</v>
      </c>
      <c r="EM108" s="23">
        <v>-2.9400000000000004</v>
      </c>
      <c r="EN108" s="23">
        <v>-2.9400000000000004</v>
      </c>
      <c r="EO108" s="23">
        <v>-2.9400000000000004</v>
      </c>
      <c r="EP108" s="23">
        <v>-2.9400000000000004</v>
      </c>
      <c r="EQ108" s="23">
        <v>-2.9400000000000004</v>
      </c>
      <c r="ER108" s="23">
        <v>-2.9400000000000004</v>
      </c>
      <c r="ES108" s="23">
        <v>-2.9400000000000004</v>
      </c>
      <c r="ET108" s="23">
        <v>-2.9400000000000004</v>
      </c>
      <c r="EU108" s="23">
        <v>-2.9400000000000004</v>
      </c>
      <c r="EV108" s="23">
        <v>-2.9400000000000004</v>
      </c>
      <c r="EW108" s="23">
        <v>-2.9400000000000004</v>
      </c>
      <c r="EX108" s="23">
        <v>-2.9400000000000004</v>
      </c>
      <c r="EY108" s="23">
        <v>-2.9400000000000004</v>
      </c>
      <c r="EZ108" s="23">
        <v>-2.9400000000000004</v>
      </c>
      <c r="FA108" s="23">
        <v>-2.9400000000000004</v>
      </c>
      <c r="FB108" s="23">
        <v>-2.9400000000000004</v>
      </c>
      <c r="FC108" s="23">
        <v>-2.9400000000000004</v>
      </c>
      <c r="FD108" s="23">
        <v>-2.9400000000000004</v>
      </c>
      <c r="FE108" s="23">
        <v>-2.9400000000000004</v>
      </c>
      <c r="FF108" s="23">
        <v>-2.9400000000000004</v>
      </c>
      <c r="FG108" s="23">
        <v>-2.9400000000000004</v>
      </c>
      <c r="FH108" s="23">
        <v>-2.9400000000000004</v>
      </c>
      <c r="FI108" s="23">
        <v>-2.9400000000000004</v>
      </c>
      <c r="FJ108" s="23">
        <v>-2.9400000000000004</v>
      </c>
      <c r="FK108" s="23">
        <v>-2.9400000000000004</v>
      </c>
      <c r="FL108" s="23">
        <v>-2.9400000000000004</v>
      </c>
      <c r="FM108" s="23">
        <v>-2.9400000000000004</v>
      </c>
      <c r="FN108" s="23">
        <v>-2.9400000000000004</v>
      </c>
      <c r="FO108" s="23">
        <v>-2.9400000000000004</v>
      </c>
      <c r="FP108" s="23">
        <v>-2.9400000000000004</v>
      </c>
      <c r="FQ108" s="23">
        <v>-2.9400000000000004</v>
      </c>
      <c r="FR108" s="23">
        <v>-2.9400000000000004</v>
      </c>
      <c r="FS108" s="23">
        <v>-2.9400000000000004</v>
      </c>
      <c r="FT108" s="23">
        <v>-2.9400000000000004</v>
      </c>
      <c r="FU108" s="23">
        <v>-2.9400000000000004</v>
      </c>
      <c r="FV108" s="23">
        <v>-2.9400000000000004</v>
      </c>
      <c r="FW108" s="23">
        <v>-2.9400000000000004</v>
      </c>
      <c r="FX108" s="23">
        <v>-2.9400000000000004</v>
      </c>
      <c r="FY108" s="23">
        <v>-2.9400000000000004</v>
      </c>
      <c r="FZ108" s="23">
        <v>-2.9400000000000004</v>
      </c>
      <c r="GA108" s="23">
        <v>-2.9400000000000004</v>
      </c>
      <c r="GB108" s="23">
        <v>-2.9400000000000004</v>
      </c>
      <c r="GC108" s="23">
        <v>-2.9400000000000004</v>
      </c>
      <c r="GD108" s="23">
        <v>-2.9400000000000004</v>
      </c>
      <c r="GE108" s="23">
        <v>-2.9400000000000004</v>
      </c>
      <c r="GF108" s="23">
        <v>-2.9400000000000004</v>
      </c>
      <c r="GG108" s="23">
        <v>-2.9400000000000004</v>
      </c>
      <c r="GH108" s="23">
        <v>-2.9400000000000004</v>
      </c>
      <c r="GI108" s="23">
        <v>-2.9400000000000004</v>
      </c>
      <c r="GJ108" s="23">
        <v>-2.9400000000000004</v>
      </c>
      <c r="GK108" s="23">
        <v>-2.9400000000000004</v>
      </c>
      <c r="GL108" s="23">
        <v>-2.9400000000000004</v>
      </c>
      <c r="GM108" s="23">
        <v>-2.9400000000000004</v>
      </c>
      <c r="GN108" s="23">
        <v>-2.9400000000000004</v>
      </c>
      <c r="GO108" s="23">
        <v>-2.9400000000000004</v>
      </c>
      <c r="GP108" s="23">
        <v>-2.9400000000000004</v>
      </c>
      <c r="GQ108" s="23">
        <v>-2.9400000000000004</v>
      </c>
      <c r="GR108" s="23">
        <v>-2.9400000000000004</v>
      </c>
      <c r="GS108" s="23">
        <v>-2.9400000000000004</v>
      </c>
      <c r="GT108" s="23">
        <v>-2.9400000000000004</v>
      </c>
      <c r="GU108" s="23">
        <v>-2.9400000000000004</v>
      </c>
      <c r="GV108" s="23">
        <v>-2.9400000000000004</v>
      </c>
      <c r="GW108" s="23">
        <v>-2.9400000000000004</v>
      </c>
      <c r="GX108" s="23">
        <v>-2.9400000000000004</v>
      </c>
      <c r="GY108" s="23">
        <v>-2.9400000000000004</v>
      </c>
      <c r="GZ108" s="23">
        <v>-2.9400000000000004</v>
      </c>
      <c r="HA108" s="23">
        <v>-2.9400000000000004</v>
      </c>
      <c r="HB108" s="23">
        <v>-2.9400000000000004</v>
      </c>
      <c r="HC108" s="23">
        <v>-2.9400000000000004</v>
      </c>
      <c r="HD108" s="23">
        <v>-2.9400000000000004</v>
      </c>
      <c r="HE108" s="23">
        <v>-2.9400000000000004</v>
      </c>
      <c r="HF108" s="23">
        <v>-2.9400000000000004</v>
      </c>
      <c r="HG108" s="23">
        <v>-2.9400000000000004</v>
      </c>
      <c r="HH108" s="23">
        <v>-2.9400000000000004</v>
      </c>
      <c r="HI108" s="23">
        <v>-2.9400000000000004</v>
      </c>
      <c r="HJ108" s="23">
        <v>-2.9400000000000004</v>
      </c>
      <c r="HK108" s="23">
        <v>-2.9400000000000004</v>
      </c>
      <c r="HL108" s="23">
        <v>-2.9400000000000004</v>
      </c>
      <c r="HM108" s="23">
        <v>-2.9400000000000004</v>
      </c>
      <c r="HN108" s="23">
        <v>-2.9400000000000004</v>
      </c>
      <c r="HO108" s="23">
        <v>-2.9400000000000004</v>
      </c>
      <c r="HP108" s="23">
        <v>-2.9400000000000004</v>
      </c>
      <c r="HQ108" s="23">
        <v>-2.9400000000000004</v>
      </c>
      <c r="HR108" s="23">
        <v>-2.9400000000000004</v>
      </c>
      <c r="HS108" s="23">
        <v>-2.9400000000000004</v>
      </c>
      <c r="HT108" s="23">
        <v>-2.9400000000000004</v>
      </c>
      <c r="HU108" s="23">
        <v>-2.9400000000000004</v>
      </c>
      <c r="HV108" s="23">
        <v>-2.9400000000000004</v>
      </c>
      <c r="HW108" s="23">
        <v>-2.9400000000000004</v>
      </c>
      <c r="HX108" s="23">
        <v>-2.9400000000000004</v>
      </c>
      <c r="HY108" s="23">
        <v>-2.9400000000000004</v>
      </c>
      <c r="HZ108" s="23">
        <v>-2.9400000000000004</v>
      </c>
      <c r="IA108" s="23">
        <v>-2.9400000000000004</v>
      </c>
      <c r="IB108" s="23">
        <v>-2.9400000000000004</v>
      </c>
      <c r="IC108" s="23">
        <v>-2.9400000000000004</v>
      </c>
      <c r="ID108" s="23">
        <v>-2.9400000000000004</v>
      </c>
      <c r="IE108" s="23">
        <v>-2.9400000000000004</v>
      </c>
      <c r="IF108" s="23">
        <v>-2.9400000000000004</v>
      </c>
      <c r="IG108" s="23">
        <v>-2.9400000000000004</v>
      </c>
      <c r="IH108" s="23">
        <v>-2.9400000000000004</v>
      </c>
      <c r="II108" s="23">
        <v>-2.9400000000000004</v>
      </c>
      <c r="IJ108" s="23">
        <v>-2.9400000000000004</v>
      </c>
      <c r="IK108" s="23">
        <v>-2.9400000000000004</v>
      </c>
      <c r="IL108" s="23">
        <v>-2.9400000000000004</v>
      </c>
      <c r="IM108" s="23">
        <v>-2.9400000000000004</v>
      </c>
      <c r="IN108" s="23">
        <v>-2.9400000000000004</v>
      </c>
      <c r="IO108" s="23">
        <v>-2.9400000000000004</v>
      </c>
      <c r="IP108" s="23">
        <v>-2.9400000000000004</v>
      </c>
      <c r="IQ108" s="23">
        <v>-2.9400000000000004</v>
      </c>
      <c r="IR108" s="23">
        <v>-2.9400000000000004</v>
      </c>
      <c r="IS108" s="23">
        <v>-2.9400000000000004</v>
      </c>
      <c r="IT108" s="23">
        <v>-2.9400000000000004</v>
      </c>
      <c r="IU108" s="23">
        <v>-2.9400000000000004</v>
      </c>
      <c r="IV108" s="23">
        <v>-2.9400000000000004</v>
      </c>
      <c r="IW108" s="23">
        <v>-2.9400000000000004</v>
      </c>
      <c r="IX108" s="23">
        <v>-2.9400000000000004</v>
      </c>
      <c r="IY108" s="23">
        <v>-2.9400000000000004</v>
      </c>
      <c r="IZ108" s="23">
        <v>-2.9400000000000004</v>
      </c>
      <c r="JA108" s="23">
        <v>-2.9400000000000004</v>
      </c>
      <c r="JB108" s="23">
        <v>-2.9400000000000004</v>
      </c>
      <c r="JC108" s="23">
        <v>-2.9400000000000004</v>
      </c>
      <c r="JD108" s="23">
        <v>-2.9400000000000004</v>
      </c>
      <c r="JE108" s="23">
        <v>-2.9400000000000004</v>
      </c>
      <c r="JF108" s="23">
        <v>-2.9400000000000004</v>
      </c>
      <c r="JG108" s="23">
        <v>-2.9400000000000004</v>
      </c>
      <c r="JH108" s="23">
        <v>-2.9400000000000004</v>
      </c>
      <c r="JI108" s="23">
        <v>-2.9400000000000004</v>
      </c>
      <c r="JJ108" s="23">
        <v>-2.9400000000000004</v>
      </c>
      <c r="JK108" s="23">
        <v>-2.9400000000000004</v>
      </c>
      <c r="JL108" s="23">
        <v>-2.9400000000000004</v>
      </c>
      <c r="JM108" s="23">
        <v>-2.9400000000000004</v>
      </c>
      <c r="JN108" s="23">
        <v>-2.9400000000000004</v>
      </c>
      <c r="JO108" s="23">
        <v>-2.9400000000000004</v>
      </c>
      <c r="JP108" s="23">
        <v>-2.9400000000000004</v>
      </c>
      <c r="JQ108" s="23">
        <v>-2.9400000000000004</v>
      </c>
      <c r="JR108" s="23">
        <v>-2.9400000000000004</v>
      </c>
      <c r="JS108" s="23">
        <v>-2.9400000000000004</v>
      </c>
      <c r="JT108" s="23">
        <v>-2.9400000000000004</v>
      </c>
      <c r="JU108" s="23">
        <v>-2.9400000000000004</v>
      </c>
      <c r="JV108" s="23">
        <v>-2.9400000000000004</v>
      </c>
      <c r="JW108" s="23">
        <v>-2.9400000000000004</v>
      </c>
      <c r="JX108" s="23">
        <v>-2.9400000000000004</v>
      </c>
      <c r="JY108" s="23">
        <v>-2.9400000000000004</v>
      </c>
      <c r="JZ108" s="23">
        <v>-2.9400000000000004</v>
      </c>
      <c r="KA108" s="23">
        <v>-2.9400000000000004</v>
      </c>
      <c r="KB108" s="23">
        <v>-2.9400000000000004</v>
      </c>
      <c r="KC108" s="23">
        <v>-2.9400000000000004</v>
      </c>
      <c r="KD108" s="23">
        <v>-2.9400000000000004</v>
      </c>
      <c r="KE108" s="23">
        <v>-2.9400000000000004</v>
      </c>
      <c r="KF108" s="23">
        <v>-2.9400000000000004</v>
      </c>
    </row>
    <row r="109" spans="4:292" outlineLevel="1" x14ac:dyDescent="0.35">
      <c r="E109" s="13" t="s">
        <v>170</v>
      </c>
      <c r="J109" s="15" t="s">
        <v>34</v>
      </c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  <c r="BZ109" s="23"/>
      <c r="CA109" s="23"/>
      <c r="CB109" s="23"/>
      <c r="CC109" s="23"/>
      <c r="CD109" s="23"/>
      <c r="CE109" s="23"/>
      <c r="CF109" s="23"/>
      <c r="CG109" s="23"/>
      <c r="CH109" s="23"/>
      <c r="CI109" s="23"/>
      <c r="CJ109" s="23"/>
      <c r="CK109" s="23"/>
      <c r="CL109" s="23"/>
      <c r="CM109" s="23"/>
      <c r="CN109" s="23"/>
      <c r="CO109" s="23"/>
      <c r="CP109" s="23"/>
      <c r="CQ109" s="23"/>
      <c r="CR109" s="23"/>
      <c r="CS109" s="23"/>
      <c r="CT109" s="23"/>
      <c r="CU109" s="23"/>
      <c r="CV109" s="23"/>
      <c r="CW109" s="23"/>
      <c r="CX109" s="23"/>
      <c r="CY109" s="23"/>
      <c r="CZ109" s="23"/>
      <c r="DA109" s="23"/>
      <c r="DB109" s="23"/>
      <c r="DC109" s="23"/>
      <c r="DD109" s="23"/>
      <c r="DE109" s="23"/>
      <c r="DF109" s="23"/>
      <c r="DG109" s="23"/>
      <c r="DH109" s="23"/>
      <c r="DI109" s="23"/>
      <c r="DJ109" s="23"/>
      <c r="DK109" s="23"/>
      <c r="DL109" s="23"/>
      <c r="DM109" s="23"/>
      <c r="DN109" s="23"/>
      <c r="DO109" s="23"/>
      <c r="DP109" s="23"/>
      <c r="DQ109" s="23"/>
      <c r="DR109" s="23"/>
      <c r="DS109" s="23"/>
      <c r="DT109" s="23"/>
      <c r="DU109" s="23"/>
      <c r="DV109" s="23"/>
      <c r="DW109" s="23"/>
      <c r="DX109" s="23"/>
      <c r="DY109" s="23"/>
      <c r="DZ109" s="23"/>
      <c r="EA109" s="23"/>
      <c r="EB109" s="23"/>
      <c r="EC109" s="23"/>
      <c r="ED109" s="23"/>
      <c r="EE109" s="23"/>
      <c r="EF109" s="23"/>
      <c r="EG109" s="23"/>
      <c r="EH109" s="23"/>
      <c r="EI109" s="23"/>
      <c r="EJ109" s="23"/>
      <c r="EK109" s="23"/>
      <c r="EL109" s="23"/>
      <c r="EM109" s="23"/>
      <c r="EN109" s="23"/>
      <c r="EO109" s="23"/>
      <c r="EP109" s="23"/>
      <c r="EQ109" s="23"/>
      <c r="ER109" s="23"/>
      <c r="ES109" s="23"/>
      <c r="ET109" s="23"/>
      <c r="EU109" s="23"/>
      <c r="EV109" s="23"/>
      <c r="EW109" s="23"/>
      <c r="EX109" s="23"/>
      <c r="EY109" s="23"/>
      <c r="EZ109" s="23"/>
      <c r="FA109" s="23"/>
      <c r="FB109" s="23"/>
      <c r="FC109" s="23"/>
      <c r="FD109" s="23"/>
      <c r="FE109" s="23"/>
      <c r="FF109" s="23"/>
      <c r="FG109" s="23"/>
      <c r="FH109" s="23"/>
      <c r="FI109" s="23"/>
      <c r="FJ109" s="23"/>
      <c r="FK109" s="23"/>
      <c r="FL109" s="23"/>
      <c r="FM109" s="23"/>
      <c r="FN109" s="23"/>
      <c r="FO109" s="23"/>
      <c r="FP109" s="23"/>
      <c r="FQ109" s="23"/>
      <c r="FR109" s="23"/>
      <c r="FS109" s="23"/>
      <c r="FT109" s="23"/>
      <c r="FU109" s="23"/>
      <c r="FV109" s="23"/>
      <c r="FW109" s="23"/>
      <c r="FX109" s="23"/>
      <c r="FY109" s="23"/>
      <c r="FZ109" s="23"/>
      <c r="GA109" s="23"/>
      <c r="GB109" s="23"/>
      <c r="GC109" s="23"/>
      <c r="GD109" s="23"/>
      <c r="GE109" s="23"/>
      <c r="GF109" s="23"/>
      <c r="GG109" s="23"/>
      <c r="GH109" s="23"/>
      <c r="GI109" s="23"/>
      <c r="GJ109" s="23"/>
      <c r="GK109" s="23"/>
      <c r="GL109" s="23"/>
      <c r="GM109" s="23"/>
      <c r="GN109" s="23"/>
      <c r="GO109" s="23"/>
      <c r="GP109" s="23"/>
      <c r="GQ109" s="23"/>
      <c r="GR109" s="23"/>
      <c r="GS109" s="23"/>
      <c r="GT109" s="23"/>
      <c r="GU109" s="23"/>
      <c r="GV109" s="23"/>
      <c r="GW109" s="23"/>
      <c r="GX109" s="23"/>
      <c r="GY109" s="23"/>
      <c r="GZ109" s="23"/>
      <c r="HA109" s="23"/>
      <c r="HB109" s="23"/>
      <c r="HC109" s="23"/>
      <c r="HD109" s="23"/>
      <c r="HE109" s="23"/>
      <c r="HF109" s="23"/>
      <c r="HG109" s="23"/>
      <c r="HH109" s="23"/>
      <c r="HI109" s="23"/>
      <c r="HJ109" s="23"/>
      <c r="HK109" s="23"/>
      <c r="HL109" s="23"/>
      <c r="HM109" s="23"/>
      <c r="HN109" s="23"/>
      <c r="HO109" s="23"/>
      <c r="HP109" s="23"/>
      <c r="HQ109" s="23"/>
      <c r="HR109" s="23"/>
      <c r="HS109" s="23"/>
      <c r="HT109" s="23"/>
      <c r="HU109" s="23"/>
      <c r="HV109" s="23"/>
      <c r="HW109" s="23"/>
      <c r="HX109" s="23"/>
      <c r="HY109" s="23"/>
      <c r="HZ109" s="23"/>
      <c r="IA109" s="23"/>
      <c r="IB109" s="23"/>
      <c r="IC109" s="23"/>
      <c r="ID109" s="23"/>
      <c r="IE109" s="23"/>
      <c r="IF109" s="23"/>
      <c r="IG109" s="23"/>
      <c r="IH109" s="23"/>
      <c r="II109" s="23"/>
      <c r="IJ109" s="23"/>
      <c r="IK109" s="23"/>
      <c r="IL109" s="23"/>
      <c r="IM109" s="23"/>
      <c r="IN109" s="23"/>
      <c r="IO109" s="23"/>
      <c r="IP109" s="23"/>
      <c r="IQ109" s="23"/>
      <c r="IR109" s="23"/>
      <c r="IS109" s="23"/>
      <c r="IT109" s="23"/>
      <c r="IU109" s="23"/>
      <c r="IV109" s="23"/>
      <c r="IW109" s="23"/>
      <c r="IX109" s="23"/>
      <c r="IY109" s="23"/>
      <c r="IZ109" s="23"/>
      <c r="JA109" s="23"/>
      <c r="JB109" s="23"/>
      <c r="JC109" s="23"/>
      <c r="JD109" s="23"/>
      <c r="JE109" s="23"/>
      <c r="JF109" s="23"/>
      <c r="JG109" s="23"/>
      <c r="JH109" s="23"/>
      <c r="JI109" s="23"/>
      <c r="JJ109" s="23"/>
      <c r="JK109" s="23"/>
      <c r="JL109" s="23"/>
      <c r="JM109" s="23"/>
      <c r="JN109" s="23"/>
      <c r="JO109" s="23"/>
      <c r="JP109" s="23"/>
      <c r="JQ109" s="23"/>
      <c r="JR109" s="23"/>
      <c r="JS109" s="23"/>
      <c r="JT109" s="23"/>
      <c r="JU109" s="23"/>
      <c r="JV109" s="23"/>
      <c r="JW109" s="23"/>
      <c r="JX109" s="23"/>
      <c r="JY109" s="23"/>
      <c r="JZ109" s="23"/>
      <c r="KA109" s="23"/>
      <c r="KB109" s="23"/>
      <c r="KC109" s="23"/>
      <c r="KD109" s="23"/>
      <c r="KE109" s="23"/>
      <c r="KF109" s="23"/>
    </row>
    <row r="110" spans="4:292" outlineLevel="1" x14ac:dyDescent="0.35">
      <c r="E110" s="13" t="s">
        <v>170</v>
      </c>
      <c r="J110" s="15" t="s">
        <v>34</v>
      </c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  <c r="BZ110" s="23"/>
      <c r="CA110" s="23"/>
      <c r="CB110" s="23"/>
      <c r="CC110" s="23"/>
      <c r="CD110" s="23"/>
      <c r="CE110" s="23"/>
      <c r="CF110" s="23"/>
      <c r="CG110" s="23"/>
      <c r="CH110" s="23"/>
      <c r="CI110" s="23"/>
      <c r="CJ110" s="23"/>
      <c r="CK110" s="23"/>
      <c r="CL110" s="23"/>
      <c r="CM110" s="23"/>
      <c r="CN110" s="23"/>
      <c r="CO110" s="23"/>
      <c r="CP110" s="23"/>
      <c r="CQ110" s="23"/>
      <c r="CR110" s="23"/>
      <c r="CS110" s="23"/>
      <c r="CT110" s="23"/>
      <c r="CU110" s="23"/>
      <c r="CV110" s="23"/>
      <c r="CW110" s="23"/>
      <c r="CX110" s="23"/>
      <c r="CY110" s="23"/>
      <c r="CZ110" s="23"/>
      <c r="DA110" s="23"/>
      <c r="DB110" s="23"/>
      <c r="DC110" s="23"/>
      <c r="DD110" s="23"/>
      <c r="DE110" s="23"/>
      <c r="DF110" s="23"/>
      <c r="DG110" s="23"/>
      <c r="DH110" s="23"/>
      <c r="DI110" s="23"/>
      <c r="DJ110" s="23"/>
      <c r="DK110" s="23"/>
      <c r="DL110" s="23"/>
      <c r="DM110" s="23"/>
      <c r="DN110" s="23"/>
      <c r="DO110" s="23"/>
      <c r="DP110" s="23"/>
      <c r="DQ110" s="23"/>
      <c r="DR110" s="23"/>
      <c r="DS110" s="23"/>
      <c r="DT110" s="23"/>
      <c r="DU110" s="23"/>
      <c r="DV110" s="23"/>
      <c r="DW110" s="23"/>
      <c r="DX110" s="23"/>
      <c r="DY110" s="23"/>
      <c r="DZ110" s="23"/>
      <c r="EA110" s="23"/>
      <c r="EB110" s="23"/>
      <c r="EC110" s="23"/>
      <c r="ED110" s="23"/>
      <c r="EE110" s="23"/>
      <c r="EF110" s="23"/>
      <c r="EG110" s="23"/>
      <c r="EH110" s="23"/>
      <c r="EI110" s="23"/>
      <c r="EJ110" s="23"/>
      <c r="EK110" s="23"/>
      <c r="EL110" s="23"/>
      <c r="EM110" s="23"/>
      <c r="EN110" s="23"/>
      <c r="EO110" s="23"/>
      <c r="EP110" s="23"/>
      <c r="EQ110" s="23"/>
      <c r="ER110" s="23"/>
      <c r="ES110" s="23"/>
      <c r="ET110" s="23"/>
      <c r="EU110" s="23"/>
      <c r="EV110" s="23"/>
      <c r="EW110" s="23"/>
      <c r="EX110" s="23"/>
      <c r="EY110" s="23"/>
      <c r="EZ110" s="23"/>
      <c r="FA110" s="23"/>
      <c r="FB110" s="23"/>
      <c r="FC110" s="23"/>
      <c r="FD110" s="23"/>
      <c r="FE110" s="23"/>
      <c r="FF110" s="23"/>
      <c r="FG110" s="23"/>
      <c r="FH110" s="23"/>
      <c r="FI110" s="23"/>
      <c r="FJ110" s="23"/>
      <c r="FK110" s="23"/>
      <c r="FL110" s="23"/>
      <c r="FM110" s="23"/>
      <c r="FN110" s="23"/>
      <c r="FO110" s="23"/>
      <c r="FP110" s="23"/>
      <c r="FQ110" s="23"/>
      <c r="FR110" s="23"/>
      <c r="FS110" s="23"/>
      <c r="FT110" s="23"/>
      <c r="FU110" s="23"/>
      <c r="FV110" s="23"/>
      <c r="FW110" s="23"/>
      <c r="FX110" s="23"/>
      <c r="FY110" s="23"/>
      <c r="FZ110" s="23"/>
      <c r="GA110" s="23"/>
      <c r="GB110" s="23"/>
      <c r="GC110" s="23"/>
      <c r="GD110" s="23"/>
      <c r="GE110" s="23"/>
      <c r="GF110" s="23"/>
      <c r="GG110" s="23"/>
      <c r="GH110" s="23"/>
      <c r="GI110" s="23"/>
      <c r="GJ110" s="23"/>
      <c r="GK110" s="23"/>
      <c r="GL110" s="23"/>
      <c r="GM110" s="23"/>
      <c r="GN110" s="23"/>
      <c r="GO110" s="23"/>
      <c r="GP110" s="23"/>
      <c r="GQ110" s="23"/>
      <c r="GR110" s="23"/>
      <c r="GS110" s="23"/>
      <c r="GT110" s="23"/>
      <c r="GU110" s="23"/>
      <c r="GV110" s="23"/>
      <c r="GW110" s="23"/>
      <c r="GX110" s="23"/>
      <c r="GY110" s="23"/>
      <c r="GZ110" s="23"/>
      <c r="HA110" s="23"/>
      <c r="HB110" s="23"/>
      <c r="HC110" s="23"/>
      <c r="HD110" s="23"/>
      <c r="HE110" s="23"/>
      <c r="HF110" s="23"/>
      <c r="HG110" s="23"/>
      <c r="HH110" s="23"/>
      <c r="HI110" s="23"/>
      <c r="HJ110" s="23"/>
      <c r="HK110" s="23"/>
      <c r="HL110" s="23"/>
      <c r="HM110" s="23"/>
      <c r="HN110" s="23"/>
      <c r="HO110" s="23"/>
      <c r="HP110" s="23"/>
      <c r="HQ110" s="23"/>
      <c r="HR110" s="23"/>
      <c r="HS110" s="23"/>
      <c r="HT110" s="23"/>
      <c r="HU110" s="23"/>
      <c r="HV110" s="23"/>
      <c r="HW110" s="23"/>
      <c r="HX110" s="23"/>
      <c r="HY110" s="23"/>
      <c r="HZ110" s="23"/>
      <c r="IA110" s="23"/>
      <c r="IB110" s="23"/>
      <c r="IC110" s="23"/>
      <c r="ID110" s="23"/>
      <c r="IE110" s="23"/>
      <c r="IF110" s="23"/>
      <c r="IG110" s="23"/>
      <c r="IH110" s="23"/>
      <c r="II110" s="23"/>
      <c r="IJ110" s="23"/>
      <c r="IK110" s="23"/>
      <c r="IL110" s="23"/>
      <c r="IM110" s="23"/>
      <c r="IN110" s="23"/>
      <c r="IO110" s="23"/>
      <c r="IP110" s="23"/>
      <c r="IQ110" s="23"/>
      <c r="IR110" s="23"/>
      <c r="IS110" s="23"/>
      <c r="IT110" s="23"/>
      <c r="IU110" s="23"/>
      <c r="IV110" s="23"/>
      <c r="IW110" s="23"/>
      <c r="IX110" s="23"/>
      <c r="IY110" s="23"/>
      <c r="IZ110" s="23"/>
      <c r="JA110" s="23"/>
      <c r="JB110" s="23"/>
      <c r="JC110" s="23"/>
      <c r="JD110" s="23"/>
      <c r="JE110" s="23"/>
      <c r="JF110" s="23"/>
      <c r="JG110" s="23"/>
      <c r="JH110" s="23"/>
      <c r="JI110" s="23"/>
      <c r="JJ110" s="23"/>
      <c r="JK110" s="23"/>
      <c r="JL110" s="23"/>
      <c r="JM110" s="23"/>
      <c r="JN110" s="23"/>
      <c r="JO110" s="23"/>
      <c r="JP110" s="23"/>
      <c r="JQ110" s="23"/>
      <c r="JR110" s="23"/>
      <c r="JS110" s="23"/>
      <c r="JT110" s="23"/>
      <c r="JU110" s="23"/>
      <c r="JV110" s="23"/>
      <c r="JW110" s="23"/>
      <c r="JX110" s="23"/>
      <c r="JY110" s="23"/>
      <c r="JZ110" s="23"/>
      <c r="KA110" s="23"/>
      <c r="KB110" s="23"/>
      <c r="KC110" s="23"/>
      <c r="KD110" s="23"/>
      <c r="KE110" s="23"/>
      <c r="KF110" s="23"/>
    </row>
    <row r="111" spans="4:292" outlineLevel="1" x14ac:dyDescent="0.35">
      <c r="E111" s="13" t="s">
        <v>170</v>
      </c>
      <c r="J111" s="15" t="s">
        <v>34</v>
      </c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  <c r="BZ111" s="23"/>
      <c r="CA111" s="23"/>
      <c r="CB111" s="23"/>
      <c r="CC111" s="23"/>
      <c r="CD111" s="23"/>
      <c r="CE111" s="23"/>
      <c r="CF111" s="23"/>
      <c r="CG111" s="23"/>
      <c r="CH111" s="23"/>
      <c r="CI111" s="23"/>
      <c r="CJ111" s="23"/>
      <c r="CK111" s="23"/>
      <c r="CL111" s="23"/>
      <c r="CM111" s="23"/>
      <c r="CN111" s="23"/>
      <c r="CO111" s="23"/>
      <c r="CP111" s="23"/>
      <c r="CQ111" s="23"/>
      <c r="CR111" s="23"/>
      <c r="CS111" s="23"/>
      <c r="CT111" s="23"/>
      <c r="CU111" s="23"/>
      <c r="CV111" s="23"/>
      <c r="CW111" s="23"/>
      <c r="CX111" s="23"/>
      <c r="CY111" s="23"/>
      <c r="CZ111" s="23"/>
      <c r="DA111" s="23"/>
      <c r="DB111" s="23"/>
      <c r="DC111" s="23"/>
      <c r="DD111" s="23"/>
      <c r="DE111" s="23"/>
      <c r="DF111" s="23"/>
      <c r="DG111" s="23"/>
      <c r="DH111" s="23"/>
      <c r="DI111" s="23"/>
      <c r="DJ111" s="23"/>
      <c r="DK111" s="23"/>
      <c r="DL111" s="23"/>
      <c r="DM111" s="23"/>
      <c r="DN111" s="23"/>
      <c r="DO111" s="23"/>
      <c r="DP111" s="23"/>
      <c r="DQ111" s="23"/>
      <c r="DR111" s="23"/>
      <c r="DS111" s="23"/>
      <c r="DT111" s="23"/>
      <c r="DU111" s="23"/>
      <c r="DV111" s="23"/>
      <c r="DW111" s="23"/>
      <c r="DX111" s="23"/>
      <c r="DY111" s="23"/>
      <c r="DZ111" s="23"/>
      <c r="EA111" s="23"/>
      <c r="EB111" s="23"/>
      <c r="EC111" s="23"/>
      <c r="ED111" s="23"/>
      <c r="EE111" s="23"/>
      <c r="EF111" s="23"/>
      <c r="EG111" s="23"/>
      <c r="EH111" s="23"/>
      <c r="EI111" s="23"/>
      <c r="EJ111" s="23"/>
      <c r="EK111" s="23"/>
      <c r="EL111" s="23"/>
      <c r="EM111" s="23"/>
      <c r="EN111" s="23"/>
      <c r="EO111" s="23"/>
      <c r="EP111" s="23"/>
      <c r="EQ111" s="23"/>
      <c r="ER111" s="23"/>
      <c r="ES111" s="23"/>
      <c r="ET111" s="23"/>
      <c r="EU111" s="23"/>
      <c r="EV111" s="23"/>
      <c r="EW111" s="23"/>
      <c r="EX111" s="23"/>
      <c r="EY111" s="23"/>
      <c r="EZ111" s="23"/>
      <c r="FA111" s="23"/>
      <c r="FB111" s="23"/>
      <c r="FC111" s="23"/>
      <c r="FD111" s="23"/>
      <c r="FE111" s="23"/>
      <c r="FF111" s="23"/>
      <c r="FG111" s="23"/>
      <c r="FH111" s="23"/>
      <c r="FI111" s="23"/>
      <c r="FJ111" s="23"/>
      <c r="FK111" s="23"/>
      <c r="FL111" s="23"/>
      <c r="FM111" s="23"/>
      <c r="FN111" s="23"/>
      <c r="FO111" s="23"/>
      <c r="FP111" s="23"/>
      <c r="FQ111" s="23"/>
      <c r="FR111" s="23"/>
      <c r="FS111" s="23"/>
      <c r="FT111" s="23"/>
      <c r="FU111" s="23"/>
      <c r="FV111" s="23"/>
      <c r="FW111" s="23"/>
      <c r="FX111" s="23"/>
      <c r="FY111" s="23"/>
      <c r="FZ111" s="23"/>
      <c r="GA111" s="23"/>
      <c r="GB111" s="23"/>
      <c r="GC111" s="23"/>
      <c r="GD111" s="23"/>
      <c r="GE111" s="23"/>
      <c r="GF111" s="23"/>
      <c r="GG111" s="23"/>
      <c r="GH111" s="23"/>
      <c r="GI111" s="23"/>
      <c r="GJ111" s="23"/>
      <c r="GK111" s="23"/>
      <c r="GL111" s="23"/>
      <c r="GM111" s="23"/>
      <c r="GN111" s="23"/>
      <c r="GO111" s="23"/>
      <c r="GP111" s="23"/>
      <c r="GQ111" s="23"/>
      <c r="GR111" s="23"/>
      <c r="GS111" s="23"/>
      <c r="GT111" s="23"/>
      <c r="GU111" s="23"/>
      <c r="GV111" s="23"/>
      <c r="GW111" s="23"/>
      <c r="GX111" s="23"/>
      <c r="GY111" s="23"/>
      <c r="GZ111" s="23"/>
      <c r="HA111" s="23"/>
      <c r="HB111" s="23"/>
      <c r="HC111" s="23"/>
      <c r="HD111" s="23"/>
      <c r="HE111" s="23"/>
      <c r="HF111" s="23"/>
      <c r="HG111" s="23"/>
      <c r="HH111" s="23"/>
      <c r="HI111" s="23"/>
      <c r="HJ111" s="23"/>
      <c r="HK111" s="23"/>
      <c r="HL111" s="23"/>
      <c r="HM111" s="23"/>
      <c r="HN111" s="23"/>
      <c r="HO111" s="23"/>
      <c r="HP111" s="23"/>
      <c r="HQ111" s="23"/>
      <c r="HR111" s="23"/>
      <c r="HS111" s="23"/>
      <c r="HT111" s="23"/>
      <c r="HU111" s="23"/>
      <c r="HV111" s="23"/>
      <c r="HW111" s="23"/>
      <c r="HX111" s="23"/>
      <c r="HY111" s="23"/>
      <c r="HZ111" s="23"/>
      <c r="IA111" s="23"/>
      <c r="IB111" s="23"/>
      <c r="IC111" s="23"/>
      <c r="ID111" s="23"/>
      <c r="IE111" s="23"/>
      <c r="IF111" s="23"/>
      <c r="IG111" s="23"/>
      <c r="IH111" s="23"/>
      <c r="II111" s="23"/>
      <c r="IJ111" s="23"/>
      <c r="IK111" s="23"/>
      <c r="IL111" s="23"/>
      <c r="IM111" s="23"/>
      <c r="IN111" s="23"/>
      <c r="IO111" s="23"/>
      <c r="IP111" s="23"/>
      <c r="IQ111" s="23"/>
      <c r="IR111" s="23"/>
      <c r="IS111" s="23"/>
      <c r="IT111" s="23"/>
      <c r="IU111" s="23"/>
      <c r="IV111" s="23"/>
      <c r="IW111" s="23"/>
      <c r="IX111" s="23"/>
      <c r="IY111" s="23"/>
      <c r="IZ111" s="23"/>
      <c r="JA111" s="23"/>
      <c r="JB111" s="23"/>
      <c r="JC111" s="23"/>
      <c r="JD111" s="23"/>
      <c r="JE111" s="23"/>
      <c r="JF111" s="23"/>
      <c r="JG111" s="23"/>
      <c r="JH111" s="23"/>
      <c r="JI111" s="23"/>
      <c r="JJ111" s="23"/>
      <c r="JK111" s="23"/>
      <c r="JL111" s="23"/>
      <c r="JM111" s="23"/>
      <c r="JN111" s="23"/>
      <c r="JO111" s="23"/>
      <c r="JP111" s="23"/>
      <c r="JQ111" s="23"/>
      <c r="JR111" s="23"/>
      <c r="JS111" s="23"/>
      <c r="JT111" s="23"/>
      <c r="JU111" s="23"/>
      <c r="JV111" s="23"/>
      <c r="JW111" s="23"/>
      <c r="JX111" s="23"/>
      <c r="JY111" s="23"/>
      <c r="JZ111" s="23"/>
      <c r="KA111" s="23"/>
      <c r="KB111" s="23"/>
      <c r="KC111" s="23"/>
      <c r="KD111" s="23"/>
      <c r="KE111" s="23"/>
      <c r="KF111" s="23"/>
    </row>
    <row r="112" spans="4:292" outlineLevel="1" x14ac:dyDescent="0.35">
      <c r="E112" s="13" t="s">
        <v>170</v>
      </c>
      <c r="J112" s="15" t="s">
        <v>34</v>
      </c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  <c r="BZ112" s="23"/>
      <c r="CA112" s="23"/>
      <c r="CB112" s="23"/>
      <c r="CC112" s="23"/>
      <c r="CD112" s="23"/>
      <c r="CE112" s="23"/>
      <c r="CF112" s="23"/>
      <c r="CG112" s="23"/>
      <c r="CH112" s="23"/>
      <c r="CI112" s="23"/>
      <c r="CJ112" s="23"/>
      <c r="CK112" s="23"/>
      <c r="CL112" s="23"/>
      <c r="CM112" s="23"/>
      <c r="CN112" s="23"/>
      <c r="CO112" s="23"/>
      <c r="CP112" s="23"/>
      <c r="CQ112" s="23"/>
      <c r="CR112" s="23"/>
      <c r="CS112" s="23"/>
      <c r="CT112" s="23"/>
      <c r="CU112" s="23"/>
      <c r="CV112" s="23"/>
      <c r="CW112" s="23"/>
      <c r="CX112" s="23"/>
      <c r="CY112" s="23"/>
      <c r="CZ112" s="23"/>
      <c r="DA112" s="23"/>
      <c r="DB112" s="23"/>
      <c r="DC112" s="23"/>
      <c r="DD112" s="23"/>
      <c r="DE112" s="23"/>
      <c r="DF112" s="23"/>
      <c r="DG112" s="23"/>
      <c r="DH112" s="23"/>
      <c r="DI112" s="23"/>
      <c r="DJ112" s="23"/>
      <c r="DK112" s="23"/>
      <c r="DL112" s="23"/>
      <c r="DM112" s="23"/>
      <c r="DN112" s="23"/>
      <c r="DO112" s="23"/>
      <c r="DP112" s="23"/>
      <c r="DQ112" s="23"/>
      <c r="DR112" s="23"/>
      <c r="DS112" s="23"/>
      <c r="DT112" s="23"/>
      <c r="DU112" s="23"/>
      <c r="DV112" s="23"/>
      <c r="DW112" s="23"/>
      <c r="DX112" s="23"/>
      <c r="DY112" s="23"/>
      <c r="DZ112" s="23"/>
      <c r="EA112" s="23"/>
      <c r="EB112" s="23"/>
      <c r="EC112" s="23"/>
      <c r="ED112" s="23"/>
      <c r="EE112" s="23"/>
      <c r="EF112" s="23"/>
      <c r="EG112" s="23"/>
      <c r="EH112" s="23"/>
      <c r="EI112" s="23"/>
      <c r="EJ112" s="23"/>
      <c r="EK112" s="23"/>
      <c r="EL112" s="23"/>
      <c r="EM112" s="23"/>
      <c r="EN112" s="23"/>
      <c r="EO112" s="23"/>
      <c r="EP112" s="23"/>
      <c r="EQ112" s="23"/>
      <c r="ER112" s="23"/>
      <c r="ES112" s="23"/>
      <c r="ET112" s="23"/>
      <c r="EU112" s="23"/>
      <c r="EV112" s="23"/>
      <c r="EW112" s="23"/>
      <c r="EX112" s="23"/>
      <c r="EY112" s="23"/>
      <c r="EZ112" s="23"/>
      <c r="FA112" s="23"/>
      <c r="FB112" s="23"/>
      <c r="FC112" s="23"/>
      <c r="FD112" s="23"/>
      <c r="FE112" s="23"/>
      <c r="FF112" s="23"/>
      <c r="FG112" s="23"/>
      <c r="FH112" s="23"/>
      <c r="FI112" s="23"/>
      <c r="FJ112" s="23"/>
      <c r="FK112" s="23"/>
      <c r="FL112" s="23"/>
      <c r="FM112" s="23"/>
      <c r="FN112" s="23"/>
      <c r="FO112" s="23"/>
      <c r="FP112" s="23"/>
      <c r="FQ112" s="23"/>
      <c r="FR112" s="23"/>
      <c r="FS112" s="23"/>
      <c r="FT112" s="23"/>
      <c r="FU112" s="23"/>
      <c r="FV112" s="23"/>
      <c r="FW112" s="23"/>
      <c r="FX112" s="23"/>
      <c r="FY112" s="23"/>
      <c r="FZ112" s="23"/>
      <c r="GA112" s="23"/>
      <c r="GB112" s="23"/>
      <c r="GC112" s="23"/>
      <c r="GD112" s="23"/>
      <c r="GE112" s="23"/>
      <c r="GF112" s="23"/>
      <c r="GG112" s="23"/>
      <c r="GH112" s="23"/>
      <c r="GI112" s="23"/>
      <c r="GJ112" s="23"/>
      <c r="GK112" s="23"/>
      <c r="GL112" s="23"/>
      <c r="GM112" s="23"/>
      <c r="GN112" s="23"/>
      <c r="GO112" s="23"/>
      <c r="GP112" s="23"/>
      <c r="GQ112" s="23"/>
      <c r="GR112" s="23"/>
      <c r="GS112" s="23"/>
      <c r="GT112" s="23"/>
      <c r="GU112" s="23"/>
      <c r="GV112" s="23"/>
      <c r="GW112" s="23"/>
      <c r="GX112" s="23"/>
      <c r="GY112" s="23"/>
      <c r="GZ112" s="23"/>
      <c r="HA112" s="23"/>
      <c r="HB112" s="23"/>
      <c r="HC112" s="23"/>
      <c r="HD112" s="23"/>
      <c r="HE112" s="23"/>
      <c r="HF112" s="23"/>
      <c r="HG112" s="23"/>
      <c r="HH112" s="23"/>
      <c r="HI112" s="23"/>
      <c r="HJ112" s="23"/>
      <c r="HK112" s="23"/>
      <c r="HL112" s="23"/>
      <c r="HM112" s="23"/>
      <c r="HN112" s="23"/>
      <c r="HO112" s="23"/>
      <c r="HP112" s="23"/>
      <c r="HQ112" s="23"/>
      <c r="HR112" s="23"/>
      <c r="HS112" s="23"/>
      <c r="HT112" s="23"/>
      <c r="HU112" s="23"/>
      <c r="HV112" s="23"/>
      <c r="HW112" s="23"/>
      <c r="HX112" s="23"/>
      <c r="HY112" s="23"/>
      <c r="HZ112" s="23"/>
      <c r="IA112" s="23"/>
      <c r="IB112" s="23"/>
      <c r="IC112" s="23"/>
      <c r="ID112" s="23"/>
      <c r="IE112" s="23"/>
      <c r="IF112" s="23"/>
      <c r="IG112" s="23"/>
      <c r="IH112" s="23"/>
      <c r="II112" s="23"/>
      <c r="IJ112" s="23"/>
      <c r="IK112" s="23"/>
      <c r="IL112" s="23"/>
      <c r="IM112" s="23"/>
      <c r="IN112" s="23"/>
      <c r="IO112" s="23"/>
      <c r="IP112" s="23"/>
      <c r="IQ112" s="23"/>
      <c r="IR112" s="23"/>
      <c r="IS112" s="23"/>
      <c r="IT112" s="23"/>
      <c r="IU112" s="23"/>
      <c r="IV112" s="23"/>
      <c r="IW112" s="23"/>
      <c r="IX112" s="23"/>
      <c r="IY112" s="23"/>
      <c r="IZ112" s="23"/>
      <c r="JA112" s="23"/>
      <c r="JB112" s="23"/>
      <c r="JC112" s="23"/>
      <c r="JD112" s="23"/>
      <c r="JE112" s="23"/>
      <c r="JF112" s="23"/>
      <c r="JG112" s="23"/>
      <c r="JH112" s="23"/>
      <c r="JI112" s="23"/>
      <c r="JJ112" s="23"/>
      <c r="JK112" s="23"/>
      <c r="JL112" s="23"/>
      <c r="JM112" s="23"/>
      <c r="JN112" s="23"/>
      <c r="JO112" s="23"/>
      <c r="JP112" s="23"/>
      <c r="JQ112" s="23"/>
      <c r="JR112" s="23"/>
      <c r="JS112" s="23"/>
      <c r="JT112" s="23"/>
      <c r="JU112" s="23"/>
      <c r="JV112" s="23"/>
      <c r="JW112" s="23"/>
      <c r="JX112" s="23"/>
      <c r="JY112" s="23"/>
      <c r="JZ112" s="23"/>
      <c r="KA112" s="23"/>
      <c r="KB112" s="23"/>
      <c r="KC112" s="23"/>
      <c r="KD112" s="23"/>
      <c r="KE112" s="23"/>
      <c r="KF112" s="23"/>
    </row>
    <row r="113" spans="4:292" outlineLevel="1" x14ac:dyDescent="0.35">
      <c r="E113" s="13" t="s">
        <v>170</v>
      </c>
      <c r="J113" s="15" t="s">
        <v>34</v>
      </c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3"/>
      <c r="CA113" s="23"/>
      <c r="CB113" s="23"/>
      <c r="CC113" s="23"/>
      <c r="CD113" s="23"/>
      <c r="CE113" s="23"/>
      <c r="CF113" s="23"/>
      <c r="CG113" s="23"/>
      <c r="CH113" s="23"/>
      <c r="CI113" s="23"/>
      <c r="CJ113" s="23"/>
      <c r="CK113" s="23"/>
      <c r="CL113" s="23"/>
      <c r="CM113" s="23"/>
      <c r="CN113" s="23"/>
      <c r="CO113" s="23"/>
      <c r="CP113" s="23"/>
      <c r="CQ113" s="23"/>
      <c r="CR113" s="23"/>
      <c r="CS113" s="23"/>
      <c r="CT113" s="23"/>
      <c r="CU113" s="23"/>
      <c r="CV113" s="23"/>
      <c r="CW113" s="23"/>
      <c r="CX113" s="23"/>
      <c r="CY113" s="23"/>
      <c r="CZ113" s="23"/>
      <c r="DA113" s="23"/>
      <c r="DB113" s="23"/>
      <c r="DC113" s="23"/>
      <c r="DD113" s="23"/>
      <c r="DE113" s="23"/>
      <c r="DF113" s="23"/>
      <c r="DG113" s="23"/>
      <c r="DH113" s="23"/>
      <c r="DI113" s="23"/>
      <c r="DJ113" s="23"/>
      <c r="DK113" s="23"/>
      <c r="DL113" s="23"/>
      <c r="DM113" s="23"/>
      <c r="DN113" s="23"/>
      <c r="DO113" s="23"/>
      <c r="DP113" s="23"/>
      <c r="DQ113" s="23"/>
      <c r="DR113" s="23"/>
      <c r="DS113" s="23"/>
      <c r="DT113" s="23"/>
      <c r="DU113" s="23"/>
      <c r="DV113" s="23"/>
      <c r="DW113" s="23"/>
      <c r="DX113" s="23"/>
      <c r="DY113" s="23"/>
      <c r="DZ113" s="23"/>
      <c r="EA113" s="23"/>
      <c r="EB113" s="23"/>
      <c r="EC113" s="23"/>
      <c r="ED113" s="23"/>
      <c r="EE113" s="23"/>
      <c r="EF113" s="23"/>
      <c r="EG113" s="23"/>
      <c r="EH113" s="23"/>
      <c r="EI113" s="23"/>
      <c r="EJ113" s="23"/>
      <c r="EK113" s="23"/>
      <c r="EL113" s="23"/>
      <c r="EM113" s="23"/>
      <c r="EN113" s="23"/>
      <c r="EO113" s="23"/>
      <c r="EP113" s="23"/>
      <c r="EQ113" s="23"/>
      <c r="ER113" s="23"/>
      <c r="ES113" s="23"/>
      <c r="ET113" s="23"/>
      <c r="EU113" s="23"/>
      <c r="EV113" s="23"/>
      <c r="EW113" s="23"/>
      <c r="EX113" s="23"/>
      <c r="EY113" s="23"/>
      <c r="EZ113" s="23"/>
      <c r="FA113" s="23"/>
      <c r="FB113" s="23"/>
      <c r="FC113" s="23"/>
      <c r="FD113" s="23"/>
      <c r="FE113" s="23"/>
      <c r="FF113" s="23"/>
      <c r="FG113" s="23"/>
      <c r="FH113" s="23"/>
      <c r="FI113" s="23"/>
      <c r="FJ113" s="23"/>
      <c r="FK113" s="23"/>
      <c r="FL113" s="23"/>
      <c r="FM113" s="23"/>
      <c r="FN113" s="23"/>
      <c r="FO113" s="23"/>
      <c r="FP113" s="23"/>
      <c r="FQ113" s="23"/>
      <c r="FR113" s="23"/>
      <c r="FS113" s="23"/>
      <c r="FT113" s="23"/>
      <c r="FU113" s="23"/>
      <c r="FV113" s="23"/>
      <c r="FW113" s="23"/>
      <c r="FX113" s="23"/>
      <c r="FY113" s="23"/>
      <c r="FZ113" s="23"/>
      <c r="GA113" s="23"/>
      <c r="GB113" s="23"/>
      <c r="GC113" s="23"/>
      <c r="GD113" s="23"/>
      <c r="GE113" s="23"/>
      <c r="GF113" s="23"/>
      <c r="GG113" s="23"/>
      <c r="GH113" s="23"/>
      <c r="GI113" s="23"/>
      <c r="GJ113" s="23"/>
      <c r="GK113" s="23"/>
      <c r="GL113" s="23"/>
      <c r="GM113" s="23"/>
      <c r="GN113" s="23"/>
      <c r="GO113" s="23"/>
      <c r="GP113" s="23"/>
      <c r="GQ113" s="23"/>
      <c r="GR113" s="23"/>
      <c r="GS113" s="23"/>
      <c r="GT113" s="23"/>
      <c r="GU113" s="23"/>
      <c r="GV113" s="23"/>
      <c r="GW113" s="23"/>
      <c r="GX113" s="23"/>
      <c r="GY113" s="23"/>
      <c r="GZ113" s="23"/>
      <c r="HA113" s="23"/>
      <c r="HB113" s="23"/>
      <c r="HC113" s="23"/>
      <c r="HD113" s="23"/>
      <c r="HE113" s="23"/>
      <c r="HF113" s="23"/>
      <c r="HG113" s="23"/>
      <c r="HH113" s="23"/>
      <c r="HI113" s="23"/>
      <c r="HJ113" s="23"/>
      <c r="HK113" s="23"/>
      <c r="HL113" s="23"/>
      <c r="HM113" s="23"/>
      <c r="HN113" s="23"/>
      <c r="HO113" s="23"/>
      <c r="HP113" s="23"/>
      <c r="HQ113" s="23"/>
      <c r="HR113" s="23"/>
      <c r="HS113" s="23"/>
      <c r="HT113" s="23"/>
      <c r="HU113" s="23"/>
      <c r="HV113" s="23"/>
      <c r="HW113" s="23"/>
      <c r="HX113" s="23"/>
      <c r="HY113" s="23"/>
      <c r="HZ113" s="23"/>
      <c r="IA113" s="23"/>
      <c r="IB113" s="23"/>
      <c r="IC113" s="23"/>
      <c r="ID113" s="23"/>
      <c r="IE113" s="23"/>
      <c r="IF113" s="23"/>
      <c r="IG113" s="23"/>
      <c r="IH113" s="23"/>
      <c r="II113" s="23"/>
      <c r="IJ113" s="23"/>
      <c r="IK113" s="23"/>
      <c r="IL113" s="23"/>
      <c r="IM113" s="23"/>
      <c r="IN113" s="23"/>
      <c r="IO113" s="23"/>
      <c r="IP113" s="23"/>
      <c r="IQ113" s="23"/>
      <c r="IR113" s="23"/>
      <c r="IS113" s="23"/>
      <c r="IT113" s="23"/>
      <c r="IU113" s="23"/>
      <c r="IV113" s="23"/>
      <c r="IW113" s="23"/>
      <c r="IX113" s="23"/>
      <c r="IY113" s="23"/>
      <c r="IZ113" s="23"/>
      <c r="JA113" s="23"/>
      <c r="JB113" s="23"/>
      <c r="JC113" s="23"/>
      <c r="JD113" s="23"/>
      <c r="JE113" s="23"/>
      <c r="JF113" s="23"/>
      <c r="JG113" s="23"/>
      <c r="JH113" s="23"/>
      <c r="JI113" s="23"/>
      <c r="JJ113" s="23"/>
      <c r="JK113" s="23"/>
      <c r="JL113" s="23"/>
      <c r="JM113" s="23"/>
      <c r="JN113" s="23"/>
      <c r="JO113" s="23"/>
      <c r="JP113" s="23"/>
      <c r="JQ113" s="23"/>
      <c r="JR113" s="23"/>
      <c r="JS113" s="23"/>
      <c r="JT113" s="23"/>
      <c r="JU113" s="23"/>
      <c r="JV113" s="23"/>
      <c r="JW113" s="23"/>
      <c r="JX113" s="23"/>
      <c r="JY113" s="23"/>
      <c r="JZ113" s="23"/>
      <c r="KA113" s="23"/>
      <c r="KB113" s="23"/>
      <c r="KC113" s="23"/>
      <c r="KD113" s="23"/>
      <c r="KE113" s="23"/>
      <c r="KF113" s="23"/>
    </row>
    <row r="114" spans="4:292" outlineLevel="1" x14ac:dyDescent="0.35">
      <c r="E114" s="13" t="s">
        <v>170</v>
      </c>
      <c r="J114" s="15" t="s">
        <v>34</v>
      </c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  <c r="BZ114" s="23"/>
      <c r="CA114" s="23"/>
      <c r="CB114" s="23"/>
      <c r="CC114" s="23"/>
      <c r="CD114" s="23"/>
      <c r="CE114" s="23"/>
      <c r="CF114" s="23"/>
      <c r="CG114" s="23"/>
      <c r="CH114" s="23"/>
      <c r="CI114" s="23"/>
      <c r="CJ114" s="23"/>
      <c r="CK114" s="23"/>
      <c r="CL114" s="23"/>
      <c r="CM114" s="23"/>
      <c r="CN114" s="23"/>
      <c r="CO114" s="23"/>
      <c r="CP114" s="23"/>
      <c r="CQ114" s="23"/>
      <c r="CR114" s="23"/>
      <c r="CS114" s="23"/>
      <c r="CT114" s="23"/>
      <c r="CU114" s="23"/>
      <c r="CV114" s="23"/>
      <c r="CW114" s="23"/>
      <c r="CX114" s="23"/>
      <c r="CY114" s="23"/>
      <c r="CZ114" s="23"/>
      <c r="DA114" s="23"/>
      <c r="DB114" s="23"/>
      <c r="DC114" s="23"/>
      <c r="DD114" s="23"/>
      <c r="DE114" s="23"/>
      <c r="DF114" s="23"/>
      <c r="DG114" s="23"/>
      <c r="DH114" s="23"/>
      <c r="DI114" s="23"/>
      <c r="DJ114" s="23"/>
      <c r="DK114" s="23"/>
      <c r="DL114" s="23"/>
      <c r="DM114" s="23"/>
      <c r="DN114" s="23"/>
      <c r="DO114" s="23"/>
      <c r="DP114" s="23"/>
      <c r="DQ114" s="23"/>
      <c r="DR114" s="23"/>
      <c r="DS114" s="23"/>
      <c r="DT114" s="23"/>
      <c r="DU114" s="23"/>
      <c r="DV114" s="23"/>
      <c r="DW114" s="23"/>
      <c r="DX114" s="23"/>
      <c r="DY114" s="23"/>
      <c r="DZ114" s="23"/>
      <c r="EA114" s="23"/>
      <c r="EB114" s="23"/>
      <c r="EC114" s="23"/>
      <c r="ED114" s="23"/>
      <c r="EE114" s="23"/>
      <c r="EF114" s="23"/>
      <c r="EG114" s="23"/>
      <c r="EH114" s="23"/>
      <c r="EI114" s="23"/>
      <c r="EJ114" s="23"/>
      <c r="EK114" s="23"/>
      <c r="EL114" s="23"/>
      <c r="EM114" s="23"/>
      <c r="EN114" s="23"/>
      <c r="EO114" s="23"/>
      <c r="EP114" s="23"/>
      <c r="EQ114" s="23"/>
      <c r="ER114" s="23"/>
      <c r="ES114" s="23"/>
      <c r="ET114" s="23"/>
      <c r="EU114" s="23"/>
      <c r="EV114" s="23"/>
      <c r="EW114" s="23"/>
      <c r="EX114" s="23"/>
      <c r="EY114" s="23"/>
      <c r="EZ114" s="23"/>
      <c r="FA114" s="23"/>
      <c r="FB114" s="23"/>
      <c r="FC114" s="23"/>
      <c r="FD114" s="23"/>
      <c r="FE114" s="23"/>
      <c r="FF114" s="23"/>
      <c r="FG114" s="23"/>
      <c r="FH114" s="23"/>
      <c r="FI114" s="23"/>
      <c r="FJ114" s="23"/>
      <c r="FK114" s="23"/>
      <c r="FL114" s="23"/>
      <c r="FM114" s="23"/>
      <c r="FN114" s="23"/>
      <c r="FO114" s="23"/>
      <c r="FP114" s="23"/>
      <c r="FQ114" s="23"/>
      <c r="FR114" s="23"/>
      <c r="FS114" s="23"/>
      <c r="FT114" s="23"/>
      <c r="FU114" s="23"/>
      <c r="FV114" s="23"/>
      <c r="FW114" s="23"/>
      <c r="FX114" s="23"/>
      <c r="FY114" s="23"/>
      <c r="FZ114" s="23"/>
      <c r="GA114" s="23"/>
      <c r="GB114" s="23"/>
      <c r="GC114" s="23"/>
      <c r="GD114" s="23"/>
      <c r="GE114" s="23"/>
      <c r="GF114" s="23"/>
      <c r="GG114" s="23"/>
      <c r="GH114" s="23"/>
      <c r="GI114" s="23"/>
      <c r="GJ114" s="23"/>
      <c r="GK114" s="23"/>
      <c r="GL114" s="23"/>
      <c r="GM114" s="23"/>
      <c r="GN114" s="23"/>
      <c r="GO114" s="23"/>
      <c r="GP114" s="23"/>
      <c r="GQ114" s="23"/>
      <c r="GR114" s="23"/>
      <c r="GS114" s="23"/>
      <c r="GT114" s="23"/>
      <c r="GU114" s="23"/>
      <c r="GV114" s="23"/>
      <c r="GW114" s="23"/>
      <c r="GX114" s="23"/>
      <c r="GY114" s="23"/>
      <c r="GZ114" s="23"/>
      <c r="HA114" s="23"/>
      <c r="HB114" s="23"/>
      <c r="HC114" s="23"/>
      <c r="HD114" s="23"/>
      <c r="HE114" s="23"/>
      <c r="HF114" s="23"/>
      <c r="HG114" s="23"/>
      <c r="HH114" s="23"/>
      <c r="HI114" s="23"/>
      <c r="HJ114" s="23"/>
      <c r="HK114" s="23"/>
      <c r="HL114" s="23"/>
      <c r="HM114" s="23"/>
      <c r="HN114" s="23"/>
      <c r="HO114" s="23"/>
      <c r="HP114" s="23"/>
      <c r="HQ114" s="23"/>
      <c r="HR114" s="23"/>
      <c r="HS114" s="23"/>
      <c r="HT114" s="23"/>
      <c r="HU114" s="23"/>
      <c r="HV114" s="23"/>
      <c r="HW114" s="23"/>
      <c r="HX114" s="23"/>
      <c r="HY114" s="23"/>
      <c r="HZ114" s="23"/>
      <c r="IA114" s="23"/>
      <c r="IB114" s="23"/>
      <c r="IC114" s="23"/>
      <c r="ID114" s="23"/>
      <c r="IE114" s="23"/>
      <c r="IF114" s="23"/>
      <c r="IG114" s="23"/>
      <c r="IH114" s="23"/>
      <c r="II114" s="23"/>
      <c r="IJ114" s="23"/>
      <c r="IK114" s="23"/>
      <c r="IL114" s="23"/>
      <c r="IM114" s="23"/>
      <c r="IN114" s="23"/>
      <c r="IO114" s="23"/>
      <c r="IP114" s="23"/>
      <c r="IQ114" s="23"/>
      <c r="IR114" s="23"/>
      <c r="IS114" s="23"/>
      <c r="IT114" s="23"/>
      <c r="IU114" s="23"/>
      <c r="IV114" s="23"/>
      <c r="IW114" s="23"/>
      <c r="IX114" s="23"/>
      <c r="IY114" s="23"/>
      <c r="IZ114" s="23"/>
      <c r="JA114" s="23"/>
      <c r="JB114" s="23"/>
      <c r="JC114" s="23"/>
      <c r="JD114" s="23"/>
      <c r="JE114" s="23"/>
      <c r="JF114" s="23"/>
      <c r="JG114" s="23"/>
      <c r="JH114" s="23"/>
      <c r="JI114" s="23"/>
      <c r="JJ114" s="23"/>
      <c r="JK114" s="23"/>
      <c r="JL114" s="23"/>
      <c r="JM114" s="23"/>
      <c r="JN114" s="23"/>
      <c r="JO114" s="23"/>
      <c r="JP114" s="23"/>
      <c r="JQ114" s="23"/>
      <c r="JR114" s="23"/>
      <c r="JS114" s="23"/>
      <c r="JT114" s="23"/>
      <c r="JU114" s="23"/>
      <c r="JV114" s="23"/>
      <c r="JW114" s="23"/>
      <c r="JX114" s="23"/>
      <c r="JY114" s="23"/>
      <c r="JZ114" s="23"/>
      <c r="KA114" s="23"/>
      <c r="KB114" s="23"/>
      <c r="KC114" s="23"/>
      <c r="KD114" s="23"/>
      <c r="KE114" s="23"/>
      <c r="KF114" s="23"/>
    </row>
    <row r="115" spans="4:292" outlineLevel="1" x14ac:dyDescent="0.35"/>
    <row r="116" spans="4:292" outlineLevel="1" x14ac:dyDescent="0.35">
      <c r="H116" s="19" t="s">
        <v>23</v>
      </c>
      <c r="I116" s="19"/>
      <c r="J116" s="16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  <c r="BJ116" s="17"/>
      <c r="BK116" s="17"/>
      <c r="BL116" s="17"/>
      <c r="BM116" s="17"/>
      <c r="BN116" s="17"/>
      <c r="BO116" s="17"/>
      <c r="BP116" s="17"/>
      <c r="BQ116" s="17"/>
      <c r="BR116" s="17"/>
      <c r="BS116" s="17"/>
      <c r="BT116" s="17"/>
      <c r="BU116" s="17"/>
      <c r="BV116" s="17"/>
      <c r="BW116" s="17"/>
      <c r="BX116" s="17"/>
      <c r="BY116" s="17"/>
      <c r="BZ116" s="17"/>
      <c r="CA116" s="17"/>
      <c r="CB116" s="17"/>
      <c r="CC116" s="17"/>
      <c r="CD116" s="17"/>
      <c r="CE116" s="17"/>
      <c r="CF116" s="17"/>
      <c r="CG116" s="17"/>
      <c r="CH116" s="17"/>
      <c r="CI116" s="17"/>
      <c r="CJ116" s="17"/>
      <c r="CK116" s="17"/>
      <c r="CL116" s="17"/>
      <c r="CM116" s="17"/>
      <c r="CN116" s="17"/>
      <c r="CO116" s="17"/>
      <c r="CP116" s="17"/>
      <c r="CQ116" s="17"/>
      <c r="CR116" s="17"/>
      <c r="CS116" s="17"/>
      <c r="CT116" s="17"/>
      <c r="CU116" s="17"/>
      <c r="CV116" s="17"/>
      <c r="CW116" s="17"/>
      <c r="CX116" s="17"/>
      <c r="CY116" s="17"/>
      <c r="CZ116" s="17"/>
      <c r="DA116" s="17"/>
      <c r="DB116" s="17"/>
      <c r="DC116" s="17"/>
      <c r="DD116" s="17"/>
      <c r="DE116" s="17"/>
      <c r="DF116" s="17"/>
      <c r="DG116" s="17"/>
      <c r="DH116" s="17"/>
      <c r="DI116" s="17"/>
      <c r="DJ116" s="17"/>
      <c r="DK116" s="17"/>
      <c r="DL116" s="17"/>
      <c r="DM116" s="17"/>
      <c r="DN116" s="17"/>
      <c r="DO116" s="17"/>
      <c r="DP116" s="17"/>
      <c r="DQ116" s="17"/>
      <c r="DR116" s="17"/>
      <c r="DS116" s="17"/>
      <c r="DT116" s="17"/>
      <c r="DU116" s="17"/>
      <c r="DV116" s="17"/>
      <c r="DW116" s="17"/>
      <c r="DX116" s="17"/>
      <c r="DY116" s="17"/>
      <c r="DZ116" s="17"/>
      <c r="EA116" s="17"/>
      <c r="EB116" s="17"/>
      <c r="EC116" s="17"/>
      <c r="ED116" s="17"/>
      <c r="EE116" s="17"/>
      <c r="EF116" s="17"/>
      <c r="EG116" s="17"/>
      <c r="EH116" s="17"/>
      <c r="EI116" s="17"/>
      <c r="EJ116" s="17"/>
      <c r="EK116" s="17"/>
      <c r="EL116" s="17"/>
      <c r="EM116" s="17"/>
      <c r="EN116" s="17"/>
      <c r="EO116" s="17"/>
      <c r="EP116" s="17"/>
      <c r="EQ116" s="17"/>
      <c r="ER116" s="17"/>
      <c r="ES116" s="17"/>
      <c r="ET116" s="17"/>
      <c r="EU116" s="17"/>
      <c r="EV116" s="17"/>
      <c r="EW116" s="17"/>
      <c r="EX116" s="17"/>
      <c r="EY116" s="17"/>
      <c r="EZ116" s="17"/>
      <c r="FA116" s="17"/>
      <c r="FB116" s="17"/>
      <c r="FC116" s="17"/>
      <c r="FD116" s="17"/>
      <c r="FE116" s="17"/>
      <c r="FF116" s="17"/>
      <c r="FG116" s="17"/>
      <c r="FH116" s="17"/>
      <c r="FI116" s="17"/>
      <c r="FJ116" s="17"/>
      <c r="FK116" s="17"/>
      <c r="FL116" s="17"/>
      <c r="FM116" s="17"/>
      <c r="FN116" s="17"/>
      <c r="FO116" s="17"/>
      <c r="FP116" s="17"/>
      <c r="FQ116" s="17"/>
      <c r="FR116" s="17"/>
      <c r="FS116" s="17"/>
      <c r="FT116" s="17"/>
      <c r="FU116" s="17"/>
      <c r="FV116" s="17"/>
      <c r="FW116" s="17"/>
      <c r="FX116" s="17"/>
      <c r="FY116" s="17"/>
      <c r="FZ116" s="17"/>
      <c r="GA116" s="17"/>
      <c r="GB116" s="17"/>
      <c r="GC116" s="17"/>
      <c r="GD116" s="17"/>
      <c r="GE116" s="17"/>
      <c r="GF116" s="17"/>
      <c r="GG116" s="17"/>
      <c r="GH116" s="17"/>
      <c r="GI116" s="17"/>
      <c r="GJ116" s="17"/>
      <c r="GK116" s="17"/>
      <c r="GL116" s="17"/>
      <c r="GM116" s="17"/>
      <c r="GN116" s="17"/>
      <c r="GO116" s="17"/>
      <c r="GP116" s="17"/>
      <c r="GQ116" s="17"/>
      <c r="GR116" s="17"/>
      <c r="GS116" s="17"/>
      <c r="GT116" s="17"/>
      <c r="GU116" s="17"/>
      <c r="GV116" s="17"/>
      <c r="GW116" s="17"/>
      <c r="GX116" s="17"/>
      <c r="GY116" s="17"/>
      <c r="GZ116" s="17"/>
      <c r="HA116" s="17"/>
      <c r="HB116" s="17"/>
      <c r="HC116" s="17"/>
      <c r="HD116" s="17"/>
      <c r="HE116" s="17"/>
      <c r="HF116" s="17"/>
      <c r="HG116" s="17"/>
      <c r="HH116" s="17"/>
      <c r="HI116" s="17"/>
      <c r="HJ116" s="17"/>
      <c r="HK116" s="17"/>
      <c r="HL116" s="17"/>
      <c r="HM116" s="17"/>
      <c r="HN116" s="17"/>
      <c r="HO116" s="17"/>
      <c r="HP116" s="17"/>
      <c r="HQ116" s="17"/>
      <c r="HR116" s="17"/>
      <c r="HS116" s="17"/>
      <c r="HT116" s="17"/>
      <c r="HU116" s="17"/>
      <c r="HV116" s="17"/>
      <c r="HW116" s="17"/>
      <c r="HX116" s="17"/>
      <c r="HY116" s="17"/>
      <c r="HZ116" s="17"/>
      <c r="IA116" s="17"/>
      <c r="IB116" s="17"/>
      <c r="IC116" s="17"/>
      <c r="ID116" s="17"/>
      <c r="IE116" s="17"/>
      <c r="IF116" s="17"/>
      <c r="IG116" s="17"/>
      <c r="IH116" s="17"/>
      <c r="II116" s="17"/>
      <c r="IJ116" s="17"/>
      <c r="IK116" s="17"/>
      <c r="IL116" s="17"/>
      <c r="IM116" s="17"/>
      <c r="IN116" s="17"/>
      <c r="IO116" s="17"/>
      <c r="IP116" s="17"/>
      <c r="IQ116" s="17"/>
      <c r="IR116" s="17"/>
      <c r="IS116" s="17"/>
      <c r="IT116" s="17"/>
      <c r="IU116" s="17"/>
      <c r="IV116" s="17"/>
      <c r="IW116" s="17"/>
      <c r="IX116" s="17"/>
      <c r="IY116" s="17"/>
      <c r="IZ116" s="17"/>
      <c r="JA116" s="17"/>
      <c r="JB116" s="17"/>
      <c r="JC116" s="17"/>
      <c r="JD116" s="17"/>
      <c r="JE116" s="17"/>
      <c r="JF116" s="17"/>
      <c r="JG116" s="17"/>
      <c r="JH116" s="17"/>
      <c r="JI116" s="17"/>
      <c r="JJ116" s="17"/>
      <c r="JK116" s="17"/>
      <c r="JL116" s="17"/>
      <c r="JM116" s="17"/>
      <c r="JN116" s="17"/>
      <c r="JO116" s="17"/>
      <c r="JP116" s="17"/>
      <c r="JQ116" s="17"/>
      <c r="JR116" s="17"/>
      <c r="JS116" s="17"/>
      <c r="JT116" s="17"/>
      <c r="JU116" s="17"/>
      <c r="JV116" s="17"/>
      <c r="JW116" s="17"/>
      <c r="JX116" s="17"/>
      <c r="JY116" s="17"/>
      <c r="JZ116" s="17"/>
      <c r="KA116" s="17"/>
      <c r="KB116" s="17"/>
      <c r="KC116" s="17"/>
      <c r="KD116" s="17"/>
      <c r="KE116" s="17"/>
      <c r="KF116" s="17"/>
    </row>
    <row r="117" spans="4:292" outlineLevel="1" x14ac:dyDescent="0.35"/>
    <row r="118" spans="4:292" outlineLevel="1" x14ac:dyDescent="0.35">
      <c r="J118" s="18" t="s">
        <v>29</v>
      </c>
      <c r="K118" s="18">
        <f>Control!H23</f>
        <v>1</v>
      </c>
      <c r="L118" s="13" t="str" cm="1">
        <f t="array" ref="L118">INDEX(J122:J130,K118)</f>
        <v>Base case</v>
      </c>
    </row>
    <row r="119" spans="4:292" outlineLevel="1" x14ac:dyDescent="0.35">
      <c r="E119" s="13" t="s">
        <v>170</v>
      </c>
      <c r="J119" s="13" t="s">
        <v>35</v>
      </c>
      <c r="K119" s="24" cm="1">
        <f t="array" ref="K119">INDEX(K122:K130,$K118)</f>
        <v>1</v>
      </c>
      <c r="L119" s="24" cm="1">
        <f t="array" ref="L119">INDEX(L122:L130,$K118)</f>
        <v>1</v>
      </c>
      <c r="M119" s="24" cm="1">
        <f t="array" ref="M119">INDEX(M122:M130,$K118)</f>
        <v>1</v>
      </c>
      <c r="N119" s="24" cm="1">
        <f t="array" ref="N119">INDEX(N122:N130,$K118)</f>
        <v>1</v>
      </c>
      <c r="O119" s="24" cm="1">
        <f t="array" ref="O119">INDEX(O122:O130,$K118)</f>
        <v>1</v>
      </c>
      <c r="P119" s="24" cm="1">
        <f t="array" ref="P119">INDEX(P122:P130,$K118)</f>
        <v>1</v>
      </c>
      <c r="Q119" s="24" cm="1">
        <f t="array" ref="Q119">INDEX(Q122:Q130,$K118)</f>
        <v>1</v>
      </c>
      <c r="R119" s="24" cm="1">
        <f t="array" ref="R119">INDEX(R122:R130,$K118)</f>
        <v>1</v>
      </c>
      <c r="S119" s="24" cm="1">
        <f t="array" ref="S119">INDEX(S122:S130,$K118)</f>
        <v>1</v>
      </c>
      <c r="T119" s="24" cm="1">
        <f t="array" ref="T119">INDEX(T122:T130,$K118)</f>
        <v>1</v>
      </c>
      <c r="U119" s="24" cm="1">
        <f t="array" ref="U119">INDEX(U122:U130,$K118)</f>
        <v>1</v>
      </c>
      <c r="V119" s="24" cm="1">
        <f t="array" ref="V119">INDEX(V122:V130,$K118)</f>
        <v>1</v>
      </c>
      <c r="W119" s="24" cm="1">
        <f t="array" ref="W119">INDEX(W122:W130,$K118)</f>
        <v>1</v>
      </c>
      <c r="X119" s="24" cm="1">
        <f t="array" ref="X119">INDEX(X122:X130,$K118)</f>
        <v>1</v>
      </c>
      <c r="Y119" s="24" cm="1">
        <f t="array" ref="Y119">INDEX(Y122:Y130,$K118)</f>
        <v>1</v>
      </c>
      <c r="Z119" s="24" cm="1">
        <f t="array" ref="Z119">INDEX(Z122:Z130,$K118)</f>
        <v>1</v>
      </c>
      <c r="AA119" s="24" cm="1">
        <f t="array" ref="AA119">INDEX(AA122:AA130,$K118)</f>
        <v>1</v>
      </c>
      <c r="AB119" s="24" cm="1">
        <f t="array" ref="AB119">INDEX(AB122:AB130,$K118)</f>
        <v>1</v>
      </c>
      <c r="AC119" s="24" cm="1">
        <f t="array" ref="AC119">INDEX(AC122:AC130,$K118)</f>
        <v>1</v>
      </c>
      <c r="AD119" s="24" cm="1">
        <f t="array" ref="AD119">INDEX(AD122:AD130,$K118)</f>
        <v>1</v>
      </c>
      <c r="AE119" s="24" cm="1">
        <f t="array" ref="AE119">INDEX(AE122:AE130,$K118)</f>
        <v>1</v>
      </c>
      <c r="AF119" s="24" cm="1">
        <f t="array" ref="AF119">INDEX(AF122:AF130,$K118)</f>
        <v>1</v>
      </c>
      <c r="AG119" s="24" cm="1">
        <f t="array" ref="AG119">INDEX(AG122:AG130,$K118)</f>
        <v>1</v>
      </c>
      <c r="AH119" s="24" cm="1">
        <f t="array" ref="AH119">INDEX(AH122:AH130,$K118)</f>
        <v>1</v>
      </c>
      <c r="AI119" s="24" cm="1">
        <f t="array" ref="AI119">INDEX(AI122:AI130,$K118)</f>
        <v>1</v>
      </c>
      <c r="AJ119" s="24" cm="1">
        <f t="array" ref="AJ119">INDEX(AJ122:AJ130,$K118)</f>
        <v>1</v>
      </c>
      <c r="AK119" s="24" cm="1">
        <f t="array" ref="AK119">INDEX(AK122:AK130,$K118)</f>
        <v>1</v>
      </c>
      <c r="AL119" s="24" cm="1">
        <f t="array" ref="AL119">INDEX(AL122:AL130,$K118)</f>
        <v>1</v>
      </c>
      <c r="AM119" s="24" cm="1">
        <f t="array" ref="AM119">INDEX(AM122:AM130,$K118)</f>
        <v>1</v>
      </c>
      <c r="AN119" s="24" cm="1">
        <f t="array" ref="AN119">INDEX(AN122:AN130,$K118)</f>
        <v>1</v>
      </c>
      <c r="AO119" s="24" cm="1">
        <f t="array" ref="AO119">INDEX(AO122:AO130,$K118)</f>
        <v>1</v>
      </c>
      <c r="AP119" s="24" cm="1">
        <f t="array" ref="AP119">INDEX(AP122:AP130,$K118)</f>
        <v>1</v>
      </c>
      <c r="AQ119" s="24" cm="1">
        <f t="array" ref="AQ119">INDEX(AQ122:AQ130,$K118)</f>
        <v>1</v>
      </c>
      <c r="AR119" s="24" cm="1">
        <f t="array" ref="AR119">INDEX(AR122:AR130,$K118)</f>
        <v>1</v>
      </c>
      <c r="AS119" s="24" cm="1">
        <f t="array" ref="AS119">INDEX(AS122:AS130,$K118)</f>
        <v>1</v>
      </c>
      <c r="AT119" s="24" cm="1">
        <f t="array" ref="AT119">INDEX(AT122:AT130,$K118)</f>
        <v>1</v>
      </c>
      <c r="AU119" s="24" cm="1">
        <f t="array" ref="AU119">INDEX(AU122:AU130,$K118)</f>
        <v>1</v>
      </c>
      <c r="AV119" s="24" cm="1">
        <f t="array" ref="AV119">INDEX(AV122:AV130,$K118)</f>
        <v>1</v>
      </c>
      <c r="AW119" s="24" cm="1">
        <f t="array" ref="AW119">INDEX(AW122:AW130,$K118)</f>
        <v>1</v>
      </c>
      <c r="AX119" s="24" cm="1">
        <f t="array" ref="AX119">INDEX(AX122:AX130,$K118)</f>
        <v>1</v>
      </c>
      <c r="AY119" s="24" cm="1">
        <f t="array" ref="AY119">INDEX(AY122:AY130,$K118)</f>
        <v>1</v>
      </c>
      <c r="AZ119" s="24" cm="1">
        <f t="array" ref="AZ119">INDEX(AZ122:AZ130,$K118)</f>
        <v>1</v>
      </c>
      <c r="BA119" s="24" cm="1">
        <f t="array" ref="BA119">INDEX(BA122:BA130,$K118)</f>
        <v>1</v>
      </c>
      <c r="BB119" s="24" cm="1">
        <f t="array" ref="BB119">INDEX(BB122:BB130,$K118)</f>
        <v>1</v>
      </c>
      <c r="BC119" s="24" cm="1">
        <f t="array" ref="BC119">INDEX(BC122:BC130,$K118)</f>
        <v>1</v>
      </c>
      <c r="BD119" s="24" cm="1">
        <f t="array" ref="BD119">INDEX(BD122:BD130,$K118)</f>
        <v>1</v>
      </c>
      <c r="BE119" s="24" cm="1">
        <f t="array" ref="BE119">INDEX(BE122:BE130,$K118)</f>
        <v>1</v>
      </c>
      <c r="BF119" s="24" cm="1">
        <f t="array" ref="BF119">INDEX(BF122:BF130,$K118)</f>
        <v>1</v>
      </c>
      <c r="BG119" s="24" cm="1">
        <f t="array" ref="BG119">INDEX(BG122:BG130,$K118)</f>
        <v>1</v>
      </c>
      <c r="BH119" s="24" cm="1">
        <f t="array" ref="BH119">INDEX(BH122:BH130,$K118)</f>
        <v>1</v>
      </c>
      <c r="BI119" s="24" cm="1">
        <f t="array" ref="BI119">INDEX(BI122:BI130,$K118)</f>
        <v>1</v>
      </c>
      <c r="BJ119" s="24" cm="1">
        <f t="array" ref="BJ119">INDEX(BJ122:BJ130,$K118)</f>
        <v>1</v>
      </c>
      <c r="BK119" s="24" cm="1">
        <f t="array" ref="BK119">INDEX(BK122:BK130,$K118)</f>
        <v>1</v>
      </c>
      <c r="BL119" s="24" cm="1">
        <f t="array" ref="BL119">INDEX(BL122:BL130,$K118)</f>
        <v>1</v>
      </c>
      <c r="BM119" s="24" cm="1">
        <f t="array" ref="BM119">INDEX(BM122:BM130,$K118)</f>
        <v>1</v>
      </c>
      <c r="BN119" s="24" cm="1">
        <f t="array" ref="BN119">INDEX(BN122:BN130,$K118)</f>
        <v>1</v>
      </c>
      <c r="BO119" s="24" cm="1">
        <f t="array" ref="BO119">INDEX(BO122:BO130,$K118)</f>
        <v>1</v>
      </c>
      <c r="BP119" s="24" cm="1">
        <f t="array" ref="BP119">INDEX(BP122:BP130,$K118)</f>
        <v>1</v>
      </c>
      <c r="BQ119" s="24" cm="1">
        <f t="array" ref="BQ119">INDEX(BQ122:BQ130,$K118)</f>
        <v>1</v>
      </c>
      <c r="BR119" s="24" cm="1">
        <f t="array" ref="BR119">INDEX(BR122:BR130,$K118)</f>
        <v>1</v>
      </c>
      <c r="BS119" s="24" cm="1">
        <f t="array" ref="BS119">INDEX(BS122:BS130,$K118)</f>
        <v>1</v>
      </c>
      <c r="BT119" s="24" cm="1">
        <f t="array" ref="BT119">INDEX(BT122:BT130,$K118)</f>
        <v>1</v>
      </c>
      <c r="BU119" s="24" cm="1">
        <f t="array" ref="BU119">INDEX(BU122:BU130,$K118)</f>
        <v>1</v>
      </c>
      <c r="BV119" s="24" cm="1">
        <f t="array" ref="BV119">INDEX(BV122:BV130,$K118)</f>
        <v>1</v>
      </c>
      <c r="BW119" s="24" cm="1">
        <f t="array" ref="BW119">INDEX(BW122:BW130,$K118)</f>
        <v>1</v>
      </c>
      <c r="BX119" s="24" cm="1">
        <f t="array" ref="BX119">INDEX(BX122:BX130,$K118)</f>
        <v>1</v>
      </c>
      <c r="BY119" s="24" cm="1">
        <f t="array" ref="BY119">INDEX(BY122:BY130,$K118)</f>
        <v>1</v>
      </c>
      <c r="BZ119" s="24" cm="1">
        <f t="array" ref="BZ119">INDEX(BZ122:BZ130,$K118)</f>
        <v>1</v>
      </c>
      <c r="CA119" s="24" cm="1">
        <f t="array" ref="CA119">INDEX(CA122:CA130,$K118)</f>
        <v>1</v>
      </c>
      <c r="CB119" s="24" cm="1">
        <f t="array" ref="CB119">INDEX(CB122:CB130,$K118)</f>
        <v>1</v>
      </c>
      <c r="CC119" s="24" cm="1">
        <f t="array" ref="CC119">INDEX(CC122:CC130,$K118)</f>
        <v>1</v>
      </c>
      <c r="CD119" s="24" cm="1">
        <f t="array" ref="CD119">INDEX(CD122:CD130,$K118)</f>
        <v>1</v>
      </c>
      <c r="CE119" s="24" cm="1">
        <f t="array" ref="CE119">INDEX(CE122:CE130,$K118)</f>
        <v>1</v>
      </c>
      <c r="CF119" s="24" cm="1">
        <f t="array" ref="CF119">INDEX(CF122:CF130,$K118)</f>
        <v>1</v>
      </c>
      <c r="CG119" s="24" cm="1">
        <f t="array" ref="CG119">INDEX(CG122:CG130,$K118)</f>
        <v>1</v>
      </c>
      <c r="CH119" s="24" cm="1">
        <f t="array" ref="CH119">INDEX(CH122:CH130,$K118)</f>
        <v>1</v>
      </c>
      <c r="CI119" s="24" cm="1">
        <f t="array" ref="CI119">INDEX(CI122:CI130,$K118)</f>
        <v>1</v>
      </c>
      <c r="CJ119" s="24" cm="1">
        <f t="array" ref="CJ119">INDEX(CJ122:CJ130,$K118)</f>
        <v>1</v>
      </c>
      <c r="CK119" s="24" cm="1">
        <f t="array" ref="CK119">INDEX(CK122:CK130,$K118)</f>
        <v>1</v>
      </c>
      <c r="CL119" s="24" cm="1">
        <f t="array" ref="CL119">INDEX(CL122:CL130,$K118)</f>
        <v>1</v>
      </c>
      <c r="CM119" s="24" cm="1">
        <f t="array" ref="CM119">INDEX(CM122:CM130,$K118)</f>
        <v>1</v>
      </c>
      <c r="CN119" s="24" cm="1">
        <f t="array" ref="CN119">INDEX(CN122:CN130,$K118)</f>
        <v>1</v>
      </c>
      <c r="CO119" s="24" cm="1">
        <f t="array" ref="CO119">INDEX(CO122:CO130,$K118)</f>
        <v>1</v>
      </c>
      <c r="CP119" s="24" cm="1">
        <f t="array" ref="CP119">INDEX(CP122:CP130,$K118)</f>
        <v>1</v>
      </c>
      <c r="CQ119" s="24" cm="1">
        <f t="array" ref="CQ119">INDEX(CQ122:CQ130,$K118)</f>
        <v>1</v>
      </c>
      <c r="CR119" s="24" cm="1">
        <f t="array" ref="CR119">INDEX(CR122:CR130,$K118)</f>
        <v>1</v>
      </c>
      <c r="CS119" s="24" cm="1">
        <f t="array" ref="CS119">INDEX(CS122:CS130,$K118)</f>
        <v>1</v>
      </c>
      <c r="CT119" s="24" cm="1">
        <f t="array" ref="CT119">INDEX(CT122:CT130,$K118)</f>
        <v>1</v>
      </c>
      <c r="CU119" s="24" cm="1">
        <f t="array" ref="CU119">INDEX(CU122:CU130,$K118)</f>
        <v>1</v>
      </c>
      <c r="CV119" s="24" cm="1">
        <f t="array" ref="CV119">INDEX(CV122:CV130,$K118)</f>
        <v>1</v>
      </c>
      <c r="CW119" s="24" cm="1">
        <f t="array" ref="CW119">INDEX(CW122:CW130,$K118)</f>
        <v>1</v>
      </c>
      <c r="CX119" s="24" cm="1">
        <f t="array" ref="CX119">INDEX(CX122:CX130,$K118)</f>
        <v>1</v>
      </c>
      <c r="CY119" s="24" cm="1">
        <f t="array" ref="CY119">INDEX(CY122:CY130,$K118)</f>
        <v>1</v>
      </c>
      <c r="CZ119" s="24" cm="1">
        <f t="array" ref="CZ119">INDEX(CZ122:CZ130,$K118)</f>
        <v>1</v>
      </c>
      <c r="DA119" s="24" cm="1">
        <f t="array" ref="DA119">INDEX(DA122:DA130,$K118)</f>
        <v>1</v>
      </c>
      <c r="DB119" s="24" cm="1">
        <f t="array" ref="DB119">INDEX(DB122:DB130,$K118)</f>
        <v>1</v>
      </c>
      <c r="DC119" s="24" cm="1">
        <f t="array" ref="DC119">INDEX(DC122:DC130,$K118)</f>
        <v>1</v>
      </c>
      <c r="DD119" s="24" cm="1">
        <f t="array" ref="DD119">INDEX(DD122:DD130,$K118)</f>
        <v>1</v>
      </c>
      <c r="DE119" s="24" cm="1">
        <f t="array" ref="DE119">INDEX(DE122:DE130,$K118)</f>
        <v>1</v>
      </c>
      <c r="DF119" s="24" cm="1">
        <f t="array" ref="DF119">INDEX(DF122:DF130,$K118)</f>
        <v>1</v>
      </c>
      <c r="DG119" s="24" cm="1">
        <f t="array" ref="DG119">INDEX(DG122:DG130,$K118)</f>
        <v>1</v>
      </c>
      <c r="DH119" s="24" cm="1">
        <f t="array" ref="DH119">INDEX(DH122:DH130,$K118)</f>
        <v>1</v>
      </c>
      <c r="DI119" s="24" cm="1">
        <f t="array" ref="DI119">INDEX(DI122:DI130,$K118)</f>
        <v>1</v>
      </c>
      <c r="DJ119" s="24" cm="1">
        <f t="array" ref="DJ119">INDEX(DJ122:DJ130,$K118)</f>
        <v>1</v>
      </c>
      <c r="DK119" s="24" cm="1">
        <f t="array" ref="DK119">INDEX(DK122:DK130,$K118)</f>
        <v>1</v>
      </c>
      <c r="DL119" s="24" cm="1">
        <f t="array" ref="DL119">INDEX(DL122:DL130,$K118)</f>
        <v>1</v>
      </c>
      <c r="DM119" s="24" cm="1">
        <f t="array" ref="DM119">INDEX(DM122:DM130,$K118)</f>
        <v>1</v>
      </c>
      <c r="DN119" s="24" cm="1">
        <f t="array" ref="DN119">INDEX(DN122:DN130,$K118)</f>
        <v>1</v>
      </c>
      <c r="DO119" s="24" cm="1">
        <f t="array" ref="DO119">INDEX(DO122:DO130,$K118)</f>
        <v>1</v>
      </c>
      <c r="DP119" s="24" cm="1">
        <f t="array" ref="DP119">INDEX(DP122:DP130,$K118)</f>
        <v>1</v>
      </c>
      <c r="DQ119" s="24" cm="1">
        <f t="array" ref="DQ119">INDEX(DQ122:DQ130,$K118)</f>
        <v>1</v>
      </c>
      <c r="DR119" s="24" cm="1">
        <f t="array" ref="DR119">INDEX(DR122:DR130,$K118)</f>
        <v>1</v>
      </c>
      <c r="DS119" s="24" cm="1">
        <f t="array" ref="DS119">INDEX(DS122:DS130,$K118)</f>
        <v>1</v>
      </c>
      <c r="DT119" s="24" cm="1">
        <f t="array" ref="DT119">INDEX(DT122:DT130,$K118)</f>
        <v>1</v>
      </c>
      <c r="DU119" s="24" cm="1">
        <f t="array" ref="DU119">INDEX(DU122:DU130,$K118)</f>
        <v>1</v>
      </c>
      <c r="DV119" s="24" cm="1">
        <f t="array" ref="DV119">INDEX(DV122:DV130,$K118)</f>
        <v>1</v>
      </c>
      <c r="DW119" s="24" cm="1">
        <f t="array" ref="DW119">INDEX(DW122:DW130,$K118)</f>
        <v>1</v>
      </c>
      <c r="DX119" s="24" cm="1">
        <f t="array" ref="DX119">INDEX(DX122:DX130,$K118)</f>
        <v>1</v>
      </c>
      <c r="DY119" s="24" cm="1">
        <f t="array" ref="DY119">INDEX(DY122:DY130,$K118)</f>
        <v>1</v>
      </c>
      <c r="DZ119" s="24" cm="1">
        <f t="array" ref="DZ119">INDEX(DZ122:DZ130,$K118)</f>
        <v>1</v>
      </c>
      <c r="EA119" s="24" cm="1">
        <f t="array" ref="EA119">INDEX(EA122:EA130,$K118)</f>
        <v>1</v>
      </c>
      <c r="EB119" s="24" cm="1">
        <f t="array" ref="EB119">INDEX(EB122:EB130,$K118)</f>
        <v>1</v>
      </c>
      <c r="EC119" s="24" cm="1">
        <f t="array" ref="EC119">INDEX(EC122:EC130,$K118)</f>
        <v>1</v>
      </c>
      <c r="ED119" s="24" cm="1">
        <f t="array" ref="ED119">INDEX(ED122:ED130,$K118)</f>
        <v>1</v>
      </c>
      <c r="EE119" s="24" cm="1">
        <f t="array" ref="EE119">INDEX(EE122:EE130,$K118)</f>
        <v>1</v>
      </c>
      <c r="EF119" s="24" cm="1">
        <f t="array" ref="EF119">INDEX(EF122:EF130,$K118)</f>
        <v>1</v>
      </c>
      <c r="EG119" s="24" cm="1">
        <f t="array" ref="EG119">INDEX(EG122:EG130,$K118)</f>
        <v>1</v>
      </c>
      <c r="EH119" s="24" cm="1">
        <f t="array" ref="EH119">INDEX(EH122:EH130,$K118)</f>
        <v>1</v>
      </c>
      <c r="EI119" s="24" cm="1">
        <f t="array" ref="EI119">INDEX(EI122:EI130,$K118)</f>
        <v>1</v>
      </c>
      <c r="EJ119" s="24" cm="1">
        <f t="array" ref="EJ119">INDEX(EJ122:EJ130,$K118)</f>
        <v>1</v>
      </c>
      <c r="EK119" s="24" cm="1">
        <f t="array" ref="EK119">INDEX(EK122:EK130,$K118)</f>
        <v>1</v>
      </c>
      <c r="EL119" s="24" cm="1">
        <f t="array" ref="EL119">INDEX(EL122:EL130,$K118)</f>
        <v>1</v>
      </c>
      <c r="EM119" s="24" cm="1">
        <f t="array" ref="EM119">INDEX(EM122:EM130,$K118)</f>
        <v>1</v>
      </c>
      <c r="EN119" s="24" cm="1">
        <f t="array" ref="EN119">INDEX(EN122:EN130,$K118)</f>
        <v>1</v>
      </c>
      <c r="EO119" s="24" cm="1">
        <f t="array" ref="EO119">INDEX(EO122:EO130,$K118)</f>
        <v>1</v>
      </c>
      <c r="EP119" s="24" cm="1">
        <f t="array" ref="EP119">INDEX(EP122:EP130,$K118)</f>
        <v>1</v>
      </c>
      <c r="EQ119" s="24" cm="1">
        <f t="array" ref="EQ119">INDEX(EQ122:EQ130,$K118)</f>
        <v>1</v>
      </c>
      <c r="ER119" s="24" cm="1">
        <f t="array" ref="ER119">INDEX(ER122:ER130,$K118)</f>
        <v>1</v>
      </c>
      <c r="ES119" s="24" cm="1">
        <f t="array" ref="ES119">INDEX(ES122:ES130,$K118)</f>
        <v>1</v>
      </c>
      <c r="ET119" s="24" cm="1">
        <f t="array" ref="ET119">INDEX(ET122:ET130,$K118)</f>
        <v>1</v>
      </c>
      <c r="EU119" s="24" cm="1">
        <f t="array" ref="EU119">INDEX(EU122:EU130,$K118)</f>
        <v>1</v>
      </c>
      <c r="EV119" s="24" cm="1">
        <f t="array" ref="EV119">INDEX(EV122:EV130,$K118)</f>
        <v>1</v>
      </c>
      <c r="EW119" s="24" cm="1">
        <f t="array" ref="EW119">INDEX(EW122:EW130,$K118)</f>
        <v>1</v>
      </c>
      <c r="EX119" s="24" cm="1">
        <f t="array" ref="EX119">INDEX(EX122:EX130,$K118)</f>
        <v>1</v>
      </c>
      <c r="EY119" s="24" cm="1">
        <f t="array" ref="EY119">INDEX(EY122:EY130,$K118)</f>
        <v>1</v>
      </c>
      <c r="EZ119" s="24" cm="1">
        <f t="array" ref="EZ119">INDEX(EZ122:EZ130,$K118)</f>
        <v>1</v>
      </c>
      <c r="FA119" s="24" cm="1">
        <f t="array" ref="FA119">INDEX(FA122:FA130,$K118)</f>
        <v>1</v>
      </c>
      <c r="FB119" s="24" cm="1">
        <f t="array" ref="FB119">INDEX(FB122:FB130,$K118)</f>
        <v>1</v>
      </c>
      <c r="FC119" s="24" cm="1">
        <f t="array" ref="FC119">INDEX(FC122:FC130,$K118)</f>
        <v>1</v>
      </c>
      <c r="FD119" s="24" cm="1">
        <f t="array" ref="FD119">INDEX(FD122:FD130,$K118)</f>
        <v>1</v>
      </c>
      <c r="FE119" s="24" cm="1">
        <f t="array" ref="FE119">INDEX(FE122:FE130,$K118)</f>
        <v>1</v>
      </c>
      <c r="FF119" s="24" cm="1">
        <f t="array" ref="FF119">INDEX(FF122:FF130,$K118)</f>
        <v>1</v>
      </c>
      <c r="FG119" s="24" cm="1">
        <f t="array" ref="FG119">INDEX(FG122:FG130,$K118)</f>
        <v>1</v>
      </c>
      <c r="FH119" s="24" cm="1">
        <f t="array" ref="FH119">INDEX(FH122:FH130,$K118)</f>
        <v>1</v>
      </c>
      <c r="FI119" s="24" cm="1">
        <f t="array" ref="FI119">INDEX(FI122:FI130,$K118)</f>
        <v>1</v>
      </c>
      <c r="FJ119" s="24" cm="1">
        <f t="array" ref="FJ119">INDEX(FJ122:FJ130,$K118)</f>
        <v>1</v>
      </c>
      <c r="FK119" s="24" cm="1">
        <f t="array" ref="FK119">INDEX(FK122:FK130,$K118)</f>
        <v>1</v>
      </c>
      <c r="FL119" s="24" cm="1">
        <f t="array" ref="FL119">INDEX(FL122:FL130,$K118)</f>
        <v>1</v>
      </c>
      <c r="FM119" s="24" cm="1">
        <f t="array" ref="FM119">INDEX(FM122:FM130,$K118)</f>
        <v>1</v>
      </c>
      <c r="FN119" s="24" cm="1">
        <f t="array" ref="FN119">INDEX(FN122:FN130,$K118)</f>
        <v>1</v>
      </c>
      <c r="FO119" s="24" cm="1">
        <f t="array" ref="FO119">INDEX(FO122:FO130,$K118)</f>
        <v>1</v>
      </c>
      <c r="FP119" s="24" cm="1">
        <f t="array" ref="FP119">INDEX(FP122:FP130,$K118)</f>
        <v>1</v>
      </c>
      <c r="FQ119" s="24" cm="1">
        <f t="array" ref="FQ119">INDEX(FQ122:FQ130,$K118)</f>
        <v>1</v>
      </c>
      <c r="FR119" s="24" cm="1">
        <f t="array" ref="FR119">INDEX(FR122:FR130,$K118)</f>
        <v>1</v>
      </c>
      <c r="FS119" s="24" cm="1">
        <f t="array" ref="FS119">INDEX(FS122:FS130,$K118)</f>
        <v>1</v>
      </c>
      <c r="FT119" s="24" cm="1">
        <f t="array" ref="FT119">INDEX(FT122:FT130,$K118)</f>
        <v>1</v>
      </c>
      <c r="FU119" s="24" cm="1">
        <f t="array" ref="FU119">INDEX(FU122:FU130,$K118)</f>
        <v>1</v>
      </c>
      <c r="FV119" s="24" cm="1">
        <f t="array" ref="FV119">INDEX(FV122:FV130,$K118)</f>
        <v>1</v>
      </c>
      <c r="FW119" s="24" cm="1">
        <f t="array" ref="FW119">INDEX(FW122:FW130,$K118)</f>
        <v>1</v>
      </c>
      <c r="FX119" s="24" cm="1">
        <f t="array" ref="FX119">INDEX(FX122:FX130,$K118)</f>
        <v>1</v>
      </c>
      <c r="FY119" s="24" cm="1">
        <f t="array" ref="FY119">INDEX(FY122:FY130,$K118)</f>
        <v>1</v>
      </c>
      <c r="FZ119" s="24" cm="1">
        <f t="array" ref="FZ119">INDEX(FZ122:FZ130,$K118)</f>
        <v>1</v>
      </c>
      <c r="GA119" s="24" cm="1">
        <f t="array" ref="GA119">INDEX(GA122:GA130,$K118)</f>
        <v>1</v>
      </c>
      <c r="GB119" s="24" cm="1">
        <f t="array" ref="GB119">INDEX(GB122:GB130,$K118)</f>
        <v>1</v>
      </c>
      <c r="GC119" s="24" cm="1">
        <f t="array" ref="GC119">INDEX(GC122:GC130,$K118)</f>
        <v>1</v>
      </c>
      <c r="GD119" s="24" cm="1">
        <f t="array" ref="GD119">INDEX(GD122:GD130,$K118)</f>
        <v>1</v>
      </c>
      <c r="GE119" s="24" cm="1">
        <f t="array" ref="GE119">INDEX(GE122:GE130,$K118)</f>
        <v>1</v>
      </c>
      <c r="GF119" s="24" cm="1">
        <f t="array" ref="GF119">INDEX(GF122:GF130,$K118)</f>
        <v>1</v>
      </c>
      <c r="GG119" s="24" cm="1">
        <f t="array" ref="GG119">INDEX(GG122:GG130,$K118)</f>
        <v>1</v>
      </c>
      <c r="GH119" s="24" cm="1">
        <f t="array" ref="GH119">INDEX(GH122:GH130,$K118)</f>
        <v>1</v>
      </c>
      <c r="GI119" s="24" cm="1">
        <f t="array" ref="GI119">INDEX(GI122:GI130,$K118)</f>
        <v>1</v>
      </c>
      <c r="GJ119" s="24" cm="1">
        <f t="array" ref="GJ119">INDEX(GJ122:GJ130,$K118)</f>
        <v>1</v>
      </c>
      <c r="GK119" s="24" cm="1">
        <f t="array" ref="GK119">INDEX(GK122:GK130,$K118)</f>
        <v>1</v>
      </c>
      <c r="GL119" s="24" cm="1">
        <f t="array" ref="GL119">INDEX(GL122:GL130,$K118)</f>
        <v>1</v>
      </c>
      <c r="GM119" s="24" cm="1">
        <f t="array" ref="GM119">INDEX(GM122:GM130,$K118)</f>
        <v>1</v>
      </c>
      <c r="GN119" s="24" cm="1">
        <f t="array" ref="GN119">INDEX(GN122:GN130,$K118)</f>
        <v>1</v>
      </c>
      <c r="GO119" s="24" cm="1">
        <f t="array" ref="GO119">INDEX(GO122:GO130,$K118)</f>
        <v>1</v>
      </c>
      <c r="GP119" s="24" cm="1">
        <f t="array" ref="GP119">INDEX(GP122:GP130,$K118)</f>
        <v>1</v>
      </c>
      <c r="GQ119" s="24" cm="1">
        <f t="array" ref="GQ119">INDEX(GQ122:GQ130,$K118)</f>
        <v>1</v>
      </c>
      <c r="GR119" s="24" cm="1">
        <f t="array" ref="GR119">INDEX(GR122:GR130,$K118)</f>
        <v>1</v>
      </c>
      <c r="GS119" s="24" cm="1">
        <f t="array" ref="GS119">INDEX(GS122:GS130,$K118)</f>
        <v>1</v>
      </c>
      <c r="GT119" s="24" cm="1">
        <f t="array" ref="GT119">INDEX(GT122:GT130,$K118)</f>
        <v>1</v>
      </c>
      <c r="GU119" s="24" cm="1">
        <f t="array" ref="GU119">INDEX(GU122:GU130,$K118)</f>
        <v>1</v>
      </c>
      <c r="GV119" s="24" cm="1">
        <f t="array" ref="GV119">INDEX(GV122:GV130,$K118)</f>
        <v>1</v>
      </c>
      <c r="GW119" s="24" cm="1">
        <f t="array" ref="GW119">INDEX(GW122:GW130,$K118)</f>
        <v>1</v>
      </c>
      <c r="GX119" s="24" cm="1">
        <f t="array" ref="GX119">INDEX(GX122:GX130,$K118)</f>
        <v>1</v>
      </c>
      <c r="GY119" s="24" cm="1">
        <f t="array" ref="GY119">INDEX(GY122:GY130,$K118)</f>
        <v>1</v>
      </c>
      <c r="GZ119" s="24" cm="1">
        <f t="array" ref="GZ119">INDEX(GZ122:GZ130,$K118)</f>
        <v>1</v>
      </c>
      <c r="HA119" s="24" cm="1">
        <f t="array" ref="HA119">INDEX(HA122:HA130,$K118)</f>
        <v>1</v>
      </c>
      <c r="HB119" s="24" cm="1">
        <f t="array" ref="HB119">INDEX(HB122:HB130,$K118)</f>
        <v>1</v>
      </c>
      <c r="HC119" s="24" cm="1">
        <f t="array" ref="HC119">INDEX(HC122:HC130,$K118)</f>
        <v>1</v>
      </c>
      <c r="HD119" s="24" cm="1">
        <f t="array" ref="HD119">INDEX(HD122:HD130,$K118)</f>
        <v>1</v>
      </c>
      <c r="HE119" s="24" cm="1">
        <f t="array" ref="HE119">INDEX(HE122:HE130,$K118)</f>
        <v>1</v>
      </c>
      <c r="HF119" s="24" cm="1">
        <f t="array" ref="HF119">INDEX(HF122:HF130,$K118)</f>
        <v>1</v>
      </c>
      <c r="HG119" s="24" cm="1">
        <f t="array" ref="HG119">INDEX(HG122:HG130,$K118)</f>
        <v>1</v>
      </c>
      <c r="HH119" s="24" cm="1">
        <f t="array" ref="HH119">INDEX(HH122:HH130,$K118)</f>
        <v>1</v>
      </c>
      <c r="HI119" s="24" cm="1">
        <f t="array" ref="HI119">INDEX(HI122:HI130,$K118)</f>
        <v>1</v>
      </c>
      <c r="HJ119" s="24" cm="1">
        <f t="array" ref="HJ119">INDEX(HJ122:HJ130,$K118)</f>
        <v>1</v>
      </c>
      <c r="HK119" s="24" cm="1">
        <f t="array" ref="HK119">INDEX(HK122:HK130,$K118)</f>
        <v>1</v>
      </c>
      <c r="HL119" s="24" cm="1">
        <f t="array" ref="HL119">INDEX(HL122:HL130,$K118)</f>
        <v>1</v>
      </c>
      <c r="HM119" s="24" cm="1">
        <f t="array" ref="HM119">INDEX(HM122:HM130,$K118)</f>
        <v>1</v>
      </c>
      <c r="HN119" s="24" cm="1">
        <f t="array" ref="HN119">INDEX(HN122:HN130,$K118)</f>
        <v>1</v>
      </c>
      <c r="HO119" s="24" cm="1">
        <f t="array" ref="HO119">INDEX(HO122:HO130,$K118)</f>
        <v>1</v>
      </c>
      <c r="HP119" s="24" cm="1">
        <f t="array" ref="HP119">INDEX(HP122:HP130,$K118)</f>
        <v>1</v>
      </c>
      <c r="HQ119" s="24" cm="1">
        <f t="array" ref="HQ119">INDEX(HQ122:HQ130,$K118)</f>
        <v>1</v>
      </c>
      <c r="HR119" s="24" cm="1">
        <f t="array" ref="HR119">INDEX(HR122:HR130,$K118)</f>
        <v>1</v>
      </c>
      <c r="HS119" s="24" cm="1">
        <f t="array" ref="HS119">INDEX(HS122:HS130,$K118)</f>
        <v>1</v>
      </c>
      <c r="HT119" s="24" cm="1">
        <f t="array" ref="HT119">INDEX(HT122:HT130,$K118)</f>
        <v>1</v>
      </c>
      <c r="HU119" s="24" cm="1">
        <f t="array" ref="HU119">INDEX(HU122:HU130,$K118)</f>
        <v>1</v>
      </c>
      <c r="HV119" s="24" cm="1">
        <f t="array" ref="HV119">INDEX(HV122:HV130,$K118)</f>
        <v>1</v>
      </c>
      <c r="HW119" s="24" cm="1">
        <f t="array" ref="HW119">INDEX(HW122:HW130,$K118)</f>
        <v>1</v>
      </c>
      <c r="HX119" s="24" cm="1">
        <f t="array" ref="HX119">INDEX(HX122:HX130,$K118)</f>
        <v>1</v>
      </c>
      <c r="HY119" s="24" cm="1">
        <f t="array" ref="HY119">INDEX(HY122:HY130,$K118)</f>
        <v>1</v>
      </c>
      <c r="HZ119" s="24" cm="1">
        <f t="array" ref="HZ119">INDEX(HZ122:HZ130,$K118)</f>
        <v>1</v>
      </c>
      <c r="IA119" s="24" cm="1">
        <f t="array" ref="IA119">INDEX(IA122:IA130,$K118)</f>
        <v>1</v>
      </c>
      <c r="IB119" s="24" cm="1">
        <f t="array" ref="IB119">INDEX(IB122:IB130,$K118)</f>
        <v>1</v>
      </c>
      <c r="IC119" s="24" cm="1">
        <f t="array" ref="IC119">INDEX(IC122:IC130,$K118)</f>
        <v>1</v>
      </c>
      <c r="ID119" s="24" cm="1">
        <f t="array" ref="ID119">INDEX(ID122:ID130,$K118)</f>
        <v>1</v>
      </c>
      <c r="IE119" s="24" cm="1">
        <f t="array" ref="IE119">INDEX(IE122:IE130,$K118)</f>
        <v>1</v>
      </c>
      <c r="IF119" s="24" cm="1">
        <f t="array" ref="IF119">INDEX(IF122:IF130,$K118)</f>
        <v>1</v>
      </c>
      <c r="IG119" s="24" cm="1">
        <f t="array" ref="IG119">INDEX(IG122:IG130,$K118)</f>
        <v>1</v>
      </c>
      <c r="IH119" s="24" cm="1">
        <f t="array" ref="IH119">INDEX(IH122:IH130,$K118)</f>
        <v>1</v>
      </c>
      <c r="II119" s="24" cm="1">
        <f t="array" ref="II119">INDEX(II122:II130,$K118)</f>
        <v>1</v>
      </c>
      <c r="IJ119" s="24" cm="1">
        <f t="array" ref="IJ119">INDEX(IJ122:IJ130,$K118)</f>
        <v>1</v>
      </c>
      <c r="IK119" s="24" cm="1">
        <f t="array" ref="IK119">INDEX(IK122:IK130,$K118)</f>
        <v>1</v>
      </c>
      <c r="IL119" s="24" cm="1">
        <f t="array" ref="IL119">INDEX(IL122:IL130,$K118)</f>
        <v>1</v>
      </c>
      <c r="IM119" s="24" cm="1">
        <f t="array" ref="IM119">INDEX(IM122:IM130,$K118)</f>
        <v>1</v>
      </c>
      <c r="IN119" s="24" cm="1">
        <f t="array" ref="IN119">INDEX(IN122:IN130,$K118)</f>
        <v>1</v>
      </c>
      <c r="IO119" s="24" cm="1">
        <f t="array" ref="IO119">INDEX(IO122:IO130,$K118)</f>
        <v>1</v>
      </c>
      <c r="IP119" s="24" cm="1">
        <f t="array" ref="IP119">INDEX(IP122:IP130,$K118)</f>
        <v>1</v>
      </c>
      <c r="IQ119" s="24" cm="1">
        <f t="array" ref="IQ119">INDEX(IQ122:IQ130,$K118)</f>
        <v>1</v>
      </c>
      <c r="IR119" s="24" cm="1">
        <f t="array" ref="IR119">INDEX(IR122:IR130,$K118)</f>
        <v>1</v>
      </c>
      <c r="IS119" s="24" cm="1">
        <f t="array" ref="IS119">INDEX(IS122:IS130,$K118)</f>
        <v>1</v>
      </c>
      <c r="IT119" s="24" cm="1">
        <f t="array" ref="IT119">INDEX(IT122:IT130,$K118)</f>
        <v>1</v>
      </c>
      <c r="IU119" s="24" cm="1">
        <f t="array" ref="IU119">INDEX(IU122:IU130,$K118)</f>
        <v>1</v>
      </c>
      <c r="IV119" s="24" cm="1">
        <f t="array" ref="IV119">INDEX(IV122:IV130,$K118)</f>
        <v>1</v>
      </c>
      <c r="IW119" s="24" cm="1">
        <f t="array" ref="IW119">INDEX(IW122:IW130,$K118)</f>
        <v>1</v>
      </c>
      <c r="IX119" s="24" cm="1">
        <f t="array" ref="IX119">INDEX(IX122:IX130,$K118)</f>
        <v>1</v>
      </c>
      <c r="IY119" s="24" cm="1">
        <f t="array" ref="IY119">INDEX(IY122:IY130,$K118)</f>
        <v>1</v>
      </c>
      <c r="IZ119" s="24" cm="1">
        <f t="array" ref="IZ119">INDEX(IZ122:IZ130,$K118)</f>
        <v>1</v>
      </c>
      <c r="JA119" s="24" cm="1">
        <f t="array" ref="JA119">INDEX(JA122:JA130,$K118)</f>
        <v>1</v>
      </c>
      <c r="JB119" s="24" cm="1">
        <f t="array" ref="JB119">INDEX(JB122:JB130,$K118)</f>
        <v>1</v>
      </c>
      <c r="JC119" s="24" cm="1">
        <f t="array" ref="JC119">INDEX(JC122:JC130,$K118)</f>
        <v>1</v>
      </c>
      <c r="JD119" s="24" cm="1">
        <f t="array" ref="JD119">INDEX(JD122:JD130,$K118)</f>
        <v>1</v>
      </c>
      <c r="JE119" s="24" cm="1">
        <f t="array" ref="JE119">INDEX(JE122:JE130,$K118)</f>
        <v>1</v>
      </c>
      <c r="JF119" s="24" cm="1">
        <f t="array" ref="JF119">INDEX(JF122:JF130,$K118)</f>
        <v>1</v>
      </c>
      <c r="JG119" s="24" cm="1">
        <f t="array" ref="JG119">INDEX(JG122:JG130,$K118)</f>
        <v>1</v>
      </c>
      <c r="JH119" s="24" cm="1">
        <f t="array" ref="JH119">INDEX(JH122:JH130,$K118)</f>
        <v>1</v>
      </c>
      <c r="JI119" s="24" cm="1">
        <f t="array" ref="JI119">INDEX(JI122:JI130,$K118)</f>
        <v>1</v>
      </c>
      <c r="JJ119" s="24" cm="1">
        <f t="array" ref="JJ119">INDEX(JJ122:JJ130,$K118)</f>
        <v>1</v>
      </c>
      <c r="JK119" s="24" cm="1">
        <f t="array" ref="JK119">INDEX(JK122:JK130,$K118)</f>
        <v>1</v>
      </c>
      <c r="JL119" s="24" cm="1">
        <f t="array" ref="JL119">INDEX(JL122:JL130,$K118)</f>
        <v>1</v>
      </c>
      <c r="JM119" s="24" cm="1">
        <f t="array" ref="JM119">INDEX(JM122:JM130,$K118)</f>
        <v>1</v>
      </c>
      <c r="JN119" s="24" cm="1">
        <f t="array" ref="JN119">INDEX(JN122:JN130,$K118)</f>
        <v>1</v>
      </c>
      <c r="JO119" s="24" cm="1">
        <f t="array" ref="JO119">INDEX(JO122:JO130,$K118)</f>
        <v>1</v>
      </c>
      <c r="JP119" s="24" cm="1">
        <f t="array" ref="JP119">INDEX(JP122:JP130,$K118)</f>
        <v>1</v>
      </c>
      <c r="JQ119" s="24" cm="1">
        <f t="array" ref="JQ119">INDEX(JQ122:JQ130,$K118)</f>
        <v>1</v>
      </c>
      <c r="JR119" s="24" cm="1">
        <f t="array" ref="JR119">INDEX(JR122:JR130,$K118)</f>
        <v>1</v>
      </c>
      <c r="JS119" s="24" cm="1">
        <f t="array" ref="JS119">INDEX(JS122:JS130,$K118)</f>
        <v>1</v>
      </c>
      <c r="JT119" s="24" cm="1">
        <f t="array" ref="JT119">INDEX(JT122:JT130,$K118)</f>
        <v>1</v>
      </c>
      <c r="JU119" s="24" cm="1">
        <f t="array" ref="JU119">INDEX(JU122:JU130,$K118)</f>
        <v>1</v>
      </c>
      <c r="JV119" s="24" cm="1">
        <f t="array" ref="JV119">INDEX(JV122:JV130,$K118)</f>
        <v>1</v>
      </c>
      <c r="JW119" s="24" cm="1">
        <f t="array" ref="JW119">INDEX(JW122:JW130,$K118)</f>
        <v>1</v>
      </c>
      <c r="JX119" s="24" cm="1">
        <f t="array" ref="JX119">INDEX(JX122:JX130,$K118)</f>
        <v>1</v>
      </c>
      <c r="JY119" s="24" cm="1">
        <f t="array" ref="JY119">INDEX(JY122:JY130,$K118)</f>
        <v>1</v>
      </c>
      <c r="JZ119" s="24" cm="1">
        <f t="array" ref="JZ119">INDEX(JZ122:JZ130,$K118)</f>
        <v>1</v>
      </c>
      <c r="KA119" s="24" cm="1">
        <f t="array" ref="KA119">INDEX(KA122:KA130,$K118)</f>
        <v>1</v>
      </c>
      <c r="KB119" s="24" cm="1">
        <f t="array" ref="KB119">INDEX(KB122:KB130,$K118)</f>
        <v>1</v>
      </c>
      <c r="KC119" s="24" cm="1">
        <f t="array" ref="KC119">INDEX(KC122:KC130,$K118)</f>
        <v>1</v>
      </c>
      <c r="KD119" s="24" cm="1">
        <f t="array" ref="KD119">INDEX(KD122:KD130,$K118)</f>
        <v>1</v>
      </c>
      <c r="KE119" s="24" cm="1">
        <f t="array" ref="KE119">INDEX(KE122:KE130,$K118)</f>
        <v>1</v>
      </c>
      <c r="KF119" s="24" cm="1">
        <f t="array" ref="KF119">INDEX(KF122:KF130,$K118)</f>
        <v>1</v>
      </c>
    </row>
    <row r="120" spans="4:292" outlineLevel="1" x14ac:dyDescent="0.35">
      <c r="D120" s="20">
        <v>0</v>
      </c>
      <c r="E120" s="13" t="s">
        <v>170</v>
      </c>
      <c r="J120" s="55" t="s">
        <v>161</v>
      </c>
      <c r="K120" s="64">
        <f>K119*(1+$D120)</f>
        <v>1</v>
      </c>
      <c r="L120" s="64">
        <f t="shared" ref="L120" si="898">L119*(1+$D120)</f>
        <v>1</v>
      </c>
      <c r="M120" s="64">
        <f t="shared" ref="M120" si="899">M119*(1+$D120)</f>
        <v>1</v>
      </c>
      <c r="N120" s="64">
        <f t="shared" ref="N120" si="900">N119*(1+$D120)</f>
        <v>1</v>
      </c>
      <c r="O120" s="64">
        <f t="shared" ref="O120" si="901">O119*(1+$D120)</f>
        <v>1</v>
      </c>
      <c r="P120" s="64">
        <f t="shared" ref="P120" si="902">P119*(1+$D120)</f>
        <v>1</v>
      </c>
      <c r="Q120" s="64">
        <f t="shared" ref="Q120" si="903">Q119*(1+$D120)</f>
        <v>1</v>
      </c>
      <c r="R120" s="64">
        <f t="shared" ref="R120" si="904">R119*(1+$D120)</f>
        <v>1</v>
      </c>
      <c r="S120" s="64">
        <f t="shared" ref="S120" si="905">S119*(1+$D120)</f>
        <v>1</v>
      </c>
      <c r="T120" s="64">
        <f t="shared" ref="T120" si="906">T119*(1+$D120)</f>
        <v>1</v>
      </c>
      <c r="U120" s="64">
        <f t="shared" ref="U120" si="907">U119*(1+$D120)</f>
        <v>1</v>
      </c>
      <c r="V120" s="64">
        <f t="shared" ref="V120" si="908">V119*(1+$D120)</f>
        <v>1</v>
      </c>
      <c r="W120" s="64">
        <f t="shared" ref="W120" si="909">W119*(1+$D120)</f>
        <v>1</v>
      </c>
      <c r="X120" s="64">
        <f t="shared" ref="X120" si="910">X119*(1+$D120)</f>
        <v>1</v>
      </c>
      <c r="Y120" s="64">
        <f t="shared" ref="Y120" si="911">Y119*(1+$D120)</f>
        <v>1</v>
      </c>
      <c r="Z120" s="64">
        <f t="shared" ref="Z120" si="912">Z119*(1+$D120)</f>
        <v>1</v>
      </c>
      <c r="AA120" s="64">
        <f t="shared" ref="AA120" si="913">AA119*(1+$D120)</f>
        <v>1</v>
      </c>
      <c r="AB120" s="64">
        <f t="shared" ref="AB120" si="914">AB119*(1+$D120)</f>
        <v>1</v>
      </c>
      <c r="AC120" s="64">
        <f t="shared" ref="AC120" si="915">AC119*(1+$D120)</f>
        <v>1</v>
      </c>
      <c r="AD120" s="64">
        <f t="shared" ref="AD120" si="916">AD119*(1+$D120)</f>
        <v>1</v>
      </c>
      <c r="AE120" s="64">
        <f t="shared" ref="AE120" si="917">AE119*(1+$D120)</f>
        <v>1</v>
      </c>
      <c r="AF120" s="64">
        <f t="shared" ref="AF120" si="918">AF119*(1+$D120)</f>
        <v>1</v>
      </c>
      <c r="AG120" s="64">
        <f t="shared" ref="AG120" si="919">AG119*(1+$D120)</f>
        <v>1</v>
      </c>
      <c r="AH120" s="64">
        <f t="shared" ref="AH120" si="920">AH119*(1+$D120)</f>
        <v>1</v>
      </c>
      <c r="AI120" s="64">
        <f t="shared" ref="AI120" si="921">AI119*(1+$D120)</f>
        <v>1</v>
      </c>
      <c r="AJ120" s="64">
        <f t="shared" ref="AJ120" si="922">AJ119*(1+$D120)</f>
        <v>1</v>
      </c>
      <c r="AK120" s="64">
        <f t="shared" ref="AK120" si="923">AK119*(1+$D120)</f>
        <v>1</v>
      </c>
      <c r="AL120" s="64">
        <f t="shared" ref="AL120" si="924">AL119*(1+$D120)</f>
        <v>1</v>
      </c>
      <c r="AM120" s="64">
        <f t="shared" ref="AM120" si="925">AM119*(1+$D120)</f>
        <v>1</v>
      </c>
      <c r="AN120" s="64">
        <f t="shared" ref="AN120" si="926">AN119*(1+$D120)</f>
        <v>1</v>
      </c>
      <c r="AO120" s="64">
        <f t="shared" ref="AO120" si="927">AO119*(1+$D120)</f>
        <v>1</v>
      </c>
      <c r="AP120" s="64">
        <f t="shared" ref="AP120" si="928">AP119*(1+$D120)</f>
        <v>1</v>
      </c>
      <c r="AQ120" s="64">
        <f t="shared" ref="AQ120" si="929">AQ119*(1+$D120)</f>
        <v>1</v>
      </c>
      <c r="AR120" s="64">
        <f t="shared" ref="AR120" si="930">AR119*(1+$D120)</f>
        <v>1</v>
      </c>
      <c r="AS120" s="64">
        <f t="shared" ref="AS120" si="931">AS119*(1+$D120)</f>
        <v>1</v>
      </c>
      <c r="AT120" s="64">
        <f t="shared" ref="AT120" si="932">AT119*(1+$D120)</f>
        <v>1</v>
      </c>
      <c r="AU120" s="64">
        <f t="shared" ref="AU120" si="933">AU119*(1+$D120)</f>
        <v>1</v>
      </c>
      <c r="AV120" s="64">
        <f t="shared" ref="AV120" si="934">AV119*(1+$D120)</f>
        <v>1</v>
      </c>
      <c r="AW120" s="64">
        <f t="shared" ref="AW120" si="935">AW119*(1+$D120)</f>
        <v>1</v>
      </c>
      <c r="AX120" s="64">
        <f t="shared" ref="AX120" si="936">AX119*(1+$D120)</f>
        <v>1</v>
      </c>
      <c r="AY120" s="64">
        <f t="shared" ref="AY120" si="937">AY119*(1+$D120)</f>
        <v>1</v>
      </c>
      <c r="AZ120" s="64">
        <f t="shared" ref="AZ120" si="938">AZ119*(1+$D120)</f>
        <v>1</v>
      </c>
      <c r="BA120" s="64">
        <f t="shared" ref="BA120" si="939">BA119*(1+$D120)</f>
        <v>1</v>
      </c>
      <c r="BB120" s="64">
        <f t="shared" ref="BB120" si="940">BB119*(1+$D120)</f>
        <v>1</v>
      </c>
      <c r="BC120" s="64">
        <f t="shared" ref="BC120" si="941">BC119*(1+$D120)</f>
        <v>1</v>
      </c>
      <c r="BD120" s="64">
        <f t="shared" ref="BD120" si="942">BD119*(1+$D120)</f>
        <v>1</v>
      </c>
      <c r="BE120" s="64">
        <f t="shared" ref="BE120" si="943">BE119*(1+$D120)</f>
        <v>1</v>
      </c>
      <c r="BF120" s="64">
        <f t="shared" ref="BF120" si="944">BF119*(1+$D120)</f>
        <v>1</v>
      </c>
      <c r="BG120" s="64">
        <f t="shared" ref="BG120" si="945">BG119*(1+$D120)</f>
        <v>1</v>
      </c>
      <c r="BH120" s="64">
        <f t="shared" ref="BH120" si="946">BH119*(1+$D120)</f>
        <v>1</v>
      </c>
      <c r="BI120" s="64">
        <f t="shared" ref="BI120" si="947">BI119*(1+$D120)</f>
        <v>1</v>
      </c>
      <c r="BJ120" s="64">
        <f t="shared" ref="BJ120" si="948">BJ119*(1+$D120)</f>
        <v>1</v>
      </c>
      <c r="BK120" s="64">
        <f t="shared" ref="BK120" si="949">BK119*(1+$D120)</f>
        <v>1</v>
      </c>
      <c r="BL120" s="64">
        <f t="shared" ref="BL120" si="950">BL119*(1+$D120)</f>
        <v>1</v>
      </c>
      <c r="BM120" s="64">
        <f t="shared" ref="BM120" si="951">BM119*(1+$D120)</f>
        <v>1</v>
      </c>
      <c r="BN120" s="64">
        <f t="shared" ref="BN120" si="952">BN119*(1+$D120)</f>
        <v>1</v>
      </c>
      <c r="BO120" s="64">
        <f t="shared" ref="BO120" si="953">BO119*(1+$D120)</f>
        <v>1</v>
      </c>
      <c r="BP120" s="64">
        <f t="shared" ref="BP120" si="954">BP119*(1+$D120)</f>
        <v>1</v>
      </c>
      <c r="BQ120" s="64">
        <f t="shared" ref="BQ120" si="955">BQ119*(1+$D120)</f>
        <v>1</v>
      </c>
      <c r="BR120" s="64">
        <f t="shared" ref="BR120" si="956">BR119*(1+$D120)</f>
        <v>1</v>
      </c>
      <c r="BS120" s="64">
        <f t="shared" ref="BS120" si="957">BS119*(1+$D120)</f>
        <v>1</v>
      </c>
      <c r="BT120" s="64">
        <f t="shared" ref="BT120" si="958">BT119*(1+$D120)</f>
        <v>1</v>
      </c>
      <c r="BU120" s="64">
        <f t="shared" ref="BU120" si="959">BU119*(1+$D120)</f>
        <v>1</v>
      </c>
      <c r="BV120" s="64">
        <f t="shared" ref="BV120" si="960">BV119*(1+$D120)</f>
        <v>1</v>
      </c>
      <c r="BW120" s="64">
        <f t="shared" ref="BW120" si="961">BW119*(1+$D120)</f>
        <v>1</v>
      </c>
      <c r="BX120" s="64">
        <f t="shared" ref="BX120" si="962">BX119*(1+$D120)</f>
        <v>1</v>
      </c>
      <c r="BY120" s="64">
        <f t="shared" ref="BY120" si="963">BY119*(1+$D120)</f>
        <v>1</v>
      </c>
      <c r="BZ120" s="64">
        <f t="shared" ref="BZ120" si="964">BZ119*(1+$D120)</f>
        <v>1</v>
      </c>
      <c r="CA120" s="64">
        <f t="shared" ref="CA120" si="965">CA119*(1+$D120)</f>
        <v>1</v>
      </c>
      <c r="CB120" s="64">
        <f t="shared" ref="CB120" si="966">CB119*(1+$D120)</f>
        <v>1</v>
      </c>
      <c r="CC120" s="64">
        <f t="shared" ref="CC120" si="967">CC119*(1+$D120)</f>
        <v>1</v>
      </c>
      <c r="CD120" s="64">
        <f t="shared" ref="CD120" si="968">CD119*(1+$D120)</f>
        <v>1</v>
      </c>
      <c r="CE120" s="64">
        <f t="shared" ref="CE120" si="969">CE119*(1+$D120)</f>
        <v>1</v>
      </c>
      <c r="CF120" s="64">
        <f t="shared" ref="CF120" si="970">CF119*(1+$D120)</f>
        <v>1</v>
      </c>
      <c r="CG120" s="64">
        <f t="shared" ref="CG120" si="971">CG119*(1+$D120)</f>
        <v>1</v>
      </c>
      <c r="CH120" s="64">
        <f t="shared" ref="CH120" si="972">CH119*(1+$D120)</f>
        <v>1</v>
      </c>
      <c r="CI120" s="64">
        <f t="shared" ref="CI120" si="973">CI119*(1+$D120)</f>
        <v>1</v>
      </c>
      <c r="CJ120" s="64">
        <f t="shared" ref="CJ120" si="974">CJ119*(1+$D120)</f>
        <v>1</v>
      </c>
      <c r="CK120" s="64">
        <f t="shared" ref="CK120" si="975">CK119*(1+$D120)</f>
        <v>1</v>
      </c>
      <c r="CL120" s="64">
        <f t="shared" ref="CL120" si="976">CL119*(1+$D120)</f>
        <v>1</v>
      </c>
      <c r="CM120" s="64">
        <f t="shared" ref="CM120" si="977">CM119*(1+$D120)</f>
        <v>1</v>
      </c>
      <c r="CN120" s="64">
        <f t="shared" ref="CN120" si="978">CN119*(1+$D120)</f>
        <v>1</v>
      </c>
      <c r="CO120" s="64">
        <f t="shared" ref="CO120" si="979">CO119*(1+$D120)</f>
        <v>1</v>
      </c>
      <c r="CP120" s="64">
        <f t="shared" ref="CP120" si="980">CP119*(1+$D120)</f>
        <v>1</v>
      </c>
      <c r="CQ120" s="64">
        <f t="shared" ref="CQ120" si="981">CQ119*(1+$D120)</f>
        <v>1</v>
      </c>
      <c r="CR120" s="64">
        <f t="shared" ref="CR120" si="982">CR119*(1+$D120)</f>
        <v>1</v>
      </c>
      <c r="CS120" s="64">
        <f t="shared" ref="CS120" si="983">CS119*(1+$D120)</f>
        <v>1</v>
      </c>
      <c r="CT120" s="64">
        <f t="shared" ref="CT120" si="984">CT119*(1+$D120)</f>
        <v>1</v>
      </c>
      <c r="CU120" s="64">
        <f t="shared" ref="CU120" si="985">CU119*(1+$D120)</f>
        <v>1</v>
      </c>
      <c r="CV120" s="64">
        <f t="shared" ref="CV120" si="986">CV119*(1+$D120)</f>
        <v>1</v>
      </c>
      <c r="CW120" s="64">
        <f t="shared" ref="CW120" si="987">CW119*(1+$D120)</f>
        <v>1</v>
      </c>
      <c r="CX120" s="64">
        <f t="shared" ref="CX120" si="988">CX119*(1+$D120)</f>
        <v>1</v>
      </c>
      <c r="CY120" s="64">
        <f t="shared" ref="CY120" si="989">CY119*(1+$D120)</f>
        <v>1</v>
      </c>
      <c r="CZ120" s="64">
        <f t="shared" ref="CZ120" si="990">CZ119*(1+$D120)</f>
        <v>1</v>
      </c>
      <c r="DA120" s="64">
        <f t="shared" ref="DA120" si="991">DA119*(1+$D120)</f>
        <v>1</v>
      </c>
      <c r="DB120" s="64">
        <f t="shared" ref="DB120" si="992">DB119*(1+$D120)</f>
        <v>1</v>
      </c>
      <c r="DC120" s="64">
        <f t="shared" ref="DC120" si="993">DC119*(1+$D120)</f>
        <v>1</v>
      </c>
      <c r="DD120" s="64">
        <f t="shared" ref="DD120" si="994">DD119*(1+$D120)</f>
        <v>1</v>
      </c>
      <c r="DE120" s="64">
        <f t="shared" ref="DE120" si="995">DE119*(1+$D120)</f>
        <v>1</v>
      </c>
      <c r="DF120" s="64">
        <f t="shared" ref="DF120" si="996">DF119*(1+$D120)</f>
        <v>1</v>
      </c>
      <c r="DG120" s="64">
        <f t="shared" ref="DG120" si="997">DG119*(1+$D120)</f>
        <v>1</v>
      </c>
      <c r="DH120" s="64">
        <f t="shared" ref="DH120" si="998">DH119*(1+$D120)</f>
        <v>1</v>
      </c>
      <c r="DI120" s="64">
        <f t="shared" ref="DI120" si="999">DI119*(1+$D120)</f>
        <v>1</v>
      </c>
      <c r="DJ120" s="64">
        <f t="shared" ref="DJ120" si="1000">DJ119*(1+$D120)</f>
        <v>1</v>
      </c>
      <c r="DK120" s="64">
        <f t="shared" ref="DK120" si="1001">DK119*(1+$D120)</f>
        <v>1</v>
      </c>
      <c r="DL120" s="64">
        <f t="shared" ref="DL120" si="1002">DL119*(1+$D120)</f>
        <v>1</v>
      </c>
      <c r="DM120" s="64">
        <f t="shared" ref="DM120" si="1003">DM119*(1+$D120)</f>
        <v>1</v>
      </c>
      <c r="DN120" s="64">
        <f t="shared" ref="DN120" si="1004">DN119*(1+$D120)</f>
        <v>1</v>
      </c>
      <c r="DO120" s="64">
        <f t="shared" ref="DO120" si="1005">DO119*(1+$D120)</f>
        <v>1</v>
      </c>
      <c r="DP120" s="64">
        <f t="shared" ref="DP120" si="1006">DP119*(1+$D120)</f>
        <v>1</v>
      </c>
      <c r="DQ120" s="64">
        <f t="shared" ref="DQ120" si="1007">DQ119*(1+$D120)</f>
        <v>1</v>
      </c>
      <c r="DR120" s="64">
        <f t="shared" ref="DR120" si="1008">DR119*(1+$D120)</f>
        <v>1</v>
      </c>
      <c r="DS120" s="64">
        <f t="shared" ref="DS120" si="1009">DS119*(1+$D120)</f>
        <v>1</v>
      </c>
      <c r="DT120" s="64">
        <f t="shared" ref="DT120" si="1010">DT119*(1+$D120)</f>
        <v>1</v>
      </c>
      <c r="DU120" s="64">
        <f t="shared" ref="DU120" si="1011">DU119*(1+$D120)</f>
        <v>1</v>
      </c>
      <c r="DV120" s="64">
        <f t="shared" ref="DV120" si="1012">DV119*(1+$D120)</f>
        <v>1</v>
      </c>
      <c r="DW120" s="64">
        <f t="shared" ref="DW120" si="1013">DW119*(1+$D120)</f>
        <v>1</v>
      </c>
      <c r="DX120" s="64">
        <f t="shared" ref="DX120" si="1014">DX119*(1+$D120)</f>
        <v>1</v>
      </c>
      <c r="DY120" s="64">
        <f t="shared" ref="DY120" si="1015">DY119*(1+$D120)</f>
        <v>1</v>
      </c>
      <c r="DZ120" s="64">
        <f t="shared" ref="DZ120" si="1016">DZ119*(1+$D120)</f>
        <v>1</v>
      </c>
      <c r="EA120" s="64">
        <f t="shared" ref="EA120" si="1017">EA119*(1+$D120)</f>
        <v>1</v>
      </c>
      <c r="EB120" s="64">
        <f t="shared" ref="EB120" si="1018">EB119*(1+$D120)</f>
        <v>1</v>
      </c>
      <c r="EC120" s="64">
        <f t="shared" ref="EC120" si="1019">EC119*(1+$D120)</f>
        <v>1</v>
      </c>
      <c r="ED120" s="64">
        <f t="shared" ref="ED120" si="1020">ED119*(1+$D120)</f>
        <v>1</v>
      </c>
      <c r="EE120" s="64">
        <f t="shared" ref="EE120" si="1021">EE119*(1+$D120)</f>
        <v>1</v>
      </c>
      <c r="EF120" s="64">
        <f t="shared" ref="EF120" si="1022">EF119*(1+$D120)</f>
        <v>1</v>
      </c>
      <c r="EG120" s="64">
        <f t="shared" ref="EG120" si="1023">EG119*(1+$D120)</f>
        <v>1</v>
      </c>
      <c r="EH120" s="64">
        <f t="shared" ref="EH120" si="1024">EH119*(1+$D120)</f>
        <v>1</v>
      </c>
      <c r="EI120" s="64">
        <f t="shared" ref="EI120" si="1025">EI119*(1+$D120)</f>
        <v>1</v>
      </c>
      <c r="EJ120" s="64">
        <f t="shared" ref="EJ120" si="1026">EJ119*(1+$D120)</f>
        <v>1</v>
      </c>
      <c r="EK120" s="64">
        <f t="shared" ref="EK120" si="1027">EK119*(1+$D120)</f>
        <v>1</v>
      </c>
      <c r="EL120" s="64">
        <f t="shared" ref="EL120" si="1028">EL119*(1+$D120)</f>
        <v>1</v>
      </c>
      <c r="EM120" s="64">
        <f t="shared" ref="EM120" si="1029">EM119*(1+$D120)</f>
        <v>1</v>
      </c>
      <c r="EN120" s="64">
        <f t="shared" ref="EN120" si="1030">EN119*(1+$D120)</f>
        <v>1</v>
      </c>
      <c r="EO120" s="64">
        <f t="shared" ref="EO120" si="1031">EO119*(1+$D120)</f>
        <v>1</v>
      </c>
      <c r="EP120" s="64">
        <f t="shared" ref="EP120" si="1032">EP119*(1+$D120)</f>
        <v>1</v>
      </c>
      <c r="EQ120" s="64">
        <f t="shared" ref="EQ120" si="1033">EQ119*(1+$D120)</f>
        <v>1</v>
      </c>
      <c r="ER120" s="64">
        <f t="shared" ref="ER120" si="1034">ER119*(1+$D120)</f>
        <v>1</v>
      </c>
      <c r="ES120" s="64">
        <f t="shared" ref="ES120" si="1035">ES119*(1+$D120)</f>
        <v>1</v>
      </c>
      <c r="ET120" s="64">
        <f t="shared" ref="ET120" si="1036">ET119*(1+$D120)</f>
        <v>1</v>
      </c>
      <c r="EU120" s="64">
        <f t="shared" ref="EU120" si="1037">EU119*(1+$D120)</f>
        <v>1</v>
      </c>
      <c r="EV120" s="64">
        <f t="shared" ref="EV120" si="1038">EV119*(1+$D120)</f>
        <v>1</v>
      </c>
      <c r="EW120" s="64">
        <f t="shared" ref="EW120" si="1039">EW119*(1+$D120)</f>
        <v>1</v>
      </c>
      <c r="EX120" s="64">
        <f t="shared" ref="EX120" si="1040">EX119*(1+$D120)</f>
        <v>1</v>
      </c>
      <c r="EY120" s="64">
        <f t="shared" ref="EY120" si="1041">EY119*(1+$D120)</f>
        <v>1</v>
      </c>
      <c r="EZ120" s="64">
        <f t="shared" ref="EZ120" si="1042">EZ119*(1+$D120)</f>
        <v>1</v>
      </c>
      <c r="FA120" s="64">
        <f t="shared" ref="FA120" si="1043">FA119*(1+$D120)</f>
        <v>1</v>
      </c>
      <c r="FB120" s="64">
        <f t="shared" ref="FB120" si="1044">FB119*(1+$D120)</f>
        <v>1</v>
      </c>
      <c r="FC120" s="64">
        <f t="shared" ref="FC120" si="1045">FC119*(1+$D120)</f>
        <v>1</v>
      </c>
      <c r="FD120" s="64">
        <f t="shared" ref="FD120" si="1046">FD119*(1+$D120)</f>
        <v>1</v>
      </c>
      <c r="FE120" s="64">
        <f t="shared" ref="FE120" si="1047">FE119*(1+$D120)</f>
        <v>1</v>
      </c>
      <c r="FF120" s="64">
        <f t="shared" ref="FF120" si="1048">FF119*(1+$D120)</f>
        <v>1</v>
      </c>
      <c r="FG120" s="64">
        <f t="shared" ref="FG120" si="1049">FG119*(1+$D120)</f>
        <v>1</v>
      </c>
      <c r="FH120" s="64">
        <f t="shared" ref="FH120" si="1050">FH119*(1+$D120)</f>
        <v>1</v>
      </c>
      <c r="FI120" s="64">
        <f t="shared" ref="FI120" si="1051">FI119*(1+$D120)</f>
        <v>1</v>
      </c>
      <c r="FJ120" s="64">
        <f t="shared" ref="FJ120" si="1052">FJ119*(1+$D120)</f>
        <v>1</v>
      </c>
      <c r="FK120" s="64">
        <f t="shared" ref="FK120" si="1053">FK119*(1+$D120)</f>
        <v>1</v>
      </c>
      <c r="FL120" s="64">
        <f t="shared" ref="FL120" si="1054">FL119*(1+$D120)</f>
        <v>1</v>
      </c>
      <c r="FM120" s="64">
        <f t="shared" ref="FM120" si="1055">FM119*(1+$D120)</f>
        <v>1</v>
      </c>
      <c r="FN120" s="64">
        <f t="shared" ref="FN120" si="1056">FN119*(1+$D120)</f>
        <v>1</v>
      </c>
      <c r="FO120" s="64">
        <f t="shared" ref="FO120" si="1057">FO119*(1+$D120)</f>
        <v>1</v>
      </c>
      <c r="FP120" s="64">
        <f t="shared" ref="FP120" si="1058">FP119*(1+$D120)</f>
        <v>1</v>
      </c>
      <c r="FQ120" s="64">
        <f t="shared" ref="FQ120" si="1059">FQ119*(1+$D120)</f>
        <v>1</v>
      </c>
      <c r="FR120" s="64">
        <f t="shared" ref="FR120" si="1060">FR119*(1+$D120)</f>
        <v>1</v>
      </c>
      <c r="FS120" s="64">
        <f t="shared" ref="FS120" si="1061">FS119*(1+$D120)</f>
        <v>1</v>
      </c>
      <c r="FT120" s="64">
        <f t="shared" ref="FT120" si="1062">FT119*(1+$D120)</f>
        <v>1</v>
      </c>
      <c r="FU120" s="64">
        <f t="shared" ref="FU120" si="1063">FU119*(1+$D120)</f>
        <v>1</v>
      </c>
      <c r="FV120" s="64">
        <f t="shared" ref="FV120" si="1064">FV119*(1+$D120)</f>
        <v>1</v>
      </c>
      <c r="FW120" s="64">
        <f t="shared" ref="FW120" si="1065">FW119*(1+$D120)</f>
        <v>1</v>
      </c>
      <c r="FX120" s="64">
        <f t="shared" ref="FX120" si="1066">FX119*(1+$D120)</f>
        <v>1</v>
      </c>
      <c r="FY120" s="64">
        <f t="shared" ref="FY120" si="1067">FY119*(1+$D120)</f>
        <v>1</v>
      </c>
      <c r="FZ120" s="64">
        <f t="shared" ref="FZ120" si="1068">FZ119*(1+$D120)</f>
        <v>1</v>
      </c>
      <c r="GA120" s="64">
        <f t="shared" ref="GA120" si="1069">GA119*(1+$D120)</f>
        <v>1</v>
      </c>
      <c r="GB120" s="64">
        <f t="shared" ref="GB120" si="1070">GB119*(1+$D120)</f>
        <v>1</v>
      </c>
      <c r="GC120" s="64">
        <f t="shared" ref="GC120" si="1071">GC119*(1+$D120)</f>
        <v>1</v>
      </c>
      <c r="GD120" s="64">
        <f t="shared" ref="GD120" si="1072">GD119*(1+$D120)</f>
        <v>1</v>
      </c>
      <c r="GE120" s="64">
        <f t="shared" ref="GE120" si="1073">GE119*(1+$D120)</f>
        <v>1</v>
      </c>
      <c r="GF120" s="64">
        <f t="shared" ref="GF120" si="1074">GF119*(1+$D120)</f>
        <v>1</v>
      </c>
      <c r="GG120" s="64">
        <f t="shared" ref="GG120" si="1075">GG119*(1+$D120)</f>
        <v>1</v>
      </c>
      <c r="GH120" s="64">
        <f t="shared" ref="GH120" si="1076">GH119*(1+$D120)</f>
        <v>1</v>
      </c>
      <c r="GI120" s="64">
        <f t="shared" ref="GI120" si="1077">GI119*(1+$D120)</f>
        <v>1</v>
      </c>
      <c r="GJ120" s="64">
        <f t="shared" ref="GJ120" si="1078">GJ119*(1+$D120)</f>
        <v>1</v>
      </c>
      <c r="GK120" s="64">
        <f t="shared" ref="GK120" si="1079">GK119*(1+$D120)</f>
        <v>1</v>
      </c>
      <c r="GL120" s="64">
        <f t="shared" ref="GL120" si="1080">GL119*(1+$D120)</f>
        <v>1</v>
      </c>
      <c r="GM120" s="64">
        <f t="shared" ref="GM120" si="1081">GM119*(1+$D120)</f>
        <v>1</v>
      </c>
      <c r="GN120" s="64">
        <f t="shared" ref="GN120" si="1082">GN119*(1+$D120)</f>
        <v>1</v>
      </c>
      <c r="GO120" s="64">
        <f t="shared" ref="GO120" si="1083">GO119*(1+$D120)</f>
        <v>1</v>
      </c>
      <c r="GP120" s="64">
        <f t="shared" ref="GP120" si="1084">GP119*(1+$D120)</f>
        <v>1</v>
      </c>
      <c r="GQ120" s="64">
        <f t="shared" ref="GQ120" si="1085">GQ119*(1+$D120)</f>
        <v>1</v>
      </c>
      <c r="GR120" s="64">
        <f t="shared" ref="GR120" si="1086">GR119*(1+$D120)</f>
        <v>1</v>
      </c>
      <c r="GS120" s="64">
        <f t="shared" ref="GS120" si="1087">GS119*(1+$D120)</f>
        <v>1</v>
      </c>
      <c r="GT120" s="64">
        <f t="shared" ref="GT120" si="1088">GT119*(1+$D120)</f>
        <v>1</v>
      </c>
      <c r="GU120" s="64">
        <f t="shared" ref="GU120" si="1089">GU119*(1+$D120)</f>
        <v>1</v>
      </c>
      <c r="GV120" s="64">
        <f t="shared" ref="GV120" si="1090">GV119*(1+$D120)</f>
        <v>1</v>
      </c>
      <c r="GW120" s="64">
        <f t="shared" ref="GW120" si="1091">GW119*(1+$D120)</f>
        <v>1</v>
      </c>
      <c r="GX120" s="64">
        <f t="shared" ref="GX120" si="1092">GX119*(1+$D120)</f>
        <v>1</v>
      </c>
      <c r="GY120" s="64">
        <f t="shared" ref="GY120" si="1093">GY119*(1+$D120)</f>
        <v>1</v>
      </c>
      <c r="GZ120" s="64">
        <f t="shared" ref="GZ120" si="1094">GZ119*(1+$D120)</f>
        <v>1</v>
      </c>
      <c r="HA120" s="64">
        <f t="shared" ref="HA120" si="1095">HA119*(1+$D120)</f>
        <v>1</v>
      </c>
      <c r="HB120" s="64">
        <f t="shared" ref="HB120" si="1096">HB119*(1+$D120)</f>
        <v>1</v>
      </c>
      <c r="HC120" s="64">
        <f t="shared" ref="HC120" si="1097">HC119*(1+$D120)</f>
        <v>1</v>
      </c>
      <c r="HD120" s="64">
        <f t="shared" ref="HD120" si="1098">HD119*(1+$D120)</f>
        <v>1</v>
      </c>
      <c r="HE120" s="64">
        <f t="shared" ref="HE120" si="1099">HE119*(1+$D120)</f>
        <v>1</v>
      </c>
      <c r="HF120" s="64">
        <f t="shared" ref="HF120" si="1100">HF119*(1+$D120)</f>
        <v>1</v>
      </c>
      <c r="HG120" s="64">
        <f t="shared" ref="HG120" si="1101">HG119*(1+$D120)</f>
        <v>1</v>
      </c>
      <c r="HH120" s="64">
        <f t="shared" ref="HH120" si="1102">HH119*(1+$D120)</f>
        <v>1</v>
      </c>
      <c r="HI120" s="64">
        <f t="shared" ref="HI120" si="1103">HI119*(1+$D120)</f>
        <v>1</v>
      </c>
      <c r="HJ120" s="64">
        <f t="shared" ref="HJ120" si="1104">HJ119*(1+$D120)</f>
        <v>1</v>
      </c>
      <c r="HK120" s="64">
        <f t="shared" ref="HK120" si="1105">HK119*(1+$D120)</f>
        <v>1</v>
      </c>
      <c r="HL120" s="64">
        <f t="shared" ref="HL120" si="1106">HL119*(1+$D120)</f>
        <v>1</v>
      </c>
      <c r="HM120" s="64">
        <f t="shared" ref="HM120" si="1107">HM119*(1+$D120)</f>
        <v>1</v>
      </c>
      <c r="HN120" s="64">
        <f t="shared" ref="HN120" si="1108">HN119*(1+$D120)</f>
        <v>1</v>
      </c>
      <c r="HO120" s="64">
        <f t="shared" ref="HO120" si="1109">HO119*(1+$D120)</f>
        <v>1</v>
      </c>
      <c r="HP120" s="64">
        <f t="shared" ref="HP120" si="1110">HP119*(1+$D120)</f>
        <v>1</v>
      </c>
      <c r="HQ120" s="64">
        <f t="shared" ref="HQ120" si="1111">HQ119*(1+$D120)</f>
        <v>1</v>
      </c>
      <c r="HR120" s="64">
        <f t="shared" ref="HR120" si="1112">HR119*(1+$D120)</f>
        <v>1</v>
      </c>
      <c r="HS120" s="64">
        <f t="shared" ref="HS120" si="1113">HS119*(1+$D120)</f>
        <v>1</v>
      </c>
      <c r="HT120" s="64">
        <f t="shared" ref="HT120" si="1114">HT119*(1+$D120)</f>
        <v>1</v>
      </c>
      <c r="HU120" s="64">
        <f t="shared" ref="HU120" si="1115">HU119*(1+$D120)</f>
        <v>1</v>
      </c>
      <c r="HV120" s="64">
        <f t="shared" ref="HV120" si="1116">HV119*(1+$D120)</f>
        <v>1</v>
      </c>
      <c r="HW120" s="64">
        <f t="shared" ref="HW120" si="1117">HW119*(1+$D120)</f>
        <v>1</v>
      </c>
      <c r="HX120" s="64">
        <f t="shared" ref="HX120" si="1118">HX119*(1+$D120)</f>
        <v>1</v>
      </c>
      <c r="HY120" s="64">
        <f t="shared" ref="HY120" si="1119">HY119*(1+$D120)</f>
        <v>1</v>
      </c>
      <c r="HZ120" s="64">
        <f t="shared" ref="HZ120" si="1120">HZ119*(1+$D120)</f>
        <v>1</v>
      </c>
      <c r="IA120" s="64">
        <f t="shared" ref="IA120" si="1121">IA119*(1+$D120)</f>
        <v>1</v>
      </c>
      <c r="IB120" s="64">
        <f t="shared" ref="IB120" si="1122">IB119*(1+$D120)</f>
        <v>1</v>
      </c>
      <c r="IC120" s="64">
        <f t="shared" ref="IC120" si="1123">IC119*(1+$D120)</f>
        <v>1</v>
      </c>
      <c r="ID120" s="64">
        <f t="shared" ref="ID120" si="1124">ID119*(1+$D120)</f>
        <v>1</v>
      </c>
      <c r="IE120" s="64">
        <f t="shared" ref="IE120" si="1125">IE119*(1+$D120)</f>
        <v>1</v>
      </c>
      <c r="IF120" s="64">
        <f t="shared" ref="IF120" si="1126">IF119*(1+$D120)</f>
        <v>1</v>
      </c>
      <c r="IG120" s="64">
        <f t="shared" ref="IG120" si="1127">IG119*(1+$D120)</f>
        <v>1</v>
      </c>
      <c r="IH120" s="64">
        <f t="shared" ref="IH120" si="1128">IH119*(1+$D120)</f>
        <v>1</v>
      </c>
      <c r="II120" s="64">
        <f t="shared" ref="II120" si="1129">II119*(1+$D120)</f>
        <v>1</v>
      </c>
      <c r="IJ120" s="64">
        <f t="shared" ref="IJ120" si="1130">IJ119*(1+$D120)</f>
        <v>1</v>
      </c>
      <c r="IK120" s="64">
        <f t="shared" ref="IK120" si="1131">IK119*(1+$D120)</f>
        <v>1</v>
      </c>
      <c r="IL120" s="64">
        <f t="shared" ref="IL120" si="1132">IL119*(1+$D120)</f>
        <v>1</v>
      </c>
      <c r="IM120" s="64">
        <f t="shared" ref="IM120" si="1133">IM119*(1+$D120)</f>
        <v>1</v>
      </c>
      <c r="IN120" s="64">
        <f t="shared" ref="IN120" si="1134">IN119*(1+$D120)</f>
        <v>1</v>
      </c>
      <c r="IO120" s="64">
        <f t="shared" ref="IO120" si="1135">IO119*(1+$D120)</f>
        <v>1</v>
      </c>
      <c r="IP120" s="64">
        <f t="shared" ref="IP120" si="1136">IP119*(1+$D120)</f>
        <v>1</v>
      </c>
      <c r="IQ120" s="64">
        <f t="shared" ref="IQ120" si="1137">IQ119*(1+$D120)</f>
        <v>1</v>
      </c>
      <c r="IR120" s="64">
        <f t="shared" ref="IR120" si="1138">IR119*(1+$D120)</f>
        <v>1</v>
      </c>
      <c r="IS120" s="64">
        <f t="shared" ref="IS120" si="1139">IS119*(1+$D120)</f>
        <v>1</v>
      </c>
      <c r="IT120" s="64">
        <f t="shared" ref="IT120" si="1140">IT119*(1+$D120)</f>
        <v>1</v>
      </c>
      <c r="IU120" s="64">
        <f t="shared" ref="IU120" si="1141">IU119*(1+$D120)</f>
        <v>1</v>
      </c>
      <c r="IV120" s="64">
        <f t="shared" ref="IV120" si="1142">IV119*(1+$D120)</f>
        <v>1</v>
      </c>
      <c r="IW120" s="64">
        <f t="shared" ref="IW120" si="1143">IW119*(1+$D120)</f>
        <v>1</v>
      </c>
      <c r="IX120" s="64">
        <f t="shared" ref="IX120" si="1144">IX119*(1+$D120)</f>
        <v>1</v>
      </c>
      <c r="IY120" s="64">
        <f t="shared" ref="IY120" si="1145">IY119*(1+$D120)</f>
        <v>1</v>
      </c>
      <c r="IZ120" s="64">
        <f t="shared" ref="IZ120" si="1146">IZ119*(1+$D120)</f>
        <v>1</v>
      </c>
      <c r="JA120" s="64">
        <f t="shared" ref="JA120" si="1147">JA119*(1+$D120)</f>
        <v>1</v>
      </c>
      <c r="JB120" s="64">
        <f t="shared" ref="JB120" si="1148">JB119*(1+$D120)</f>
        <v>1</v>
      </c>
      <c r="JC120" s="64">
        <f t="shared" ref="JC120" si="1149">JC119*(1+$D120)</f>
        <v>1</v>
      </c>
      <c r="JD120" s="64">
        <f t="shared" ref="JD120" si="1150">JD119*(1+$D120)</f>
        <v>1</v>
      </c>
      <c r="JE120" s="64">
        <f t="shared" ref="JE120" si="1151">JE119*(1+$D120)</f>
        <v>1</v>
      </c>
      <c r="JF120" s="64">
        <f t="shared" ref="JF120" si="1152">JF119*(1+$D120)</f>
        <v>1</v>
      </c>
      <c r="JG120" s="64">
        <f t="shared" ref="JG120" si="1153">JG119*(1+$D120)</f>
        <v>1</v>
      </c>
      <c r="JH120" s="64">
        <f t="shared" ref="JH120" si="1154">JH119*(1+$D120)</f>
        <v>1</v>
      </c>
      <c r="JI120" s="64">
        <f t="shared" ref="JI120" si="1155">JI119*(1+$D120)</f>
        <v>1</v>
      </c>
      <c r="JJ120" s="64">
        <f t="shared" ref="JJ120" si="1156">JJ119*(1+$D120)</f>
        <v>1</v>
      </c>
      <c r="JK120" s="64">
        <f t="shared" ref="JK120" si="1157">JK119*(1+$D120)</f>
        <v>1</v>
      </c>
      <c r="JL120" s="64">
        <f t="shared" ref="JL120" si="1158">JL119*(1+$D120)</f>
        <v>1</v>
      </c>
      <c r="JM120" s="64">
        <f t="shared" ref="JM120" si="1159">JM119*(1+$D120)</f>
        <v>1</v>
      </c>
      <c r="JN120" s="64">
        <f t="shared" ref="JN120" si="1160">JN119*(1+$D120)</f>
        <v>1</v>
      </c>
      <c r="JO120" s="64">
        <f t="shared" ref="JO120" si="1161">JO119*(1+$D120)</f>
        <v>1</v>
      </c>
      <c r="JP120" s="64">
        <f t="shared" ref="JP120" si="1162">JP119*(1+$D120)</f>
        <v>1</v>
      </c>
      <c r="JQ120" s="64">
        <f t="shared" ref="JQ120" si="1163">JQ119*(1+$D120)</f>
        <v>1</v>
      </c>
      <c r="JR120" s="64">
        <f t="shared" ref="JR120" si="1164">JR119*(1+$D120)</f>
        <v>1</v>
      </c>
      <c r="JS120" s="64">
        <f t="shared" ref="JS120" si="1165">JS119*(1+$D120)</f>
        <v>1</v>
      </c>
      <c r="JT120" s="64">
        <f t="shared" ref="JT120" si="1166">JT119*(1+$D120)</f>
        <v>1</v>
      </c>
      <c r="JU120" s="64">
        <f t="shared" ref="JU120" si="1167">JU119*(1+$D120)</f>
        <v>1</v>
      </c>
      <c r="JV120" s="64">
        <f t="shared" ref="JV120" si="1168">JV119*(1+$D120)</f>
        <v>1</v>
      </c>
      <c r="JW120" s="64">
        <f t="shared" ref="JW120" si="1169">JW119*(1+$D120)</f>
        <v>1</v>
      </c>
      <c r="JX120" s="64">
        <f t="shared" ref="JX120" si="1170">JX119*(1+$D120)</f>
        <v>1</v>
      </c>
      <c r="JY120" s="64">
        <f t="shared" ref="JY120" si="1171">JY119*(1+$D120)</f>
        <v>1</v>
      </c>
      <c r="JZ120" s="64">
        <f t="shared" ref="JZ120" si="1172">JZ119*(1+$D120)</f>
        <v>1</v>
      </c>
      <c r="KA120" s="64">
        <f t="shared" ref="KA120" si="1173">KA119*(1+$D120)</f>
        <v>1</v>
      </c>
      <c r="KB120" s="64">
        <f t="shared" ref="KB120" si="1174">KB119*(1+$D120)</f>
        <v>1</v>
      </c>
      <c r="KC120" s="64">
        <f t="shared" ref="KC120" si="1175">KC119*(1+$D120)</f>
        <v>1</v>
      </c>
      <c r="KD120" s="64">
        <f t="shared" ref="KD120" si="1176">KD119*(1+$D120)</f>
        <v>1</v>
      </c>
      <c r="KE120" s="64">
        <f t="shared" ref="KE120" si="1177">KE119*(1+$D120)</f>
        <v>1</v>
      </c>
      <c r="KF120" s="64">
        <f t="shared" ref="KF120" si="1178">KF119*(1+$D120)</f>
        <v>1</v>
      </c>
    </row>
    <row r="121" spans="4:292" outlineLevel="1" x14ac:dyDescent="0.35"/>
    <row r="122" spans="4:292" outlineLevel="1" x14ac:dyDescent="0.35">
      <c r="E122" s="13" t="s">
        <v>170</v>
      </c>
      <c r="J122" s="15" t="s">
        <v>31</v>
      </c>
      <c r="K122" s="23">
        <v>1</v>
      </c>
      <c r="L122" s="23">
        <v>1</v>
      </c>
      <c r="M122" s="23">
        <v>1</v>
      </c>
      <c r="N122" s="23">
        <v>1</v>
      </c>
      <c r="O122" s="23">
        <v>1</v>
      </c>
      <c r="P122" s="23">
        <v>1</v>
      </c>
      <c r="Q122" s="23">
        <v>1</v>
      </c>
      <c r="R122" s="23">
        <v>1</v>
      </c>
      <c r="S122" s="23">
        <v>1</v>
      </c>
      <c r="T122" s="23">
        <v>1</v>
      </c>
      <c r="U122" s="23">
        <v>1</v>
      </c>
      <c r="V122" s="23">
        <v>1</v>
      </c>
      <c r="W122" s="23">
        <v>1</v>
      </c>
      <c r="X122" s="23">
        <v>1</v>
      </c>
      <c r="Y122" s="23">
        <v>1</v>
      </c>
      <c r="Z122" s="23">
        <v>1</v>
      </c>
      <c r="AA122" s="23">
        <v>1</v>
      </c>
      <c r="AB122" s="23">
        <v>1</v>
      </c>
      <c r="AC122" s="23">
        <v>1</v>
      </c>
      <c r="AD122" s="23">
        <v>1</v>
      </c>
      <c r="AE122" s="23">
        <v>1</v>
      </c>
      <c r="AF122" s="23">
        <v>1</v>
      </c>
      <c r="AG122" s="23">
        <v>1</v>
      </c>
      <c r="AH122" s="23">
        <v>1</v>
      </c>
      <c r="AI122" s="23">
        <v>1</v>
      </c>
      <c r="AJ122" s="23">
        <v>1</v>
      </c>
      <c r="AK122" s="23">
        <v>1</v>
      </c>
      <c r="AL122" s="23">
        <v>1</v>
      </c>
      <c r="AM122" s="23">
        <v>1</v>
      </c>
      <c r="AN122" s="23">
        <v>1</v>
      </c>
      <c r="AO122" s="23">
        <v>1</v>
      </c>
      <c r="AP122" s="23">
        <v>1</v>
      </c>
      <c r="AQ122" s="23">
        <v>1</v>
      </c>
      <c r="AR122" s="23">
        <v>1</v>
      </c>
      <c r="AS122" s="23">
        <v>1</v>
      </c>
      <c r="AT122" s="23">
        <v>1</v>
      </c>
      <c r="AU122" s="23">
        <v>1</v>
      </c>
      <c r="AV122" s="23">
        <v>1</v>
      </c>
      <c r="AW122" s="23">
        <v>1</v>
      </c>
      <c r="AX122" s="23">
        <v>1</v>
      </c>
      <c r="AY122" s="23">
        <v>1</v>
      </c>
      <c r="AZ122" s="23">
        <v>1</v>
      </c>
      <c r="BA122" s="23">
        <v>1</v>
      </c>
      <c r="BB122" s="23">
        <v>1</v>
      </c>
      <c r="BC122" s="23">
        <v>1</v>
      </c>
      <c r="BD122" s="23">
        <v>1</v>
      </c>
      <c r="BE122" s="23">
        <v>1</v>
      </c>
      <c r="BF122" s="23">
        <v>1</v>
      </c>
      <c r="BG122" s="23">
        <v>1</v>
      </c>
      <c r="BH122" s="23">
        <v>1</v>
      </c>
      <c r="BI122" s="23">
        <v>1</v>
      </c>
      <c r="BJ122" s="23">
        <v>1</v>
      </c>
      <c r="BK122" s="23">
        <v>1</v>
      </c>
      <c r="BL122" s="23">
        <v>1</v>
      </c>
      <c r="BM122" s="23">
        <v>1</v>
      </c>
      <c r="BN122" s="23">
        <v>1</v>
      </c>
      <c r="BO122" s="23">
        <v>1</v>
      </c>
      <c r="BP122" s="23">
        <v>1</v>
      </c>
      <c r="BQ122" s="23">
        <v>1</v>
      </c>
      <c r="BR122" s="23">
        <v>1</v>
      </c>
      <c r="BS122" s="23">
        <v>1</v>
      </c>
      <c r="BT122" s="23">
        <v>1</v>
      </c>
      <c r="BU122" s="23">
        <v>1</v>
      </c>
      <c r="BV122" s="23">
        <v>1</v>
      </c>
      <c r="BW122" s="23">
        <v>1</v>
      </c>
      <c r="BX122" s="23">
        <v>1</v>
      </c>
      <c r="BY122" s="23">
        <v>1</v>
      </c>
      <c r="BZ122" s="23">
        <v>1</v>
      </c>
      <c r="CA122" s="23">
        <v>1</v>
      </c>
      <c r="CB122" s="23">
        <v>1</v>
      </c>
      <c r="CC122" s="23">
        <v>1</v>
      </c>
      <c r="CD122" s="23">
        <v>1</v>
      </c>
      <c r="CE122" s="23">
        <v>1</v>
      </c>
      <c r="CF122" s="23">
        <v>1</v>
      </c>
      <c r="CG122" s="23">
        <v>1</v>
      </c>
      <c r="CH122" s="23">
        <v>1</v>
      </c>
      <c r="CI122" s="23">
        <v>1</v>
      </c>
      <c r="CJ122" s="23">
        <v>1</v>
      </c>
      <c r="CK122" s="23">
        <v>1</v>
      </c>
      <c r="CL122" s="23">
        <v>1</v>
      </c>
      <c r="CM122" s="23">
        <v>1</v>
      </c>
      <c r="CN122" s="23">
        <v>1</v>
      </c>
      <c r="CO122" s="23">
        <v>1</v>
      </c>
      <c r="CP122" s="23">
        <v>1</v>
      </c>
      <c r="CQ122" s="23">
        <v>1</v>
      </c>
      <c r="CR122" s="23">
        <v>1</v>
      </c>
      <c r="CS122" s="23">
        <v>1</v>
      </c>
      <c r="CT122" s="23">
        <v>1</v>
      </c>
      <c r="CU122" s="23">
        <v>1</v>
      </c>
      <c r="CV122" s="23">
        <v>1</v>
      </c>
      <c r="CW122" s="23">
        <v>1</v>
      </c>
      <c r="CX122" s="23">
        <v>1</v>
      </c>
      <c r="CY122" s="23">
        <v>1</v>
      </c>
      <c r="CZ122" s="23">
        <v>1</v>
      </c>
      <c r="DA122" s="23">
        <v>1</v>
      </c>
      <c r="DB122" s="23">
        <v>1</v>
      </c>
      <c r="DC122" s="23">
        <v>1</v>
      </c>
      <c r="DD122" s="23">
        <v>1</v>
      </c>
      <c r="DE122" s="23">
        <v>1</v>
      </c>
      <c r="DF122" s="23">
        <v>1</v>
      </c>
      <c r="DG122" s="23">
        <v>1</v>
      </c>
      <c r="DH122" s="23">
        <v>1</v>
      </c>
      <c r="DI122" s="23">
        <v>1</v>
      </c>
      <c r="DJ122" s="23">
        <v>1</v>
      </c>
      <c r="DK122" s="23">
        <v>1</v>
      </c>
      <c r="DL122" s="23">
        <v>1</v>
      </c>
      <c r="DM122" s="23">
        <v>1</v>
      </c>
      <c r="DN122" s="23">
        <v>1</v>
      </c>
      <c r="DO122" s="23">
        <v>1</v>
      </c>
      <c r="DP122" s="23">
        <v>1</v>
      </c>
      <c r="DQ122" s="23">
        <v>1</v>
      </c>
      <c r="DR122" s="23">
        <v>1</v>
      </c>
      <c r="DS122" s="23">
        <v>1</v>
      </c>
      <c r="DT122" s="23">
        <v>1</v>
      </c>
      <c r="DU122" s="23">
        <v>1</v>
      </c>
      <c r="DV122" s="23">
        <v>1</v>
      </c>
      <c r="DW122" s="23">
        <v>1</v>
      </c>
      <c r="DX122" s="23">
        <v>1</v>
      </c>
      <c r="DY122" s="23">
        <v>1</v>
      </c>
      <c r="DZ122" s="23">
        <v>1</v>
      </c>
      <c r="EA122" s="23">
        <v>1</v>
      </c>
      <c r="EB122" s="23">
        <v>1</v>
      </c>
      <c r="EC122" s="23">
        <v>1</v>
      </c>
      <c r="ED122" s="23">
        <v>1</v>
      </c>
      <c r="EE122" s="23">
        <v>1</v>
      </c>
      <c r="EF122" s="23">
        <v>1</v>
      </c>
      <c r="EG122" s="23">
        <v>1</v>
      </c>
      <c r="EH122" s="23">
        <v>1</v>
      </c>
      <c r="EI122" s="23">
        <v>1</v>
      </c>
      <c r="EJ122" s="23">
        <v>1</v>
      </c>
      <c r="EK122" s="23">
        <v>1</v>
      </c>
      <c r="EL122" s="23">
        <v>1</v>
      </c>
      <c r="EM122" s="23">
        <v>1</v>
      </c>
      <c r="EN122" s="23">
        <v>1</v>
      </c>
      <c r="EO122" s="23">
        <v>1</v>
      </c>
      <c r="EP122" s="23">
        <v>1</v>
      </c>
      <c r="EQ122" s="23">
        <v>1</v>
      </c>
      <c r="ER122" s="23">
        <v>1</v>
      </c>
      <c r="ES122" s="23">
        <v>1</v>
      </c>
      <c r="ET122" s="23">
        <v>1</v>
      </c>
      <c r="EU122" s="23">
        <v>1</v>
      </c>
      <c r="EV122" s="23">
        <v>1</v>
      </c>
      <c r="EW122" s="23">
        <v>1</v>
      </c>
      <c r="EX122" s="23">
        <v>1</v>
      </c>
      <c r="EY122" s="23">
        <v>1</v>
      </c>
      <c r="EZ122" s="23">
        <v>1</v>
      </c>
      <c r="FA122" s="23">
        <v>1</v>
      </c>
      <c r="FB122" s="23">
        <v>1</v>
      </c>
      <c r="FC122" s="23">
        <v>1</v>
      </c>
      <c r="FD122" s="23">
        <v>1</v>
      </c>
      <c r="FE122" s="23">
        <v>1</v>
      </c>
      <c r="FF122" s="23">
        <v>1</v>
      </c>
      <c r="FG122" s="23">
        <v>1</v>
      </c>
      <c r="FH122" s="23">
        <v>1</v>
      </c>
      <c r="FI122" s="23">
        <v>1</v>
      </c>
      <c r="FJ122" s="23">
        <v>1</v>
      </c>
      <c r="FK122" s="23">
        <v>1</v>
      </c>
      <c r="FL122" s="23">
        <v>1</v>
      </c>
      <c r="FM122" s="23">
        <v>1</v>
      </c>
      <c r="FN122" s="23">
        <v>1</v>
      </c>
      <c r="FO122" s="23">
        <v>1</v>
      </c>
      <c r="FP122" s="23">
        <v>1</v>
      </c>
      <c r="FQ122" s="23">
        <v>1</v>
      </c>
      <c r="FR122" s="23">
        <v>1</v>
      </c>
      <c r="FS122" s="23">
        <v>1</v>
      </c>
      <c r="FT122" s="23">
        <v>1</v>
      </c>
      <c r="FU122" s="23">
        <v>1</v>
      </c>
      <c r="FV122" s="23">
        <v>1</v>
      </c>
      <c r="FW122" s="23">
        <v>1</v>
      </c>
      <c r="FX122" s="23">
        <v>1</v>
      </c>
      <c r="FY122" s="23">
        <v>1</v>
      </c>
      <c r="FZ122" s="23">
        <v>1</v>
      </c>
      <c r="GA122" s="23">
        <v>1</v>
      </c>
      <c r="GB122" s="23">
        <v>1</v>
      </c>
      <c r="GC122" s="23">
        <v>1</v>
      </c>
      <c r="GD122" s="23">
        <v>1</v>
      </c>
      <c r="GE122" s="23">
        <v>1</v>
      </c>
      <c r="GF122" s="23">
        <v>1</v>
      </c>
      <c r="GG122" s="23">
        <v>1</v>
      </c>
      <c r="GH122" s="23">
        <v>1</v>
      </c>
      <c r="GI122" s="23">
        <v>1</v>
      </c>
      <c r="GJ122" s="23">
        <v>1</v>
      </c>
      <c r="GK122" s="23">
        <v>1</v>
      </c>
      <c r="GL122" s="23">
        <v>1</v>
      </c>
      <c r="GM122" s="23">
        <v>1</v>
      </c>
      <c r="GN122" s="23">
        <v>1</v>
      </c>
      <c r="GO122" s="23">
        <v>1</v>
      </c>
      <c r="GP122" s="23">
        <v>1</v>
      </c>
      <c r="GQ122" s="23">
        <v>1</v>
      </c>
      <c r="GR122" s="23">
        <v>1</v>
      </c>
      <c r="GS122" s="23">
        <v>1</v>
      </c>
      <c r="GT122" s="23">
        <v>1</v>
      </c>
      <c r="GU122" s="23">
        <v>1</v>
      </c>
      <c r="GV122" s="23">
        <v>1</v>
      </c>
      <c r="GW122" s="23">
        <v>1</v>
      </c>
      <c r="GX122" s="23">
        <v>1</v>
      </c>
      <c r="GY122" s="23">
        <v>1</v>
      </c>
      <c r="GZ122" s="23">
        <v>1</v>
      </c>
      <c r="HA122" s="23">
        <v>1</v>
      </c>
      <c r="HB122" s="23">
        <v>1</v>
      </c>
      <c r="HC122" s="23">
        <v>1</v>
      </c>
      <c r="HD122" s="23">
        <v>1</v>
      </c>
      <c r="HE122" s="23">
        <v>1</v>
      </c>
      <c r="HF122" s="23">
        <v>1</v>
      </c>
      <c r="HG122" s="23">
        <v>1</v>
      </c>
      <c r="HH122" s="23">
        <v>1</v>
      </c>
      <c r="HI122" s="23">
        <v>1</v>
      </c>
      <c r="HJ122" s="23">
        <v>1</v>
      </c>
      <c r="HK122" s="23">
        <v>1</v>
      </c>
      <c r="HL122" s="23">
        <v>1</v>
      </c>
      <c r="HM122" s="23">
        <v>1</v>
      </c>
      <c r="HN122" s="23">
        <v>1</v>
      </c>
      <c r="HO122" s="23">
        <v>1</v>
      </c>
      <c r="HP122" s="23">
        <v>1</v>
      </c>
      <c r="HQ122" s="23">
        <v>1</v>
      </c>
      <c r="HR122" s="23">
        <v>1</v>
      </c>
      <c r="HS122" s="23">
        <v>1</v>
      </c>
      <c r="HT122" s="23">
        <v>1</v>
      </c>
      <c r="HU122" s="23">
        <v>1</v>
      </c>
      <c r="HV122" s="23">
        <v>1</v>
      </c>
      <c r="HW122" s="23">
        <v>1</v>
      </c>
      <c r="HX122" s="23">
        <v>1</v>
      </c>
      <c r="HY122" s="23">
        <v>1</v>
      </c>
      <c r="HZ122" s="23">
        <v>1</v>
      </c>
      <c r="IA122" s="23">
        <v>1</v>
      </c>
      <c r="IB122" s="23">
        <v>1</v>
      </c>
      <c r="IC122" s="23">
        <v>1</v>
      </c>
      <c r="ID122" s="23">
        <v>1</v>
      </c>
      <c r="IE122" s="23">
        <v>1</v>
      </c>
      <c r="IF122" s="23">
        <v>1</v>
      </c>
      <c r="IG122" s="23">
        <v>1</v>
      </c>
      <c r="IH122" s="23">
        <v>1</v>
      </c>
      <c r="II122" s="23">
        <v>1</v>
      </c>
      <c r="IJ122" s="23">
        <v>1</v>
      </c>
      <c r="IK122" s="23">
        <v>1</v>
      </c>
      <c r="IL122" s="23">
        <v>1</v>
      </c>
      <c r="IM122" s="23">
        <v>1</v>
      </c>
      <c r="IN122" s="23">
        <v>1</v>
      </c>
      <c r="IO122" s="23">
        <v>1</v>
      </c>
      <c r="IP122" s="23">
        <v>1</v>
      </c>
      <c r="IQ122" s="23">
        <v>1</v>
      </c>
      <c r="IR122" s="23">
        <v>1</v>
      </c>
      <c r="IS122" s="23">
        <v>1</v>
      </c>
      <c r="IT122" s="23">
        <v>1</v>
      </c>
      <c r="IU122" s="23">
        <v>1</v>
      </c>
      <c r="IV122" s="23">
        <v>1</v>
      </c>
      <c r="IW122" s="23">
        <v>1</v>
      </c>
      <c r="IX122" s="23">
        <v>1</v>
      </c>
      <c r="IY122" s="23">
        <v>1</v>
      </c>
      <c r="IZ122" s="23">
        <v>1</v>
      </c>
      <c r="JA122" s="23">
        <v>1</v>
      </c>
      <c r="JB122" s="23">
        <v>1</v>
      </c>
      <c r="JC122" s="23">
        <v>1</v>
      </c>
      <c r="JD122" s="23">
        <v>1</v>
      </c>
      <c r="JE122" s="23">
        <v>1</v>
      </c>
      <c r="JF122" s="23">
        <v>1</v>
      </c>
      <c r="JG122" s="23">
        <v>1</v>
      </c>
      <c r="JH122" s="23">
        <v>1</v>
      </c>
      <c r="JI122" s="23">
        <v>1</v>
      </c>
      <c r="JJ122" s="23">
        <v>1</v>
      </c>
      <c r="JK122" s="23">
        <v>1</v>
      </c>
      <c r="JL122" s="23">
        <v>1</v>
      </c>
      <c r="JM122" s="23">
        <v>1</v>
      </c>
      <c r="JN122" s="23">
        <v>1</v>
      </c>
      <c r="JO122" s="23">
        <v>1</v>
      </c>
      <c r="JP122" s="23">
        <v>1</v>
      </c>
      <c r="JQ122" s="23">
        <v>1</v>
      </c>
      <c r="JR122" s="23">
        <v>1</v>
      </c>
      <c r="JS122" s="23">
        <v>1</v>
      </c>
      <c r="JT122" s="23">
        <v>1</v>
      </c>
      <c r="JU122" s="23">
        <v>1</v>
      </c>
      <c r="JV122" s="23">
        <v>1</v>
      </c>
      <c r="JW122" s="23">
        <v>1</v>
      </c>
      <c r="JX122" s="23">
        <v>1</v>
      </c>
      <c r="JY122" s="23">
        <v>1</v>
      </c>
      <c r="JZ122" s="23">
        <v>1</v>
      </c>
      <c r="KA122" s="23">
        <v>1</v>
      </c>
      <c r="KB122" s="23">
        <v>1</v>
      </c>
      <c r="KC122" s="23">
        <v>1</v>
      </c>
      <c r="KD122" s="23">
        <v>1</v>
      </c>
      <c r="KE122" s="23">
        <v>1</v>
      </c>
      <c r="KF122" s="23">
        <v>1</v>
      </c>
    </row>
    <row r="123" spans="4:292" outlineLevel="1" x14ac:dyDescent="0.35">
      <c r="E123" s="13" t="s">
        <v>170</v>
      </c>
      <c r="J123" s="15" t="s">
        <v>32</v>
      </c>
      <c r="K123" s="23">
        <v>1.5</v>
      </c>
      <c r="L123" s="23">
        <v>1.5</v>
      </c>
      <c r="M123" s="23">
        <v>1.5</v>
      </c>
      <c r="N123" s="23">
        <v>1.5</v>
      </c>
      <c r="O123" s="23">
        <v>1.5</v>
      </c>
      <c r="P123" s="23">
        <v>1.5</v>
      </c>
      <c r="Q123" s="23">
        <v>1.5</v>
      </c>
      <c r="R123" s="23">
        <v>1.5</v>
      </c>
      <c r="S123" s="23">
        <v>1.5</v>
      </c>
      <c r="T123" s="23">
        <v>1.5</v>
      </c>
      <c r="U123" s="23">
        <v>1.5</v>
      </c>
      <c r="V123" s="23">
        <v>1.5</v>
      </c>
      <c r="W123" s="23">
        <v>1.5</v>
      </c>
      <c r="X123" s="23">
        <v>1.5</v>
      </c>
      <c r="Y123" s="23">
        <v>1.5</v>
      </c>
      <c r="Z123" s="23">
        <v>1.5</v>
      </c>
      <c r="AA123" s="23">
        <v>1.5</v>
      </c>
      <c r="AB123" s="23">
        <v>1.5</v>
      </c>
      <c r="AC123" s="23">
        <v>1.5</v>
      </c>
      <c r="AD123" s="23">
        <v>1.5</v>
      </c>
      <c r="AE123" s="23">
        <v>1.5</v>
      </c>
      <c r="AF123" s="23">
        <v>1.5</v>
      </c>
      <c r="AG123" s="23">
        <v>1.5</v>
      </c>
      <c r="AH123" s="23">
        <v>1.5</v>
      </c>
      <c r="AI123" s="23">
        <v>1.5</v>
      </c>
      <c r="AJ123" s="23">
        <v>1.5</v>
      </c>
      <c r="AK123" s="23">
        <v>1.5</v>
      </c>
      <c r="AL123" s="23">
        <v>1.5</v>
      </c>
      <c r="AM123" s="23">
        <v>1.5</v>
      </c>
      <c r="AN123" s="23">
        <v>1.5</v>
      </c>
      <c r="AO123" s="23">
        <v>1.5</v>
      </c>
      <c r="AP123" s="23">
        <v>1.5</v>
      </c>
      <c r="AQ123" s="23">
        <v>1.5</v>
      </c>
      <c r="AR123" s="23">
        <v>1.5</v>
      </c>
      <c r="AS123" s="23">
        <v>1.5</v>
      </c>
      <c r="AT123" s="23">
        <v>1.5</v>
      </c>
      <c r="AU123" s="23">
        <v>1.5</v>
      </c>
      <c r="AV123" s="23">
        <v>1.5</v>
      </c>
      <c r="AW123" s="23">
        <v>1.5</v>
      </c>
      <c r="AX123" s="23">
        <v>1.5</v>
      </c>
      <c r="AY123" s="23">
        <v>1.5</v>
      </c>
      <c r="AZ123" s="23">
        <v>1.5</v>
      </c>
      <c r="BA123" s="23">
        <v>1.5</v>
      </c>
      <c r="BB123" s="23">
        <v>1.5</v>
      </c>
      <c r="BC123" s="23">
        <v>1.5</v>
      </c>
      <c r="BD123" s="23">
        <v>1.5</v>
      </c>
      <c r="BE123" s="23">
        <v>1.5</v>
      </c>
      <c r="BF123" s="23">
        <v>1.5</v>
      </c>
      <c r="BG123" s="23">
        <v>1.5</v>
      </c>
      <c r="BH123" s="23">
        <v>1.5</v>
      </c>
      <c r="BI123" s="23">
        <v>1.5</v>
      </c>
      <c r="BJ123" s="23">
        <v>1.5</v>
      </c>
      <c r="BK123" s="23">
        <v>1.5</v>
      </c>
      <c r="BL123" s="23">
        <v>1.5</v>
      </c>
      <c r="BM123" s="23">
        <v>1.5</v>
      </c>
      <c r="BN123" s="23">
        <v>1.5</v>
      </c>
      <c r="BO123" s="23">
        <v>1.5</v>
      </c>
      <c r="BP123" s="23">
        <v>1.5</v>
      </c>
      <c r="BQ123" s="23">
        <v>1.5</v>
      </c>
      <c r="BR123" s="23">
        <v>1.5</v>
      </c>
      <c r="BS123" s="23">
        <v>1.5</v>
      </c>
      <c r="BT123" s="23">
        <v>1.5</v>
      </c>
      <c r="BU123" s="23">
        <v>1.5</v>
      </c>
      <c r="BV123" s="23">
        <v>1.5</v>
      </c>
      <c r="BW123" s="23">
        <v>1.5</v>
      </c>
      <c r="BX123" s="23">
        <v>1.5</v>
      </c>
      <c r="BY123" s="23">
        <v>1.5</v>
      </c>
      <c r="BZ123" s="23">
        <v>1.5</v>
      </c>
      <c r="CA123" s="23">
        <v>1.5</v>
      </c>
      <c r="CB123" s="23">
        <v>1.5</v>
      </c>
      <c r="CC123" s="23">
        <v>1.5</v>
      </c>
      <c r="CD123" s="23">
        <v>1.5</v>
      </c>
      <c r="CE123" s="23">
        <v>1.5</v>
      </c>
      <c r="CF123" s="23">
        <v>1.5</v>
      </c>
      <c r="CG123" s="23">
        <v>1.5</v>
      </c>
      <c r="CH123" s="23">
        <v>1.5</v>
      </c>
      <c r="CI123" s="23">
        <v>1.5</v>
      </c>
      <c r="CJ123" s="23">
        <v>1.5</v>
      </c>
      <c r="CK123" s="23">
        <v>1.5</v>
      </c>
      <c r="CL123" s="23">
        <v>1.5</v>
      </c>
      <c r="CM123" s="23">
        <v>1.5</v>
      </c>
      <c r="CN123" s="23">
        <v>1.5</v>
      </c>
      <c r="CO123" s="23">
        <v>1.5</v>
      </c>
      <c r="CP123" s="23">
        <v>1.5</v>
      </c>
      <c r="CQ123" s="23">
        <v>1.5</v>
      </c>
      <c r="CR123" s="23">
        <v>1.5</v>
      </c>
      <c r="CS123" s="23">
        <v>1.5</v>
      </c>
      <c r="CT123" s="23">
        <v>1.5</v>
      </c>
      <c r="CU123" s="23">
        <v>1.5</v>
      </c>
      <c r="CV123" s="23">
        <v>1.5</v>
      </c>
      <c r="CW123" s="23">
        <v>1.5</v>
      </c>
      <c r="CX123" s="23">
        <v>1.5</v>
      </c>
      <c r="CY123" s="23">
        <v>1.5</v>
      </c>
      <c r="CZ123" s="23">
        <v>1.5</v>
      </c>
      <c r="DA123" s="23">
        <v>1.5</v>
      </c>
      <c r="DB123" s="23">
        <v>1.5</v>
      </c>
      <c r="DC123" s="23">
        <v>1.5</v>
      </c>
      <c r="DD123" s="23">
        <v>1.5</v>
      </c>
      <c r="DE123" s="23">
        <v>1.5</v>
      </c>
      <c r="DF123" s="23">
        <v>1.5</v>
      </c>
      <c r="DG123" s="23">
        <v>1.5</v>
      </c>
      <c r="DH123" s="23">
        <v>1.5</v>
      </c>
      <c r="DI123" s="23">
        <v>1.5</v>
      </c>
      <c r="DJ123" s="23">
        <v>1.5</v>
      </c>
      <c r="DK123" s="23">
        <v>1.5</v>
      </c>
      <c r="DL123" s="23">
        <v>1.5</v>
      </c>
      <c r="DM123" s="23">
        <v>1.5</v>
      </c>
      <c r="DN123" s="23">
        <v>1.5</v>
      </c>
      <c r="DO123" s="23">
        <v>1.5</v>
      </c>
      <c r="DP123" s="23">
        <v>1.5</v>
      </c>
      <c r="DQ123" s="23">
        <v>1.5</v>
      </c>
      <c r="DR123" s="23">
        <v>1.5</v>
      </c>
      <c r="DS123" s="23">
        <v>1.5</v>
      </c>
      <c r="DT123" s="23">
        <v>1.5</v>
      </c>
      <c r="DU123" s="23">
        <v>1.5</v>
      </c>
      <c r="DV123" s="23">
        <v>1.5</v>
      </c>
      <c r="DW123" s="23">
        <v>1.5</v>
      </c>
      <c r="DX123" s="23">
        <v>1.5</v>
      </c>
      <c r="DY123" s="23">
        <v>1.5</v>
      </c>
      <c r="DZ123" s="23">
        <v>1.5</v>
      </c>
      <c r="EA123" s="23">
        <v>1.5</v>
      </c>
      <c r="EB123" s="23">
        <v>1.5</v>
      </c>
      <c r="EC123" s="23">
        <v>1.5</v>
      </c>
      <c r="ED123" s="23">
        <v>1.5</v>
      </c>
      <c r="EE123" s="23">
        <v>1.5</v>
      </c>
      <c r="EF123" s="23">
        <v>1.5</v>
      </c>
      <c r="EG123" s="23">
        <v>1.5</v>
      </c>
      <c r="EH123" s="23">
        <v>1.5</v>
      </c>
      <c r="EI123" s="23">
        <v>1.5</v>
      </c>
      <c r="EJ123" s="23">
        <v>1.5</v>
      </c>
      <c r="EK123" s="23">
        <v>1.5</v>
      </c>
      <c r="EL123" s="23">
        <v>1.5</v>
      </c>
      <c r="EM123" s="23">
        <v>1.5</v>
      </c>
      <c r="EN123" s="23">
        <v>1.5</v>
      </c>
      <c r="EO123" s="23">
        <v>1.5</v>
      </c>
      <c r="EP123" s="23">
        <v>1.5</v>
      </c>
      <c r="EQ123" s="23">
        <v>1.5</v>
      </c>
      <c r="ER123" s="23">
        <v>1.5</v>
      </c>
      <c r="ES123" s="23">
        <v>1.5</v>
      </c>
      <c r="ET123" s="23">
        <v>1.5</v>
      </c>
      <c r="EU123" s="23">
        <v>1.5</v>
      </c>
      <c r="EV123" s="23">
        <v>1.5</v>
      </c>
      <c r="EW123" s="23">
        <v>1.5</v>
      </c>
      <c r="EX123" s="23">
        <v>1.5</v>
      </c>
      <c r="EY123" s="23">
        <v>1.5</v>
      </c>
      <c r="EZ123" s="23">
        <v>1.5</v>
      </c>
      <c r="FA123" s="23">
        <v>1.5</v>
      </c>
      <c r="FB123" s="23">
        <v>1.5</v>
      </c>
      <c r="FC123" s="23">
        <v>1.5</v>
      </c>
      <c r="FD123" s="23">
        <v>1.5</v>
      </c>
      <c r="FE123" s="23">
        <v>1.5</v>
      </c>
      <c r="FF123" s="23">
        <v>1.5</v>
      </c>
      <c r="FG123" s="23">
        <v>1.5</v>
      </c>
      <c r="FH123" s="23">
        <v>1.5</v>
      </c>
      <c r="FI123" s="23">
        <v>1.5</v>
      </c>
      <c r="FJ123" s="23">
        <v>1.5</v>
      </c>
      <c r="FK123" s="23">
        <v>1.5</v>
      </c>
      <c r="FL123" s="23">
        <v>1.5</v>
      </c>
      <c r="FM123" s="23">
        <v>1.5</v>
      </c>
      <c r="FN123" s="23">
        <v>1.5</v>
      </c>
      <c r="FO123" s="23">
        <v>1.5</v>
      </c>
      <c r="FP123" s="23">
        <v>1.5</v>
      </c>
      <c r="FQ123" s="23">
        <v>1.5</v>
      </c>
      <c r="FR123" s="23">
        <v>1.5</v>
      </c>
      <c r="FS123" s="23">
        <v>1.5</v>
      </c>
      <c r="FT123" s="23">
        <v>1.5</v>
      </c>
      <c r="FU123" s="23">
        <v>1.5</v>
      </c>
      <c r="FV123" s="23">
        <v>1.5</v>
      </c>
      <c r="FW123" s="23">
        <v>1.5</v>
      </c>
      <c r="FX123" s="23">
        <v>1.5</v>
      </c>
      <c r="FY123" s="23">
        <v>1.5</v>
      </c>
      <c r="FZ123" s="23">
        <v>1.5</v>
      </c>
      <c r="GA123" s="23">
        <v>1.5</v>
      </c>
      <c r="GB123" s="23">
        <v>1.5</v>
      </c>
      <c r="GC123" s="23">
        <v>1.5</v>
      </c>
      <c r="GD123" s="23">
        <v>1.5</v>
      </c>
      <c r="GE123" s="23">
        <v>1.5</v>
      </c>
      <c r="GF123" s="23">
        <v>1.5</v>
      </c>
      <c r="GG123" s="23">
        <v>1.5</v>
      </c>
      <c r="GH123" s="23">
        <v>1.5</v>
      </c>
      <c r="GI123" s="23">
        <v>1.5</v>
      </c>
      <c r="GJ123" s="23">
        <v>1.5</v>
      </c>
      <c r="GK123" s="23">
        <v>1.5</v>
      </c>
      <c r="GL123" s="23">
        <v>1.5</v>
      </c>
      <c r="GM123" s="23">
        <v>1.5</v>
      </c>
      <c r="GN123" s="23">
        <v>1.5</v>
      </c>
      <c r="GO123" s="23">
        <v>1.5</v>
      </c>
      <c r="GP123" s="23">
        <v>1.5</v>
      </c>
      <c r="GQ123" s="23">
        <v>1.5</v>
      </c>
      <c r="GR123" s="23">
        <v>1.5</v>
      </c>
      <c r="GS123" s="23">
        <v>1.5</v>
      </c>
      <c r="GT123" s="23">
        <v>1.5</v>
      </c>
      <c r="GU123" s="23">
        <v>1.5</v>
      </c>
      <c r="GV123" s="23">
        <v>1.5</v>
      </c>
      <c r="GW123" s="23">
        <v>1.5</v>
      </c>
      <c r="GX123" s="23">
        <v>1.5</v>
      </c>
      <c r="GY123" s="23">
        <v>1.5</v>
      </c>
      <c r="GZ123" s="23">
        <v>1.5</v>
      </c>
      <c r="HA123" s="23">
        <v>1.5</v>
      </c>
      <c r="HB123" s="23">
        <v>1.5</v>
      </c>
      <c r="HC123" s="23">
        <v>1.5</v>
      </c>
      <c r="HD123" s="23">
        <v>1.5</v>
      </c>
      <c r="HE123" s="23">
        <v>1.5</v>
      </c>
      <c r="HF123" s="23">
        <v>1.5</v>
      </c>
      <c r="HG123" s="23">
        <v>1.5</v>
      </c>
      <c r="HH123" s="23">
        <v>1.5</v>
      </c>
      <c r="HI123" s="23">
        <v>1.5</v>
      </c>
      <c r="HJ123" s="23">
        <v>1.5</v>
      </c>
      <c r="HK123" s="23">
        <v>1.5</v>
      </c>
      <c r="HL123" s="23">
        <v>1.5</v>
      </c>
      <c r="HM123" s="23">
        <v>1.5</v>
      </c>
      <c r="HN123" s="23">
        <v>1.5</v>
      </c>
      <c r="HO123" s="23">
        <v>1.5</v>
      </c>
      <c r="HP123" s="23">
        <v>1.5</v>
      </c>
      <c r="HQ123" s="23">
        <v>1.5</v>
      </c>
      <c r="HR123" s="23">
        <v>1.5</v>
      </c>
      <c r="HS123" s="23">
        <v>1.5</v>
      </c>
      <c r="HT123" s="23">
        <v>1.5</v>
      </c>
      <c r="HU123" s="23">
        <v>1.5</v>
      </c>
      <c r="HV123" s="23">
        <v>1.5</v>
      </c>
      <c r="HW123" s="23">
        <v>1.5</v>
      </c>
      <c r="HX123" s="23">
        <v>1.5</v>
      </c>
      <c r="HY123" s="23">
        <v>1.5</v>
      </c>
      <c r="HZ123" s="23">
        <v>1.5</v>
      </c>
      <c r="IA123" s="23">
        <v>1.5</v>
      </c>
      <c r="IB123" s="23">
        <v>1.5</v>
      </c>
      <c r="IC123" s="23">
        <v>1.5</v>
      </c>
      <c r="ID123" s="23">
        <v>1.5</v>
      </c>
      <c r="IE123" s="23">
        <v>1.5</v>
      </c>
      <c r="IF123" s="23">
        <v>1.5</v>
      </c>
      <c r="IG123" s="23">
        <v>1.5</v>
      </c>
      <c r="IH123" s="23">
        <v>1.5</v>
      </c>
      <c r="II123" s="23">
        <v>1.5</v>
      </c>
      <c r="IJ123" s="23">
        <v>1.5</v>
      </c>
      <c r="IK123" s="23">
        <v>1.5</v>
      </c>
      <c r="IL123" s="23">
        <v>1.5</v>
      </c>
      <c r="IM123" s="23">
        <v>1.5</v>
      </c>
      <c r="IN123" s="23">
        <v>1.5</v>
      </c>
      <c r="IO123" s="23">
        <v>1.5</v>
      </c>
      <c r="IP123" s="23">
        <v>1.5</v>
      </c>
      <c r="IQ123" s="23">
        <v>1.5</v>
      </c>
      <c r="IR123" s="23">
        <v>1.5</v>
      </c>
      <c r="IS123" s="23">
        <v>1.5</v>
      </c>
      <c r="IT123" s="23">
        <v>1.5</v>
      </c>
      <c r="IU123" s="23">
        <v>1.5</v>
      </c>
      <c r="IV123" s="23">
        <v>1.5</v>
      </c>
      <c r="IW123" s="23">
        <v>1.5</v>
      </c>
      <c r="IX123" s="23">
        <v>1.5</v>
      </c>
      <c r="IY123" s="23">
        <v>1.5</v>
      </c>
      <c r="IZ123" s="23">
        <v>1.5</v>
      </c>
      <c r="JA123" s="23">
        <v>1.5</v>
      </c>
      <c r="JB123" s="23">
        <v>1.5</v>
      </c>
      <c r="JC123" s="23">
        <v>1.5</v>
      </c>
      <c r="JD123" s="23">
        <v>1.5</v>
      </c>
      <c r="JE123" s="23">
        <v>1.5</v>
      </c>
      <c r="JF123" s="23">
        <v>1.5</v>
      </c>
      <c r="JG123" s="23">
        <v>1.5</v>
      </c>
      <c r="JH123" s="23">
        <v>1.5</v>
      </c>
      <c r="JI123" s="23">
        <v>1.5</v>
      </c>
      <c r="JJ123" s="23">
        <v>1.5</v>
      </c>
      <c r="JK123" s="23">
        <v>1.5</v>
      </c>
      <c r="JL123" s="23">
        <v>1.5</v>
      </c>
      <c r="JM123" s="23">
        <v>1.5</v>
      </c>
      <c r="JN123" s="23">
        <v>1.5</v>
      </c>
      <c r="JO123" s="23">
        <v>1.5</v>
      </c>
      <c r="JP123" s="23">
        <v>1.5</v>
      </c>
      <c r="JQ123" s="23">
        <v>1.5</v>
      </c>
      <c r="JR123" s="23">
        <v>1.5</v>
      </c>
      <c r="JS123" s="23">
        <v>1.5</v>
      </c>
      <c r="JT123" s="23">
        <v>1.5</v>
      </c>
      <c r="JU123" s="23">
        <v>1.5</v>
      </c>
      <c r="JV123" s="23">
        <v>1.5</v>
      </c>
      <c r="JW123" s="23">
        <v>1.5</v>
      </c>
      <c r="JX123" s="23">
        <v>1.5</v>
      </c>
      <c r="JY123" s="23">
        <v>1.5</v>
      </c>
      <c r="JZ123" s="23">
        <v>1.5</v>
      </c>
      <c r="KA123" s="23">
        <v>1.5</v>
      </c>
      <c r="KB123" s="23">
        <v>1.5</v>
      </c>
      <c r="KC123" s="23">
        <v>1.5</v>
      </c>
      <c r="KD123" s="23">
        <v>1.5</v>
      </c>
      <c r="KE123" s="23">
        <v>1.5</v>
      </c>
      <c r="KF123" s="23">
        <v>1.5</v>
      </c>
    </row>
    <row r="124" spans="4:292" outlineLevel="1" x14ac:dyDescent="0.35">
      <c r="E124" s="13" t="s">
        <v>170</v>
      </c>
      <c r="J124" s="15" t="s">
        <v>33</v>
      </c>
      <c r="K124" s="23">
        <v>2</v>
      </c>
      <c r="L124" s="23">
        <v>2</v>
      </c>
      <c r="M124" s="23">
        <v>2</v>
      </c>
      <c r="N124" s="23">
        <v>2</v>
      </c>
      <c r="O124" s="23">
        <v>2</v>
      </c>
      <c r="P124" s="23">
        <v>2</v>
      </c>
      <c r="Q124" s="23">
        <v>2</v>
      </c>
      <c r="R124" s="23">
        <v>2</v>
      </c>
      <c r="S124" s="23">
        <v>2</v>
      </c>
      <c r="T124" s="23">
        <v>2</v>
      </c>
      <c r="U124" s="23">
        <v>2</v>
      </c>
      <c r="V124" s="23">
        <v>2</v>
      </c>
      <c r="W124" s="23">
        <v>2</v>
      </c>
      <c r="X124" s="23">
        <v>2</v>
      </c>
      <c r="Y124" s="23">
        <v>2</v>
      </c>
      <c r="Z124" s="23">
        <v>2</v>
      </c>
      <c r="AA124" s="23">
        <v>2</v>
      </c>
      <c r="AB124" s="23">
        <v>2</v>
      </c>
      <c r="AC124" s="23">
        <v>2</v>
      </c>
      <c r="AD124" s="23">
        <v>2</v>
      </c>
      <c r="AE124" s="23">
        <v>2</v>
      </c>
      <c r="AF124" s="23">
        <v>2</v>
      </c>
      <c r="AG124" s="23">
        <v>2</v>
      </c>
      <c r="AH124" s="23">
        <v>2</v>
      </c>
      <c r="AI124" s="23">
        <v>2</v>
      </c>
      <c r="AJ124" s="23">
        <v>2</v>
      </c>
      <c r="AK124" s="23">
        <v>2</v>
      </c>
      <c r="AL124" s="23">
        <v>2</v>
      </c>
      <c r="AM124" s="23">
        <v>2</v>
      </c>
      <c r="AN124" s="23">
        <v>2</v>
      </c>
      <c r="AO124" s="23">
        <v>2</v>
      </c>
      <c r="AP124" s="23">
        <v>2</v>
      </c>
      <c r="AQ124" s="23">
        <v>2</v>
      </c>
      <c r="AR124" s="23">
        <v>2</v>
      </c>
      <c r="AS124" s="23">
        <v>2</v>
      </c>
      <c r="AT124" s="23">
        <v>2</v>
      </c>
      <c r="AU124" s="23">
        <v>2</v>
      </c>
      <c r="AV124" s="23">
        <v>2</v>
      </c>
      <c r="AW124" s="23">
        <v>2</v>
      </c>
      <c r="AX124" s="23">
        <v>2</v>
      </c>
      <c r="AY124" s="23">
        <v>2</v>
      </c>
      <c r="AZ124" s="23">
        <v>2</v>
      </c>
      <c r="BA124" s="23">
        <v>2</v>
      </c>
      <c r="BB124" s="23">
        <v>2</v>
      </c>
      <c r="BC124" s="23">
        <v>2</v>
      </c>
      <c r="BD124" s="23">
        <v>2</v>
      </c>
      <c r="BE124" s="23">
        <v>2</v>
      </c>
      <c r="BF124" s="23">
        <v>2</v>
      </c>
      <c r="BG124" s="23">
        <v>2</v>
      </c>
      <c r="BH124" s="23">
        <v>2</v>
      </c>
      <c r="BI124" s="23">
        <v>2</v>
      </c>
      <c r="BJ124" s="23">
        <v>2</v>
      </c>
      <c r="BK124" s="23">
        <v>2</v>
      </c>
      <c r="BL124" s="23">
        <v>2</v>
      </c>
      <c r="BM124" s="23">
        <v>2</v>
      </c>
      <c r="BN124" s="23">
        <v>2</v>
      </c>
      <c r="BO124" s="23">
        <v>2</v>
      </c>
      <c r="BP124" s="23">
        <v>2</v>
      </c>
      <c r="BQ124" s="23">
        <v>2</v>
      </c>
      <c r="BR124" s="23">
        <v>2</v>
      </c>
      <c r="BS124" s="23">
        <v>2</v>
      </c>
      <c r="BT124" s="23">
        <v>2</v>
      </c>
      <c r="BU124" s="23">
        <v>2</v>
      </c>
      <c r="BV124" s="23">
        <v>2</v>
      </c>
      <c r="BW124" s="23">
        <v>2</v>
      </c>
      <c r="BX124" s="23">
        <v>2</v>
      </c>
      <c r="BY124" s="23">
        <v>2</v>
      </c>
      <c r="BZ124" s="23">
        <v>2</v>
      </c>
      <c r="CA124" s="23">
        <v>2</v>
      </c>
      <c r="CB124" s="23">
        <v>2</v>
      </c>
      <c r="CC124" s="23">
        <v>2</v>
      </c>
      <c r="CD124" s="23">
        <v>2</v>
      </c>
      <c r="CE124" s="23">
        <v>2</v>
      </c>
      <c r="CF124" s="23">
        <v>2</v>
      </c>
      <c r="CG124" s="23">
        <v>2</v>
      </c>
      <c r="CH124" s="23">
        <v>2</v>
      </c>
      <c r="CI124" s="23">
        <v>2</v>
      </c>
      <c r="CJ124" s="23">
        <v>2</v>
      </c>
      <c r="CK124" s="23">
        <v>2</v>
      </c>
      <c r="CL124" s="23">
        <v>2</v>
      </c>
      <c r="CM124" s="23">
        <v>2</v>
      </c>
      <c r="CN124" s="23">
        <v>2</v>
      </c>
      <c r="CO124" s="23">
        <v>2</v>
      </c>
      <c r="CP124" s="23">
        <v>2</v>
      </c>
      <c r="CQ124" s="23">
        <v>2</v>
      </c>
      <c r="CR124" s="23">
        <v>2</v>
      </c>
      <c r="CS124" s="23">
        <v>2</v>
      </c>
      <c r="CT124" s="23">
        <v>2</v>
      </c>
      <c r="CU124" s="23">
        <v>2</v>
      </c>
      <c r="CV124" s="23">
        <v>2</v>
      </c>
      <c r="CW124" s="23">
        <v>2</v>
      </c>
      <c r="CX124" s="23">
        <v>2</v>
      </c>
      <c r="CY124" s="23">
        <v>2</v>
      </c>
      <c r="CZ124" s="23">
        <v>2</v>
      </c>
      <c r="DA124" s="23">
        <v>2</v>
      </c>
      <c r="DB124" s="23">
        <v>2</v>
      </c>
      <c r="DC124" s="23">
        <v>2</v>
      </c>
      <c r="DD124" s="23">
        <v>2</v>
      </c>
      <c r="DE124" s="23">
        <v>2</v>
      </c>
      <c r="DF124" s="23">
        <v>2</v>
      </c>
      <c r="DG124" s="23">
        <v>2</v>
      </c>
      <c r="DH124" s="23">
        <v>2</v>
      </c>
      <c r="DI124" s="23">
        <v>2</v>
      </c>
      <c r="DJ124" s="23">
        <v>2</v>
      </c>
      <c r="DK124" s="23">
        <v>2</v>
      </c>
      <c r="DL124" s="23">
        <v>2</v>
      </c>
      <c r="DM124" s="23">
        <v>2</v>
      </c>
      <c r="DN124" s="23">
        <v>2</v>
      </c>
      <c r="DO124" s="23">
        <v>2</v>
      </c>
      <c r="DP124" s="23">
        <v>2</v>
      </c>
      <c r="DQ124" s="23">
        <v>2</v>
      </c>
      <c r="DR124" s="23">
        <v>2</v>
      </c>
      <c r="DS124" s="23">
        <v>2</v>
      </c>
      <c r="DT124" s="23">
        <v>2</v>
      </c>
      <c r="DU124" s="23">
        <v>2</v>
      </c>
      <c r="DV124" s="23">
        <v>2</v>
      </c>
      <c r="DW124" s="23">
        <v>2</v>
      </c>
      <c r="DX124" s="23">
        <v>2</v>
      </c>
      <c r="DY124" s="23">
        <v>2</v>
      </c>
      <c r="DZ124" s="23">
        <v>2</v>
      </c>
      <c r="EA124" s="23">
        <v>2</v>
      </c>
      <c r="EB124" s="23">
        <v>2</v>
      </c>
      <c r="EC124" s="23">
        <v>2</v>
      </c>
      <c r="ED124" s="23">
        <v>2</v>
      </c>
      <c r="EE124" s="23">
        <v>2</v>
      </c>
      <c r="EF124" s="23">
        <v>2</v>
      </c>
      <c r="EG124" s="23">
        <v>2</v>
      </c>
      <c r="EH124" s="23">
        <v>2</v>
      </c>
      <c r="EI124" s="23">
        <v>2</v>
      </c>
      <c r="EJ124" s="23">
        <v>2</v>
      </c>
      <c r="EK124" s="23">
        <v>2</v>
      </c>
      <c r="EL124" s="23">
        <v>2</v>
      </c>
      <c r="EM124" s="23">
        <v>2</v>
      </c>
      <c r="EN124" s="23">
        <v>2</v>
      </c>
      <c r="EO124" s="23">
        <v>2</v>
      </c>
      <c r="EP124" s="23">
        <v>2</v>
      </c>
      <c r="EQ124" s="23">
        <v>2</v>
      </c>
      <c r="ER124" s="23">
        <v>2</v>
      </c>
      <c r="ES124" s="23">
        <v>2</v>
      </c>
      <c r="ET124" s="23">
        <v>2</v>
      </c>
      <c r="EU124" s="23">
        <v>2</v>
      </c>
      <c r="EV124" s="23">
        <v>2</v>
      </c>
      <c r="EW124" s="23">
        <v>2</v>
      </c>
      <c r="EX124" s="23">
        <v>2</v>
      </c>
      <c r="EY124" s="23">
        <v>2</v>
      </c>
      <c r="EZ124" s="23">
        <v>2</v>
      </c>
      <c r="FA124" s="23">
        <v>2</v>
      </c>
      <c r="FB124" s="23">
        <v>2</v>
      </c>
      <c r="FC124" s="23">
        <v>2</v>
      </c>
      <c r="FD124" s="23">
        <v>2</v>
      </c>
      <c r="FE124" s="23">
        <v>2</v>
      </c>
      <c r="FF124" s="23">
        <v>2</v>
      </c>
      <c r="FG124" s="23">
        <v>2</v>
      </c>
      <c r="FH124" s="23">
        <v>2</v>
      </c>
      <c r="FI124" s="23">
        <v>2</v>
      </c>
      <c r="FJ124" s="23">
        <v>2</v>
      </c>
      <c r="FK124" s="23">
        <v>2</v>
      </c>
      <c r="FL124" s="23">
        <v>2</v>
      </c>
      <c r="FM124" s="23">
        <v>2</v>
      </c>
      <c r="FN124" s="23">
        <v>2</v>
      </c>
      <c r="FO124" s="23">
        <v>2</v>
      </c>
      <c r="FP124" s="23">
        <v>2</v>
      </c>
      <c r="FQ124" s="23">
        <v>2</v>
      </c>
      <c r="FR124" s="23">
        <v>2</v>
      </c>
      <c r="FS124" s="23">
        <v>2</v>
      </c>
      <c r="FT124" s="23">
        <v>2</v>
      </c>
      <c r="FU124" s="23">
        <v>2</v>
      </c>
      <c r="FV124" s="23">
        <v>2</v>
      </c>
      <c r="FW124" s="23">
        <v>2</v>
      </c>
      <c r="FX124" s="23">
        <v>2</v>
      </c>
      <c r="FY124" s="23">
        <v>2</v>
      </c>
      <c r="FZ124" s="23">
        <v>2</v>
      </c>
      <c r="GA124" s="23">
        <v>2</v>
      </c>
      <c r="GB124" s="23">
        <v>2</v>
      </c>
      <c r="GC124" s="23">
        <v>2</v>
      </c>
      <c r="GD124" s="23">
        <v>2</v>
      </c>
      <c r="GE124" s="23">
        <v>2</v>
      </c>
      <c r="GF124" s="23">
        <v>2</v>
      </c>
      <c r="GG124" s="23">
        <v>2</v>
      </c>
      <c r="GH124" s="23">
        <v>2</v>
      </c>
      <c r="GI124" s="23">
        <v>2</v>
      </c>
      <c r="GJ124" s="23">
        <v>2</v>
      </c>
      <c r="GK124" s="23">
        <v>2</v>
      </c>
      <c r="GL124" s="23">
        <v>2</v>
      </c>
      <c r="GM124" s="23">
        <v>2</v>
      </c>
      <c r="GN124" s="23">
        <v>2</v>
      </c>
      <c r="GO124" s="23">
        <v>2</v>
      </c>
      <c r="GP124" s="23">
        <v>2</v>
      </c>
      <c r="GQ124" s="23">
        <v>2</v>
      </c>
      <c r="GR124" s="23">
        <v>2</v>
      </c>
      <c r="GS124" s="23">
        <v>2</v>
      </c>
      <c r="GT124" s="23">
        <v>2</v>
      </c>
      <c r="GU124" s="23">
        <v>2</v>
      </c>
      <c r="GV124" s="23">
        <v>2</v>
      </c>
      <c r="GW124" s="23">
        <v>2</v>
      </c>
      <c r="GX124" s="23">
        <v>2</v>
      </c>
      <c r="GY124" s="23">
        <v>2</v>
      </c>
      <c r="GZ124" s="23">
        <v>2</v>
      </c>
      <c r="HA124" s="23">
        <v>2</v>
      </c>
      <c r="HB124" s="23">
        <v>2</v>
      </c>
      <c r="HC124" s="23">
        <v>2</v>
      </c>
      <c r="HD124" s="23">
        <v>2</v>
      </c>
      <c r="HE124" s="23">
        <v>2</v>
      </c>
      <c r="HF124" s="23">
        <v>2</v>
      </c>
      <c r="HG124" s="23">
        <v>2</v>
      </c>
      <c r="HH124" s="23">
        <v>2</v>
      </c>
      <c r="HI124" s="23">
        <v>2</v>
      </c>
      <c r="HJ124" s="23">
        <v>2</v>
      </c>
      <c r="HK124" s="23">
        <v>2</v>
      </c>
      <c r="HL124" s="23">
        <v>2</v>
      </c>
      <c r="HM124" s="23">
        <v>2</v>
      </c>
      <c r="HN124" s="23">
        <v>2</v>
      </c>
      <c r="HO124" s="23">
        <v>2</v>
      </c>
      <c r="HP124" s="23">
        <v>2</v>
      </c>
      <c r="HQ124" s="23">
        <v>2</v>
      </c>
      <c r="HR124" s="23">
        <v>2</v>
      </c>
      <c r="HS124" s="23">
        <v>2</v>
      </c>
      <c r="HT124" s="23">
        <v>2</v>
      </c>
      <c r="HU124" s="23">
        <v>2</v>
      </c>
      <c r="HV124" s="23">
        <v>2</v>
      </c>
      <c r="HW124" s="23">
        <v>2</v>
      </c>
      <c r="HX124" s="23">
        <v>2</v>
      </c>
      <c r="HY124" s="23">
        <v>2</v>
      </c>
      <c r="HZ124" s="23">
        <v>2</v>
      </c>
      <c r="IA124" s="23">
        <v>2</v>
      </c>
      <c r="IB124" s="23">
        <v>2</v>
      </c>
      <c r="IC124" s="23">
        <v>2</v>
      </c>
      <c r="ID124" s="23">
        <v>2</v>
      </c>
      <c r="IE124" s="23">
        <v>2</v>
      </c>
      <c r="IF124" s="23">
        <v>2</v>
      </c>
      <c r="IG124" s="23">
        <v>2</v>
      </c>
      <c r="IH124" s="23">
        <v>2</v>
      </c>
      <c r="II124" s="23">
        <v>2</v>
      </c>
      <c r="IJ124" s="23">
        <v>2</v>
      </c>
      <c r="IK124" s="23">
        <v>2</v>
      </c>
      <c r="IL124" s="23">
        <v>2</v>
      </c>
      <c r="IM124" s="23">
        <v>2</v>
      </c>
      <c r="IN124" s="23">
        <v>2</v>
      </c>
      <c r="IO124" s="23">
        <v>2</v>
      </c>
      <c r="IP124" s="23">
        <v>2</v>
      </c>
      <c r="IQ124" s="23">
        <v>2</v>
      </c>
      <c r="IR124" s="23">
        <v>2</v>
      </c>
      <c r="IS124" s="23">
        <v>2</v>
      </c>
      <c r="IT124" s="23">
        <v>2</v>
      </c>
      <c r="IU124" s="23">
        <v>2</v>
      </c>
      <c r="IV124" s="23">
        <v>2</v>
      </c>
      <c r="IW124" s="23">
        <v>2</v>
      </c>
      <c r="IX124" s="23">
        <v>2</v>
      </c>
      <c r="IY124" s="23">
        <v>2</v>
      </c>
      <c r="IZ124" s="23">
        <v>2</v>
      </c>
      <c r="JA124" s="23">
        <v>2</v>
      </c>
      <c r="JB124" s="23">
        <v>2</v>
      </c>
      <c r="JC124" s="23">
        <v>2</v>
      </c>
      <c r="JD124" s="23">
        <v>2</v>
      </c>
      <c r="JE124" s="23">
        <v>2</v>
      </c>
      <c r="JF124" s="23">
        <v>2</v>
      </c>
      <c r="JG124" s="23">
        <v>2</v>
      </c>
      <c r="JH124" s="23">
        <v>2</v>
      </c>
      <c r="JI124" s="23">
        <v>2</v>
      </c>
      <c r="JJ124" s="23">
        <v>2</v>
      </c>
      <c r="JK124" s="23">
        <v>2</v>
      </c>
      <c r="JL124" s="23">
        <v>2</v>
      </c>
      <c r="JM124" s="23">
        <v>2</v>
      </c>
      <c r="JN124" s="23">
        <v>2</v>
      </c>
      <c r="JO124" s="23">
        <v>2</v>
      </c>
      <c r="JP124" s="23">
        <v>2</v>
      </c>
      <c r="JQ124" s="23">
        <v>2</v>
      </c>
      <c r="JR124" s="23">
        <v>2</v>
      </c>
      <c r="JS124" s="23">
        <v>2</v>
      </c>
      <c r="JT124" s="23">
        <v>2</v>
      </c>
      <c r="JU124" s="23">
        <v>2</v>
      </c>
      <c r="JV124" s="23">
        <v>2</v>
      </c>
      <c r="JW124" s="23">
        <v>2</v>
      </c>
      <c r="JX124" s="23">
        <v>2</v>
      </c>
      <c r="JY124" s="23">
        <v>2</v>
      </c>
      <c r="JZ124" s="23">
        <v>2</v>
      </c>
      <c r="KA124" s="23">
        <v>2</v>
      </c>
      <c r="KB124" s="23">
        <v>2</v>
      </c>
      <c r="KC124" s="23">
        <v>2</v>
      </c>
      <c r="KD124" s="23">
        <v>2</v>
      </c>
      <c r="KE124" s="23">
        <v>2</v>
      </c>
      <c r="KF124" s="23">
        <v>2</v>
      </c>
    </row>
    <row r="125" spans="4:292" outlineLevel="1" x14ac:dyDescent="0.35">
      <c r="E125" s="13" t="s">
        <v>170</v>
      </c>
      <c r="J125" s="15" t="s">
        <v>34</v>
      </c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  <c r="BZ125" s="23"/>
      <c r="CA125" s="23"/>
      <c r="CB125" s="23"/>
      <c r="CC125" s="23"/>
      <c r="CD125" s="23"/>
      <c r="CE125" s="23"/>
      <c r="CF125" s="23"/>
      <c r="CG125" s="23"/>
      <c r="CH125" s="23"/>
      <c r="CI125" s="23"/>
      <c r="CJ125" s="23"/>
      <c r="CK125" s="23"/>
      <c r="CL125" s="23"/>
      <c r="CM125" s="23"/>
      <c r="CN125" s="23"/>
      <c r="CO125" s="23"/>
      <c r="CP125" s="23"/>
      <c r="CQ125" s="23"/>
      <c r="CR125" s="23"/>
      <c r="CS125" s="23"/>
      <c r="CT125" s="23"/>
      <c r="CU125" s="23"/>
      <c r="CV125" s="23"/>
      <c r="CW125" s="23"/>
      <c r="CX125" s="23"/>
      <c r="CY125" s="23"/>
      <c r="CZ125" s="23"/>
      <c r="DA125" s="23"/>
      <c r="DB125" s="23"/>
      <c r="DC125" s="23"/>
      <c r="DD125" s="23"/>
      <c r="DE125" s="23"/>
      <c r="DF125" s="23"/>
      <c r="DG125" s="23"/>
      <c r="DH125" s="23"/>
      <c r="DI125" s="23"/>
      <c r="DJ125" s="23"/>
      <c r="DK125" s="23"/>
      <c r="DL125" s="23"/>
      <c r="DM125" s="23"/>
      <c r="DN125" s="23"/>
      <c r="DO125" s="23"/>
      <c r="DP125" s="23"/>
      <c r="DQ125" s="23"/>
      <c r="DR125" s="23"/>
      <c r="DS125" s="23"/>
      <c r="DT125" s="23"/>
      <c r="DU125" s="23"/>
      <c r="DV125" s="23"/>
      <c r="DW125" s="23"/>
      <c r="DX125" s="23"/>
      <c r="DY125" s="23"/>
      <c r="DZ125" s="23"/>
      <c r="EA125" s="23"/>
      <c r="EB125" s="23"/>
      <c r="EC125" s="23"/>
      <c r="ED125" s="23"/>
      <c r="EE125" s="23"/>
      <c r="EF125" s="23"/>
      <c r="EG125" s="23"/>
      <c r="EH125" s="23"/>
      <c r="EI125" s="23"/>
      <c r="EJ125" s="23"/>
      <c r="EK125" s="23"/>
      <c r="EL125" s="23"/>
      <c r="EM125" s="23"/>
      <c r="EN125" s="23"/>
      <c r="EO125" s="23"/>
      <c r="EP125" s="23"/>
      <c r="EQ125" s="23"/>
      <c r="ER125" s="23"/>
      <c r="ES125" s="23"/>
      <c r="ET125" s="23"/>
      <c r="EU125" s="23"/>
      <c r="EV125" s="23"/>
      <c r="EW125" s="23"/>
      <c r="EX125" s="23"/>
      <c r="EY125" s="23"/>
      <c r="EZ125" s="23"/>
      <c r="FA125" s="23"/>
      <c r="FB125" s="23"/>
      <c r="FC125" s="23"/>
      <c r="FD125" s="23"/>
      <c r="FE125" s="23"/>
      <c r="FF125" s="23"/>
      <c r="FG125" s="23"/>
      <c r="FH125" s="23"/>
      <c r="FI125" s="23"/>
      <c r="FJ125" s="23"/>
      <c r="FK125" s="23"/>
      <c r="FL125" s="23"/>
      <c r="FM125" s="23"/>
      <c r="FN125" s="23"/>
      <c r="FO125" s="23"/>
      <c r="FP125" s="23"/>
      <c r="FQ125" s="23"/>
      <c r="FR125" s="23"/>
      <c r="FS125" s="23"/>
      <c r="FT125" s="23"/>
      <c r="FU125" s="23"/>
      <c r="FV125" s="23"/>
      <c r="FW125" s="23"/>
      <c r="FX125" s="23"/>
      <c r="FY125" s="23"/>
      <c r="FZ125" s="23"/>
      <c r="GA125" s="23"/>
      <c r="GB125" s="23"/>
      <c r="GC125" s="23"/>
      <c r="GD125" s="23"/>
      <c r="GE125" s="23"/>
      <c r="GF125" s="23"/>
      <c r="GG125" s="23"/>
      <c r="GH125" s="23"/>
      <c r="GI125" s="23"/>
      <c r="GJ125" s="23"/>
      <c r="GK125" s="23"/>
      <c r="GL125" s="23"/>
      <c r="GM125" s="23"/>
      <c r="GN125" s="23"/>
      <c r="GO125" s="23"/>
      <c r="GP125" s="23"/>
      <c r="GQ125" s="23"/>
      <c r="GR125" s="23"/>
      <c r="GS125" s="23"/>
      <c r="GT125" s="23"/>
      <c r="GU125" s="23"/>
      <c r="GV125" s="23"/>
      <c r="GW125" s="23"/>
      <c r="GX125" s="23"/>
      <c r="GY125" s="23"/>
      <c r="GZ125" s="23"/>
      <c r="HA125" s="23"/>
      <c r="HB125" s="23"/>
      <c r="HC125" s="23"/>
      <c r="HD125" s="23"/>
      <c r="HE125" s="23"/>
      <c r="HF125" s="23"/>
      <c r="HG125" s="23"/>
      <c r="HH125" s="23"/>
      <c r="HI125" s="23"/>
      <c r="HJ125" s="23"/>
      <c r="HK125" s="23"/>
      <c r="HL125" s="23"/>
      <c r="HM125" s="23"/>
      <c r="HN125" s="23"/>
      <c r="HO125" s="23"/>
      <c r="HP125" s="23"/>
      <c r="HQ125" s="23"/>
      <c r="HR125" s="23"/>
      <c r="HS125" s="23"/>
      <c r="HT125" s="23"/>
      <c r="HU125" s="23"/>
      <c r="HV125" s="23"/>
      <c r="HW125" s="23"/>
      <c r="HX125" s="23"/>
      <c r="HY125" s="23"/>
      <c r="HZ125" s="23"/>
      <c r="IA125" s="23"/>
      <c r="IB125" s="23"/>
      <c r="IC125" s="23"/>
      <c r="ID125" s="23"/>
      <c r="IE125" s="23"/>
      <c r="IF125" s="23"/>
      <c r="IG125" s="23"/>
      <c r="IH125" s="23"/>
      <c r="II125" s="23"/>
      <c r="IJ125" s="23"/>
      <c r="IK125" s="23"/>
      <c r="IL125" s="23"/>
      <c r="IM125" s="23"/>
      <c r="IN125" s="23"/>
      <c r="IO125" s="23"/>
      <c r="IP125" s="23"/>
      <c r="IQ125" s="23"/>
      <c r="IR125" s="23"/>
      <c r="IS125" s="23"/>
      <c r="IT125" s="23"/>
      <c r="IU125" s="23"/>
      <c r="IV125" s="23"/>
      <c r="IW125" s="23"/>
      <c r="IX125" s="23"/>
      <c r="IY125" s="23"/>
      <c r="IZ125" s="23"/>
      <c r="JA125" s="23"/>
      <c r="JB125" s="23"/>
      <c r="JC125" s="23"/>
      <c r="JD125" s="23"/>
      <c r="JE125" s="23"/>
      <c r="JF125" s="23"/>
      <c r="JG125" s="23"/>
      <c r="JH125" s="23"/>
      <c r="JI125" s="23"/>
      <c r="JJ125" s="23"/>
      <c r="JK125" s="23"/>
      <c r="JL125" s="23"/>
      <c r="JM125" s="23"/>
      <c r="JN125" s="23"/>
      <c r="JO125" s="23"/>
      <c r="JP125" s="23"/>
      <c r="JQ125" s="23"/>
      <c r="JR125" s="23"/>
      <c r="JS125" s="23"/>
      <c r="JT125" s="23"/>
      <c r="JU125" s="23"/>
      <c r="JV125" s="23"/>
      <c r="JW125" s="23"/>
      <c r="JX125" s="23"/>
      <c r="JY125" s="23"/>
      <c r="JZ125" s="23"/>
      <c r="KA125" s="23"/>
      <c r="KB125" s="23"/>
      <c r="KC125" s="23"/>
      <c r="KD125" s="23"/>
      <c r="KE125" s="23"/>
      <c r="KF125" s="23"/>
    </row>
    <row r="126" spans="4:292" outlineLevel="1" x14ac:dyDescent="0.35">
      <c r="E126" s="13" t="s">
        <v>170</v>
      </c>
      <c r="J126" s="15" t="s">
        <v>34</v>
      </c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  <c r="BZ126" s="23"/>
      <c r="CA126" s="23"/>
      <c r="CB126" s="23"/>
      <c r="CC126" s="23"/>
      <c r="CD126" s="23"/>
      <c r="CE126" s="23"/>
      <c r="CF126" s="23"/>
      <c r="CG126" s="23"/>
      <c r="CH126" s="23"/>
      <c r="CI126" s="23"/>
      <c r="CJ126" s="23"/>
      <c r="CK126" s="23"/>
      <c r="CL126" s="23"/>
      <c r="CM126" s="23"/>
      <c r="CN126" s="23"/>
      <c r="CO126" s="23"/>
      <c r="CP126" s="23"/>
      <c r="CQ126" s="23"/>
      <c r="CR126" s="23"/>
      <c r="CS126" s="23"/>
      <c r="CT126" s="23"/>
      <c r="CU126" s="23"/>
      <c r="CV126" s="23"/>
      <c r="CW126" s="23"/>
      <c r="CX126" s="23"/>
      <c r="CY126" s="23"/>
      <c r="CZ126" s="23"/>
      <c r="DA126" s="23"/>
      <c r="DB126" s="23"/>
      <c r="DC126" s="23"/>
      <c r="DD126" s="23"/>
      <c r="DE126" s="23"/>
      <c r="DF126" s="23"/>
      <c r="DG126" s="23"/>
      <c r="DH126" s="23"/>
      <c r="DI126" s="23"/>
      <c r="DJ126" s="23"/>
      <c r="DK126" s="23"/>
      <c r="DL126" s="23"/>
      <c r="DM126" s="23"/>
      <c r="DN126" s="23"/>
      <c r="DO126" s="23"/>
      <c r="DP126" s="23"/>
      <c r="DQ126" s="23"/>
      <c r="DR126" s="23"/>
      <c r="DS126" s="23"/>
      <c r="DT126" s="23"/>
      <c r="DU126" s="23"/>
      <c r="DV126" s="23"/>
      <c r="DW126" s="23"/>
      <c r="DX126" s="23"/>
      <c r="DY126" s="23"/>
      <c r="DZ126" s="23"/>
      <c r="EA126" s="23"/>
      <c r="EB126" s="23"/>
      <c r="EC126" s="23"/>
      <c r="ED126" s="23"/>
      <c r="EE126" s="23"/>
      <c r="EF126" s="23"/>
      <c r="EG126" s="23"/>
      <c r="EH126" s="23"/>
      <c r="EI126" s="23"/>
      <c r="EJ126" s="23"/>
      <c r="EK126" s="23"/>
      <c r="EL126" s="23"/>
      <c r="EM126" s="23"/>
      <c r="EN126" s="23"/>
      <c r="EO126" s="23"/>
      <c r="EP126" s="23"/>
      <c r="EQ126" s="23"/>
      <c r="ER126" s="23"/>
      <c r="ES126" s="23"/>
      <c r="ET126" s="23"/>
      <c r="EU126" s="23"/>
      <c r="EV126" s="23"/>
      <c r="EW126" s="23"/>
      <c r="EX126" s="23"/>
      <c r="EY126" s="23"/>
      <c r="EZ126" s="23"/>
      <c r="FA126" s="23"/>
      <c r="FB126" s="23"/>
      <c r="FC126" s="23"/>
      <c r="FD126" s="23"/>
      <c r="FE126" s="23"/>
      <c r="FF126" s="23"/>
      <c r="FG126" s="23"/>
      <c r="FH126" s="23"/>
      <c r="FI126" s="23"/>
      <c r="FJ126" s="23"/>
      <c r="FK126" s="23"/>
      <c r="FL126" s="23"/>
      <c r="FM126" s="23"/>
      <c r="FN126" s="23"/>
      <c r="FO126" s="23"/>
      <c r="FP126" s="23"/>
      <c r="FQ126" s="23"/>
      <c r="FR126" s="23"/>
      <c r="FS126" s="23"/>
      <c r="FT126" s="23"/>
      <c r="FU126" s="23"/>
      <c r="FV126" s="23"/>
      <c r="FW126" s="23"/>
      <c r="FX126" s="23"/>
      <c r="FY126" s="23"/>
      <c r="FZ126" s="23"/>
      <c r="GA126" s="23"/>
      <c r="GB126" s="23"/>
      <c r="GC126" s="23"/>
      <c r="GD126" s="23"/>
      <c r="GE126" s="23"/>
      <c r="GF126" s="23"/>
      <c r="GG126" s="23"/>
      <c r="GH126" s="23"/>
      <c r="GI126" s="23"/>
      <c r="GJ126" s="23"/>
      <c r="GK126" s="23"/>
      <c r="GL126" s="23"/>
      <c r="GM126" s="23"/>
      <c r="GN126" s="23"/>
      <c r="GO126" s="23"/>
      <c r="GP126" s="23"/>
      <c r="GQ126" s="23"/>
      <c r="GR126" s="23"/>
      <c r="GS126" s="23"/>
      <c r="GT126" s="23"/>
      <c r="GU126" s="23"/>
      <c r="GV126" s="23"/>
      <c r="GW126" s="23"/>
      <c r="GX126" s="23"/>
      <c r="GY126" s="23"/>
      <c r="GZ126" s="23"/>
      <c r="HA126" s="23"/>
      <c r="HB126" s="23"/>
      <c r="HC126" s="23"/>
      <c r="HD126" s="23"/>
      <c r="HE126" s="23"/>
      <c r="HF126" s="23"/>
      <c r="HG126" s="23"/>
      <c r="HH126" s="23"/>
      <c r="HI126" s="23"/>
      <c r="HJ126" s="23"/>
      <c r="HK126" s="23"/>
      <c r="HL126" s="23"/>
      <c r="HM126" s="23"/>
      <c r="HN126" s="23"/>
      <c r="HO126" s="23"/>
      <c r="HP126" s="23"/>
      <c r="HQ126" s="23"/>
      <c r="HR126" s="23"/>
      <c r="HS126" s="23"/>
      <c r="HT126" s="23"/>
      <c r="HU126" s="23"/>
      <c r="HV126" s="23"/>
      <c r="HW126" s="23"/>
      <c r="HX126" s="23"/>
      <c r="HY126" s="23"/>
      <c r="HZ126" s="23"/>
      <c r="IA126" s="23"/>
      <c r="IB126" s="23"/>
      <c r="IC126" s="23"/>
      <c r="ID126" s="23"/>
      <c r="IE126" s="23"/>
      <c r="IF126" s="23"/>
      <c r="IG126" s="23"/>
      <c r="IH126" s="23"/>
      <c r="II126" s="23"/>
      <c r="IJ126" s="23"/>
      <c r="IK126" s="23"/>
      <c r="IL126" s="23"/>
      <c r="IM126" s="23"/>
      <c r="IN126" s="23"/>
      <c r="IO126" s="23"/>
      <c r="IP126" s="23"/>
      <c r="IQ126" s="23"/>
      <c r="IR126" s="23"/>
      <c r="IS126" s="23"/>
      <c r="IT126" s="23"/>
      <c r="IU126" s="23"/>
      <c r="IV126" s="23"/>
      <c r="IW126" s="23"/>
      <c r="IX126" s="23"/>
      <c r="IY126" s="23"/>
      <c r="IZ126" s="23"/>
      <c r="JA126" s="23"/>
      <c r="JB126" s="23"/>
      <c r="JC126" s="23"/>
      <c r="JD126" s="23"/>
      <c r="JE126" s="23"/>
      <c r="JF126" s="23"/>
      <c r="JG126" s="23"/>
      <c r="JH126" s="23"/>
      <c r="JI126" s="23"/>
      <c r="JJ126" s="23"/>
      <c r="JK126" s="23"/>
      <c r="JL126" s="23"/>
      <c r="JM126" s="23"/>
      <c r="JN126" s="23"/>
      <c r="JO126" s="23"/>
      <c r="JP126" s="23"/>
      <c r="JQ126" s="23"/>
      <c r="JR126" s="23"/>
      <c r="JS126" s="23"/>
      <c r="JT126" s="23"/>
      <c r="JU126" s="23"/>
      <c r="JV126" s="23"/>
      <c r="JW126" s="23"/>
      <c r="JX126" s="23"/>
      <c r="JY126" s="23"/>
      <c r="JZ126" s="23"/>
      <c r="KA126" s="23"/>
      <c r="KB126" s="23"/>
      <c r="KC126" s="23"/>
      <c r="KD126" s="23"/>
      <c r="KE126" s="23"/>
      <c r="KF126" s="23"/>
    </row>
    <row r="127" spans="4:292" outlineLevel="1" x14ac:dyDescent="0.35">
      <c r="E127" s="13" t="s">
        <v>170</v>
      </c>
      <c r="J127" s="15" t="s">
        <v>34</v>
      </c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  <c r="BZ127" s="23"/>
      <c r="CA127" s="23"/>
      <c r="CB127" s="23"/>
      <c r="CC127" s="23"/>
      <c r="CD127" s="23"/>
      <c r="CE127" s="23"/>
      <c r="CF127" s="23"/>
      <c r="CG127" s="23"/>
      <c r="CH127" s="23"/>
      <c r="CI127" s="23"/>
      <c r="CJ127" s="23"/>
      <c r="CK127" s="23"/>
      <c r="CL127" s="23"/>
      <c r="CM127" s="23"/>
      <c r="CN127" s="23"/>
      <c r="CO127" s="23"/>
      <c r="CP127" s="23"/>
      <c r="CQ127" s="23"/>
      <c r="CR127" s="23"/>
      <c r="CS127" s="23"/>
      <c r="CT127" s="23"/>
      <c r="CU127" s="23"/>
      <c r="CV127" s="23"/>
      <c r="CW127" s="23"/>
      <c r="CX127" s="23"/>
      <c r="CY127" s="23"/>
      <c r="CZ127" s="23"/>
      <c r="DA127" s="23"/>
      <c r="DB127" s="23"/>
      <c r="DC127" s="23"/>
      <c r="DD127" s="23"/>
      <c r="DE127" s="23"/>
      <c r="DF127" s="23"/>
      <c r="DG127" s="23"/>
      <c r="DH127" s="23"/>
      <c r="DI127" s="23"/>
      <c r="DJ127" s="23"/>
      <c r="DK127" s="23"/>
      <c r="DL127" s="23"/>
      <c r="DM127" s="23"/>
      <c r="DN127" s="23"/>
      <c r="DO127" s="23"/>
      <c r="DP127" s="23"/>
      <c r="DQ127" s="23"/>
      <c r="DR127" s="23"/>
      <c r="DS127" s="23"/>
      <c r="DT127" s="23"/>
      <c r="DU127" s="23"/>
      <c r="DV127" s="23"/>
      <c r="DW127" s="23"/>
      <c r="DX127" s="23"/>
      <c r="DY127" s="23"/>
      <c r="DZ127" s="23"/>
      <c r="EA127" s="23"/>
      <c r="EB127" s="23"/>
      <c r="EC127" s="23"/>
      <c r="ED127" s="23"/>
      <c r="EE127" s="23"/>
      <c r="EF127" s="23"/>
      <c r="EG127" s="23"/>
      <c r="EH127" s="23"/>
      <c r="EI127" s="23"/>
      <c r="EJ127" s="23"/>
      <c r="EK127" s="23"/>
      <c r="EL127" s="23"/>
      <c r="EM127" s="23"/>
      <c r="EN127" s="23"/>
      <c r="EO127" s="23"/>
      <c r="EP127" s="23"/>
      <c r="EQ127" s="23"/>
      <c r="ER127" s="23"/>
      <c r="ES127" s="23"/>
      <c r="ET127" s="23"/>
      <c r="EU127" s="23"/>
      <c r="EV127" s="23"/>
      <c r="EW127" s="23"/>
      <c r="EX127" s="23"/>
      <c r="EY127" s="23"/>
      <c r="EZ127" s="23"/>
      <c r="FA127" s="23"/>
      <c r="FB127" s="23"/>
      <c r="FC127" s="23"/>
      <c r="FD127" s="23"/>
      <c r="FE127" s="23"/>
      <c r="FF127" s="23"/>
      <c r="FG127" s="23"/>
      <c r="FH127" s="23"/>
      <c r="FI127" s="23"/>
      <c r="FJ127" s="23"/>
      <c r="FK127" s="23"/>
      <c r="FL127" s="23"/>
      <c r="FM127" s="23"/>
      <c r="FN127" s="23"/>
      <c r="FO127" s="23"/>
      <c r="FP127" s="23"/>
      <c r="FQ127" s="23"/>
      <c r="FR127" s="23"/>
      <c r="FS127" s="23"/>
      <c r="FT127" s="23"/>
      <c r="FU127" s="23"/>
      <c r="FV127" s="23"/>
      <c r="FW127" s="23"/>
      <c r="FX127" s="23"/>
      <c r="FY127" s="23"/>
      <c r="FZ127" s="23"/>
      <c r="GA127" s="23"/>
      <c r="GB127" s="23"/>
      <c r="GC127" s="23"/>
      <c r="GD127" s="23"/>
      <c r="GE127" s="23"/>
      <c r="GF127" s="23"/>
      <c r="GG127" s="23"/>
      <c r="GH127" s="23"/>
      <c r="GI127" s="23"/>
      <c r="GJ127" s="23"/>
      <c r="GK127" s="23"/>
      <c r="GL127" s="23"/>
      <c r="GM127" s="23"/>
      <c r="GN127" s="23"/>
      <c r="GO127" s="23"/>
      <c r="GP127" s="23"/>
      <c r="GQ127" s="23"/>
      <c r="GR127" s="23"/>
      <c r="GS127" s="23"/>
      <c r="GT127" s="23"/>
      <c r="GU127" s="23"/>
      <c r="GV127" s="23"/>
      <c r="GW127" s="23"/>
      <c r="GX127" s="23"/>
      <c r="GY127" s="23"/>
      <c r="GZ127" s="23"/>
      <c r="HA127" s="23"/>
      <c r="HB127" s="23"/>
      <c r="HC127" s="23"/>
      <c r="HD127" s="23"/>
      <c r="HE127" s="23"/>
      <c r="HF127" s="23"/>
      <c r="HG127" s="23"/>
      <c r="HH127" s="23"/>
      <c r="HI127" s="23"/>
      <c r="HJ127" s="23"/>
      <c r="HK127" s="23"/>
      <c r="HL127" s="23"/>
      <c r="HM127" s="23"/>
      <c r="HN127" s="23"/>
      <c r="HO127" s="23"/>
      <c r="HP127" s="23"/>
      <c r="HQ127" s="23"/>
      <c r="HR127" s="23"/>
      <c r="HS127" s="23"/>
      <c r="HT127" s="23"/>
      <c r="HU127" s="23"/>
      <c r="HV127" s="23"/>
      <c r="HW127" s="23"/>
      <c r="HX127" s="23"/>
      <c r="HY127" s="23"/>
      <c r="HZ127" s="23"/>
      <c r="IA127" s="23"/>
      <c r="IB127" s="23"/>
      <c r="IC127" s="23"/>
      <c r="ID127" s="23"/>
      <c r="IE127" s="23"/>
      <c r="IF127" s="23"/>
      <c r="IG127" s="23"/>
      <c r="IH127" s="23"/>
      <c r="II127" s="23"/>
      <c r="IJ127" s="23"/>
      <c r="IK127" s="23"/>
      <c r="IL127" s="23"/>
      <c r="IM127" s="23"/>
      <c r="IN127" s="23"/>
      <c r="IO127" s="23"/>
      <c r="IP127" s="23"/>
      <c r="IQ127" s="23"/>
      <c r="IR127" s="23"/>
      <c r="IS127" s="23"/>
      <c r="IT127" s="23"/>
      <c r="IU127" s="23"/>
      <c r="IV127" s="23"/>
      <c r="IW127" s="23"/>
      <c r="IX127" s="23"/>
      <c r="IY127" s="23"/>
      <c r="IZ127" s="23"/>
      <c r="JA127" s="23"/>
      <c r="JB127" s="23"/>
      <c r="JC127" s="23"/>
      <c r="JD127" s="23"/>
      <c r="JE127" s="23"/>
      <c r="JF127" s="23"/>
      <c r="JG127" s="23"/>
      <c r="JH127" s="23"/>
      <c r="JI127" s="23"/>
      <c r="JJ127" s="23"/>
      <c r="JK127" s="23"/>
      <c r="JL127" s="23"/>
      <c r="JM127" s="23"/>
      <c r="JN127" s="23"/>
      <c r="JO127" s="23"/>
      <c r="JP127" s="23"/>
      <c r="JQ127" s="23"/>
      <c r="JR127" s="23"/>
      <c r="JS127" s="23"/>
      <c r="JT127" s="23"/>
      <c r="JU127" s="23"/>
      <c r="JV127" s="23"/>
      <c r="JW127" s="23"/>
      <c r="JX127" s="23"/>
      <c r="JY127" s="23"/>
      <c r="JZ127" s="23"/>
      <c r="KA127" s="23"/>
      <c r="KB127" s="23"/>
      <c r="KC127" s="23"/>
      <c r="KD127" s="23"/>
      <c r="KE127" s="23"/>
      <c r="KF127" s="23"/>
    </row>
    <row r="128" spans="4:292" outlineLevel="1" x14ac:dyDescent="0.35">
      <c r="E128" s="13" t="s">
        <v>170</v>
      </c>
      <c r="J128" s="15" t="s">
        <v>34</v>
      </c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  <c r="BZ128" s="23"/>
      <c r="CA128" s="23"/>
      <c r="CB128" s="23"/>
      <c r="CC128" s="23"/>
      <c r="CD128" s="23"/>
      <c r="CE128" s="23"/>
      <c r="CF128" s="23"/>
      <c r="CG128" s="23"/>
      <c r="CH128" s="23"/>
      <c r="CI128" s="23"/>
      <c r="CJ128" s="23"/>
      <c r="CK128" s="23"/>
      <c r="CL128" s="23"/>
      <c r="CM128" s="23"/>
      <c r="CN128" s="23"/>
      <c r="CO128" s="23"/>
      <c r="CP128" s="23"/>
      <c r="CQ128" s="23"/>
      <c r="CR128" s="23"/>
      <c r="CS128" s="23"/>
      <c r="CT128" s="23"/>
      <c r="CU128" s="23"/>
      <c r="CV128" s="23"/>
      <c r="CW128" s="23"/>
      <c r="CX128" s="23"/>
      <c r="CY128" s="23"/>
      <c r="CZ128" s="23"/>
      <c r="DA128" s="23"/>
      <c r="DB128" s="23"/>
      <c r="DC128" s="23"/>
      <c r="DD128" s="23"/>
      <c r="DE128" s="23"/>
      <c r="DF128" s="23"/>
      <c r="DG128" s="23"/>
      <c r="DH128" s="23"/>
      <c r="DI128" s="23"/>
      <c r="DJ128" s="23"/>
      <c r="DK128" s="23"/>
      <c r="DL128" s="23"/>
      <c r="DM128" s="23"/>
      <c r="DN128" s="23"/>
      <c r="DO128" s="23"/>
      <c r="DP128" s="23"/>
      <c r="DQ128" s="23"/>
      <c r="DR128" s="23"/>
      <c r="DS128" s="23"/>
      <c r="DT128" s="23"/>
      <c r="DU128" s="23"/>
      <c r="DV128" s="23"/>
      <c r="DW128" s="23"/>
      <c r="DX128" s="23"/>
      <c r="DY128" s="23"/>
      <c r="DZ128" s="23"/>
      <c r="EA128" s="23"/>
      <c r="EB128" s="23"/>
      <c r="EC128" s="23"/>
      <c r="ED128" s="23"/>
      <c r="EE128" s="23"/>
      <c r="EF128" s="23"/>
      <c r="EG128" s="23"/>
      <c r="EH128" s="23"/>
      <c r="EI128" s="23"/>
      <c r="EJ128" s="23"/>
      <c r="EK128" s="23"/>
      <c r="EL128" s="23"/>
      <c r="EM128" s="23"/>
      <c r="EN128" s="23"/>
      <c r="EO128" s="23"/>
      <c r="EP128" s="23"/>
      <c r="EQ128" s="23"/>
      <c r="ER128" s="23"/>
      <c r="ES128" s="23"/>
      <c r="ET128" s="23"/>
      <c r="EU128" s="23"/>
      <c r="EV128" s="23"/>
      <c r="EW128" s="23"/>
      <c r="EX128" s="23"/>
      <c r="EY128" s="23"/>
      <c r="EZ128" s="23"/>
      <c r="FA128" s="23"/>
      <c r="FB128" s="23"/>
      <c r="FC128" s="23"/>
      <c r="FD128" s="23"/>
      <c r="FE128" s="23"/>
      <c r="FF128" s="23"/>
      <c r="FG128" s="23"/>
      <c r="FH128" s="23"/>
      <c r="FI128" s="23"/>
      <c r="FJ128" s="23"/>
      <c r="FK128" s="23"/>
      <c r="FL128" s="23"/>
      <c r="FM128" s="23"/>
      <c r="FN128" s="23"/>
      <c r="FO128" s="23"/>
      <c r="FP128" s="23"/>
      <c r="FQ128" s="23"/>
      <c r="FR128" s="23"/>
      <c r="FS128" s="23"/>
      <c r="FT128" s="23"/>
      <c r="FU128" s="23"/>
      <c r="FV128" s="23"/>
      <c r="FW128" s="23"/>
      <c r="FX128" s="23"/>
      <c r="FY128" s="23"/>
      <c r="FZ128" s="23"/>
      <c r="GA128" s="23"/>
      <c r="GB128" s="23"/>
      <c r="GC128" s="23"/>
      <c r="GD128" s="23"/>
      <c r="GE128" s="23"/>
      <c r="GF128" s="23"/>
      <c r="GG128" s="23"/>
      <c r="GH128" s="23"/>
      <c r="GI128" s="23"/>
      <c r="GJ128" s="23"/>
      <c r="GK128" s="23"/>
      <c r="GL128" s="23"/>
      <c r="GM128" s="23"/>
      <c r="GN128" s="23"/>
      <c r="GO128" s="23"/>
      <c r="GP128" s="23"/>
      <c r="GQ128" s="23"/>
      <c r="GR128" s="23"/>
      <c r="GS128" s="23"/>
      <c r="GT128" s="23"/>
      <c r="GU128" s="23"/>
      <c r="GV128" s="23"/>
      <c r="GW128" s="23"/>
      <c r="GX128" s="23"/>
      <c r="GY128" s="23"/>
      <c r="GZ128" s="23"/>
      <c r="HA128" s="23"/>
      <c r="HB128" s="23"/>
      <c r="HC128" s="23"/>
      <c r="HD128" s="23"/>
      <c r="HE128" s="23"/>
      <c r="HF128" s="23"/>
      <c r="HG128" s="23"/>
      <c r="HH128" s="23"/>
      <c r="HI128" s="23"/>
      <c r="HJ128" s="23"/>
      <c r="HK128" s="23"/>
      <c r="HL128" s="23"/>
      <c r="HM128" s="23"/>
      <c r="HN128" s="23"/>
      <c r="HO128" s="23"/>
      <c r="HP128" s="23"/>
      <c r="HQ128" s="23"/>
      <c r="HR128" s="23"/>
      <c r="HS128" s="23"/>
      <c r="HT128" s="23"/>
      <c r="HU128" s="23"/>
      <c r="HV128" s="23"/>
      <c r="HW128" s="23"/>
      <c r="HX128" s="23"/>
      <c r="HY128" s="23"/>
      <c r="HZ128" s="23"/>
      <c r="IA128" s="23"/>
      <c r="IB128" s="23"/>
      <c r="IC128" s="23"/>
      <c r="ID128" s="23"/>
      <c r="IE128" s="23"/>
      <c r="IF128" s="23"/>
      <c r="IG128" s="23"/>
      <c r="IH128" s="23"/>
      <c r="II128" s="23"/>
      <c r="IJ128" s="23"/>
      <c r="IK128" s="23"/>
      <c r="IL128" s="23"/>
      <c r="IM128" s="23"/>
      <c r="IN128" s="23"/>
      <c r="IO128" s="23"/>
      <c r="IP128" s="23"/>
      <c r="IQ128" s="23"/>
      <c r="IR128" s="23"/>
      <c r="IS128" s="23"/>
      <c r="IT128" s="23"/>
      <c r="IU128" s="23"/>
      <c r="IV128" s="23"/>
      <c r="IW128" s="23"/>
      <c r="IX128" s="23"/>
      <c r="IY128" s="23"/>
      <c r="IZ128" s="23"/>
      <c r="JA128" s="23"/>
      <c r="JB128" s="23"/>
      <c r="JC128" s="23"/>
      <c r="JD128" s="23"/>
      <c r="JE128" s="23"/>
      <c r="JF128" s="23"/>
      <c r="JG128" s="23"/>
      <c r="JH128" s="23"/>
      <c r="JI128" s="23"/>
      <c r="JJ128" s="23"/>
      <c r="JK128" s="23"/>
      <c r="JL128" s="23"/>
      <c r="JM128" s="23"/>
      <c r="JN128" s="23"/>
      <c r="JO128" s="23"/>
      <c r="JP128" s="23"/>
      <c r="JQ128" s="23"/>
      <c r="JR128" s="23"/>
      <c r="JS128" s="23"/>
      <c r="JT128" s="23"/>
      <c r="JU128" s="23"/>
      <c r="JV128" s="23"/>
      <c r="JW128" s="23"/>
      <c r="JX128" s="23"/>
      <c r="JY128" s="23"/>
      <c r="JZ128" s="23"/>
      <c r="KA128" s="23"/>
      <c r="KB128" s="23"/>
      <c r="KC128" s="23"/>
      <c r="KD128" s="23"/>
      <c r="KE128" s="23"/>
      <c r="KF128" s="23"/>
    </row>
    <row r="129" spans="5:292" outlineLevel="1" x14ac:dyDescent="0.35">
      <c r="E129" s="13" t="s">
        <v>170</v>
      </c>
      <c r="J129" s="15" t="s">
        <v>34</v>
      </c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  <c r="BZ129" s="23"/>
      <c r="CA129" s="23"/>
      <c r="CB129" s="23"/>
      <c r="CC129" s="23"/>
      <c r="CD129" s="23"/>
      <c r="CE129" s="23"/>
      <c r="CF129" s="23"/>
      <c r="CG129" s="23"/>
      <c r="CH129" s="23"/>
      <c r="CI129" s="23"/>
      <c r="CJ129" s="23"/>
      <c r="CK129" s="23"/>
      <c r="CL129" s="23"/>
      <c r="CM129" s="23"/>
      <c r="CN129" s="23"/>
      <c r="CO129" s="23"/>
      <c r="CP129" s="23"/>
      <c r="CQ129" s="23"/>
      <c r="CR129" s="23"/>
      <c r="CS129" s="23"/>
      <c r="CT129" s="23"/>
      <c r="CU129" s="23"/>
      <c r="CV129" s="23"/>
      <c r="CW129" s="23"/>
      <c r="CX129" s="23"/>
      <c r="CY129" s="23"/>
      <c r="CZ129" s="23"/>
      <c r="DA129" s="23"/>
      <c r="DB129" s="23"/>
      <c r="DC129" s="23"/>
      <c r="DD129" s="23"/>
      <c r="DE129" s="23"/>
      <c r="DF129" s="23"/>
      <c r="DG129" s="23"/>
      <c r="DH129" s="23"/>
      <c r="DI129" s="23"/>
      <c r="DJ129" s="23"/>
      <c r="DK129" s="23"/>
      <c r="DL129" s="23"/>
      <c r="DM129" s="23"/>
      <c r="DN129" s="23"/>
      <c r="DO129" s="23"/>
      <c r="DP129" s="23"/>
      <c r="DQ129" s="23"/>
      <c r="DR129" s="23"/>
      <c r="DS129" s="23"/>
      <c r="DT129" s="23"/>
      <c r="DU129" s="23"/>
      <c r="DV129" s="23"/>
      <c r="DW129" s="23"/>
      <c r="DX129" s="23"/>
      <c r="DY129" s="23"/>
      <c r="DZ129" s="23"/>
      <c r="EA129" s="23"/>
      <c r="EB129" s="23"/>
      <c r="EC129" s="23"/>
      <c r="ED129" s="23"/>
      <c r="EE129" s="23"/>
      <c r="EF129" s="23"/>
      <c r="EG129" s="23"/>
      <c r="EH129" s="23"/>
      <c r="EI129" s="23"/>
      <c r="EJ129" s="23"/>
      <c r="EK129" s="23"/>
      <c r="EL129" s="23"/>
      <c r="EM129" s="23"/>
      <c r="EN129" s="23"/>
      <c r="EO129" s="23"/>
      <c r="EP129" s="23"/>
      <c r="EQ129" s="23"/>
      <c r="ER129" s="23"/>
      <c r="ES129" s="23"/>
      <c r="ET129" s="23"/>
      <c r="EU129" s="23"/>
      <c r="EV129" s="23"/>
      <c r="EW129" s="23"/>
      <c r="EX129" s="23"/>
      <c r="EY129" s="23"/>
      <c r="EZ129" s="23"/>
      <c r="FA129" s="23"/>
      <c r="FB129" s="23"/>
      <c r="FC129" s="23"/>
      <c r="FD129" s="23"/>
      <c r="FE129" s="23"/>
      <c r="FF129" s="23"/>
      <c r="FG129" s="23"/>
      <c r="FH129" s="23"/>
      <c r="FI129" s="23"/>
      <c r="FJ129" s="23"/>
      <c r="FK129" s="23"/>
      <c r="FL129" s="23"/>
      <c r="FM129" s="23"/>
      <c r="FN129" s="23"/>
      <c r="FO129" s="23"/>
      <c r="FP129" s="23"/>
      <c r="FQ129" s="23"/>
      <c r="FR129" s="23"/>
      <c r="FS129" s="23"/>
      <c r="FT129" s="23"/>
      <c r="FU129" s="23"/>
      <c r="FV129" s="23"/>
      <c r="FW129" s="23"/>
      <c r="FX129" s="23"/>
      <c r="FY129" s="23"/>
      <c r="FZ129" s="23"/>
      <c r="GA129" s="23"/>
      <c r="GB129" s="23"/>
      <c r="GC129" s="23"/>
      <c r="GD129" s="23"/>
      <c r="GE129" s="23"/>
      <c r="GF129" s="23"/>
      <c r="GG129" s="23"/>
      <c r="GH129" s="23"/>
      <c r="GI129" s="23"/>
      <c r="GJ129" s="23"/>
      <c r="GK129" s="23"/>
      <c r="GL129" s="23"/>
      <c r="GM129" s="23"/>
      <c r="GN129" s="23"/>
      <c r="GO129" s="23"/>
      <c r="GP129" s="23"/>
      <c r="GQ129" s="23"/>
      <c r="GR129" s="23"/>
      <c r="GS129" s="23"/>
      <c r="GT129" s="23"/>
      <c r="GU129" s="23"/>
      <c r="GV129" s="23"/>
      <c r="GW129" s="23"/>
      <c r="GX129" s="23"/>
      <c r="GY129" s="23"/>
      <c r="GZ129" s="23"/>
      <c r="HA129" s="23"/>
      <c r="HB129" s="23"/>
      <c r="HC129" s="23"/>
      <c r="HD129" s="23"/>
      <c r="HE129" s="23"/>
      <c r="HF129" s="23"/>
      <c r="HG129" s="23"/>
      <c r="HH129" s="23"/>
      <c r="HI129" s="23"/>
      <c r="HJ129" s="23"/>
      <c r="HK129" s="23"/>
      <c r="HL129" s="23"/>
      <c r="HM129" s="23"/>
      <c r="HN129" s="23"/>
      <c r="HO129" s="23"/>
      <c r="HP129" s="23"/>
      <c r="HQ129" s="23"/>
      <c r="HR129" s="23"/>
      <c r="HS129" s="23"/>
      <c r="HT129" s="23"/>
      <c r="HU129" s="23"/>
      <c r="HV129" s="23"/>
      <c r="HW129" s="23"/>
      <c r="HX129" s="23"/>
      <c r="HY129" s="23"/>
      <c r="HZ129" s="23"/>
      <c r="IA129" s="23"/>
      <c r="IB129" s="23"/>
      <c r="IC129" s="23"/>
      <c r="ID129" s="23"/>
      <c r="IE129" s="23"/>
      <c r="IF129" s="23"/>
      <c r="IG129" s="23"/>
      <c r="IH129" s="23"/>
      <c r="II129" s="23"/>
      <c r="IJ129" s="23"/>
      <c r="IK129" s="23"/>
      <c r="IL129" s="23"/>
      <c r="IM129" s="23"/>
      <c r="IN129" s="23"/>
      <c r="IO129" s="23"/>
      <c r="IP129" s="23"/>
      <c r="IQ129" s="23"/>
      <c r="IR129" s="23"/>
      <c r="IS129" s="23"/>
      <c r="IT129" s="23"/>
      <c r="IU129" s="23"/>
      <c r="IV129" s="23"/>
      <c r="IW129" s="23"/>
      <c r="IX129" s="23"/>
      <c r="IY129" s="23"/>
      <c r="IZ129" s="23"/>
      <c r="JA129" s="23"/>
      <c r="JB129" s="23"/>
      <c r="JC129" s="23"/>
      <c r="JD129" s="23"/>
      <c r="JE129" s="23"/>
      <c r="JF129" s="23"/>
      <c r="JG129" s="23"/>
      <c r="JH129" s="23"/>
      <c r="JI129" s="23"/>
      <c r="JJ129" s="23"/>
      <c r="JK129" s="23"/>
      <c r="JL129" s="23"/>
      <c r="JM129" s="23"/>
      <c r="JN129" s="23"/>
      <c r="JO129" s="23"/>
      <c r="JP129" s="23"/>
      <c r="JQ129" s="23"/>
      <c r="JR129" s="23"/>
      <c r="JS129" s="23"/>
      <c r="JT129" s="23"/>
      <c r="JU129" s="23"/>
      <c r="JV129" s="23"/>
      <c r="JW129" s="23"/>
      <c r="JX129" s="23"/>
      <c r="JY129" s="23"/>
      <c r="JZ129" s="23"/>
      <c r="KA129" s="23"/>
      <c r="KB129" s="23"/>
      <c r="KC129" s="23"/>
      <c r="KD129" s="23"/>
      <c r="KE129" s="23"/>
      <c r="KF129" s="23"/>
    </row>
    <row r="130" spans="5:292" outlineLevel="1" x14ac:dyDescent="0.35">
      <c r="E130" s="13" t="s">
        <v>170</v>
      </c>
      <c r="J130" s="15" t="s">
        <v>34</v>
      </c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  <c r="BZ130" s="23"/>
      <c r="CA130" s="23"/>
      <c r="CB130" s="23"/>
      <c r="CC130" s="23"/>
      <c r="CD130" s="23"/>
      <c r="CE130" s="23"/>
      <c r="CF130" s="23"/>
      <c r="CG130" s="23"/>
      <c r="CH130" s="23"/>
      <c r="CI130" s="23"/>
      <c r="CJ130" s="23"/>
      <c r="CK130" s="23"/>
      <c r="CL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B130" s="23"/>
      <c r="DC130" s="23"/>
      <c r="DD130" s="23"/>
      <c r="DE130" s="23"/>
      <c r="DF130" s="23"/>
      <c r="DG130" s="23"/>
      <c r="DH130" s="23"/>
      <c r="DI130" s="23"/>
      <c r="DJ130" s="23"/>
      <c r="DK130" s="23"/>
      <c r="DL130" s="23"/>
      <c r="DM130" s="23"/>
      <c r="DN130" s="23"/>
      <c r="DO130" s="23"/>
      <c r="DP130" s="23"/>
      <c r="DQ130" s="23"/>
      <c r="DR130" s="23"/>
      <c r="DS130" s="23"/>
      <c r="DT130" s="23"/>
      <c r="DU130" s="23"/>
      <c r="DV130" s="23"/>
      <c r="DW130" s="23"/>
      <c r="DX130" s="23"/>
      <c r="DY130" s="23"/>
      <c r="DZ130" s="23"/>
      <c r="EA130" s="23"/>
      <c r="EB130" s="23"/>
      <c r="EC130" s="23"/>
      <c r="ED130" s="23"/>
      <c r="EE130" s="23"/>
      <c r="EF130" s="23"/>
      <c r="EG130" s="23"/>
      <c r="EH130" s="23"/>
      <c r="EI130" s="23"/>
      <c r="EJ130" s="23"/>
      <c r="EK130" s="23"/>
      <c r="EL130" s="23"/>
      <c r="EM130" s="23"/>
      <c r="EN130" s="23"/>
      <c r="EO130" s="23"/>
      <c r="EP130" s="23"/>
      <c r="EQ130" s="23"/>
      <c r="ER130" s="23"/>
      <c r="ES130" s="23"/>
      <c r="ET130" s="23"/>
      <c r="EU130" s="23"/>
      <c r="EV130" s="23"/>
      <c r="EW130" s="23"/>
      <c r="EX130" s="23"/>
      <c r="EY130" s="23"/>
      <c r="EZ130" s="23"/>
      <c r="FA130" s="23"/>
      <c r="FB130" s="23"/>
      <c r="FC130" s="23"/>
      <c r="FD130" s="23"/>
      <c r="FE130" s="23"/>
      <c r="FF130" s="23"/>
      <c r="FG130" s="23"/>
      <c r="FH130" s="23"/>
      <c r="FI130" s="23"/>
      <c r="FJ130" s="23"/>
      <c r="FK130" s="23"/>
      <c r="FL130" s="23"/>
      <c r="FM130" s="23"/>
      <c r="FN130" s="23"/>
      <c r="FO130" s="23"/>
      <c r="FP130" s="23"/>
      <c r="FQ130" s="23"/>
      <c r="FR130" s="23"/>
      <c r="FS130" s="23"/>
      <c r="FT130" s="23"/>
      <c r="FU130" s="23"/>
      <c r="FV130" s="23"/>
      <c r="FW130" s="23"/>
      <c r="FX130" s="23"/>
      <c r="FY130" s="23"/>
      <c r="FZ130" s="23"/>
      <c r="GA130" s="23"/>
      <c r="GB130" s="23"/>
      <c r="GC130" s="23"/>
      <c r="GD130" s="23"/>
      <c r="GE130" s="23"/>
      <c r="GF130" s="23"/>
      <c r="GG130" s="23"/>
      <c r="GH130" s="23"/>
      <c r="GI130" s="23"/>
      <c r="GJ130" s="23"/>
      <c r="GK130" s="23"/>
      <c r="GL130" s="23"/>
      <c r="GM130" s="23"/>
      <c r="GN130" s="23"/>
      <c r="GO130" s="23"/>
      <c r="GP130" s="23"/>
      <c r="GQ130" s="23"/>
      <c r="GR130" s="23"/>
      <c r="GS130" s="23"/>
      <c r="GT130" s="23"/>
      <c r="GU130" s="23"/>
      <c r="GV130" s="23"/>
      <c r="GW130" s="23"/>
      <c r="GX130" s="23"/>
      <c r="GY130" s="23"/>
      <c r="GZ130" s="23"/>
      <c r="HA130" s="23"/>
      <c r="HB130" s="23"/>
      <c r="HC130" s="23"/>
      <c r="HD130" s="23"/>
      <c r="HE130" s="23"/>
      <c r="HF130" s="23"/>
      <c r="HG130" s="23"/>
      <c r="HH130" s="23"/>
      <c r="HI130" s="23"/>
      <c r="HJ130" s="23"/>
      <c r="HK130" s="23"/>
      <c r="HL130" s="23"/>
      <c r="HM130" s="23"/>
      <c r="HN130" s="23"/>
      <c r="HO130" s="23"/>
      <c r="HP130" s="23"/>
      <c r="HQ130" s="23"/>
      <c r="HR130" s="23"/>
      <c r="HS130" s="23"/>
      <c r="HT130" s="23"/>
      <c r="HU130" s="23"/>
      <c r="HV130" s="23"/>
      <c r="HW130" s="23"/>
      <c r="HX130" s="23"/>
      <c r="HY130" s="23"/>
      <c r="HZ130" s="23"/>
      <c r="IA130" s="23"/>
      <c r="IB130" s="23"/>
      <c r="IC130" s="23"/>
      <c r="ID130" s="23"/>
      <c r="IE130" s="23"/>
      <c r="IF130" s="23"/>
      <c r="IG130" s="23"/>
      <c r="IH130" s="23"/>
      <c r="II130" s="23"/>
      <c r="IJ130" s="23"/>
      <c r="IK130" s="23"/>
      <c r="IL130" s="23"/>
      <c r="IM130" s="23"/>
      <c r="IN130" s="23"/>
      <c r="IO130" s="23"/>
      <c r="IP130" s="23"/>
      <c r="IQ130" s="23"/>
      <c r="IR130" s="23"/>
      <c r="IS130" s="23"/>
      <c r="IT130" s="23"/>
      <c r="IU130" s="23"/>
      <c r="IV130" s="23"/>
      <c r="IW130" s="23"/>
      <c r="IX130" s="23"/>
      <c r="IY130" s="23"/>
      <c r="IZ130" s="23"/>
      <c r="JA130" s="23"/>
      <c r="JB130" s="23"/>
      <c r="JC130" s="23"/>
      <c r="JD130" s="23"/>
      <c r="JE130" s="23"/>
      <c r="JF130" s="23"/>
      <c r="JG130" s="23"/>
      <c r="JH130" s="23"/>
      <c r="JI130" s="23"/>
      <c r="JJ130" s="23"/>
      <c r="JK130" s="23"/>
      <c r="JL130" s="23"/>
      <c r="JM130" s="23"/>
      <c r="JN130" s="23"/>
      <c r="JO130" s="23"/>
      <c r="JP130" s="23"/>
      <c r="JQ130" s="23"/>
      <c r="JR130" s="23"/>
      <c r="JS130" s="23"/>
      <c r="JT130" s="23"/>
      <c r="JU130" s="23"/>
      <c r="JV130" s="23"/>
      <c r="JW130" s="23"/>
      <c r="JX130" s="23"/>
      <c r="JY130" s="23"/>
      <c r="JZ130" s="23"/>
      <c r="KA130" s="23"/>
      <c r="KB130" s="23"/>
      <c r="KC130" s="23"/>
      <c r="KD130" s="23"/>
      <c r="KE130" s="23"/>
      <c r="KF130" s="23"/>
    </row>
    <row r="131" spans="5:292" outlineLevel="1" x14ac:dyDescent="0.35"/>
    <row r="132" spans="5:292" outlineLevel="1" x14ac:dyDescent="0.35">
      <c r="H132" s="19" t="s">
        <v>18</v>
      </c>
      <c r="I132" s="19"/>
      <c r="J132" s="16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  <c r="BJ132" s="17"/>
      <c r="BK132" s="17"/>
      <c r="BL132" s="17"/>
      <c r="BM132" s="17"/>
      <c r="BN132" s="17"/>
      <c r="BO132" s="17"/>
      <c r="BP132" s="17"/>
      <c r="BQ132" s="17"/>
      <c r="BR132" s="17"/>
      <c r="BS132" s="17"/>
      <c r="BT132" s="17"/>
      <c r="BU132" s="17"/>
      <c r="BV132" s="17"/>
      <c r="BW132" s="17"/>
      <c r="BX132" s="17"/>
      <c r="BY132" s="17"/>
      <c r="BZ132" s="17"/>
      <c r="CA132" s="17"/>
      <c r="CB132" s="17"/>
      <c r="CC132" s="17"/>
      <c r="CD132" s="17"/>
      <c r="CE132" s="17"/>
      <c r="CF132" s="17"/>
      <c r="CG132" s="17"/>
      <c r="CH132" s="17"/>
      <c r="CI132" s="17"/>
      <c r="CJ132" s="17"/>
      <c r="CK132" s="17"/>
      <c r="CL132" s="17"/>
      <c r="CM132" s="17"/>
      <c r="CN132" s="17"/>
      <c r="CO132" s="17"/>
      <c r="CP132" s="17"/>
      <c r="CQ132" s="17"/>
      <c r="CR132" s="17"/>
      <c r="CS132" s="17"/>
      <c r="CT132" s="17"/>
      <c r="CU132" s="17"/>
      <c r="CV132" s="17"/>
      <c r="CW132" s="17"/>
      <c r="CX132" s="17"/>
      <c r="CY132" s="17"/>
      <c r="CZ132" s="17"/>
      <c r="DA132" s="17"/>
      <c r="DB132" s="17"/>
      <c r="DC132" s="17"/>
      <c r="DD132" s="17"/>
      <c r="DE132" s="17"/>
      <c r="DF132" s="17"/>
      <c r="DG132" s="17"/>
      <c r="DH132" s="17"/>
      <c r="DI132" s="17"/>
      <c r="DJ132" s="17"/>
      <c r="DK132" s="17"/>
      <c r="DL132" s="17"/>
      <c r="DM132" s="17"/>
      <c r="DN132" s="17"/>
      <c r="DO132" s="17"/>
      <c r="DP132" s="17"/>
      <c r="DQ132" s="17"/>
      <c r="DR132" s="17"/>
      <c r="DS132" s="17"/>
      <c r="DT132" s="17"/>
      <c r="DU132" s="17"/>
      <c r="DV132" s="17"/>
      <c r="DW132" s="17"/>
      <c r="DX132" s="17"/>
      <c r="DY132" s="17"/>
      <c r="DZ132" s="17"/>
      <c r="EA132" s="17"/>
      <c r="EB132" s="17"/>
      <c r="EC132" s="17"/>
      <c r="ED132" s="17"/>
      <c r="EE132" s="17"/>
      <c r="EF132" s="17"/>
      <c r="EG132" s="17"/>
      <c r="EH132" s="17"/>
      <c r="EI132" s="17"/>
      <c r="EJ132" s="17"/>
      <c r="EK132" s="17"/>
      <c r="EL132" s="17"/>
      <c r="EM132" s="17"/>
      <c r="EN132" s="17"/>
      <c r="EO132" s="17"/>
      <c r="EP132" s="17"/>
      <c r="EQ132" s="17"/>
      <c r="ER132" s="17"/>
      <c r="ES132" s="17"/>
      <c r="ET132" s="17"/>
      <c r="EU132" s="17"/>
      <c r="EV132" s="17"/>
      <c r="EW132" s="17"/>
      <c r="EX132" s="17"/>
      <c r="EY132" s="17"/>
      <c r="EZ132" s="17"/>
      <c r="FA132" s="17"/>
      <c r="FB132" s="17"/>
      <c r="FC132" s="17"/>
      <c r="FD132" s="17"/>
      <c r="FE132" s="17"/>
      <c r="FF132" s="17"/>
      <c r="FG132" s="17"/>
      <c r="FH132" s="17"/>
      <c r="FI132" s="17"/>
      <c r="FJ132" s="17"/>
      <c r="FK132" s="17"/>
      <c r="FL132" s="17"/>
      <c r="FM132" s="17"/>
      <c r="FN132" s="17"/>
      <c r="FO132" s="17"/>
      <c r="FP132" s="17"/>
      <c r="FQ132" s="17"/>
      <c r="FR132" s="17"/>
      <c r="FS132" s="17"/>
      <c r="FT132" s="17"/>
      <c r="FU132" s="17"/>
      <c r="FV132" s="17"/>
      <c r="FW132" s="17"/>
      <c r="FX132" s="17"/>
      <c r="FY132" s="17"/>
      <c r="FZ132" s="17"/>
      <c r="GA132" s="17"/>
      <c r="GB132" s="17"/>
      <c r="GC132" s="17"/>
      <c r="GD132" s="17"/>
      <c r="GE132" s="17"/>
      <c r="GF132" s="17"/>
      <c r="GG132" s="17"/>
      <c r="GH132" s="17"/>
      <c r="GI132" s="17"/>
      <c r="GJ132" s="17"/>
      <c r="GK132" s="17"/>
      <c r="GL132" s="17"/>
      <c r="GM132" s="17"/>
      <c r="GN132" s="17"/>
      <c r="GO132" s="17"/>
      <c r="GP132" s="17"/>
      <c r="GQ132" s="17"/>
      <c r="GR132" s="17"/>
      <c r="GS132" s="17"/>
      <c r="GT132" s="17"/>
      <c r="GU132" s="17"/>
      <c r="GV132" s="17"/>
      <c r="GW132" s="17"/>
      <c r="GX132" s="17"/>
      <c r="GY132" s="17"/>
      <c r="GZ132" s="17"/>
      <c r="HA132" s="17"/>
      <c r="HB132" s="17"/>
      <c r="HC132" s="17"/>
      <c r="HD132" s="17"/>
      <c r="HE132" s="17"/>
      <c r="HF132" s="17"/>
      <c r="HG132" s="17"/>
      <c r="HH132" s="17"/>
      <c r="HI132" s="17"/>
      <c r="HJ132" s="17"/>
      <c r="HK132" s="17"/>
      <c r="HL132" s="17"/>
      <c r="HM132" s="17"/>
      <c r="HN132" s="17"/>
      <c r="HO132" s="17"/>
      <c r="HP132" s="17"/>
      <c r="HQ132" s="17"/>
      <c r="HR132" s="17"/>
      <c r="HS132" s="17"/>
      <c r="HT132" s="17"/>
      <c r="HU132" s="17"/>
      <c r="HV132" s="17"/>
      <c r="HW132" s="17"/>
      <c r="HX132" s="17"/>
      <c r="HY132" s="17"/>
      <c r="HZ132" s="17"/>
      <c r="IA132" s="17"/>
      <c r="IB132" s="17"/>
      <c r="IC132" s="17"/>
      <c r="ID132" s="17"/>
      <c r="IE132" s="17"/>
      <c r="IF132" s="17"/>
      <c r="IG132" s="17"/>
      <c r="IH132" s="17"/>
      <c r="II132" s="17"/>
      <c r="IJ132" s="17"/>
      <c r="IK132" s="17"/>
      <c r="IL132" s="17"/>
      <c r="IM132" s="17"/>
      <c r="IN132" s="17"/>
      <c r="IO132" s="17"/>
      <c r="IP132" s="17"/>
      <c r="IQ132" s="17"/>
      <c r="IR132" s="17"/>
      <c r="IS132" s="17"/>
      <c r="IT132" s="17"/>
      <c r="IU132" s="17"/>
      <c r="IV132" s="17"/>
      <c r="IW132" s="17"/>
      <c r="IX132" s="17"/>
      <c r="IY132" s="17"/>
      <c r="IZ132" s="17"/>
      <c r="JA132" s="17"/>
      <c r="JB132" s="17"/>
      <c r="JC132" s="17"/>
      <c r="JD132" s="17"/>
      <c r="JE132" s="17"/>
      <c r="JF132" s="17"/>
      <c r="JG132" s="17"/>
      <c r="JH132" s="17"/>
      <c r="JI132" s="17"/>
      <c r="JJ132" s="17"/>
      <c r="JK132" s="17"/>
      <c r="JL132" s="17"/>
      <c r="JM132" s="17"/>
      <c r="JN132" s="17"/>
      <c r="JO132" s="17"/>
      <c r="JP132" s="17"/>
      <c r="JQ132" s="17"/>
      <c r="JR132" s="17"/>
      <c r="JS132" s="17"/>
      <c r="JT132" s="17"/>
      <c r="JU132" s="17"/>
      <c r="JV132" s="17"/>
      <c r="JW132" s="17"/>
      <c r="JX132" s="17"/>
      <c r="JY132" s="17"/>
      <c r="JZ132" s="17"/>
      <c r="KA132" s="17"/>
      <c r="KB132" s="17"/>
      <c r="KC132" s="17"/>
      <c r="KD132" s="17"/>
      <c r="KE132" s="17"/>
      <c r="KF132" s="17"/>
    </row>
    <row r="133" spans="5:292" outlineLevel="1" x14ac:dyDescent="0.35"/>
    <row r="134" spans="5:292" outlineLevel="1" x14ac:dyDescent="0.35">
      <c r="J134" s="18" t="s">
        <v>29</v>
      </c>
      <c r="K134" s="18">
        <f>Control!H25</f>
        <v>1</v>
      </c>
      <c r="L134" s="13" t="str" cm="1">
        <f t="array" ref="L134">INDEX(J137:J145,K134)</f>
        <v>Base case</v>
      </c>
    </row>
    <row r="135" spans="5:292" outlineLevel="1" x14ac:dyDescent="0.35">
      <c r="E135" s="13" t="s">
        <v>55</v>
      </c>
      <c r="J135" s="13" t="s">
        <v>35</v>
      </c>
      <c r="K135" s="28" cm="1">
        <f t="array" ref="K135">INDEX(K137:K145,$K134)</f>
        <v>3.5000000000000003E-2</v>
      </c>
      <c r="L135" s="28" cm="1">
        <f t="array" ref="L135">INDEX(L137:L145,$K134)</f>
        <v>3.5000000000000003E-2</v>
      </c>
      <c r="M135" s="28" cm="1">
        <f t="array" ref="M135">INDEX(M137:M145,$K134)</f>
        <v>3.5000000000000003E-2</v>
      </c>
      <c r="N135" s="28" cm="1">
        <f t="array" ref="N135">INDEX(N137:N145,$K134)</f>
        <v>3.5000000000000003E-2</v>
      </c>
      <c r="O135" s="28" cm="1">
        <f t="array" ref="O135">INDEX(O137:O145,$K134)</f>
        <v>3.5000000000000003E-2</v>
      </c>
      <c r="P135" s="28" cm="1">
        <f t="array" ref="P135">INDEX(P137:P145,$K134)</f>
        <v>3.5000000000000003E-2</v>
      </c>
      <c r="Q135" s="28" cm="1">
        <f t="array" ref="Q135">INDEX(Q137:Q145,$K134)</f>
        <v>3.5000000000000003E-2</v>
      </c>
      <c r="R135" s="28" cm="1">
        <f t="array" ref="R135">INDEX(R137:R145,$K134)</f>
        <v>3.5000000000000003E-2</v>
      </c>
      <c r="S135" s="28" cm="1">
        <f t="array" ref="S135">INDEX(S137:S145,$K134)</f>
        <v>3.5000000000000003E-2</v>
      </c>
      <c r="T135" s="28" cm="1">
        <f t="array" ref="T135">INDEX(T137:T145,$K134)</f>
        <v>3.5000000000000003E-2</v>
      </c>
      <c r="U135" s="28" cm="1">
        <f t="array" ref="U135">INDEX(U137:U145,$K134)</f>
        <v>3.5000000000000003E-2</v>
      </c>
      <c r="V135" s="28" cm="1">
        <f t="array" ref="V135">INDEX(V137:V145,$K134)</f>
        <v>3.5000000000000003E-2</v>
      </c>
      <c r="W135" s="28" cm="1">
        <f t="array" ref="W135">INDEX(W137:W145,$K134)</f>
        <v>3.5000000000000003E-2</v>
      </c>
      <c r="X135" s="28" cm="1">
        <f t="array" ref="X135">INDEX(X137:X145,$K134)</f>
        <v>3.5000000000000003E-2</v>
      </c>
      <c r="Y135" s="28" cm="1">
        <f t="array" ref="Y135">INDEX(Y137:Y145,$K134)</f>
        <v>3.5000000000000003E-2</v>
      </c>
      <c r="Z135" s="28" cm="1">
        <f t="array" ref="Z135">INDEX(Z137:Z145,$K134)</f>
        <v>3.5000000000000003E-2</v>
      </c>
      <c r="AA135" s="28" cm="1">
        <f t="array" ref="AA135">INDEX(AA137:AA145,$K134)</f>
        <v>3.5000000000000003E-2</v>
      </c>
      <c r="AB135" s="28" cm="1">
        <f t="array" ref="AB135">INDEX(AB137:AB145,$K134)</f>
        <v>3.5000000000000003E-2</v>
      </c>
      <c r="AC135" s="28" cm="1">
        <f t="array" ref="AC135">INDEX(AC137:AC145,$K134)</f>
        <v>3.5000000000000003E-2</v>
      </c>
      <c r="AD135" s="28" cm="1">
        <f t="array" ref="AD135">INDEX(AD137:AD145,$K134)</f>
        <v>3.5000000000000003E-2</v>
      </c>
      <c r="AE135" s="28" cm="1">
        <f t="array" ref="AE135">INDEX(AE137:AE145,$K134)</f>
        <v>3.5000000000000003E-2</v>
      </c>
      <c r="AF135" s="28" cm="1">
        <f t="array" ref="AF135">INDEX(AF137:AF145,$K134)</f>
        <v>3.5000000000000003E-2</v>
      </c>
      <c r="AG135" s="28" cm="1">
        <f t="array" ref="AG135">INDEX(AG137:AG145,$K134)</f>
        <v>3.5000000000000003E-2</v>
      </c>
      <c r="AH135" s="28" cm="1">
        <f t="array" ref="AH135">INDEX(AH137:AH145,$K134)</f>
        <v>3.5000000000000003E-2</v>
      </c>
      <c r="AI135" s="28" cm="1">
        <f t="array" ref="AI135">INDEX(AI137:AI145,$K134)</f>
        <v>3.5000000000000003E-2</v>
      </c>
      <c r="AJ135" s="28" cm="1">
        <f t="array" ref="AJ135">INDEX(AJ137:AJ145,$K134)</f>
        <v>3.5000000000000003E-2</v>
      </c>
      <c r="AK135" s="28" cm="1">
        <f t="array" ref="AK135">INDEX(AK137:AK145,$K134)</f>
        <v>3.5000000000000003E-2</v>
      </c>
      <c r="AL135" s="28" cm="1">
        <f t="array" ref="AL135">INDEX(AL137:AL145,$K134)</f>
        <v>3.5000000000000003E-2</v>
      </c>
      <c r="AM135" s="28" cm="1">
        <f t="array" ref="AM135">INDEX(AM137:AM145,$K134)</f>
        <v>3.5000000000000003E-2</v>
      </c>
      <c r="AN135" s="28" cm="1">
        <f t="array" ref="AN135">INDEX(AN137:AN145,$K134)</f>
        <v>3.5000000000000003E-2</v>
      </c>
      <c r="AO135" s="28" cm="1">
        <f t="array" ref="AO135">INDEX(AO137:AO145,$K134)</f>
        <v>3.5000000000000003E-2</v>
      </c>
      <c r="AP135" s="28" cm="1">
        <f t="array" ref="AP135">INDEX(AP137:AP145,$K134)</f>
        <v>3.5000000000000003E-2</v>
      </c>
      <c r="AQ135" s="28" cm="1">
        <f t="array" ref="AQ135">INDEX(AQ137:AQ145,$K134)</f>
        <v>3.5000000000000003E-2</v>
      </c>
      <c r="AR135" s="28" cm="1">
        <f t="array" ref="AR135">INDEX(AR137:AR145,$K134)</f>
        <v>3.5000000000000003E-2</v>
      </c>
      <c r="AS135" s="28" cm="1">
        <f t="array" ref="AS135">INDEX(AS137:AS145,$K134)</f>
        <v>3.5000000000000003E-2</v>
      </c>
      <c r="AT135" s="28" cm="1">
        <f t="array" ref="AT135">INDEX(AT137:AT145,$K134)</f>
        <v>3.5000000000000003E-2</v>
      </c>
      <c r="AU135" s="28" cm="1">
        <f t="array" ref="AU135">INDEX(AU137:AU145,$K134)</f>
        <v>3.5000000000000003E-2</v>
      </c>
      <c r="AV135" s="28" cm="1">
        <f t="array" ref="AV135">INDEX(AV137:AV145,$K134)</f>
        <v>3.5000000000000003E-2</v>
      </c>
      <c r="AW135" s="28" cm="1">
        <f t="array" ref="AW135">INDEX(AW137:AW145,$K134)</f>
        <v>3.5000000000000003E-2</v>
      </c>
      <c r="AX135" s="28" cm="1">
        <f t="array" ref="AX135">INDEX(AX137:AX145,$K134)</f>
        <v>3.5000000000000003E-2</v>
      </c>
      <c r="AY135" s="28" cm="1">
        <f t="array" ref="AY135">INDEX(AY137:AY145,$K134)</f>
        <v>3.5000000000000003E-2</v>
      </c>
      <c r="AZ135" s="28" cm="1">
        <f t="array" ref="AZ135">INDEX(AZ137:AZ145,$K134)</f>
        <v>3.5000000000000003E-2</v>
      </c>
      <c r="BA135" s="28" cm="1">
        <f t="array" ref="BA135">INDEX(BA137:BA145,$K134)</f>
        <v>3.5000000000000003E-2</v>
      </c>
      <c r="BB135" s="28" cm="1">
        <f t="array" ref="BB135">INDEX(BB137:BB145,$K134)</f>
        <v>3.5000000000000003E-2</v>
      </c>
      <c r="BC135" s="28" cm="1">
        <f t="array" ref="BC135">INDEX(BC137:BC145,$K134)</f>
        <v>3.5000000000000003E-2</v>
      </c>
      <c r="BD135" s="28" cm="1">
        <f t="array" ref="BD135">INDEX(BD137:BD145,$K134)</f>
        <v>3.5000000000000003E-2</v>
      </c>
      <c r="BE135" s="28" cm="1">
        <f t="array" ref="BE135">INDEX(BE137:BE145,$K134)</f>
        <v>3.5000000000000003E-2</v>
      </c>
      <c r="BF135" s="28" cm="1">
        <f t="array" ref="BF135">INDEX(BF137:BF145,$K134)</f>
        <v>3.5000000000000003E-2</v>
      </c>
      <c r="BG135" s="28" cm="1">
        <f t="array" ref="BG135">INDEX(BG137:BG145,$K134)</f>
        <v>3.5000000000000003E-2</v>
      </c>
      <c r="BH135" s="28" cm="1">
        <f t="array" ref="BH135">INDEX(BH137:BH145,$K134)</f>
        <v>3.5000000000000003E-2</v>
      </c>
      <c r="BI135" s="28" cm="1">
        <f t="array" ref="BI135">INDEX(BI137:BI145,$K134)</f>
        <v>3.5000000000000003E-2</v>
      </c>
      <c r="BJ135" s="28" cm="1">
        <f t="array" ref="BJ135">INDEX(BJ137:BJ145,$K134)</f>
        <v>3.5000000000000003E-2</v>
      </c>
      <c r="BK135" s="28" cm="1">
        <f t="array" ref="BK135">INDEX(BK137:BK145,$K134)</f>
        <v>3.5000000000000003E-2</v>
      </c>
      <c r="BL135" s="28" cm="1">
        <f t="array" ref="BL135">INDEX(BL137:BL145,$K134)</f>
        <v>3.5000000000000003E-2</v>
      </c>
      <c r="BM135" s="28" cm="1">
        <f t="array" ref="BM135">INDEX(BM137:BM145,$K134)</f>
        <v>3.5000000000000003E-2</v>
      </c>
      <c r="BN135" s="28" cm="1">
        <f t="array" ref="BN135">INDEX(BN137:BN145,$K134)</f>
        <v>3.5000000000000003E-2</v>
      </c>
      <c r="BO135" s="28" cm="1">
        <f t="array" ref="BO135">INDEX(BO137:BO145,$K134)</f>
        <v>3.5000000000000003E-2</v>
      </c>
      <c r="BP135" s="28" cm="1">
        <f t="array" ref="BP135">INDEX(BP137:BP145,$K134)</f>
        <v>3.5000000000000003E-2</v>
      </c>
      <c r="BQ135" s="28" cm="1">
        <f t="array" ref="BQ135">INDEX(BQ137:BQ145,$K134)</f>
        <v>3.5000000000000003E-2</v>
      </c>
      <c r="BR135" s="28" cm="1">
        <f t="array" ref="BR135">INDEX(BR137:BR145,$K134)</f>
        <v>3.5000000000000003E-2</v>
      </c>
      <c r="BS135" s="28" cm="1">
        <f t="array" ref="BS135">INDEX(BS137:BS145,$K134)</f>
        <v>3.5000000000000003E-2</v>
      </c>
      <c r="BT135" s="28" cm="1">
        <f t="array" ref="BT135">INDEX(BT137:BT145,$K134)</f>
        <v>3.5000000000000003E-2</v>
      </c>
      <c r="BU135" s="28" cm="1">
        <f t="array" ref="BU135">INDEX(BU137:BU145,$K134)</f>
        <v>3.5000000000000003E-2</v>
      </c>
      <c r="BV135" s="28" cm="1">
        <f t="array" ref="BV135">INDEX(BV137:BV145,$K134)</f>
        <v>3.5000000000000003E-2</v>
      </c>
      <c r="BW135" s="28" cm="1">
        <f t="array" ref="BW135">INDEX(BW137:BW145,$K134)</f>
        <v>3.5000000000000003E-2</v>
      </c>
      <c r="BX135" s="28" cm="1">
        <f t="array" ref="BX135">INDEX(BX137:BX145,$K134)</f>
        <v>3.5000000000000003E-2</v>
      </c>
      <c r="BY135" s="28" cm="1">
        <f t="array" ref="BY135">INDEX(BY137:BY145,$K134)</f>
        <v>3.5000000000000003E-2</v>
      </c>
      <c r="BZ135" s="28" cm="1">
        <f t="array" ref="BZ135">INDEX(BZ137:BZ145,$K134)</f>
        <v>3.5000000000000003E-2</v>
      </c>
      <c r="CA135" s="28" cm="1">
        <f t="array" ref="CA135">INDEX(CA137:CA145,$K134)</f>
        <v>3.5000000000000003E-2</v>
      </c>
      <c r="CB135" s="28" cm="1">
        <f t="array" ref="CB135">INDEX(CB137:CB145,$K134)</f>
        <v>3.5000000000000003E-2</v>
      </c>
      <c r="CC135" s="28" cm="1">
        <f t="array" ref="CC135">INDEX(CC137:CC145,$K134)</f>
        <v>3.5000000000000003E-2</v>
      </c>
      <c r="CD135" s="28" cm="1">
        <f t="array" ref="CD135">INDEX(CD137:CD145,$K134)</f>
        <v>3.5000000000000003E-2</v>
      </c>
      <c r="CE135" s="28" cm="1">
        <f t="array" ref="CE135">INDEX(CE137:CE145,$K134)</f>
        <v>3.5000000000000003E-2</v>
      </c>
      <c r="CF135" s="28" cm="1">
        <f t="array" ref="CF135">INDEX(CF137:CF145,$K134)</f>
        <v>3.5000000000000003E-2</v>
      </c>
      <c r="CG135" s="28" cm="1">
        <f t="array" ref="CG135">INDEX(CG137:CG145,$K134)</f>
        <v>3.5000000000000003E-2</v>
      </c>
      <c r="CH135" s="28" cm="1">
        <f t="array" ref="CH135">INDEX(CH137:CH145,$K134)</f>
        <v>3.5000000000000003E-2</v>
      </c>
      <c r="CI135" s="28" cm="1">
        <f t="array" ref="CI135">INDEX(CI137:CI145,$K134)</f>
        <v>3.5000000000000003E-2</v>
      </c>
      <c r="CJ135" s="28" cm="1">
        <f t="array" ref="CJ135">INDEX(CJ137:CJ145,$K134)</f>
        <v>3.5000000000000003E-2</v>
      </c>
      <c r="CK135" s="28" cm="1">
        <f t="array" ref="CK135">INDEX(CK137:CK145,$K134)</f>
        <v>3.5000000000000003E-2</v>
      </c>
      <c r="CL135" s="28" cm="1">
        <f t="array" ref="CL135">INDEX(CL137:CL145,$K134)</f>
        <v>3.5000000000000003E-2</v>
      </c>
      <c r="CM135" s="28" cm="1">
        <f t="array" ref="CM135">INDEX(CM137:CM145,$K134)</f>
        <v>3.5000000000000003E-2</v>
      </c>
      <c r="CN135" s="28" cm="1">
        <f t="array" ref="CN135">INDEX(CN137:CN145,$K134)</f>
        <v>3.5000000000000003E-2</v>
      </c>
      <c r="CO135" s="28" cm="1">
        <f t="array" ref="CO135">INDEX(CO137:CO145,$K134)</f>
        <v>3.5000000000000003E-2</v>
      </c>
      <c r="CP135" s="28" cm="1">
        <f t="array" ref="CP135">INDEX(CP137:CP145,$K134)</f>
        <v>3.5000000000000003E-2</v>
      </c>
      <c r="CQ135" s="28" cm="1">
        <f t="array" ref="CQ135">INDEX(CQ137:CQ145,$K134)</f>
        <v>3.5000000000000003E-2</v>
      </c>
      <c r="CR135" s="28" cm="1">
        <f t="array" ref="CR135">INDEX(CR137:CR145,$K134)</f>
        <v>3.5000000000000003E-2</v>
      </c>
      <c r="CS135" s="28" cm="1">
        <f t="array" ref="CS135">INDEX(CS137:CS145,$K134)</f>
        <v>3.5000000000000003E-2</v>
      </c>
      <c r="CT135" s="28" cm="1">
        <f t="array" ref="CT135">INDEX(CT137:CT145,$K134)</f>
        <v>3.5000000000000003E-2</v>
      </c>
      <c r="CU135" s="28" cm="1">
        <f t="array" ref="CU135">INDEX(CU137:CU145,$K134)</f>
        <v>3.5000000000000003E-2</v>
      </c>
      <c r="CV135" s="28" cm="1">
        <f t="array" ref="CV135">INDEX(CV137:CV145,$K134)</f>
        <v>3.5000000000000003E-2</v>
      </c>
      <c r="CW135" s="28" cm="1">
        <f t="array" ref="CW135">INDEX(CW137:CW145,$K134)</f>
        <v>3.5000000000000003E-2</v>
      </c>
      <c r="CX135" s="28" cm="1">
        <f t="array" ref="CX135">INDEX(CX137:CX145,$K134)</f>
        <v>3.5000000000000003E-2</v>
      </c>
      <c r="CY135" s="28" cm="1">
        <f t="array" ref="CY135">INDEX(CY137:CY145,$K134)</f>
        <v>3.5000000000000003E-2</v>
      </c>
      <c r="CZ135" s="28" cm="1">
        <f t="array" ref="CZ135">INDEX(CZ137:CZ145,$K134)</f>
        <v>3.5000000000000003E-2</v>
      </c>
      <c r="DA135" s="28" cm="1">
        <f t="array" ref="DA135">INDEX(DA137:DA145,$K134)</f>
        <v>3.5000000000000003E-2</v>
      </c>
      <c r="DB135" s="28" cm="1">
        <f t="array" ref="DB135">INDEX(DB137:DB145,$K134)</f>
        <v>3.5000000000000003E-2</v>
      </c>
      <c r="DC135" s="28" cm="1">
        <f t="array" ref="DC135">INDEX(DC137:DC145,$K134)</f>
        <v>3.5000000000000003E-2</v>
      </c>
      <c r="DD135" s="28" cm="1">
        <f t="array" ref="DD135">INDEX(DD137:DD145,$K134)</f>
        <v>3.5000000000000003E-2</v>
      </c>
      <c r="DE135" s="28" cm="1">
        <f t="array" ref="DE135">INDEX(DE137:DE145,$K134)</f>
        <v>3.5000000000000003E-2</v>
      </c>
      <c r="DF135" s="28" cm="1">
        <f t="array" ref="DF135">INDEX(DF137:DF145,$K134)</f>
        <v>3.5000000000000003E-2</v>
      </c>
      <c r="DG135" s="28" cm="1">
        <f t="array" ref="DG135">INDEX(DG137:DG145,$K134)</f>
        <v>3.5000000000000003E-2</v>
      </c>
      <c r="DH135" s="28" cm="1">
        <f t="array" ref="DH135">INDEX(DH137:DH145,$K134)</f>
        <v>3.5000000000000003E-2</v>
      </c>
      <c r="DI135" s="28" cm="1">
        <f t="array" ref="DI135">INDEX(DI137:DI145,$K134)</f>
        <v>3.5000000000000003E-2</v>
      </c>
      <c r="DJ135" s="28" cm="1">
        <f t="array" ref="DJ135">INDEX(DJ137:DJ145,$K134)</f>
        <v>3.5000000000000003E-2</v>
      </c>
      <c r="DK135" s="28" cm="1">
        <f t="array" ref="DK135">INDEX(DK137:DK145,$K134)</f>
        <v>3.5000000000000003E-2</v>
      </c>
      <c r="DL135" s="28" cm="1">
        <f t="array" ref="DL135">INDEX(DL137:DL145,$K134)</f>
        <v>3.5000000000000003E-2</v>
      </c>
      <c r="DM135" s="28" cm="1">
        <f t="array" ref="DM135">INDEX(DM137:DM145,$K134)</f>
        <v>3.5000000000000003E-2</v>
      </c>
      <c r="DN135" s="28" cm="1">
        <f t="array" ref="DN135">INDEX(DN137:DN145,$K134)</f>
        <v>3.5000000000000003E-2</v>
      </c>
      <c r="DO135" s="28" cm="1">
        <f t="array" ref="DO135">INDEX(DO137:DO145,$K134)</f>
        <v>3.5000000000000003E-2</v>
      </c>
      <c r="DP135" s="28" cm="1">
        <f t="array" ref="DP135">INDEX(DP137:DP145,$K134)</f>
        <v>3.5000000000000003E-2</v>
      </c>
      <c r="DQ135" s="28" cm="1">
        <f t="array" ref="DQ135">INDEX(DQ137:DQ145,$K134)</f>
        <v>3.5000000000000003E-2</v>
      </c>
      <c r="DR135" s="28" cm="1">
        <f t="array" ref="DR135">INDEX(DR137:DR145,$K134)</f>
        <v>3.5000000000000003E-2</v>
      </c>
      <c r="DS135" s="28" cm="1">
        <f t="array" ref="DS135">INDEX(DS137:DS145,$K134)</f>
        <v>3.5000000000000003E-2</v>
      </c>
      <c r="DT135" s="28" cm="1">
        <f t="array" ref="DT135">INDEX(DT137:DT145,$K134)</f>
        <v>3.5000000000000003E-2</v>
      </c>
      <c r="DU135" s="28" cm="1">
        <f t="array" ref="DU135">INDEX(DU137:DU145,$K134)</f>
        <v>3.5000000000000003E-2</v>
      </c>
      <c r="DV135" s="28" cm="1">
        <f t="array" ref="DV135">INDEX(DV137:DV145,$K134)</f>
        <v>3.5000000000000003E-2</v>
      </c>
      <c r="DW135" s="28" cm="1">
        <f t="array" ref="DW135">INDEX(DW137:DW145,$K134)</f>
        <v>3.5000000000000003E-2</v>
      </c>
      <c r="DX135" s="28" cm="1">
        <f t="array" ref="DX135">INDEX(DX137:DX145,$K134)</f>
        <v>3.5000000000000003E-2</v>
      </c>
      <c r="DY135" s="28" cm="1">
        <f t="array" ref="DY135">INDEX(DY137:DY145,$K134)</f>
        <v>3.5000000000000003E-2</v>
      </c>
      <c r="DZ135" s="28" cm="1">
        <f t="array" ref="DZ135">INDEX(DZ137:DZ145,$K134)</f>
        <v>3.5000000000000003E-2</v>
      </c>
      <c r="EA135" s="28" cm="1">
        <f t="array" ref="EA135">INDEX(EA137:EA145,$K134)</f>
        <v>3.5000000000000003E-2</v>
      </c>
      <c r="EB135" s="28" cm="1">
        <f t="array" ref="EB135">INDEX(EB137:EB145,$K134)</f>
        <v>3.5000000000000003E-2</v>
      </c>
      <c r="EC135" s="28" cm="1">
        <f t="array" ref="EC135">INDEX(EC137:EC145,$K134)</f>
        <v>3.5000000000000003E-2</v>
      </c>
      <c r="ED135" s="28" cm="1">
        <f t="array" ref="ED135">INDEX(ED137:ED145,$K134)</f>
        <v>3.5000000000000003E-2</v>
      </c>
      <c r="EE135" s="28" cm="1">
        <f t="array" ref="EE135">INDEX(EE137:EE145,$K134)</f>
        <v>3.5000000000000003E-2</v>
      </c>
      <c r="EF135" s="28" cm="1">
        <f t="array" ref="EF135">INDEX(EF137:EF145,$K134)</f>
        <v>3.5000000000000003E-2</v>
      </c>
      <c r="EG135" s="28" cm="1">
        <f t="array" ref="EG135">INDEX(EG137:EG145,$K134)</f>
        <v>3.5000000000000003E-2</v>
      </c>
      <c r="EH135" s="28" cm="1">
        <f t="array" ref="EH135">INDEX(EH137:EH145,$K134)</f>
        <v>3.5000000000000003E-2</v>
      </c>
      <c r="EI135" s="28" cm="1">
        <f t="array" ref="EI135">INDEX(EI137:EI145,$K134)</f>
        <v>3.5000000000000003E-2</v>
      </c>
      <c r="EJ135" s="28" cm="1">
        <f t="array" ref="EJ135">INDEX(EJ137:EJ145,$K134)</f>
        <v>3.5000000000000003E-2</v>
      </c>
      <c r="EK135" s="28" cm="1">
        <f t="array" ref="EK135">INDEX(EK137:EK145,$K134)</f>
        <v>3.5000000000000003E-2</v>
      </c>
      <c r="EL135" s="28" cm="1">
        <f t="array" ref="EL135">INDEX(EL137:EL145,$K134)</f>
        <v>3.5000000000000003E-2</v>
      </c>
      <c r="EM135" s="28" cm="1">
        <f t="array" ref="EM135">INDEX(EM137:EM145,$K134)</f>
        <v>3.5000000000000003E-2</v>
      </c>
      <c r="EN135" s="28" cm="1">
        <f t="array" ref="EN135">INDEX(EN137:EN145,$K134)</f>
        <v>3.5000000000000003E-2</v>
      </c>
      <c r="EO135" s="28" cm="1">
        <f t="array" ref="EO135">INDEX(EO137:EO145,$K134)</f>
        <v>3.5000000000000003E-2</v>
      </c>
      <c r="EP135" s="28" cm="1">
        <f t="array" ref="EP135">INDEX(EP137:EP145,$K134)</f>
        <v>3.5000000000000003E-2</v>
      </c>
      <c r="EQ135" s="28" cm="1">
        <f t="array" ref="EQ135">INDEX(EQ137:EQ145,$K134)</f>
        <v>3.5000000000000003E-2</v>
      </c>
      <c r="ER135" s="28" cm="1">
        <f t="array" ref="ER135">INDEX(ER137:ER145,$K134)</f>
        <v>3.5000000000000003E-2</v>
      </c>
      <c r="ES135" s="28" cm="1">
        <f t="array" ref="ES135">INDEX(ES137:ES145,$K134)</f>
        <v>3.5000000000000003E-2</v>
      </c>
      <c r="ET135" s="28" cm="1">
        <f t="array" ref="ET135">INDEX(ET137:ET145,$K134)</f>
        <v>3.5000000000000003E-2</v>
      </c>
      <c r="EU135" s="28" cm="1">
        <f t="array" ref="EU135">INDEX(EU137:EU145,$K134)</f>
        <v>3.5000000000000003E-2</v>
      </c>
      <c r="EV135" s="28" cm="1">
        <f t="array" ref="EV135">INDEX(EV137:EV145,$K134)</f>
        <v>3.5000000000000003E-2</v>
      </c>
      <c r="EW135" s="28" cm="1">
        <f t="array" ref="EW135">INDEX(EW137:EW145,$K134)</f>
        <v>3.5000000000000003E-2</v>
      </c>
      <c r="EX135" s="28" cm="1">
        <f t="array" ref="EX135">INDEX(EX137:EX145,$K134)</f>
        <v>3.5000000000000003E-2</v>
      </c>
      <c r="EY135" s="28" cm="1">
        <f t="array" ref="EY135">INDEX(EY137:EY145,$K134)</f>
        <v>3.5000000000000003E-2</v>
      </c>
      <c r="EZ135" s="28" cm="1">
        <f t="array" ref="EZ135">INDEX(EZ137:EZ145,$K134)</f>
        <v>3.5000000000000003E-2</v>
      </c>
      <c r="FA135" s="28" cm="1">
        <f t="array" ref="FA135">INDEX(FA137:FA145,$K134)</f>
        <v>3.5000000000000003E-2</v>
      </c>
      <c r="FB135" s="28" cm="1">
        <f t="array" ref="FB135">INDEX(FB137:FB145,$K134)</f>
        <v>3.5000000000000003E-2</v>
      </c>
      <c r="FC135" s="28" cm="1">
        <f t="array" ref="FC135">INDEX(FC137:FC145,$K134)</f>
        <v>3.5000000000000003E-2</v>
      </c>
      <c r="FD135" s="28" cm="1">
        <f t="array" ref="FD135">INDEX(FD137:FD145,$K134)</f>
        <v>3.5000000000000003E-2</v>
      </c>
      <c r="FE135" s="28" cm="1">
        <f t="array" ref="FE135">INDEX(FE137:FE145,$K134)</f>
        <v>3.5000000000000003E-2</v>
      </c>
      <c r="FF135" s="28" cm="1">
        <f t="array" ref="FF135">INDEX(FF137:FF145,$K134)</f>
        <v>3.5000000000000003E-2</v>
      </c>
      <c r="FG135" s="28" cm="1">
        <f t="array" ref="FG135">INDEX(FG137:FG145,$K134)</f>
        <v>3.5000000000000003E-2</v>
      </c>
      <c r="FH135" s="28" cm="1">
        <f t="array" ref="FH135">INDEX(FH137:FH145,$K134)</f>
        <v>3.5000000000000003E-2</v>
      </c>
      <c r="FI135" s="28" cm="1">
        <f t="array" ref="FI135">INDEX(FI137:FI145,$K134)</f>
        <v>3.5000000000000003E-2</v>
      </c>
      <c r="FJ135" s="28" cm="1">
        <f t="array" ref="FJ135">INDEX(FJ137:FJ145,$K134)</f>
        <v>3.5000000000000003E-2</v>
      </c>
      <c r="FK135" s="28" cm="1">
        <f t="array" ref="FK135">INDEX(FK137:FK145,$K134)</f>
        <v>3.5000000000000003E-2</v>
      </c>
      <c r="FL135" s="28" cm="1">
        <f t="array" ref="FL135">INDEX(FL137:FL145,$K134)</f>
        <v>3.5000000000000003E-2</v>
      </c>
      <c r="FM135" s="28" cm="1">
        <f t="array" ref="FM135">INDEX(FM137:FM145,$K134)</f>
        <v>3.5000000000000003E-2</v>
      </c>
      <c r="FN135" s="28" cm="1">
        <f t="array" ref="FN135">INDEX(FN137:FN145,$K134)</f>
        <v>3.5000000000000003E-2</v>
      </c>
      <c r="FO135" s="28" cm="1">
        <f t="array" ref="FO135">INDEX(FO137:FO145,$K134)</f>
        <v>3.5000000000000003E-2</v>
      </c>
      <c r="FP135" s="28" cm="1">
        <f t="array" ref="FP135">INDEX(FP137:FP145,$K134)</f>
        <v>3.5000000000000003E-2</v>
      </c>
      <c r="FQ135" s="28" cm="1">
        <f t="array" ref="FQ135">INDEX(FQ137:FQ145,$K134)</f>
        <v>3.5000000000000003E-2</v>
      </c>
      <c r="FR135" s="28" cm="1">
        <f t="array" ref="FR135">INDEX(FR137:FR145,$K134)</f>
        <v>3.5000000000000003E-2</v>
      </c>
      <c r="FS135" s="28" cm="1">
        <f t="array" ref="FS135">INDEX(FS137:FS145,$K134)</f>
        <v>3.5000000000000003E-2</v>
      </c>
      <c r="FT135" s="28" cm="1">
        <f t="array" ref="FT135">INDEX(FT137:FT145,$K134)</f>
        <v>3.5000000000000003E-2</v>
      </c>
      <c r="FU135" s="28" cm="1">
        <f t="array" ref="FU135">INDEX(FU137:FU145,$K134)</f>
        <v>3.5000000000000003E-2</v>
      </c>
      <c r="FV135" s="28" cm="1">
        <f t="array" ref="FV135">INDEX(FV137:FV145,$K134)</f>
        <v>3.5000000000000003E-2</v>
      </c>
      <c r="FW135" s="28" cm="1">
        <f t="array" ref="FW135">INDEX(FW137:FW145,$K134)</f>
        <v>3.5000000000000003E-2</v>
      </c>
      <c r="FX135" s="28" cm="1">
        <f t="array" ref="FX135">INDEX(FX137:FX145,$K134)</f>
        <v>3.5000000000000003E-2</v>
      </c>
      <c r="FY135" s="28" cm="1">
        <f t="array" ref="FY135">INDEX(FY137:FY145,$K134)</f>
        <v>3.5000000000000003E-2</v>
      </c>
      <c r="FZ135" s="28" cm="1">
        <f t="array" ref="FZ135">INDEX(FZ137:FZ145,$K134)</f>
        <v>3.5000000000000003E-2</v>
      </c>
      <c r="GA135" s="28" cm="1">
        <f t="array" ref="GA135">INDEX(GA137:GA145,$K134)</f>
        <v>3.5000000000000003E-2</v>
      </c>
      <c r="GB135" s="28" cm="1">
        <f t="array" ref="GB135">INDEX(GB137:GB145,$K134)</f>
        <v>3.5000000000000003E-2</v>
      </c>
      <c r="GC135" s="28" cm="1">
        <f t="array" ref="GC135">INDEX(GC137:GC145,$K134)</f>
        <v>3.5000000000000003E-2</v>
      </c>
      <c r="GD135" s="28" cm="1">
        <f t="array" ref="GD135">INDEX(GD137:GD145,$K134)</f>
        <v>3.5000000000000003E-2</v>
      </c>
      <c r="GE135" s="28" cm="1">
        <f t="array" ref="GE135">INDEX(GE137:GE145,$K134)</f>
        <v>3.5000000000000003E-2</v>
      </c>
      <c r="GF135" s="28" cm="1">
        <f t="array" ref="GF135">INDEX(GF137:GF145,$K134)</f>
        <v>3.5000000000000003E-2</v>
      </c>
      <c r="GG135" s="28" cm="1">
        <f t="array" ref="GG135">INDEX(GG137:GG145,$K134)</f>
        <v>3.5000000000000003E-2</v>
      </c>
      <c r="GH135" s="28" cm="1">
        <f t="array" ref="GH135">INDEX(GH137:GH145,$K134)</f>
        <v>3.5000000000000003E-2</v>
      </c>
      <c r="GI135" s="28" cm="1">
        <f t="array" ref="GI135">INDEX(GI137:GI145,$K134)</f>
        <v>3.5000000000000003E-2</v>
      </c>
      <c r="GJ135" s="28" cm="1">
        <f t="array" ref="GJ135">INDEX(GJ137:GJ145,$K134)</f>
        <v>3.5000000000000003E-2</v>
      </c>
      <c r="GK135" s="28" cm="1">
        <f t="array" ref="GK135">INDEX(GK137:GK145,$K134)</f>
        <v>3.5000000000000003E-2</v>
      </c>
      <c r="GL135" s="28" cm="1">
        <f t="array" ref="GL135">INDEX(GL137:GL145,$K134)</f>
        <v>3.5000000000000003E-2</v>
      </c>
      <c r="GM135" s="28" cm="1">
        <f t="array" ref="GM135">INDEX(GM137:GM145,$K134)</f>
        <v>3.5000000000000003E-2</v>
      </c>
      <c r="GN135" s="28" cm="1">
        <f t="array" ref="GN135">INDEX(GN137:GN145,$K134)</f>
        <v>3.5000000000000003E-2</v>
      </c>
      <c r="GO135" s="28" cm="1">
        <f t="array" ref="GO135">INDEX(GO137:GO145,$K134)</f>
        <v>3.5000000000000003E-2</v>
      </c>
      <c r="GP135" s="28" cm="1">
        <f t="array" ref="GP135">INDEX(GP137:GP145,$K134)</f>
        <v>3.5000000000000003E-2</v>
      </c>
      <c r="GQ135" s="28" cm="1">
        <f t="array" ref="GQ135">INDEX(GQ137:GQ145,$K134)</f>
        <v>3.5000000000000003E-2</v>
      </c>
      <c r="GR135" s="28" cm="1">
        <f t="array" ref="GR135">INDEX(GR137:GR145,$K134)</f>
        <v>3.5000000000000003E-2</v>
      </c>
      <c r="GS135" s="28" cm="1">
        <f t="array" ref="GS135">INDEX(GS137:GS145,$K134)</f>
        <v>3.5000000000000003E-2</v>
      </c>
      <c r="GT135" s="28" cm="1">
        <f t="array" ref="GT135">INDEX(GT137:GT145,$K134)</f>
        <v>3.5000000000000003E-2</v>
      </c>
      <c r="GU135" s="28" cm="1">
        <f t="array" ref="GU135">INDEX(GU137:GU145,$K134)</f>
        <v>3.5000000000000003E-2</v>
      </c>
      <c r="GV135" s="28" cm="1">
        <f t="array" ref="GV135">INDEX(GV137:GV145,$K134)</f>
        <v>3.5000000000000003E-2</v>
      </c>
      <c r="GW135" s="28" cm="1">
        <f t="array" ref="GW135">INDEX(GW137:GW145,$K134)</f>
        <v>3.5000000000000003E-2</v>
      </c>
      <c r="GX135" s="28" cm="1">
        <f t="array" ref="GX135">INDEX(GX137:GX145,$K134)</f>
        <v>3.5000000000000003E-2</v>
      </c>
      <c r="GY135" s="28" cm="1">
        <f t="array" ref="GY135">INDEX(GY137:GY145,$K134)</f>
        <v>3.5000000000000003E-2</v>
      </c>
      <c r="GZ135" s="28" cm="1">
        <f t="array" ref="GZ135">INDEX(GZ137:GZ145,$K134)</f>
        <v>3.5000000000000003E-2</v>
      </c>
      <c r="HA135" s="28" cm="1">
        <f t="array" ref="HA135">INDEX(HA137:HA145,$K134)</f>
        <v>3.5000000000000003E-2</v>
      </c>
      <c r="HB135" s="28" cm="1">
        <f t="array" ref="HB135">INDEX(HB137:HB145,$K134)</f>
        <v>3.5000000000000003E-2</v>
      </c>
      <c r="HC135" s="28" cm="1">
        <f t="array" ref="HC135">INDEX(HC137:HC145,$K134)</f>
        <v>3.5000000000000003E-2</v>
      </c>
      <c r="HD135" s="28" cm="1">
        <f t="array" ref="HD135">INDEX(HD137:HD145,$K134)</f>
        <v>3.5000000000000003E-2</v>
      </c>
      <c r="HE135" s="28" cm="1">
        <f t="array" ref="HE135">INDEX(HE137:HE145,$K134)</f>
        <v>3.5000000000000003E-2</v>
      </c>
      <c r="HF135" s="28" cm="1">
        <f t="array" ref="HF135">INDEX(HF137:HF145,$K134)</f>
        <v>3.5000000000000003E-2</v>
      </c>
      <c r="HG135" s="28" cm="1">
        <f t="array" ref="HG135">INDEX(HG137:HG145,$K134)</f>
        <v>3.5000000000000003E-2</v>
      </c>
      <c r="HH135" s="28" cm="1">
        <f t="array" ref="HH135">INDEX(HH137:HH145,$K134)</f>
        <v>3.5000000000000003E-2</v>
      </c>
      <c r="HI135" s="28" cm="1">
        <f t="array" ref="HI135">INDEX(HI137:HI145,$K134)</f>
        <v>3.5000000000000003E-2</v>
      </c>
      <c r="HJ135" s="28" cm="1">
        <f t="array" ref="HJ135">INDEX(HJ137:HJ145,$K134)</f>
        <v>3.5000000000000003E-2</v>
      </c>
      <c r="HK135" s="28" cm="1">
        <f t="array" ref="HK135">INDEX(HK137:HK145,$K134)</f>
        <v>3.5000000000000003E-2</v>
      </c>
      <c r="HL135" s="28" cm="1">
        <f t="array" ref="HL135">INDEX(HL137:HL145,$K134)</f>
        <v>3.5000000000000003E-2</v>
      </c>
      <c r="HM135" s="28" cm="1">
        <f t="array" ref="HM135">INDEX(HM137:HM145,$K134)</f>
        <v>3.5000000000000003E-2</v>
      </c>
      <c r="HN135" s="28" cm="1">
        <f t="array" ref="HN135">INDEX(HN137:HN145,$K134)</f>
        <v>3.5000000000000003E-2</v>
      </c>
      <c r="HO135" s="28" cm="1">
        <f t="array" ref="HO135">INDEX(HO137:HO145,$K134)</f>
        <v>3.5000000000000003E-2</v>
      </c>
      <c r="HP135" s="28" cm="1">
        <f t="array" ref="HP135">INDEX(HP137:HP145,$K134)</f>
        <v>3.5000000000000003E-2</v>
      </c>
      <c r="HQ135" s="28" cm="1">
        <f t="array" ref="HQ135">INDEX(HQ137:HQ145,$K134)</f>
        <v>3.5000000000000003E-2</v>
      </c>
      <c r="HR135" s="28" cm="1">
        <f t="array" ref="HR135">INDEX(HR137:HR145,$K134)</f>
        <v>3.5000000000000003E-2</v>
      </c>
      <c r="HS135" s="28" cm="1">
        <f t="array" ref="HS135">INDEX(HS137:HS145,$K134)</f>
        <v>3.5000000000000003E-2</v>
      </c>
      <c r="HT135" s="28" cm="1">
        <f t="array" ref="HT135">INDEX(HT137:HT145,$K134)</f>
        <v>3.5000000000000003E-2</v>
      </c>
      <c r="HU135" s="28" cm="1">
        <f t="array" ref="HU135">INDEX(HU137:HU145,$K134)</f>
        <v>3.5000000000000003E-2</v>
      </c>
      <c r="HV135" s="28" cm="1">
        <f t="array" ref="HV135">INDEX(HV137:HV145,$K134)</f>
        <v>3.5000000000000003E-2</v>
      </c>
      <c r="HW135" s="28" cm="1">
        <f t="array" ref="HW135">INDEX(HW137:HW145,$K134)</f>
        <v>3.5000000000000003E-2</v>
      </c>
      <c r="HX135" s="28" cm="1">
        <f t="array" ref="HX135">INDEX(HX137:HX145,$K134)</f>
        <v>3.5000000000000003E-2</v>
      </c>
      <c r="HY135" s="28" cm="1">
        <f t="array" ref="HY135">INDEX(HY137:HY145,$K134)</f>
        <v>3.5000000000000003E-2</v>
      </c>
      <c r="HZ135" s="28" cm="1">
        <f t="array" ref="HZ135">INDEX(HZ137:HZ145,$K134)</f>
        <v>3.5000000000000003E-2</v>
      </c>
      <c r="IA135" s="28" cm="1">
        <f t="array" ref="IA135">INDEX(IA137:IA145,$K134)</f>
        <v>3.5000000000000003E-2</v>
      </c>
      <c r="IB135" s="28" cm="1">
        <f t="array" ref="IB135">INDEX(IB137:IB145,$K134)</f>
        <v>3.5000000000000003E-2</v>
      </c>
      <c r="IC135" s="28" cm="1">
        <f t="array" ref="IC135">INDEX(IC137:IC145,$K134)</f>
        <v>3.5000000000000003E-2</v>
      </c>
      <c r="ID135" s="28" cm="1">
        <f t="array" ref="ID135">INDEX(ID137:ID145,$K134)</f>
        <v>3.5000000000000003E-2</v>
      </c>
      <c r="IE135" s="28" cm="1">
        <f t="array" ref="IE135">INDEX(IE137:IE145,$K134)</f>
        <v>3.5000000000000003E-2</v>
      </c>
      <c r="IF135" s="28" cm="1">
        <f t="array" ref="IF135">INDEX(IF137:IF145,$K134)</f>
        <v>3.5000000000000003E-2</v>
      </c>
      <c r="IG135" s="28" cm="1">
        <f t="array" ref="IG135">INDEX(IG137:IG145,$K134)</f>
        <v>3.5000000000000003E-2</v>
      </c>
      <c r="IH135" s="28" cm="1">
        <f t="array" ref="IH135">INDEX(IH137:IH145,$K134)</f>
        <v>3.5000000000000003E-2</v>
      </c>
      <c r="II135" s="28" cm="1">
        <f t="array" ref="II135">INDEX(II137:II145,$K134)</f>
        <v>3.5000000000000003E-2</v>
      </c>
      <c r="IJ135" s="28" cm="1">
        <f t="array" ref="IJ135">INDEX(IJ137:IJ145,$K134)</f>
        <v>3.5000000000000003E-2</v>
      </c>
      <c r="IK135" s="28" cm="1">
        <f t="array" ref="IK135">INDEX(IK137:IK145,$K134)</f>
        <v>3.5000000000000003E-2</v>
      </c>
      <c r="IL135" s="28" cm="1">
        <f t="array" ref="IL135">INDEX(IL137:IL145,$K134)</f>
        <v>3.5000000000000003E-2</v>
      </c>
      <c r="IM135" s="28" cm="1">
        <f t="array" ref="IM135">INDEX(IM137:IM145,$K134)</f>
        <v>3.5000000000000003E-2</v>
      </c>
      <c r="IN135" s="28" cm="1">
        <f t="array" ref="IN135">INDEX(IN137:IN145,$K134)</f>
        <v>3.5000000000000003E-2</v>
      </c>
      <c r="IO135" s="28" cm="1">
        <f t="array" ref="IO135">INDEX(IO137:IO145,$K134)</f>
        <v>3.5000000000000003E-2</v>
      </c>
      <c r="IP135" s="28" cm="1">
        <f t="array" ref="IP135">INDEX(IP137:IP145,$K134)</f>
        <v>3.5000000000000003E-2</v>
      </c>
      <c r="IQ135" s="28" cm="1">
        <f t="array" ref="IQ135">INDEX(IQ137:IQ145,$K134)</f>
        <v>3.5000000000000003E-2</v>
      </c>
      <c r="IR135" s="28" cm="1">
        <f t="array" ref="IR135">INDEX(IR137:IR145,$K134)</f>
        <v>3.5000000000000003E-2</v>
      </c>
      <c r="IS135" s="28" cm="1">
        <f t="array" ref="IS135">INDEX(IS137:IS145,$K134)</f>
        <v>3.5000000000000003E-2</v>
      </c>
      <c r="IT135" s="28" cm="1">
        <f t="array" ref="IT135">INDEX(IT137:IT145,$K134)</f>
        <v>3.5000000000000003E-2</v>
      </c>
      <c r="IU135" s="28" cm="1">
        <f t="array" ref="IU135">INDEX(IU137:IU145,$K134)</f>
        <v>3.5000000000000003E-2</v>
      </c>
      <c r="IV135" s="28" cm="1">
        <f t="array" ref="IV135">INDEX(IV137:IV145,$K134)</f>
        <v>3.5000000000000003E-2</v>
      </c>
      <c r="IW135" s="28" cm="1">
        <f t="array" ref="IW135">INDEX(IW137:IW145,$K134)</f>
        <v>3.5000000000000003E-2</v>
      </c>
      <c r="IX135" s="28" cm="1">
        <f t="array" ref="IX135">INDEX(IX137:IX145,$K134)</f>
        <v>3.5000000000000003E-2</v>
      </c>
      <c r="IY135" s="28" cm="1">
        <f t="array" ref="IY135">INDEX(IY137:IY145,$K134)</f>
        <v>3.5000000000000003E-2</v>
      </c>
      <c r="IZ135" s="28" cm="1">
        <f t="array" ref="IZ135">INDEX(IZ137:IZ145,$K134)</f>
        <v>3.5000000000000003E-2</v>
      </c>
      <c r="JA135" s="28" cm="1">
        <f t="array" ref="JA135">INDEX(JA137:JA145,$K134)</f>
        <v>3.5000000000000003E-2</v>
      </c>
      <c r="JB135" s="28" cm="1">
        <f t="array" ref="JB135">INDEX(JB137:JB145,$K134)</f>
        <v>3.5000000000000003E-2</v>
      </c>
      <c r="JC135" s="28" cm="1">
        <f t="array" ref="JC135">INDEX(JC137:JC145,$K134)</f>
        <v>3.5000000000000003E-2</v>
      </c>
      <c r="JD135" s="28" cm="1">
        <f t="array" ref="JD135">INDEX(JD137:JD145,$K134)</f>
        <v>3.5000000000000003E-2</v>
      </c>
      <c r="JE135" s="28" cm="1">
        <f t="array" ref="JE135">INDEX(JE137:JE145,$K134)</f>
        <v>3.5000000000000003E-2</v>
      </c>
      <c r="JF135" s="28" cm="1">
        <f t="array" ref="JF135">INDEX(JF137:JF145,$K134)</f>
        <v>3.5000000000000003E-2</v>
      </c>
      <c r="JG135" s="28" cm="1">
        <f t="array" ref="JG135">INDEX(JG137:JG145,$K134)</f>
        <v>3.5000000000000003E-2</v>
      </c>
      <c r="JH135" s="28" cm="1">
        <f t="array" ref="JH135">INDEX(JH137:JH145,$K134)</f>
        <v>3.5000000000000003E-2</v>
      </c>
      <c r="JI135" s="28" cm="1">
        <f t="array" ref="JI135">INDEX(JI137:JI145,$K134)</f>
        <v>3.5000000000000003E-2</v>
      </c>
      <c r="JJ135" s="28" cm="1">
        <f t="array" ref="JJ135">INDEX(JJ137:JJ145,$K134)</f>
        <v>3.5000000000000003E-2</v>
      </c>
      <c r="JK135" s="28" cm="1">
        <f t="array" ref="JK135">INDEX(JK137:JK145,$K134)</f>
        <v>3.5000000000000003E-2</v>
      </c>
      <c r="JL135" s="28" cm="1">
        <f t="array" ref="JL135">INDEX(JL137:JL145,$K134)</f>
        <v>3.5000000000000003E-2</v>
      </c>
      <c r="JM135" s="28" cm="1">
        <f t="array" ref="JM135">INDEX(JM137:JM145,$K134)</f>
        <v>3.5000000000000003E-2</v>
      </c>
      <c r="JN135" s="28" cm="1">
        <f t="array" ref="JN135">INDEX(JN137:JN145,$K134)</f>
        <v>3.5000000000000003E-2</v>
      </c>
      <c r="JO135" s="28" cm="1">
        <f t="array" ref="JO135">INDEX(JO137:JO145,$K134)</f>
        <v>3.5000000000000003E-2</v>
      </c>
      <c r="JP135" s="28" cm="1">
        <f t="array" ref="JP135">INDEX(JP137:JP145,$K134)</f>
        <v>3.5000000000000003E-2</v>
      </c>
      <c r="JQ135" s="28" cm="1">
        <f t="array" ref="JQ135">INDEX(JQ137:JQ145,$K134)</f>
        <v>3.5000000000000003E-2</v>
      </c>
      <c r="JR135" s="28" cm="1">
        <f t="array" ref="JR135">INDEX(JR137:JR145,$K134)</f>
        <v>3.5000000000000003E-2</v>
      </c>
      <c r="JS135" s="28" cm="1">
        <f t="array" ref="JS135">INDEX(JS137:JS145,$K134)</f>
        <v>3.5000000000000003E-2</v>
      </c>
      <c r="JT135" s="28" cm="1">
        <f t="array" ref="JT135">INDEX(JT137:JT145,$K134)</f>
        <v>3.5000000000000003E-2</v>
      </c>
      <c r="JU135" s="28" cm="1">
        <f t="array" ref="JU135">INDEX(JU137:JU145,$K134)</f>
        <v>3.5000000000000003E-2</v>
      </c>
      <c r="JV135" s="28" cm="1">
        <f t="array" ref="JV135">INDEX(JV137:JV145,$K134)</f>
        <v>3.5000000000000003E-2</v>
      </c>
      <c r="JW135" s="28" cm="1">
        <f t="array" ref="JW135">INDEX(JW137:JW145,$K134)</f>
        <v>3.5000000000000003E-2</v>
      </c>
      <c r="JX135" s="28" cm="1">
        <f t="array" ref="JX135">INDEX(JX137:JX145,$K134)</f>
        <v>3.5000000000000003E-2</v>
      </c>
      <c r="JY135" s="28" cm="1">
        <f t="array" ref="JY135">INDEX(JY137:JY145,$K134)</f>
        <v>3.5000000000000003E-2</v>
      </c>
      <c r="JZ135" s="28" cm="1">
        <f t="array" ref="JZ135">INDEX(JZ137:JZ145,$K134)</f>
        <v>3.5000000000000003E-2</v>
      </c>
      <c r="KA135" s="28" cm="1">
        <f t="array" ref="KA135">INDEX(KA137:KA145,$K134)</f>
        <v>3.5000000000000003E-2</v>
      </c>
      <c r="KB135" s="28" cm="1">
        <f t="array" ref="KB135">INDEX(KB137:KB145,$K134)</f>
        <v>3.5000000000000003E-2</v>
      </c>
      <c r="KC135" s="28" cm="1">
        <f t="array" ref="KC135">INDEX(KC137:KC145,$K134)</f>
        <v>3.5000000000000003E-2</v>
      </c>
      <c r="KD135" s="28" cm="1">
        <f t="array" ref="KD135">INDEX(KD137:KD145,$K134)</f>
        <v>3.5000000000000003E-2</v>
      </c>
      <c r="KE135" s="28" cm="1">
        <f t="array" ref="KE135">INDEX(KE137:KE145,$K134)</f>
        <v>3.5000000000000003E-2</v>
      </c>
      <c r="KF135" s="28" cm="1">
        <f t="array" ref="KF135">INDEX(KF137:KF145,$K134)</f>
        <v>3.5000000000000003E-2</v>
      </c>
    </row>
    <row r="136" spans="5:292" outlineLevel="1" x14ac:dyDescent="0.35"/>
    <row r="137" spans="5:292" outlineLevel="1" x14ac:dyDescent="0.35">
      <c r="E137" s="13" t="s">
        <v>55</v>
      </c>
      <c r="J137" s="15" t="s">
        <v>31</v>
      </c>
      <c r="K137" s="27">
        <v>3.5000000000000003E-2</v>
      </c>
      <c r="L137" s="27">
        <v>3.5000000000000003E-2</v>
      </c>
      <c r="M137" s="27">
        <v>3.5000000000000003E-2</v>
      </c>
      <c r="N137" s="27">
        <v>3.5000000000000003E-2</v>
      </c>
      <c r="O137" s="27">
        <v>3.5000000000000003E-2</v>
      </c>
      <c r="P137" s="27">
        <v>3.5000000000000003E-2</v>
      </c>
      <c r="Q137" s="27">
        <v>3.5000000000000003E-2</v>
      </c>
      <c r="R137" s="27">
        <v>3.5000000000000003E-2</v>
      </c>
      <c r="S137" s="27">
        <v>3.5000000000000003E-2</v>
      </c>
      <c r="T137" s="27">
        <v>3.5000000000000003E-2</v>
      </c>
      <c r="U137" s="27">
        <v>3.5000000000000003E-2</v>
      </c>
      <c r="V137" s="27">
        <v>3.5000000000000003E-2</v>
      </c>
      <c r="W137" s="27">
        <v>3.5000000000000003E-2</v>
      </c>
      <c r="X137" s="27">
        <v>3.5000000000000003E-2</v>
      </c>
      <c r="Y137" s="27">
        <v>3.5000000000000003E-2</v>
      </c>
      <c r="Z137" s="27">
        <v>3.5000000000000003E-2</v>
      </c>
      <c r="AA137" s="27">
        <v>3.5000000000000003E-2</v>
      </c>
      <c r="AB137" s="27">
        <v>3.5000000000000003E-2</v>
      </c>
      <c r="AC137" s="27">
        <v>3.5000000000000003E-2</v>
      </c>
      <c r="AD137" s="27">
        <v>3.5000000000000003E-2</v>
      </c>
      <c r="AE137" s="27">
        <v>3.5000000000000003E-2</v>
      </c>
      <c r="AF137" s="27">
        <v>3.5000000000000003E-2</v>
      </c>
      <c r="AG137" s="27">
        <v>3.5000000000000003E-2</v>
      </c>
      <c r="AH137" s="27">
        <v>3.5000000000000003E-2</v>
      </c>
      <c r="AI137" s="27">
        <v>3.5000000000000003E-2</v>
      </c>
      <c r="AJ137" s="27">
        <v>3.5000000000000003E-2</v>
      </c>
      <c r="AK137" s="27">
        <v>3.5000000000000003E-2</v>
      </c>
      <c r="AL137" s="27">
        <v>3.5000000000000003E-2</v>
      </c>
      <c r="AM137" s="27">
        <v>3.5000000000000003E-2</v>
      </c>
      <c r="AN137" s="27">
        <v>3.5000000000000003E-2</v>
      </c>
      <c r="AO137" s="27">
        <v>3.5000000000000003E-2</v>
      </c>
      <c r="AP137" s="27">
        <v>3.5000000000000003E-2</v>
      </c>
      <c r="AQ137" s="27">
        <v>3.5000000000000003E-2</v>
      </c>
      <c r="AR137" s="27">
        <v>3.5000000000000003E-2</v>
      </c>
      <c r="AS137" s="27">
        <v>3.5000000000000003E-2</v>
      </c>
      <c r="AT137" s="27">
        <v>3.5000000000000003E-2</v>
      </c>
      <c r="AU137" s="27">
        <v>3.5000000000000003E-2</v>
      </c>
      <c r="AV137" s="27">
        <v>3.5000000000000003E-2</v>
      </c>
      <c r="AW137" s="27">
        <v>3.5000000000000003E-2</v>
      </c>
      <c r="AX137" s="27">
        <v>3.5000000000000003E-2</v>
      </c>
      <c r="AY137" s="27">
        <v>3.5000000000000003E-2</v>
      </c>
      <c r="AZ137" s="27">
        <v>3.5000000000000003E-2</v>
      </c>
      <c r="BA137" s="27">
        <v>3.5000000000000003E-2</v>
      </c>
      <c r="BB137" s="27">
        <v>3.5000000000000003E-2</v>
      </c>
      <c r="BC137" s="27">
        <v>3.5000000000000003E-2</v>
      </c>
      <c r="BD137" s="27">
        <v>3.5000000000000003E-2</v>
      </c>
      <c r="BE137" s="27">
        <v>3.5000000000000003E-2</v>
      </c>
      <c r="BF137" s="27">
        <v>3.5000000000000003E-2</v>
      </c>
      <c r="BG137" s="27">
        <v>3.5000000000000003E-2</v>
      </c>
      <c r="BH137" s="27">
        <v>3.5000000000000003E-2</v>
      </c>
      <c r="BI137" s="27">
        <v>3.5000000000000003E-2</v>
      </c>
      <c r="BJ137" s="27">
        <v>3.5000000000000003E-2</v>
      </c>
      <c r="BK137" s="27">
        <v>3.5000000000000003E-2</v>
      </c>
      <c r="BL137" s="27">
        <v>3.5000000000000003E-2</v>
      </c>
      <c r="BM137" s="27">
        <v>3.5000000000000003E-2</v>
      </c>
      <c r="BN137" s="27">
        <v>3.5000000000000003E-2</v>
      </c>
      <c r="BO137" s="27">
        <v>3.5000000000000003E-2</v>
      </c>
      <c r="BP137" s="27">
        <v>3.5000000000000003E-2</v>
      </c>
      <c r="BQ137" s="27">
        <v>3.5000000000000003E-2</v>
      </c>
      <c r="BR137" s="27">
        <v>3.5000000000000003E-2</v>
      </c>
      <c r="BS137" s="27">
        <v>3.5000000000000003E-2</v>
      </c>
      <c r="BT137" s="27">
        <v>3.5000000000000003E-2</v>
      </c>
      <c r="BU137" s="27">
        <v>3.5000000000000003E-2</v>
      </c>
      <c r="BV137" s="27">
        <v>3.5000000000000003E-2</v>
      </c>
      <c r="BW137" s="27">
        <v>3.5000000000000003E-2</v>
      </c>
      <c r="BX137" s="27">
        <v>3.5000000000000003E-2</v>
      </c>
      <c r="BY137" s="27">
        <v>3.5000000000000003E-2</v>
      </c>
      <c r="BZ137" s="27">
        <v>3.5000000000000003E-2</v>
      </c>
      <c r="CA137" s="27">
        <v>3.5000000000000003E-2</v>
      </c>
      <c r="CB137" s="27">
        <v>3.5000000000000003E-2</v>
      </c>
      <c r="CC137" s="27">
        <v>3.5000000000000003E-2</v>
      </c>
      <c r="CD137" s="27">
        <v>3.5000000000000003E-2</v>
      </c>
      <c r="CE137" s="27">
        <v>3.5000000000000003E-2</v>
      </c>
      <c r="CF137" s="27">
        <v>3.5000000000000003E-2</v>
      </c>
      <c r="CG137" s="27">
        <v>3.5000000000000003E-2</v>
      </c>
      <c r="CH137" s="27">
        <v>3.5000000000000003E-2</v>
      </c>
      <c r="CI137" s="27">
        <v>3.5000000000000003E-2</v>
      </c>
      <c r="CJ137" s="27">
        <v>3.5000000000000003E-2</v>
      </c>
      <c r="CK137" s="27">
        <v>3.5000000000000003E-2</v>
      </c>
      <c r="CL137" s="27">
        <v>3.5000000000000003E-2</v>
      </c>
      <c r="CM137" s="27">
        <v>3.5000000000000003E-2</v>
      </c>
      <c r="CN137" s="27">
        <v>3.5000000000000003E-2</v>
      </c>
      <c r="CO137" s="27">
        <v>3.5000000000000003E-2</v>
      </c>
      <c r="CP137" s="27">
        <v>3.5000000000000003E-2</v>
      </c>
      <c r="CQ137" s="27">
        <v>3.5000000000000003E-2</v>
      </c>
      <c r="CR137" s="27">
        <v>3.5000000000000003E-2</v>
      </c>
      <c r="CS137" s="27">
        <v>3.5000000000000003E-2</v>
      </c>
      <c r="CT137" s="27">
        <v>3.5000000000000003E-2</v>
      </c>
      <c r="CU137" s="27">
        <v>3.5000000000000003E-2</v>
      </c>
      <c r="CV137" s="27">
        <v>3.5000000000000003E-2</v>
      </c>
      <c r="CW137" s="27">
        <v>3.5000000000000003E-2</v>
      </c>
      <c r="CX137" s="27">
        <v>3.5000000000000003E-2</v>
      </c>
      <c r="CY137" s="27">
        <v>3.5000000000000003E-2</v>
      </c>
      <c r="CZ137" s="27">
        <v>3.5000000000000003E-2</v>
      </c>
      <c r="DA137" s="27">
        <v>3.5000000000000003E-2</v>
      </c>
      <c r="DB137" s="27">
        <v>3.5000000000000003E-2</v>
      </c>
      <c r="DC137" s="27">
        <v>3.5000000000000003E-2</v>
      </c>
      <c r="DD137" s="27">
        <v>3.5000000000000003E-2</v>
      </c>
      <c r="DE137" s="27">
        <v>3.5000000000000003E-2</v>
      </c>
      <c r="DF137" s="27">
        <v>3.5000000000000003E-2</v>
      </c>
      <c r="DG137" s="27">
        <v>3.5000000000000003E-2</v>
      </c>
      <c r="DH137" s="27">
        <v>3.5000000000000003E-2</v>
      </c>
      <c r="DI137" s="27">
        <v>3.5000000000000003E-2</v>
      </c>
      <c r="DJ137" s="27">
        <v>3.5000000000000003E-2</v>
      </c>
      <c r="DK137" s="27">
        <v>3.5000000000000003E-2</v>
      </c>
      <c r="DL137" s="27">
        <v>3.5000000000000003E-2</v>
      </c>
      <c r="DM137" s="27">
        <v>3.5000000000000003E-2</v>
      </c>
      <c r="DN137" s="27">
        <v>3.5000000000000003E-2</v>
      </c>
      <c r="DO137" s="27">
        <v>3.5000000000000003E-2</v>
      </c>
      <c r="DP137" s="27">
        <v>3.5000000000000003E-2</v>
      </c>
      <c r="DQ137" s="27">
        <v>3.5000000000000003E-2</v>
      </c>
      <c r="DR137" s="27">
        <v>3.5000000000000003E-2</v>
      </c>
      <c r="DS137" s="27">
        <v>3.5000000000000003E-2</v>
      </c>
      <c r="DT137" s="27">
        <v>3.5000000000000003E-2</v>
      </c>
      <c r="DU137" s="27">
        <v>3.5000000000000003E-2</v>
      </c>
      <c r="DV137" s="27">
        <v>3.5000000000000003E-2</v>
      </c>
      <c r="DW137" s="27">
        <v>3.5000000000000003E-2</v>
      </c>
      <c r="DX137" s="27">
        <v>3.5000000000000003E-2</v>
      </c>
      <c r="DY137" s="27">
        <v>3.5000000000000003E-2</v>
      </c>
      <c r="DZ137" s="27">
        <v>3.5000000000000003E-2</v>
      </c>
      <c r="EA137" s="27">
        <v>3.5000000000000003E-2</v>
      </c>
      <c r="EB137" s="27">
        <v>3.5000000000000003E-2</v>
      </c>
      <c r="EC137" s="27">
        <v>3.5000000000000003E-2</v>
      </c>
      <c r="ED137" s="27">
        <v>3.5000000000000003E-2</v>
      </c>
      <c r="EE137" s="27">
        <v>3.5000000000000003E-2</v>
      </c>
      <c r="EF137" s="27">
        <v>3.5000000000000003E-2</v>
      </c>
      <c r="EG137" s="27">
        <v>3.5000000000000003E-2</v>
      </c>
      <c r="EH137" s="27">
        <v>3.5000000000000003E-2</v>
      </c>
      <c r="EI137" s="27">
        <v>3.5000000000000003E-2</v>
      </c>
      <c r="EJ137" s="27">
        <v>3.5000000000000003E-2</v>
      </c>
      <c r="EK137" s="27">
        <v>3.5000000000000003E-2</v>
      </c>
      <c r="EL137" s="27">
        <v>3.5000000000000003E-2</v>
      </c>
      <c r="EM137" s="27">
        <v>3.5000000000000003E-2</v>
      </c>
      <c r="EN137" s="27">
        <v>3.5000000000000003E-2</v>
      </c>
      <c r="EO137" s="27">
        <v>3.5000000000000003E-2</v>
      </c>
      <c r="EP137" s="27">
        <v>3.5000000000000003E-2</v>
      </c>
      <c r="EQ137" s="27">
        <v>3.5000000000000003E-2</v>
      </c>
      <c r="ER137" s="27">
        <v>3.5000000000000003E-2</v>
      </c>
      <c r="ES137" s="27">
        <v>3.5000000000000003E-2</v>
      </c>
      <c r="ET137" s="27">
        <v>3.5000000000000003E-2</v>
      </c>
      <c r="EU137" s="27">
        <v>3.5000000000000003E-2</v>
      </c>
      <c r="EV137" s="27">
        <v>3.5000000000000003E-2</v>
      </c>
      <c r="EW137" s="27">
        <v>3.5000000000000003E-2</v>
      </c>
      <c r="EX137" s="27">
        <v>3.5000000000000003E-2</v>
      </c>
      <c r="EY137" s="27">
        <v>3.5000000000000003E-2</v>
      </c>
      <c r="EZ137" s="27">
        <v>3.5000000000000003E-2</v>
      </c>
      <c r="FA137" s="27">
        <v>3.5000000000000003E-2</v>
      </c>
      <c r="FB137" s="27">
        <v>3.5000000000000003E-2</v>
      </c>
      <c r="FC137" s="27">
        <v>3.5000000000000003E-2</v>
      </c>
      <c r="FD137" s="27">
        <v>3.5000000000000003E-2</v>
      </c>
      <c r="FE137" s="27">
        <v>3.5000000000000003E-2</v>
      </c>
      <c r="FF137" s="27">
        <v>3.5000000000000003E-2</v>
      </c>
      <c r="FG137" s="27">
        <v>3.5000000000000003E-2</v>
      </c>
      <c r="FH137" s="27">
        <v>3.5000000000000003E-2</v>
      </c>
      <c r="FI137" s="27">
        <v>3.5000000000000003E-2</v>
      </c>
      <c r="FJ137" s="27">
        <v>3.5000000000000003E-2</v>
      </c>
      <c r="FK137" s="27">
        <v>3.5000000000000003E-2</v>
      </c>
      <c r="FL137" s="27">
        <v>3.5000000000000003E-2</v>
      </c>
      <c r="FM137" s="27">
        <v>3.5000000000000003E-2</v>
      </c>
      <c r="FN137" s="27">
        <v>3.5000000000000003E-2</v>
      </c>
      <c r="FO137" s="27">
        <v>3.5000000000000003E-2</v>
      </c>
      <c r="FP137" s="27">
        <v>3.5000000000000003E-2</v>
      </c>
      <c r="FQ137" s="27">
        <v>3.5000000000000003E-2</v>
      </c>
      <c r="FR137" s="27">
        <v>3.5000000000000003E-2</v>
      </c>
      <c r="FS137" s="27">
        <v>3.5000000000000003E-2</v>
      </c>
      <c r="FT137" s="27">
        <v>3.5000000000000003E-2</v>
      </c>
      <c r="FU137" s="27">
        <v>3.5000000000000003E-2</v>
      </c>
      <c r="FV137" s="27">
        <v>3.5000000000000003E-2</v>
      </c>
      <c r="FW137" s="27">
        <v>3.5000000000000003E-2</v>
      </c>
      <c r="FX137" s="27">
        <v>3.5000000000000003E-2</v>
      </c>
      <c r="FY137" s="27">
        <v>3.5000000000000003E-2</v>
      </c>
      <c r="FZ137" s="27">
        <v>3.5000000000000003E-2</v>
      </c>
      <c r="GA137" s="27">
        <v>3.5000000000000003E-2</v>
      </c>
      <c r="GB137" s="27">
        <v>3.5000000000000003E-2</v>
      </c>
      <c r="GC137" s="27">
        <v>3.5000000000000003E-2</v>
      </c>
      <c r="GD137" s="27">
        <v>3.5000000000000003E-2</v>
      </c>
      <c r="GE137" s="27">
        <v>3.5000000000000003E-2</v>
      </c>
      <c r="GF137" s="27">
        <v>3.5000000000000003E-2</v>
      </c>
      <c r="GG137" s="27">
        <v>3.5000000000000003E-2</v>
      </c>
      <c r="GH137" s="27">
        <v>3.5000000000000003E-2</v>
      </c>
      <c r="GI137" s="27">
        <v>3.5000000000000003E-2</v>
      </c>
      <c r="GJ137" s="27">
        <v>3.5000000000000003E-2</v>
      </c>
      <c r="GK137" s="27">
        <v>3.5000000000000003E-2</v>
      </c>
      <c r="GL137" s="27">
        <v>3.5000000000000003E-2</v>
      </c>
      <c r="GM137" s="27">
        <v>3.5000000000000003E-2</v>
      </c>
      <c r="GN137" s="27">
        <v>3.5000000000000003E-2</v>
      </c>
      <c r="GO137" s="27">
        <v>3.5000000000000003E-2</v>
      </c>
      <c r="GP137" s="27">
        <v>3.5000000000000003E-2</v>
      </c>
      <c r="GQ137" s="27">
        <v>3.5000000000000003E-2</v>
      </c>
      <c r="GR137" s="27">
        <v>3.5000000000000003E-2</v>
      </c>
      <c r="GS137" s="27">
        <v>3.5000000000000003E-2</v>
      </c>
      <c r="GT137" s="27">
        <v>3.5000000000000003E-2</v>
      </c>
      <c r="GU137" s="27">
        <v>3.5000000000000003E-2</v>
      </c>
      <c r="GV137" s="27">
        <v>3.5000000000000003E-2</v>
      </c>
      <c r="GW137" s="27">
        <v>3.5000000000000003E-2</v>
      </c>
      <c r="GX137" s="27">
        <v>3.5000000000000003E-2</v>
      </c>
      <c r="GY137" s="27">
        <v>3.5000000000000003E-2</v>
      </c>
      <c r="GZ137" s="27">
        <v>3.5000000000000003E-2</v>
      </c>
      <c r="HA137" s="27">
        <v>3.5000000000000003E-2</v>
      </c>
      <c r="HB137" s="27">
        <v>3.5000000000000003E-2</v>
      </c>
      <c r="HC137" s="27">
        <v>3.5000000000000003E-2</v>
      </c>
      <c r="HD137" s="27">
        <v>3.5000000000000003E-2</v>
      </c>
      <c r="HE137" s="27">
        <v>3.5000000000000003E-2</v>
      </c>
      <c r="HF137" s="27">
        <v>3.5000000000000003E-2</v>
      </c>
      <c r="HG137" s="27">
        <v>3.5000000000000003E-2</v>
      </c>
      <c r="HH137" s="27">
        <v>3.5000000000000003E-2</v>
      </c>
      <c r="HI137" s="27">
        <v>3.5000000000000003E-2</v>
      </c>
      <c r="HJ137" s="27">
        <v>3.5000000000000003E-2</v>
      </c>
      <c r="HK137" s="27">
        <v>3.5000000000000003E-2</v>
      </c>
      <c r="HL137" s="27">
        <v>3.5000000000000003E-2</v>
      </c>
      <c r="HM137" s="27">
        <v>3.5000000000000003E-2</v>
      </c>
      <c r="HN137" s="27">
        <v>3.5000000000000003E-2</v>
      </c>
      <c r="HO137" s="27">
        <v>3.5000000000000003E-2</v>
      </c>
      <c r="HP137" s="27">
        <v>3.5000000000000003E-2</v>
      </c>
      <c r="HQ137" s="27">
        <v>3.5000000000000003E-2</v>
      </c>
      <c r="HR137" s="27">
        <v>3.5000000000000003E-2</v>
      </c>
      <c r="HS137" s="27">
        <v>3.5000000000000003E-2</v>
      </c>
      <c r="HT137" s="27">
        <v>3.5000000000000003E-2</v>
      </c>
      <c r="HU137" s="27">
        <v>3.5000000000000003E-2</v>
      </c>
      <c r="HV137" s="27">
        <v>3.5000000000000003E-2</v>
      </c>
      <c r="HW137" s="27">
        <v>3.5000000000000003E-2</v>
      </c>
      <c r="HX137" s="27">
        <v>3.5000000000000003E-2</v>
      </c>
      <c r="HY137" s="27">
        <v>3.5000000000000003E-2</v>
      </c>
      <c r="HZ137" s="27">
        <v>3.5000000000000003E-2</v>
      </c>
      <c r="IA137" s="27">
        <v>3.5000000000000003E-2</v>
      </c>
      <c r="IB137" s="27">
        <v>3.5000000000000003E-2</v>
      </c>
      <c r="IC137" s="27">
        <v>3.5000000000000003E-2</v>
      </c>
      <c r="ID137" s="27">
        <v>3.5000000000000003E-2</v>
      </c>
      <c r="IE137" s="27">
        <v>3.5000000000000003E-2</v>
      </c>
      <c r="IF137" s="27">
        <v>3.5000000000000003E-2</v>
      </c>
      <c r="IG137" s="27">
        <v>3.5000000000000003E-2</v>
      </c>
      <c r="IH137" s="27">
        <v>3.5000000000000003E-2</v>
      </c>
      <c r="II137" s="27">
        <v>3.5000000000000003E-2</v>
      </c>
      <c r="IJ137" s="27">
        <v>3.5000000000000003E-2</v>
      </c>
      <c r="IK137" s="27">
        <v>3.5000000000000003E-2</v>
      </c>
      <c r="IL137" s="27">
        <v>3.5000000000000003E-2</v>
      </c>
      <c r="IM137" s="27">
        <v>3.5000000000000003E-2</v>
      </c>
      <c r="IN137" s="27">
        <v>3.5000000000000003E-2</v>
      </c>
      <c r="IO137" s="27">
        <v>3.5000000000000003E-2</v>
      </c>
      <c r="IP137" s="27">
        <v>3.5000000000000003E-2</v>
      </c>
      <c r="IQ137" s="27">
        <v>3.5000000000000003E-2</v>
      </c>
      <c r="IR137" s="27">
        <v>3.5000000000000003E-2</v>
      </c>
      <c r="IS137" s="27">
        <v>3.5000000000000003E-2</v>
      </c>
      <c r="IT137" s="27">
        <v>3.5000000000000003E-2</v>
      </c>
      <c r="IU137" s="27">
        <v>3.5000000000000003E-2</v>
      </c>
      <c r="IV137" s="27">
        <v>3.5000000000000003E-2</v>
      </c>
      <c r="IW137" s="27">
        <v>3.5000000000000003E-2</v>
      </c>
      <c r="IX137" s="27">
        <v>3.5000000000000003E-2</v>
      </c>
      <c r="IY137" s="27">
        <v>3.5000000000000003E-2</v>
      </c>
      <c r="IZ137" s="27">
        <v>3.5000000000000003E-2</v>
      </c>
      <c r="JA137" s="27">
        <v>3.5000000000000003E-2</v>
      </c>
      <c r="JB137" s="27">
        <v>3.5000000000000003E-2</v>
      </c>
      <c r="JC137" s="27">
        <v>3.5000000000000003E-2</v>
      </c>
      <c r="JD137" s="27">
        <v>3.5000000000000003E-2</v>
      </c>
      <c r="JE137" s="27">
        <v>3.5000000000000003E-2</v>
      </c>
      <c r="JF137" s="27">
        <v>3.5000000000000003E-2</v>
      </c>
      <c r="JG137" s="27">
        <v>3.5000000000000003E-2</v>
      </c>
      <c r="JH137" s="27">
        <v>3.5000000000000003E-2</v>
      </c>
      <c r="JI137" s="27">
        <v>3.5000000000000003E-2</v>
      </c>
      <c r="JJ137" s="27">
        <v>3.5000000000000003E-2</v>
      </c>
      <c r="JK137" s="27">
        <v>3.5000000000000003E-2</v>
      </c>
      <c r="JL137" s="27">
        <v>3.5000000000000003E-2</v>
      </c>
      <c r="JM137" s="27">
        <v>3.5000000000000003E-2</v>
      </c>
      <c r="JN137" s="27">
        <v>3.5000000000000003E-2</v>
      </c>
      <c r="JO137" s="27">
        <v>3.5000000000000003E-2</v>
      </c>
      <c r="JP137" s="27">
        <v>3.5000000000000003E-2</v>
      </c>
      <c r="JQ137" s="27">
        <v>3.5000000000000003E-2</v>
      </c>
      <c r="JR137" s="27">
        <v>3.5000000000000003E-2</v>
      </c>
      <c r="JS137" s="27">
        <v>3.5000000000000003E-2</v>
      </c>
      <c r="JT137" s="27">
        <v>3.5000000000000003E-2</v>
      </c>
      <c r="JU137" s="27">
        <v>3.5000000000000003E-2</v>
      </c>
      <c r="JV137" s="27">
        <v>3.5000000000000003E-2</v>
      </c>
      <c r="JW137" s="27">
        <v>3.5000000000000003E-2</v>
      </c>
      <c r="JX137" s="27">
        <v>3.5000000000000003E-2</v>
      </c>
      <c r="JY137" s="27">
        <v>3.5000000000000003E-2</v>
      </c>
      <c r="JZ137" s="27">
        <v>3.5000000000000003E-2</v>
      </c>
      <c r="KA137" s="27">
        <v>3.5000000000000003E-2</v>
      </c>
      <c r="KB137" s="27">
        <v>3.5000000000000003E-2</v>
      </c>
      <c r="KC137" s="27">
        <v>3.5000000000000003E-2</v>
      </c>
      <c r="KD137" s="27">
        <v>3.5000000000000003E-2</v>
      </c>
      <c r="KE137" s="27">
        <v>3.5000000000000003E-2</v>
      </c>
      <c r="KF137" s="27">
        <v>3.5000000000000003E-2</v>
      </c>
    </row>
    <row r="138" spans="5:292" outlineLevel="1" x14ac:dyDescent="0.35">
      <c r="E138" s="13" t="s">
        <v>55</v>
      </c>
      <c r="J138" s="15" t="s">
        <v>32</v>
      </c>
      <c r="K138" s="27">
        <v>3.5000000000000003E-2</v>
      </c>
      <c r="L138" s="27">
        <v>3.5000000000000003E-2</v>
      </c>
      <c r="M138" s="27">
        <v>3.5000000000000003E-2</v>
      </c>
      <c r="N138" s="27">
        <v>3.5000000000000003E-2</v>
      </c>
      <c r="O138" s="27">
        <v>3.5000000000000003E-2</v>
      </c>
      <c r="P138" s="27">
        <v>3.5000000000000003E-2</v>
      </c>
      <c r="Q138" s="27">
        <v>3.5000000000000003E-2</v>
      </c>
      <c r="R138" s="27">
        <v>3.5000000000000003E-2</v>
      </c>
      <c r="S138" s="27">
        <v>3.5000000000000003E-2</v>
      </c>
      <c r="T138" s="27">
        <v>3.5000000000000003E-2</v>
      </c>
      <c r="U138" s="27">
        <v>3.5000000000000003E-2</v>
      </c>
      <c r="V138" s="27">
        <v>3.5000000000000003E-2</v>
      </c>
      <c r="W138" s="27">
        <v>3.5000000000000003E-2</v>
      </c>
      <c r="X138" s="27">
        <v>3.5000000000000003E-2</v>
      </c>
      <c r="Y138" s="27">
        <v>3.5000000000000003E-2</v>
      </c>
      <c r="Z138" s="27">
        <v>3.5000000000000003E-2</v>
      </c>
      <c r="AA138" s="27">
        <v>3.5000000000000003E-2</v>
      </c>
      <c r="AB138" s="27">
        <v>3.5000000000000003E-2</v>
      </c>
      <c r="AC138" s="27">
        <v>3.5000000000000003E-2</v>
      </c>
      <c r="AD138" s="27">
        <v>3.5000000000000003E-2</v>
      </c>
      <c r="AE138" s="27">
        <v>3.5000000000000003E-2</v>
      </c>
      <c r="AF138" s="27">
        <v>3.5000000000000003E-2</v>
      </c>
      <c r="AG138" s="27">
        <v>3.5000000000000003E-2</v>
      </c>
      <c r="AH138" s="27">
        <v>3.5000000000000003E-2</v>
      </c>
      <c r="AI138" s="27">
        <v>3.5000000000000003E-2</v>
      </c>
      <c r="AJ138" s="27">
        <v>3.5000000000000003E-2</v>
      </c>
      <c r="AK138" s="27">
        <v>3.5000000000000003E-2</v>
      </c>
      <c r="AL138" s="27">
        <v>3.5000000000000003E-2</v>
      </c>
      <c r="AM138" s="27">
        <v>3.5000000000000003E-2</v>
      </c>
      <c r="AN138" s="27">
        <v>3.5000000000000003E-2</v>
      </c>
      <c r="AO138" s="27">
        <v>3.5000000000000003E-2</v>
      </c>
      <c r="AP138" s="27">
        <v>3.5000000000000003E-2</v>
      </c>
      <c r="AQ138" s="27">
        <v>3.5000000000000003E-2</v>
      </c>
      <c r="AR138" s="27">
        <v>3.5000000000000003E-2</v>
      </c>
      <c r="AS138" s="27">
        <v>3.5000000000000003E-2</v>
      </c>
      <c r="AT138" s="27">
        <v>3.5000000000000003E-2</v>
      </c>
      <c r="AU138" s="27">
        <v>3.5000000000000003E-2</v>
      </c>
      <c r="AV138" s="27">
        <v>3.5000000000000003E-2</v>
      </c>
      <c r="AW138" s="27">
        <v>3.5000000000000003E-2</v>
      </c>
      <c r="AX138" s="27">
        <v>3.5000000000000003E-2</v>
      </c>
      <c r="AY138" s="27">
        <v>3.5000000000000003E-2</v>
      </c>
      <c r="AZ138" s="27">
        <v>3.5000000000000003E-2</v>
      </c>
      <c r="BA138" s="27">
        <v>3.5000000000000003E-2</v>
      </c>
      <c r="BB138" s="27">
        <v>3.5000000000000003E-2</v>
      </c>
      <c r="BC138" s="27">
        <v>3.5000000000000003E-2</v>
      </c>
      <c r="BD138" s="27">
        <v>3.5000000000000003E-2</v>
      </c>
      <c r="BE138" s="27">
        <v>3.5000000000000003E-2</v>
      </c>
      <c r="BF138" s="27">
        <v>3.5000000000000003E-2</v>
      </c>
      <c r="BG138" s="27">
        <v>3.5000000000000003E-2</v>
      </c>
      <c r="BH138" s="27">
        <v>3.5000000000000003E-2</v>
      </c>
      <c r="BI138" s="27">
        <v>3.5000000000000003E-2</v>
      </c>
      <c r="BJ138" s="27">
        <v>3.5000000000000003E-2</v>
      </c>
      <c r="BK138" s="27">
        <v>3.5000000000000003E-2</v>
      </c>
      <c r="BL138" s="27">
        <v>3.5000000000000003E-2</v>
      </c>
      <c r="BM138" s="27">
        <v>3.5000000000000003E-2</v>
      </c>
      <c r="BN138" s="27">
        <v>3.5000000000000003E-2</v>
      </c>
      <c r="BO138" s="27">
        <v>3.5000000000000003E-2</v>
      </c>
      <c r="BP138" s="27">
        <v>3.5000000000000003E-2</v>
      </c>
      <c r="BQ138" s="27">
        <v>3.5000000000000003E-2</v>
      </c>
      <c r="BR138" s="27">
        <v>3.5000000000000003E-2</v>
      </c>
      <c r="BS138" s="27">
        <v>3.5000000000000003E-2</v>
      </c>
      <c r="BT138" s="27">
        <v>3.5000000000000003E-2</v>
      </c>
      <c r="BU138" s="27">
        <v>3.5000000000000003E-2</v>
      </c>
      <c r="BV138" s="27">
        <v>3.5000000000000003E-2</v>
      </c>
      <c r="BW138" s="27">
        <v>3.5000000000000003E-2</v>
      </c>
      <c r="BX138" s="27">
        <v>3.5000000000000003E-2</v>
      </c>
      <c r="BY138" s="27">
        <v>3.5000000000000003E-2</v>
      </c>
      <c r="BZ138" s="27">
        <v>3.5000000000000003E-2</v>
      </c>
      <c r="CA138" s="27">
        <v>3.5000000000000003E-2</v>
      </c>
      <c r="CB138" s="27">
        <v>3.5000000000000003E-2</v>
      </c>
      <c r="CC138" s="27">
        <v>3.5000000000000003E-2</v>
      </c>
      <c r="CD138" s="27">
        <v>3.5000000000000003E-2</v>
      </c>
      <c r="CE138" s="27">
        <v>3.5000000000000003E-2</v>
      </c>
      <c r="CF138" s="27">
        <v>3.5000000000000003E-2</v>
      </c>
      <c r="CG138" s="27">
        <v>3.5000000000000003E-2</v>
      </c>
      <c r="CH138" s="27">
        <v>3.5000000000000003E-2</v>
      </c>
      <c r="CI138" s="27">
        <v>3.5000000000000003E-2</v>
      </c>
      <c r="CJ138" s="27">
        <v>3.5000000000000003E-2</v>
      </c>
      <c r="CK138" s="27">
        <v>3.5000000000000003E-2</v>
      </c>
      <c r="CL138" s="27">
        <v>3.5000000000000003E-2</v>
      </c>
      <c r="CM138" s="27">
        <v>3.5000000000000003E-2</v>
      </c>
      <c r="CN138" s="27">
        <v>3.5000000000000003E-2</v>
      </c>
      <c r="CO138" s="27">
        <v>3.5000000000000003E-2</v>
      </c>
      <c r="CP138" s="27">
        <v>3.5000000000000003E-2</v>
      </c>
      <c r="CQ138" s="27">
        <v>3.5000000000000003E-2</v>
      </c>
      <c r="CR138" s="27">
        <v>3.5000000000000003E-2</v>
      </c>
      <c r="CS138" s="27">
        <v>3.5000000000000003E-2</v>
      </c>
      <c r="CT138" s="27">
        <v>3.5000000000000003E-2</v>
      </c>
      <c r="CU138" s="27">
        <v>3.5000000000000003E-2</v>
      </c>
      <c r="CV138" s="27">
        <v>3.5000000000000003E-2</v>
      </c>
      <c r="CW138" s="27">
        <v>3.5000000000000003E-2</v>
      </c>
      <c r="CX138" s="27">
        <v>3.5000000000000003E-2</v>
      </c>
      <c r="CY138" s="27">
        <v>3.5000000000000003E-2</v>
      </c>
      <c r="CZ138" s="27">
        <v>3.5000000000000003E-2</v>
      </c>
      <c r="DA138" s="27">
        <v>3.5000000000000003E-2</v>
      </c>
      <c r="DB138" s="27">
        <v>3.5000000000000003E-2</v>
      </c>
      <c r="DC138" s="27">
        <v>3.5000000000000003E-2</v>
      </c>
      <c r="DD138" s="27">
        <v>3.5000000000000003E-2</v>
      </c>
      <c r="DE138" s="27">
        <v>3.5000000000000003E-2</v>
      </c>
      <c r="DF138" s="27">
        <v>3.5000000000000003E-2</v>
      </c>
      <c r="DG138" s="27">
        <v>3.5000000000000003E-2</v>
      </c>
      <c r="DH138" s="27">
        <v>3.5000000000000003E-2</v>
      </c>
      <c r="DI138" s="27">
        <v>3.5000000000000003E-2</v>
      </c>
      <c r="DJ138" s="27">
        <v>3.5000000000000003E-2</v>
      </c>
      <c r="DK138" s="27">
        <v>3.5000000000000003E-2</v>
      </c>
      <c r="DL138" s="27">
        <v>3.5000000000000003E-2</v>
      </c>
      <c r="DM138" s="27">
        <v>3.5000000000000003E-2</v>
      </c>
      <c r="DN138" s="27">
        <v>3.5000000000000003E-2</v>
      </c>
      <c r="DO138" s="27">
        <v>3.5000000000000003E-2</v>
      </c>
      <c r="DP138" s="27">
        <v>3.5000000000000003E-2</v>
      </c>
      <c r="DQ138" s="27">
        <v>3.5000000000000003E-2</v>
      </c>
      <c r="DR138" s="27">
        <v>3.5000000000000003E-2</v>
      </c>
      <c r="DS138" s="27">
        <v>3.5000000000000003E-2</v>
      </c>
      <c r="DT138" s="27">
        <v>3.5000000000000003E-2</v>
      </c>
      <c r="DU138" s="27">
        <v>3.5000000000000003E-2</v>
      </c>
      <c r="DV138" s="27">
        <v>3.5000000000000003E-2</v>
      </c>
      <c r="DW138" s="27">
        <v>3.5000000000000003E-2</v>
      </c>
      <c r="DX138" s="27">
        <v>3.5000000000000003E-2</v>
      </c>
      <c r="DY138" s="27">
        <v>3.5000000000000003E-2</v>
      </c>
      <c r="DZ138" s="27">
        <v>3.5000000000000003E-2</v>
      </c>
      <c r="EA138" s="27">
        <v>3.5000000000000003E-2</v>
      </c>
      <c r="EB138" s="27">
        <v>3.5000000000000003E-2</v>
      </c>
      <c r="EC138" s="27">
        <v>3.5000000000000003E-2</v>
      </c>
      <c r="ED138" s="27">
        <v>3.5000000000000003E-2</v>
      </c>
      <c r="EE138" s="27">
        <v>3.5000000000000003E-2</v>
      </c>
      <c r="EF138" s="27">
        <v>3.5000000000000003E-2</v>
      </c>
      <c r="EG138" s="27">
        <v>3.5000000000000003E-2</v>
      </c>
      <c r="EH138" s="27">
        <v>3.5000000000000003E-2</v>
      </c>
      <c r="EI138" s="27">
        <v>3.5000000000000003E-2</v>
      </c>
      <c r="EJ138" s="27">
        <v>3.5000000000000003E-2</v>
      </c>
      <c r="EK138" s="27">
        <v>3.5000000000000003E-2</v>
      </c>
      <c r="EL138" s="27">
        <v>3.5000000000000003E-2</v>
      </c>
      <c r="EM138" s="27">
        <v>3.5000000000000003E-2</v>
      </c>
      <c r="EN138" s="27">
        <v>3.5000000000000003E-2</v>
      </c>
      <c r="EO138" s="27">
        <v>3.5000000000000003E-2</v>
      </c>
      <c r="EP138" s="27">
        <v>3.5000000000000003E-2</v>
      </c>
      <c r="EQ138" s="27">
        <v>3.5000000000000003E-2</v>
      </c>
      <c r="ER138" s="27">
        <v>3.5000000000000003E-2</v>
      </c>
      <c r="ES138" s="27">
        <v>3.5000000000000003E-2</v>
      </c>
      <c r="ET138" s="27">
        <v>3.5000000000000003E-2</v>
      </c>
      <c r="EU138" s="27">
        <v>3.5000000000000003E-2</v>
      </c>
      <c r="EV138" s="27">
        <v>3.5000000000000003E-2</v>
      </c>
      <c r="EW138" s="27">
        <v>3.5000000000000003E-2</v>
      </c>
      <c r="EX138" s="27">
        <v>3.5000000000000003E-2</v>
      </c>
      <c r="EY138" s="27">
        <v>3.5000000000000003E-2</v>
      </c>
      <c r="EZ138" s="27">
        <v>3.5000000000000003E-2</v>
      </c>
      <c r="FA138" s="27">
        <v>3.5000000000000003E-2</v>
      </c>
      <c r="FB138" s="27">
        <v>3.5000000000000003E-2</v>
      </c>
      <c r="FC138" s="27">
        <v>3.5000000000000003E-2</v>
      </c>
      <c r="FD138" s="27">
        <v>3.5000000000000003E-2</v>
      </c>
      <c r="FE138" s="27">
        <v>3.5000000000000003E-2</v>
      </c>
      <c r="FF138" s="27">
        <v>3.5000000000000003E-2</v>
      </c>
      <c r="FG138" s="27">
        <v>3.5000000000000003E-2</v>
      </c>
      <c r="FH138" s="27">
        <v>3.5000000000000003E-2</v>
      </c>
      <c r="FI138" s="27">
        <v>3.5000000000000003E-2</v>
      </c>
      <c r="FJ138" s="27">
        <v>3.5000000000000003E-2</v>
      </c>
      <c r="FK138" s="27">
        <v>3.5000000000000003E-2</v>
      </c>
      <c r="FL138" s="27">
        <v>3.5000000000000003E-2</v>
      </c>
      <c r="FM138" s="27">
        <v>3.5000000000000003E-2</v>
      </c>
      <c r="FN138" s="27">
        <v>3.5000000000000003E-2</v>
      </c>
      <c r="FO138" s="27">
        <v>3.5000000000000003E-2</v>
      </c>
      <c r="FP138" s="27">
        <v>3.5000000000000003E-2</v>
      </c>
      <c r="FQ138" s="27">
        <v>3.5000000000000003E-2</v>
      </c>
      <c r="FR138" s="27">
        <v>3.5000000000000003E-2</v>
      </c>
      <c r="FS138" s="27">
        <v>3.5000000000000003E-2</v>
      </c>
      <c r="FT138" s="27">
        <v>3.5000000000000003E-2</v>
      </c>
      <c r="FU138" s="27">
        <v>3.5000000000000003E-2</v>
      </c>
      <c r="FV138" s="27">
        <v>3.5000000000000003E-2</v>
      </c>
      <c r="FW138" s="27">
        <v>3.5000000000000003E-2</v>
      </c>
      <c r="FX138" s="27">
        <v>3.5000000000000003E-2</v>
      </c>
      <c r="FY138" s="27">
        <v>3.5000000000000003E-2</v>
      </c>
      <c r="FZ138" s="27">
        <v>3.5000000000000003E-2</v>
      </c>
      <c r="GA138" s="27">
        <v>3.5000000000000003E-2</v>
      </c>
      <c r="GB138" s="27">
        <v>3.5000000000000003E-2</v>
      </c>
      <c r="GC138" s="27">
        <v>3.5000000000000003E-2</v>
      </c>
      <c r="GD138" s="27">
        <v>3.5000000000000003E-2</v>
      </c>
      <c r="GE138" s="27">
        <v>3.5000000000000003E-2</v>
      </c>
      <c r="GF138" s="27">
        <v>3.5000000000000003E-2</v>
      </c>
      <c r="GG138" s="27">
        <v>3.5000000000000003E-2</v>
      </c>
      <c r="GH138" s="27">
        <v>3.5000000000000003E-2</v>
      </c>
      <c r="GI138" s="27">
        <v>3.5000000000000003E-2</v>
      </c>
      <c r="GJ138" s="27">
        <v>3.5000000000000003E-2</v>
      </c>
      <c r="GK138" s="27">
        <v>3.5000000000000003E-2</v>
      </c>
      <c r="GL138" s="27">
        <v>3.5000000000000003E-2</v>
      </c>
      <c r="GM138" s="27">
        <v>3.5000000000000003E-2</v>
      </c>
      <c r="GN138" s="27">
        <v>3.5000000000000003E-2</v>
      </c>
      <c r="GO138" s="27">
        <v>3.5000000000000003E-2</v>
      </c>
      <c r="GP138" s="27">
        <v>3.5000000000000003E-2</v>
      </c>
      <c r="GQ138" s="27">
        <v>3.5000000000000003E-2</v>
      </c>
      <c r="GR138" s="27">
        <v>3.5000000000000003E-2</v>
      </c>
      <c r="GS138" s="27">
        <v>3.5000000000000003E-2</v>
      </c>
      <c r="GT138" s="27">
        <v>3.5000000000000003E-2</v>
      </c>
      <c r="GU138" s="27">
        <v>3.5000000000000003E-2</v>
      </c>
      <c r="GV138" s="27">
        <v>3.5000000000000003E-2</v>
      </c>
      <c r="GW138" s="27">
        <v>3.5000000000000003E-2</v>
      </c>
      <c r="GX138" s="27">
        <v>3.5000000000000003E-2</v>
      </c>
      <c r="GY138" s="27">
        <v>3.5000000000000003E-2</v>
      </c>
      <c r="GZ138" s="27">
        <v>3.5000000000000003E-2</v>
      </c>
      <c r="HA138" s="27">
        <v>3.5000000000000003E-2</v>
      </c>
      <c r="HB138" s="27">
        <v>3.5000000000000003E-2</v>
      </c>
      <c r="HC138" s="27">
        <v>3.5000000000000003E-2</v>
      </c>
      <c r="HD138" s="27">
        <v>3.5000000000000003E-2</v>
      </c>
      <c r="HE138" s="27">
        <v>3.5000000000000003E-2</v>
      </c>
      <c r="HF138" s="27">
        <v>3.5000000000000003E-2</v>
      </c>
      <c r="HG138" s="27">
        <v>3.5000000000000003E-2</v>
      </c>
      <c r="HH138" s="27">
        <v>3.5000000000000003E-2</v>
      </c>
      <c r="HI138" s="27">
        <v>3.5000000000000003E-2</v>
      </c>
      <c r="HJ138" s="27">
        <v>3.5000000000000003E-2</v>
      </c>
      <c r="HK138" s="27">
        <v>3.5000000000000003E-2</v>
      </c>
      <c r="HL138" s="27">
        <v>3.5000000000000003E-2</v>
      </c>
      <c r="HM138" s="27">
        <v>3.5000000000000003E-2</v>
      </c>
      <c r="HN138" s="27">
        <v>3.5000000000000003E-2</v>
      </c>
      <c r="HO138" s="27">
        <v>3.5000000000000003E-2</v>
      </c>
      <c r="HP138" s="27">
        <v>3.5000000000000003E-2</v>
      </c>
      <c r="HQ138" s="27">
        <v>3.5000000000000003E-2</v>
      </c>
      <c r="HR138" s="27">
        <v>3.5000000000000003E-2</v>
      </c>
      <c r="HS138" s="27">
        <v>3.5000000000000003E-2</v>
      </c>
      <c r="HT138" s="27">
        <v>3.5000000000000003E-2</v>
      </c>
      <c r="HU138" s="27">
        <v>3.5000000000000003E-2</v>
      </c>
      <c r="HV138" s="27">
        <v>3.5000000000000003E-2</v>
      </c>
      <c r="HW138" s="27">
        <v>3.5000000000000003E-2</v>
      </c>
      <c r="HX138" s="27">
        <v>3.5000000000000003E-2</v>
      </c>
      <c r="HY138" s="27">
        <v>3.5000000000000003E-2</v>
      </c>
      <c r="HZ138" s="27">
        <v>3.5000000000000003E-2</v>
      </c>
      <c r="IA138" s="27">
        <v>3.5000000000000003E-2</v>
      </c>
      <c r="IB138" s="27">
        <v>3.5000000000000003E-2</v>
      </c>
      <c r="IC138" s="27">
        <v>3.5000000000000003E-2</v>
      </c>
      <c r="ID138" s="27">
        <v>3.5000000000000003E-2</v>
      </c>
      <c r="IE138" s="27">
        <v>3.5000000000000003E-2</v>
      </c>
      <c r="IF138" s="27">
        <v>3.5000000000000003E-2</v>
      </c>
      <c r="IG138" s="27">
        <v>3.5000000000000003E-2</v>
      </c>
      <c r="IH138" s="27">
        <v>3.5000000000000003E-2</v>
      </c>
      <c r="II138" s="27">
        <v>3.5000000000000003E-2</v>
      </c>
      <c r="IJ138" s="27">
        <v>3.5000000000000003E-2</v>
      </c>
      <c r="IK138" s="27">
        <v>3.5000000000000003E-2</v>
      </c>
      <c r="IL138" s="27">
        <v>3.5000000000000003E-2</v>
      </c>
      <c r="IM138" s="27">
        <v>3.5000000000000003E-2</v>
      </c>
      <c r="IN138" s="27">
        <v>3.5000000000000003E-2</v>
      </c>
      <c r="IO138" s="27">
        <v>3.5000000000000003E-2</v>
      </c>
      <c r="IP138" s="27">
        <v>3.5000000000000003E-2</v>
      </c>
      <c r="IQ138" s="27">
        <v>3.5000000000000003E-2</v>
      </c>
      <c r="IR138" s="27">
        <v>3.5000000000000003E-2</v>
      </c>
      <c r="IS138" s="27">
        <v>3.5000000000000003E-2</v>
      </c>
      <c r="IT138" s="27">
        <v>3.5000000000000003E-2</v>
      </c>
      <c r="IU138" s="27">
        <v>3.5000000000000003E-2</v>
      </c>
      <c r="IV138" s="27">
        <v>3.5000000000000003E-2</v>
      </c>
      <c r="IW138" s="27">
        <v>3.5000000000000003E-2</v>
      </c>
      <c r="IX138" s="27">
        <v>3.5000000000000003E-2</v>
      </c>
      <c r="IY138" s="27">
        <v>3.5000000000000003E-2</v>
      </c>
      <c r="IZ138" s="27">
        <v>3.5000000000000003E-2</v>
      </c>
      <c r="JA138" s="27">
        <v>3.5000000000000003E-2</v>
      </c>
      <c r="JB138" s="27">
        <v>3.5000000000000003E-2</v>
      </c>
      <c r="JC138" s="27">
        <v>3.5000000000000003E-2</v>
      </c>
      <c r="JD138" s="27">
        <v>3.5000000000000003E-2</v>
      </c>
      <c r="JE138" s="27">
        <v>3.5000000000000003E-2</v>
      </c>
      <c r="JF138" s="27">
        <v>3.5000000000000003E-2</v>
      </c>
      <c r="JG138" s="27">
        <v>3.5000000000000003E-2</v>
      </c>
      <c r="JH138" s="27">
        <v>3.5000000000000003E-2</v>
      </c>
      <c r="JI138" s="27">
        <v>3.5000000000000003E-2</v>
      </c>
      <c r="JJ138" s="27">
        <v>3.5000000000000003E-2</v>
      </c>
      <c r="JK138" s="27">
        <v>3.5000000000000003E-2</v>
      </c>
      <c r="JL138" s="27">
        <v>3.5000000000000003E-2</v>
      </c>
      <c r="JM138" s="27">
        <v>3.5000000000000003E-2</v>
      </c>
      <c r="JN138" s="27">
        <v>3.5000000000000003E-2</v>
      </c>
      <c r="JO138" s="27">
        <v>3.5000000000000003E-2</v>
      </c>
      <c r="JP138" s="27">
        <v>3.5000000000000003E-2</v>
      </c>
      <c r="JQ138" s="27">
        <v>3.5000000000000003E-2</v>
      </c>
      <c r="JR138" s="27">
        <v>3.5000000000000003E-2</v>
      </c>
      <c r="JS138" s="27">
        <v>3.5000000000000003E-2</v>
      </c>
      <c r="JT138" s="27">
        <v>3.5000000000000003E-2</v>
      </c>
      <c r="JU138" s="27">
        <v>3.5000000000000003E-2</v>
      </c>
      <c r="JV138" s="27">
        <v>3.5000000000000003E-2</v>
      </c>
      <c r="JW138" s="27">
        <v>3.5000000000000003E-2</v>
      </c>
      <c r="JX138" s="27">
        <v>3.5000000000000003E-2</v>
      </c>
      <c r="JY138" s="27">
        <v>3.5000000000000003E-2</v>
      </c>
      <c r="JZ138" s="27">
        <v>3.5000000000000003E-2</v>
      </c>
      <c r="KA138" s="27">
        <v>3.5000000000000003E-2</v>
      </c>
      <c r="KB138" s="27">
        <v>3.5000000000000003E-2</v>
      </c>
      <c r="KC138" s="27">
        <v>3.5000000000000003E-2</v>
      </c>
      <c r="KD138" s="27">
        <v>3.5000000000000003E-2</v>
      </c>
      <c r="KE138" s="27">
        <v>3.5000000000000003E-2</v>
      </c>
      <c r="KF138" s="27">
        <v>3.5000000000000003E-2</v>
      </c>
    </row>
    <row r="139" spans="5:292" outlineLevel="1" x14ac:dyDescent="0.35">
      <c r="E139" s="13" t="s">
        <v>55</v>
      </c>
      <c r="J139" s="15" t="s">
        <v>33</v>
      </c>
      <c r="K139" s="27">
        <v>3.5000000000000003E-2</v>
      </c>
      <c r="L139" s="27">
        <v>3.5000000000000003E-2</v>
      </c>
      <c r="M139" s="27">
        <v>3.5000000000000003E-2</v>
      </c>
      <c r="N139" s="27">
        <v>3.5000000000000003E-2</v>
      </c>
      <c r="O139" s="27">
        <v>3.5000000000000003E-2</v>
      </c>
      <c r="P139" s="27">
        <v>3.5000000000000003E-2</v>
      </c>
      <c r="Q139" s="27">
        <v>3.5000000000000003E-2</v>
      </c>
      <c r="R139" s="27">
        <v>3.5000000000000003E-2</v>
      </c>
      <c r="S139" s="27">
        <v>3.5000000000000003E-2</v>
      </c>
      <c r="T139" s="27">
        <v>3.5000000000000003E-2</v>
      </c>
      <c r="U139" s="27">
        <v>3.5000000000000003E-2</v>
      </c>
      <c r="V139" s="27">
        <v>3.5000000000000003E-2</v>
      </c>
      <c r="W139" s="27">
        <v>3.5000000000000003E-2</v>
      </c>
      <c r="X139" s="27">
        <v>3.5000000000000003E-2</v>
      </c>
      <c r="Y139" s="27">
        <v>3.5000000000000003E-2</v>
      </c>
      <c r="Z139" s="27">
        <v>3.5000000000000003E-2</v>
      </c>
      <c r="AA139" s="27">
        <v>3.5000000000000003E-2</v>
      </c>
      <c r="AB139" s="27">
        <v>3.5000000000000003E-2</v>
      </c>
      <c r="AC139" s="27">
        <v>3.5000000000000003E-2</v>
      </c>
      <c r="AD139" s="27">
        <v>3.5000000000000003E-2</v>
      </c>
      <c r="AE139" s="27">
        <v>3.5000000000000003E-2</v>
      </c>
      <c r="AF139" s="27">
        <v>3.5000000000000003E-2</v>
      </c>
      <c r="AG139" s="27">
        <v>3.5000000000000003E-2</v>
      </c>
      <c r="AH139" s="27">
        <v>3.5000000000000003E-2</v>
      </c>
      <c r="AI139" s="27">
        <v>3.5000000000000003E-2</v>
      </c>
      <c r="AJ139" s="27">
        <v>3.5000000000000003E-2</v>
      </c>
      <c r="AK139" s="27">
        <v>3.5000000000000003E-2</v>
      </c>
      <c r="AL139" s="27">
        <v>3.5000000000000003E-2</v>
      </c>
      <c r="AM139" s="27">
        <v>3.5000000000000003E-2</v>
      </c>
      <c r="AN139" s="27">
        <v>3.5000000000000003E-2</v>
      </c>
      <c r="AO139" s="27">
        <v>3.5000000000000003E-2</v>
      </c>
      <c r="AP139" s="27">
        <v>3.5000000000000003E-2</v>
      </c>
      <c r="AQ139" s="27">
        <v>3.5000000000000003E-2</v>
      </c>
      <c r="AR139" s="27">
        <v>3.5000000000000003E-2</v>
      </c>
      <c r="AS139" s="27">
        <v>3.5000000000000003E-2</v>
      </c>
      <c r="AT139" s="27">
        <v>3.5000000000000003E-2</v>
      </c>
      <c r="AU139" s="27">
        <v>3.5000000000000003E-2</v>
      </c>
      <c r="AV139" s="27">
        <v>3.5000000000000003E-2</v>
      </c>
      <c r="AW139" s="27">
        <v>3.5000000000000003E-2</v>
      </c>
      <c r="AX139" s="27">
        <v>3.5000000000000003E-2</v>
      </c>
      <c r="AY139" s="27">
        <v>3.5000000000000003E-2</v>
      </c>
      <c r="AZ139" s="27">
        <v>3.5000000000000003E-2</v>
      </c>
      <c r="BA139" s="27">
        <v>3.5000000000000003E-2</v>
      </c>
      <c r="BB139" s="27">
        <v>3.5000000000000003E-2</v>
      </c>
      <c r="BC139" s="27">
        <v>3.5000000000000003E-2</v>
      </c>
      <c r="BD139" s="27">
        <v>3.5000000000000003E-2</v>
      </c>
      <c r="BE139" s="27">
        <v>3.5000000000000003E-2</v>
      </c>
      <c r="BF139" s="27">
        <v>3.5000000000000003E-2</v>
      </c>
      <c r="BG139" s="27">
        <v>3.5000000000000003E-2</v>
      </c>
      <c r="BH139" s="27">
        <v>3.5000000000000003E-2</v>
      </c>
      <c r="BI139" s="27">
        <v>3.5000000000000003E-2</v>
      </c>
      <c r="BJ139" s="27">
        <v>3.5000000000000003E-2</v>
      </c>
      <c r="BK139" s="27">
        <v>3.5000000000000003E-2</v>
      </c>
      <c r="BL139" s="27">
        <v>3.5000000000000003E-2</v>
      </c>
      <c r="BM139" s="27">
        <v>3.5000000000000003E-2</v>
      </c>
      <c r="BN139" s="27">
        <v>3.5000000000000003E-2</v>
      </c>
      <c r="BO139" s="27">
        <v>3.5000000000000003E-2</v>
      </c>
      <c r="BP139" s="27">
        <v>3.5000000000000003E-2</v>
      </c>
      <c r="BQ139" s="27">
        <v>3.5000000000000003E-2</v>
      </c>
      <c r="BR139" s="27">
        <v>3.5000000000000003E-2</v>
      </c>
      <c r="BS139" s="27">
        <v>3.5000000000000003E-2</v>
      </c>
      <c r="BT139" s="27">
        <v>3.5000000000000003E-2</v>
      </c>
      <c r="BU139" s="27">
        <v>3.5000000000000003E-2</v>
      </c>
      <c r="BV139" s="27">
        <v>3.5000000000000003E-2</v>
      </c>
      <c r="BW139" s="27">
        <v>3.5000000000000003E-2</v>
      </c>
      <c r="BX139" s="27">
        <v>3.5000000000000003E-2</v>
      </c>
      <c r="BY139" s="27">
        <v>3.5000000000000003E-2</v>
      </c>
      <c r="BZ139" s="27">
        <v>3.5000000000000003E-2</v>
      </c>
      <c r="CA139" s="27">
        <v>3.5000000000000003E-2</v>
      </c>
      <c r="CB139" s="27">
        <v>3.5000000000000003E-2</v>
      </c>
      <c r="CC139" s="27">
        <v>3.5000000000000003E-2</v>
      </c>
      <c r="CD139" s="27">
        <v>3.5000000000000003E-2</v>
      </c>
      <c r="CE139" s="27">
        <v>3.5000000000000003E-2</v>
      </c>
      <c r="CF139" s="27">
        <v>3.5000000000000003E-2</v>
      </c>
      <c r="CG139" s="27">
        <v>3.5000000000000003E-2</v>
      </c>
      <c r="CH139" s="27">
        <v>3.5000000000000003E-2</v>
      </c>
      <c r="CI139" s="27">
        <v>3.5000000000000003E-2</v>
      </c>
      <c r="CJ139" s="27">
        <v>3.5000000000000003E-2</v>
      </c>
      <c r="CK139" s="27">
        <v>3.5000000000000003E-2</v>
      </c>
      <c r="CL139" s="27">
        <v>3.5000000000000003E-2</v>
      </c>
      <c r="CM139" s="27">
        <v>3.5000000000000003E-2</v>
      </c>
      <c r="CN139" s="27">
        <v>3.5000000000000003E-2</v>
      </c>
      <c r="CO139" s="27">
        <v>3.5000000000000003E-2</v>
      </c>
      <c r="CP139" s="27">
        <v>3.5000000000000003E-2</v>
      </c>
      <c r="CQ139" s="27">
        <v>3.5000000000000003E-2</v>
      </c>
      <c r="CR139" s="27">
        <v>3.5000000000000003E-2</v>
      </c>
      <c r="CS139" s="27">
        <v>3.5000000000000003E-2</v>
      </c>
      <c r="CT139" s="27">
        <v>3.5000000000000003E-2</v>
      </c>
      <c r="CU139" s="27">
        <v>3.5000000000000003E-2</v>
      </c>
      <c r="CV139" s="27">
        <v>3.5000000000000003E-2</v>
      </c>
      <c r="CW139" s="27">
        <v>3.5000000000000003E-2</v>
      </c>
      <c r="CX139" s="27">
        <v>3.5000000000000003E-2</v>
      </c>
      <c r="CY139" s="27">
        <v>3.5000000000000003E-2</v>
      </c>
      <c r="CZ139" s="27">
        <v>3.5000000000000003E-2</v>
      </c>
      <c r="DA139" s="27">
        <v>3.5000000000000003E-2</v>
      </c>
      <c r="DB139" s="27">
        <v>3.5000000000000003E-2</v>
      </c>
      <c r="DC139" s="27">
        <v>3.5000000000000003E-2</v>
      </c>
      <c r="DD139" s="27">
        <v>3.5000000000000003E-2</v>
      </c>
      <c r="DE139" s="27">
        <v>3.5000000000000003E-2</v>
      </c>
      <c r="DF139" s="27">
        <v>3.5000000000000003E-2</v>
      </c>
      <c r="DG139" s="27">
        <v>3.5000000000000003E-2</v>
      </c>
      <c r="DH139" s="27">
        <v>3.5000000000000003E-2</v>
      </c>
      <c r="DI139" s="27">
        <v>3.5000000000000003E-2</v>
      </c>
      <c r="DJ139" s="27">
        <v>3.5000000000000003E-2</v>
      </c>
      <c r="DK139" s="27">
        <v>3.5000000000000003E-2</v>
      </c>
      <c r="DL139" s="27">
        <v>3.5000000000000003E-2</v>
      </c>
      <c r="DM139" s="27">
        <v>3.5000000000000003E-2</v>
      </c>
      <c r="DN139" s="27">
        <v>3.5000000000000003E-2</v>
      </c>
      <c r="DO139" s="27">
        <v>3.5000000000000003E-2</v>
      </c>
      <c r="DP139" s="27">
        <v>3.5000000000000003E-2</v>
      </c>
      <c r="DQ139" s="27">
        <v>3.5000000000000003E-2</v>
      </c>
      <c r="DR139" s="27">
        <v>3.5000000000000003E-2</v>
      </c>
      <c r="DS139" s="27">
        <v>3.5000000000000003E-2</v>
      </c>
      <c r="DT139" s="27">
        <v>3.5000000000000003E-2</v>
      </c>
      <c r="DU139" s="27">
        <v>3.5000000000000003E-2</v>
      </c>
      <c r="DV139" s="27">
        <v>3.5000000000000003E-2</v>
      </c>
      <c r="DW139" s="27">
        <v>3.5000000000000003E-2</v>
      </c>
      <c r="DX139" s="27">
        <v>3.5000000000000003E-2</v>
      </c>
      <c r="DY139" s="27">
        <v>3.5000000000000003E-2</v>
      </c>
      <c r="DZ139" s="27">
        <v>3.5000000000000003E-2</v>
      </c>
      <c r="EA139" s="27">
        <v>3.5000000000000003E-2</v>
      </c>
      <c r="EB139" s="27">
        <v>3.5000000000000003E-2</v>
      </c>
      <c r="EC139" s="27">
        <v>3.5000000000000003E-2</v>
      </c>
      <c r="ED139" s="27">
        <v>3.5000000000000003E-2</v>
      </c>
      <c r="EE139" s="27">
        <v>3.5000000000000003E-2</v>
      </c>
      <c r="EF139" s="27">
        <v>3.5000000000000003E-2</v>
      </c>
      <c r="EG139" s="27">
        <v>3.5000000000000003E-2</v>
      </c>
      <c r="EH139" s="27">
        <v>3.5000000000000003E-2</v>
      </c>
      <c r="EI139" s="27">
        <v>3.5000000000000003E-2</v>
      </c>
      <c r="EJ139" s="27">
        <v>3.5000000000000003E-2</v>
      </c>
      <c r="EK139" s="27">
        <v>3.5000000000000003E-2</v>
      </c>
      <c r="EL139" s="27">
        <v>3.5000000000000003E-2</v>
      </c>
      <c r="EM139" s="27">
        <v>3.5000000000000003E-2</v>
      </c>
      <c r="EN139" s="27">
        <v>3.5000000000000003E-2</v>
      </c>
      <c r="EO139" s="27">
        <v>3.5000000000000003E-2</v>
      </c>
      <c r="EP139" s="27">
        <v>3.5000000000000003E-2</v>
      </c>
      <c r="EQ139" s="27">
        <v>3.5000000000000003E-2</v>
      </c>
      <c r="ER139" s="27">
        <v>3.5000000000000003E-2</v>
      </c>
      <c r="ES139" s="27">
        <v>3.5000000000000003E-2</v>
      </c>
      <c r="ET139" s="27">
        <v>3.5000000000000003E-2</v>
      </c>
      <c r="EU139" s="27">
        <v>3.5000000000000003E-2</v>
      </c>
      <c r="EV139" s="27">
        <v>3.5000000000000003E-2</v>
      </c>
      <c r="EW139" s="27">
        <v>3.5000000000000003E-2</v>
      </c>
      <c r="EX139" s="27">
        <v>3.5000000000000003E-2</v>
      </c>
      <c r="EY139" s="27">
        <v>3.5000000000000003E-2</v>
      </c>
      <c r="EZ139" s="27">
        <v>3.5000000000000003E-2</v>
      </c>
      <c r="FA139" s="27">
        <v>3.5000000000000003E-2</v>
      </c>
      <c r="FB139" s="27">
        <v>3.5000000000000003E-2</v>
      </c>
      <c r="FC139" s="27">
        <v>3.5000000000000003E-2</v>
      </c>
      <c r="FD139" s="27">
        <v>3.5000000000000003E-2</v>
      </c>
      <c r="FE139" s="27">
        <v>3.5000000000000003E-2</v>
      </c>
      <c r="FF139" s="27">
        <v>3.5000000000000003E-2</v>
      </c>
      <c r="FG139" s="27">
        <v>3.5000000000000003E-2</v>
      </c>
      <c r="FH139" s="27">
        <v>3.5000000000000003E-2</v>
      </c>
      <c r="FI139" s="27">
        <v>3.5000000000000003E-2</v>
      </c>
      <c r="FJ139" s="27">
        <v>3.5000000000000003E-2</v>
      </c>
      <c r="FK139" s="27">
        <v>3.5000000000000003E-2</v>
      </c>
      <c r="FL139" s="27">
        <v>3.5000000000000003E-2</v>
      </c>
      <c r="FM139" s="27">
        <v>3.5000000000000003E-2</v>
      </c>
      <c r="FN139" s="27">
        <v>3.5000000000000003E-2</v>
      </c>
      <c r="FO139" s="27">
        <v>3.5000000000000003E-2</v>
      </c>
      <c r="FP139" s="27">
        <v>3.5000000000000003E-2</v>
      </c>
      <c r="FQ139" s="27">
        <v>3.5000000000000003E-2</v>
      </c>
      <c r="FR139" s="27">
        <v>3.5000000000000003E-2</v>
      </c>
      <c r="FS139" s="27">
        <v>3.5000000000000003E-2</v>
      </c>
      <c r="FT139" s="27">
        <v>3.5000000000000003E-2</v>
      </c>
      <c r="FU139" s="27">
        <v>3.5000000000000003E-2</v>
      </c>
      <c r="FV139" s="27">
        <v>3.5000000000000003E-2</v>
      </c>
      <c r="FW139" s="27">
        <v>3.5000000000000003E-2</v>
      </c>
      <c r="FX139" s="27">
        <v>3.5000000000000003E-2</v>
      </c>
      <c r="FY139" s="27">
        <v>3.5000000000000003E-2</v>
      </c>
      <c r="FZ139" s="27">
        <v>3.5000000000000003E-2</v>
      </c>
      <c r="GA139" s="27">
        <v>3.5000000000000003E-2</v>
      </c>
      <c r="GB139" s="27">
        <v>3.5000000000000003E-2</v>
      </c>
      <c r="GC139" s="27">
        <v>3.5000000000000003E-2</v>
      </c>
      <c r="GD139" s="27">
        <v>3.5000000000000003E-2</v>
      </c>
      <c r="GE139" s="27">
        <v>3.5000000000000003E-2</v>
      </c>
      <c r="GF139" s="27">
        <v>3.5000000000000003E-2</v>
      </c>
      <c r="GG139" s="27">
        <v>3.5000000000000003E-2</v>
      </c>
      <c r="GH139" s="27">
        <v>3.5000000000000003E-2</v>
      </c>
      <c r="GI139" s="27">
        <v>3.5000000000000003E-2</v>
      </c>
      <c r="GJ139" s="27">
        <v>3.5000000000000003E-2</v>
      </c>
      <c r="GK139" s="27">
        <v>3.5000000000000003E-2</v>
      </c>
      <c r="GL139" s="27">
        <v>3.5000000000000003E-2</v>
      </c>
      <c r="GM139" s="27">
        <v>3.5000000000000003E-2</v>
      </c>
      <c r="GN139" s="27">
        <v>3.5000000000000003E-2</v>
      </c>
      <c r="GO139" s="27">
        <v>3.5000000000000003E-2</v>
      </c>
      <c r="GP139" s="27">
        <v>3.5000000000000003E-2</v>
      </c>
      <c r="GQ139" s="27">
        <v>3.5000000000000003E-2</v>
      </c>
      <c r="GR139" s="27">
        <v>3.5000000000000003E-2</v>
      </c>
      <c r="GS139" s="27">
        <v>3.5000000000000003E-2</v>
      </c>
      <c r="GT139" s="27">
        <v>3.5000000000000003E-2</v>
      </c>
      <c r="GU139" s="27">
        <v>3.5000000000000003E-2</v>
      </c>
      <c r="GV139" s="27">
        <v>3.5000000000000003E-2</v>
      </c>
      <c r="GW139" s="27">
        <v>3.5000000000000003E-2</v>
      </c>
      <c r="GX139" s="27">
        <v>3.5000000000000003E-2</v>
      </c>
      <c r="GY139" s="27">
        <v>3.5000000000000003E-2</v>
      </c>
      <c r="GZ139" s="27">
        <v>3.5000000000000003E-2</v>
      </c>
      <c r="HA139" s="27">
        <v>3.5000000000000003E-2</v>
      </c>
      <c r="HB139" s="27">
        <v>3.5000000000000003E-2</v>
      </c>
      <c r="HC139" s="27">
        <v>3.5000000000000003E-2</v>
      </c>
      <c r="HD139" s="27">
        <v>3.5000000000000003E-2</v>
      </c>
      <c r="HE139" s="27">
        <v>3.5000000000000003E-2</v>
      </c>
      <c r="HF139" s="27">
        <v>3.5000000000000003E-2</v>
      </c>
      <c r="HG139" s="27">
        <v>3.5000000000000003E-2</v>
      </c>
      <c r="HH139" s="27">
        <v>3.5000000000000003E-2</v>
      </c>
      <c r="HI139" s="27">
        <v>3.5000000000000003E-2</v>
      </c>
      <c r="HJ139" s="27">
        <v>3.5000000000000003E-2</v>
      </c>
      <c r="HK139" s="27">
        <v>3.5000000000000003E-2</v>
      </c>
      <c r="HL139" s="27">
        <v>3.5000000000000003E-2</v>
      </c>
      <c r="HM139" s="27">
        <v>3.5000000000000003E-2</v>
      </c>
      <c r="HN139" s="27">
        <v>3.5000000000000003E-2</v>
      </c>
      <c r="HO139" s="27">
        <v>3.5000000000000003E-2</v>
      </c>
      <c r="HP139" s="27">
        <v>3.5000000000000003E-2</v>
      </c>
      <c r="HQ139" s="27">
        <v>3.5000000000000003E-2</v>
      </c>
      <c r="HR139" s="27">
        <v>3.5000000000000003E-2</v>
      </c>
      <c r="HS139" s="27">
        <v>3.5000000000000003E-2</v>
      </c>
      <c r="HT139" s="27">
        <v>3.5000000000000003E-2</v>
      </c>
      <c r="HU139" s="27">
        <v>3.5000000000000003E-2</v>
      </c>
      <c r="HV139" s="27">
        <v>3.5000000000000003E-2</v>
      </c>
      <c r="HW139" s="27">
        <v>3.5000000000000003E-2</v>
      </c>
      <c r="HX139" s="27">
        <v>3.5000000000000003E-2</v>
      </c>
      <c r="HY139" s="27">
        <v>3.5000000000000003E-2</v>
      </c>
      <c r="HZ139" s="27">
        <v>3.5000000000000003E-2</v>
      </c>
      <c r="IA139" s="27">
        <v>3.5000000000000003E-2</v>
      </c>
      <c r="IB139" s="27">
        <v>3.5000000000000003E-2</v>
      </c>
      <c r="IC139" s="27">
        <v>3.5000000000000003E-2</v>
      </c>
      <c r="ID139" s="27">
        <v>3.5000000000000003E-2</v>
      </c>
      <c r="IE139" s="27">
        <v>3.5000000000000003E-2</v>
      </c>
      <c r="IF139" s="27">
        <v>3.5000000000000003E-2</v>
      </c>
      <c r="IG139" s="27">
        <v>3.5000000000000003E-2</v>
      </c>
      <c r="IH139" s="27">
        <v>3.5000000000000003E-2</v>
      </c>
      <c r="II139" s="27">
        <v>3.5000000000000003E-2</v>
      </c>
      <c r="IJ139" s="27">
        <v>3.5000000000000003E-2</v>
      </c>
      <c r="IK139" s="27">
        <v>3.5000000000000003E-2</v>
      </c>
      <c r="IL139" s="27">
        <v>3.5000000000000003E-2</v>
      </c>
      <c r="IM139" s="27">
        <v>3.5000000000000003E-2</v>
      </c>
      <c r="IN139" s="27">
        <v>3.5000000000000003E-2</v>
      </c>
      <c r="IO139" s="27">
        <v>3.5000000000000003E-2</v>
      </c>
      <c r="IP139" s="27">
        <v>3.5000000000000003E-2</v>
      </c>
      <c r="IQ139" s="27">
        <v>3.5000000000000003E-2</v>
      </c>
      <c r="IR139" s="27">
        <v>3.5000000000000003E-2</v>
      </c>
      <c r="IS139" s="27">
        <v>3.5000000000000003E-2</v>
      </c>
      <c r="IT139" s="27">
        <v>3.5000000000000003E-2</v>
      </c>
      <c r="IU139" s="27">
        <v>3.5000000000000003E-2</v>
      </c>
      <c r="IV139" s="27">
        <v>3.5000000000000003E-2</v>
      </c>
      <c r="IW139" s="27">
        <v>3.5000000000000003E-2</v>
      </c>
      <c r="IX139" s="27">
        <v>3.5000000000000003E-2</v>
      </c>
      <c r="IY139" s="27">
        <v>3.5000000000000003E-2</v>
      </c>
      <c r="IZ139" s="27">
        <v>3.5000000000000003E-2</v>
      </c>
      <c r="JA139" s="27">
        <v>3.5000000000000003E-2</v>
      </c>
      <c r="JB139" s="27">
        <v>3.5000000000000003E-2</v>
      </c>
      <c r="JC139" s="27">
        <v>3.5000000000000003E-2</v>
      </c>
      <c r="JD139" s="27">
        <v>3.5000000000000003E-2</v>
      </c>
      <c r="JE139" s="27">
        <v>3.5000000000000003E-2</v>
      </c>
      <c r="JF139" s="27">
        <v>3.5000000000000003E-2</v>
      </c>
      <c r="JG139" s="27">
        <v>3.5000000000000003E-2</v>
      </c>
      <c r="JH139" s="27">
        <v>3.5000000000000003E-2</v>
      </c>
      <c r="JI139" s="27">
        <v>3.5000000000000003E-2</v>
      </c>
      <c r="JJ139" s="27">
        <v>3.5000000000000003E-2</v>
      </c>
      <c r="JK139" s="27">
        <v>3.5000000000000003E-2</v>
      </c>
      <c r="JL139" s="27">
        <v>3.5000000000000003E-2</v>
      </c>
      <c r="JM139" s="27">
        <v>3.5000000000000003E-2</v>
      </c>
      <c r="JN139" s="27">
        <v>3.5000000000000003E-2</v>
      </c>
      <c r="JO139" s="27">
        <v>3.5000000000000003E-2</v>
      </c>
      <c r="JP139" s="27">
        <v>3.5000000000000003E-2</v>
      </c>
      <c r="JQ139" s="27">
        <v>3.5000000000000003E-2</v>
      </c>
      <c r="JR139" s="27">
        <v>3.5000000000000003E-2</v>
      </c>
      <c r="JS139" s="27">
        <v>3.5000000000000003E-2</v>
      </c>
      <c r="JT139" s="27">
        <v>3.5000000000000003E-2</v>
      </c>
      <c r="JU139" s="27">
        <v>3.5000000000000003E-2</v>
      </c>
      <c r="JV139" s="27">
        <v>3.5000000000000003E-2</v>
      </c>
      <c r="JW139" s="27">
        <v>3.5000000000000003E-2</v>
      </c>
      <c r="JX139" s="27">
        <v>3.5000000000000003E-2</v>
      </c>
      <c r="JY139" s="27">
        <v>3.5000000000000003E-2</v>
      </c>
      <c r="JZ139" s="27">
        <v>3.5000000000000003E-2</v>
      </c>
      <c r="KA139" s="27">
        <v>3.5000000000000003E-2</v>
      </c>
      <c r="KB139" s="27">
        <v>3.5000000000000003E-2</v>
      </c>
      <c r="KC139" s="27">
        <v>3.5000000000000003E-2</v>
      </c>
      <c r="KD139" s="27">
        <v>3.5000000000000003E-2</v>
      </c>
      <c r="KE139" s="27">
        <v>3.5000000000000003E-2</v>
      </c>
      <c r="KF139" s="27">
        <v>3.5000000000000003E-2</v>
      </c>
    </row>
    <row r="140" spans="5:292" outlineLevel="1" x14ac:dyDescent="0.35">
      <c r="E140" s="13" t="s">
        <v>55</v>
      </c>
      <c r="J140" s="15" t="s">
        <v>34</v>
      </c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  <c r="FS140" s="27"/>
      <c r="FT140" s="27"/>
      <c r="FU140" s="27"/>
      <c r="FV140" s="27"/>
      <c r="FW140" s="27"/>
      <c r="FX140" s="27"/>
      <c r="FY140" s="27"/>
      <c r="FZ140" s="27"/>
      <c r="GA140" s="27"/>
      <c r="GB140" s="27"/>
      <c r="GC140" s="27"/>
      <c r="GD140" s="27"/>
      <c r="GE140" s="27"/>
      <c r="GF140" s="27"/>
      <c r="GG140" s="27"/>
      <c r="GH140" s="27"/>
      <c r="GI140" s="27"/>
      <c r="GJ140" s="27"/>
      <c r="GK140" s="27"/>
      <c r="GL140" s="27"/>
      <c r="GM140" s="27"/>
      <c r="GN140" s="27"/>
      <c r="GO140" s="27"/>
      <c r="GP140" s="27"/>
      <c r="GQ140" s="27"/>
      <c r="GR140" s="27"/>
      <c r="GS140" s="27"/>
      <c r="GT140" s="27"/>
      <c r="GU140" s="27"/>
      <c r="GV140" s="27"/>
      <c r="GW140" s="27"/>
      <c r="GX140" s="27"/>
      <c r="GY140" s="27"/>
      <c r="GZ140" s="27"/>
      <c r="HA140" s="27"/>
      <c r="HB140" s="27"/>
      <c r="HC140" s="27"/>
      <c r="HD140" s="27"/>
      <c r="HE140" s="27"/>
      <c r="HF140" s="27"/>
      <c r="HG140" s="27"/>
      <c r="HH140" s="27"/>
      <c r="HI140" s="27"/>
      <c r="HJ140" s="27"/>
      <c r="HK140" s="27"/>
      <c r="HL140" s="27"/>
      <c r="HM140" s="27"/>
      <c r="HN140" s="27"/>
      <c r="HO140" s="27"/>
      <c r="HP140" s="27"/>
      <c r="HQ140" s="27"/>
      <c r="HR140" s="27"/>
      <c r="HS140" s="27"/>
      <c r="HT140" s="27"/>
      <c r="HU140" s="27"/>
      <c r="HV140" s="27"/>
      <c r="HW140" s="27"/>
      <c r="HX140" s="27"/>
      <c r="HY140" s="27"/>
      <c r="HZ140" s="27"/>
      <c r="IA140" s="27"/>
      <c r="IB140" s="27"/>
      <c r="IC140" s="27"/>
      <c r="ID140" s="27"/>
      <c r="IE140" s="27"/>
      <c r="IF140" s="27"/>
      <c r="IG140" s="27"/>
      <c r="IH140" s="27"/>
      <c r="II140" s="27"/>
      <c r="IJ140" s="27"/>
      <c r="IK140" s="27"/>
      <c r="IL140" s="27"/>
      <c r="IM140" s="27"/>
      <c r="IN140" s="27"/>
      <c r="IO140" s="27"/>
      <c r="IP140" s="27"/>
      <c r="IQ140" s="27"/>
      <c r="IR140" s="27"/>
      <c r="IS140" s="27"/>
      <c r="IT140" s="27"/>
      <c r="IU140" s="27"/>
      <c r="IV140" s="27"/>
      <c r="IW140" s="27"/>
      <c r="IX140" s="27"/>
      <c r="IY140" s="27"/>
      <c r="IZ140" s="27"/>
      <c r="JA140" s="27"/>
      <c r="JB140" s="27"/>
      <c r="JC140" s="27"/>
      <c r="JD140" s="27"/>
      <c r="JE140" s="27"/>
      <c r="JF140" s="27"/>
      <c r="JG140" s="27"/>
      <c r="JH140" s="27"/>
      <c r="JI140" s="27"/>
      <c r="JJ140" s="27"/>
      <c r="JK140" s="27"/>
      <c r="JL140" s="27"/>
      <c r="JM140" s="27"/>
      <c r="JN140" s="27"/>
      <c r="JO140" s="27"/>
      <c r="JP140" s="27"/>
      <c r="JQ140" s="27"/>
      <c r="JR140" s="27"/>
      <c r="JS140" s="27"/>
      <c r="JT140" s="27"/>
      <c r="JU140" s="27"/>
      <c r="JV140" s="27"/>
      <c r="JW140" s="27"/>
      <c r="JX140" s="27"/>
      <c r="JY140" s="27"/>
      <c r="JZ140" s="27"/>
      <c r="KA140" s="27"/>
      <c r="KB140" s="27"/>
      <c r="KC140" s="27"/>
      <c r="KD140" s="27"/>
      <c r="KE140" s="27"/>
      <c r="KF140" s="27"/>
    </row>
    <row r="141" spans="5:292" outlineLevel="1" x14ac:dyDescent="0.35">
      <c r="E141" s="13" t="s">
        <v>55</v>
      </c>
      <c r="J141" s="15" t="s">
        <v>34</v>
      </c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  <c r="FS141" s="27"/>
      <c r="FT141" s="27"/>
      <c r="FU141" s="27"/>
      <c r="FV141" s="27"/>
      <c r="FW141" s="27"/>
      <c r="FX141" s="27"/>
      <c r="FY141" s="27"/>
      <c r="FZ141" s="27"/>
      <c r="GA141" s="27"/>
      <c r="GB141" s="27"/>
      <c r="GC141" s="27"/>
      <c r="GD141" s="27"/>
      <c r="GE141" s="27"/>
      <c r="GF141" s="27"/>
      <c r="GG141" s="27"/>
      <c r="GH141" s="27"/>
      <c r="GI141" s="27"/>
      <c r="GJ141" s="27"/>
      <c r="GK141" s="27"/>
      <c r="GL141" s="27"/>
      <c r="GM141" s="27"/>
      <c r="GN141" s="27"/>
      <c r="GO141" s="27"/>
      <c r="GP141" s="27"/>
      <c r="GQ141" s="27"/>
      <c r="GR141" s="27"/>
      <c r="GS141" s="27"/>
      <c r="GT141" s="27"/>
      <c r="GU141" s="27"/>
      <c r="GV141" s="27"/>
      <c r="GW141" s="27"/>
      <c r="GX141" s="27"/>
      <c r="GY141" s="27"/>
      <c r="GZ141" s="27"/>
      <c r="HA141" s="27"/>
      <c r="HB141" s="27"/>
      <c r="HC141" s="27"/>
      <c r="HD141" s="27"/>
      <c r="HE141" s="27"/>
      <c r="HF141" s="27"/>
      <c r="HG141" s="27"/>
      <c r="HH141" s="27"/>
      <c r="HI141" s="27"/>
      <c r="HJ141" s="27"/>
      <c r="HK141" s="27"/>
      <c r="HL141" s="27"/>
      <c r="HM141" s="27"/>
      <c r="HN141" s="27"/>
      <c r="HO141" s="27"/>
      <c r="HP141" s="27"/>
      <c r="HQ141" s="27"/>
      <c r="HR141" s="27"/>
      <c r="HS141" s="27"/>
      <c r="HT141" s="27"/>
      <c r="HU141" s="27"/>
      <c r="HV141" s="27"/>
      <c r="HW141" s="27"/>
      <c r="HX141" s="27"/>
      <c r="HY141" s="27"/>
      <c r="HZ141" s="27"/>
      <c r="IA141" s="27"/>
      <c r="IB141" s="27"/>
      <c r="IC141" s="27"/>
      <c r="ID141" s="27"/>
      <c r="IE141" s="27"/>
      <c r="IF141" s="27"/>
      <c r="IG141" s="27"/>
      <c r="IH141" s="27"/>
      <c r="II141" s="27"/>
      <c r="IJ141" s="27"/>
      <c r="IK141" s="27"/>
      <c r="IL141" s="27"/>
      <c r="IM141" s="27"/>
      <c r="IN141" s="27"/>
      <c r="IO141" s="27"/>
      <c r="IP141" s="27"/>
      <c r="IQ141" s="27"/>
      <c r="IR141" s="27"/>
      <c r="IS141" s="27"/>
      <c r="IT141" s="27"/>
      <c r="IU141" s="27"/>
      <c r="IV141" s="27"/>
      <c r="IW141" s="27"/>
      <c r="IX141" s="27"/>
      <c r="IY141" s="27"/>
      <c r="IZ141" s="27"/>
      <c r="JA141" s="27"/>
      <c r="JB141" s="27"/>
      <c r="JC141" s="27"/>
      <c r="JD141" s="27"/>
      <c r="JE141" s="27"/>
      <c r="JF141" s="27"/>
      <c r="JG141" s="27"/>
      <c r="JH141" s="27"/>
      <c r="JI141" s="27"/>
      <c r="JJ141" s="27"/>
      <c r="JK141" s="27"/>
      <c r="JL141" s="27"/>
      <c r="JM141" s="27"/>
      <c r="JN141" s="27"/>
      <c r="JO141" s="27"/>
      <c r="JP141" s="27"/>
      <c r="JQ141" s="27"/>
      <c r="JR141" s="27"/>
      <c r="JS141" s="27"/>
      <c r="JT141" s="27"/>
      <c r="JU141" s="27"/>
      <c r="JV141" s="27"/>
      <c r="JW141" s="27"/>
      <c r="JX141" s="27"/>
      <c r="JY141" s="27"/>
      <c r="JZ141" s="27"/>
      <c r="KA141" s="27"/>
      <c r="KB141" s="27"/>
      <c r="KC141" s="27"/>
      <c r="KD141" s="27"/>
      <c r="KE141" s="27"/>
      <c r="KF141" s="27"/>
    </row>
    <row r="142" spans="5:292" outlineLevel="1" x14ac:dyDescent="0.35">
      <c r="E142" s="13" t="s">
        <v>55</v>
      </c>
      <c r="J142" s="15" t="s">
        <v>34</v>
      </c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  <c r="FS142" s="27"/>
      <c r="FT142" s="27"/>
      <c r="FU142" s="27"/>
      <c r="FV142" s="27"/>
      <c r="FW142" s="27"/>
      <c r="FX142" s="27"/>
      <c r="FY142" s="27"/>
      <c r="FZ142" s="27"/>
      <c r="GA142" s="27"/>
      <c r="GB142" s="27"/>
      <c r="GC142" s="27"/>
      <c r="GD142" s="27"/>
      <c r="GE142" s="27"/>
      <c r="GF142" s="27"/>
      <c r="GG142" s="27"/>
      <c r="GH142" s="27"/>
      <c r="GI142" s="27"/>
      <c r="GJ142" s="27"/>
      <c r="GK142" s="27"/>
      <c r="GL142" s="27"/>
      <c r="GM142" s="27"/>
      <c r="GN142" s="27"/>
      <c r="GO142" s="27"/>
      <c r="GP142" s="27"/>
      <c r="GQ142" s="27"/>
      <c r="GR142" s="27"/>
      <c r="GS142" s="27"/>
      <c r="GT142" s="27"/>
      <c r="GU142" s="27"/>
      <c r="GV142" s="27"/>
      <c r="GW142" s="27"/>
      <c r="GX142" s="27"/>
      <c r="GY142" s="27"/>
      <c r="GZ142" s="27"/>
      <c r="HA142" s="27"/>
      <c r="HB142" s="27"/>
      <c r="HC142" s="27"/>
      <c r="HD142" s="27"/>
      <c r="HE142" s="27"/>
      <c r="HF142" s="27"/>
      <c r="HG142" s="27"/>
      <c r="HH142" s="27"/>
      <c r="HI142" s="27"/>
      <c r="HJ142" s="27"/>
      <c r="HK142" s="27"/>
      <c r="HL142" s="27"/>
      <c r="HM142" s="27"/>
      <c r="HN142" s="27"/>
      <c r="HO142" s="27"/>
      <c r="HP142" s="27"/>
      <c r="HQ142" s="27"/>
      <c r="HR142" s="27"/>
      <c r="HS142" s="27"/>
      <c r="HT142" s="27"/>
      <c r="HU142" s="27"/>
      <c r="HV142" s="27"/>
      <c r="HW142" s="27"/>
      <c r="HX142" s="27"/>
      <c r="HY142" s="27"/>
      <c r="HZ142" s="27"/>
      <c r="IA142" s="27"/>
      <c r="IB142" s="27"/>
      <c r="IC142" s="27"/>
      <c r="ID142" s="27"/>
      <c r="IE142" s="27"/>
      <c r="IF142" s="27"/>
      <c r="IG142" s="27"/>
      <c r="IH142" s="27"/>
      <c r="II142" s="27"/>
      <c r="IJ142" s="27"/>
      <c r="IK142" s="27"/>
      <c r="IL142" s="27"/>
      <c r="IM142" s="27"/>
      <c r="IN142" s="27"/>
      <c r="IO142" s="27"/>
      <c r="IP142" s="27"/>
      <c r="IQ142" s="27"/>
      <c r="IR142" s="27"/>
      <c r="IS142" s="27"/>
      <c r="IT142" s="27"/>
      <c r="IU142" s="27"/>
      <c r="IV142" s="27"/>
      <c r="IW142" s="27"/>
      <c r="IX142" s="27"/>
      <c r="IY142" s="27"/>
      <c r="IZ142" s="27"/>
      <c r="JA142" s="27"/>
      <c r="JB142" s="27"/>
      <c r="JC142" s="27"/>
      <c r="JD142" s="27"/>
      <c r="JE142" s="27"/>
      <c r="JF142" s="27"/>
      <c r="JG142" s="27"/>
      <c r="JH142" s="27"/>
      <c r="JI142" s="27"/>
      <c r="JJ142" s="27"/>
      <c r="JK142" s="27"/>
      <c r="JL142" s="27"/>
      <c r="JM142" s="27"/>
      <c r="JN142" s="27"/>
      <c r="JO142" s="27"/>
      <c r="JP142" s="27"/>
      <c r="JQ142" s="27"/>
      <c r="JR142" s="27"/>
      <c r="JS142" s="27"/>
      <c r="JT142" s="27"/>
      <c r="JU142" s="27"/>
      <c r="JV142" s="27"/>
      <c r="JW142" s="27"/>
      <c r="JX142" s="27"/>
      <c r="JY142" s="27"/>
      <c r="JZ142" s="27"/>
      <c r="KA142" s="27"/>
      <c r="KB142" s="27"/>
      <c r="KC142" s="27"/>
      <c r="KD142" s="27"/>
      <c r="KE142" s="27"/>
      <c r="KF142" s="27"/>
    </row>
    <row r="143" spans="5:292" outlineLevel="1" x14ac:dyDescent="0.35">
      <c r="E143" s="13" t="s">
        <v>55</v>
      </c>
      <c r="J143" s="15" t="s">
        <v>34</v>
      </c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  <c r="FS143" s="27"/>
      <c r="FT143" s="27"/>
      <c r="FU143" s="27"/>
      <c r="FV143" s="27"/>
      <c r="FW143" s="27"/>
      <c r="FX143" s="27"/>
      <c r="FY143" s="27"/>
      <c r="FZ143" s="27"/>
      <c r="GA143" s="27"/>
      <c r="GB143" s="27"/>
      <c r="GC143" s="27"/>
      <c r="GD143" s="27"/>
      <c r="GE143" s="27"/>
      <c r="GF143" s="27"/>
      <c r="GG143" s="27"/>
      <c r="GH143" s="27"/>
      <c r="GI143" s="27"/>
      <c r="GJ143" s="27"/>
      <c r="GK143" s="27"/>
      <c r="GL143" s="27"/>
      <c r="GM143" s="27"/>
      <c r="GN143" s="27"/>
      <c r="GO143" s="27"/>
      <c r="GP143" s="27"/>
      <c r="GQ143" s="27"/>
      <c r="GR143" s="27"/>
      <c r="GS143" s="27"/>
      <c r="GT143" s="27"/>
      <c r="GU143" s="27"/>
      <c r="GV143" s="27"/>
      <c r="GW143" s="27"/>
      <c r="GX143" s="27"/>
      <c r="GY143" s="27"/>
      <c r="GZ143" s="27"/>
      <c r="HA143" s="27"/>
      <c r="HB143" s="27"/>
      <c r="HC143" s="27"/>
      <c r="HD143" s="27"/>
      <c r="HE143" s="27"/>
      <c r="HF143" s="27"/>
      <c r="HG143" s="27"/>
      <c r="HH143" s="27"/>
      <c r="HI143" s="27"/>
      <c r="HJ143" s="27"/>
      <c r="HK143" s="27"/>
      <c r="HL143" s="27"/>
      <c r="HM143" s="27"/>
      <c r="HN143" s="27"/>
      <c r="HO143" s="27"/>
      <c r="HP143" s="27"/>
      <c r="HQ143" s="27"/>
      <c r="HR143" s="27"/>
      <c r="HS143" s="27"/>
      <c r="HT143" s="27"/>
      <c r="HU143" s="27"/>
      <c r="HV143" s="27"/>
      <c r="HW143" s="27"/>
      <c r="HX143" s="27"/>
      <c r="HY143" s="27"/>
      <c r="HZ143" s="27"/>
      <c r="IA143" s="27"/>
      <c r="IB143" s="27"/>
      <c r="IC143" s="27"/>
      <c r="ID143" s="27"/>
      <c r="IE143" s="27"/>
      <c r="IF143" s="27"/>
      <c r="IG143" s="27"/>
      <c r="IH143" s="27"/>
      <c r="II143" s="27"/>
      <c r="IJ143" s="27"/>
      <c r="IK143" s="27"/>
      <c r="IL143" s="27"/>
      <c r="IM143" s="27"/>
      <c r="IN143" s="27"/>
      <c r="IO143" s="27"/>
      <c r="IP143" s="27"/>
      <c r="IQ143" s="27"/>
      <c r="IR143" s="27"/>
      <c r="IS143" s="27"/>
      <c r="IT143" s="27"/>
      <c r="IU143" s="27"/>
      <c r="IV143" s="27"/>
      <c r="IW143" s="27"/>
      <c r="IX143" s="27"/>
      <c r="IY143" s="27"/>
      <c r="IZ143" s="27"/>
      <c r="JA143" s="27"/>
      <c r="JB143" s="27"/>
      <c r="JC143" s="27"/>
      <c r="JD143" s="27"/>
      <c r="JE143" s="27"/>
      <c r="JF143" s="27"/>
      <c r="JG143" s="27"/>
      <c r="JH143" s="27"/>
      <c r="JI143" s="27"/>
      <c r="JJ143" s="27"/>
      <c r="JK143" s="27"/>
      <c r="JL143" s="27"/>
      <c r="JM143" s="27"/>
      <c r="JN143" s="27"/>
      <c r="JO143" s="27"/>
      <c r="JP143" s="27"/>
      <c r="JQ143" s="27"/>
      <c r="JR143" s="27"/>
      <c r="JS143" s="27"/>
      <c r="JT143" s="27"/>
      <c r="JU143" s="27"/>
      <c r="JV143" s="27"/>
      <c r="JW143" s="27"/>
      <c r="JX143" s="27"/>
      <c r="JY143" s="27"/>
      <c r="JZ143" s="27"/>
      <c r="KA143" s="27"/>
      <c r="KB143" s="27"/>
      <c r="KC143" s="27"/>
      <c r="KD143" s="27"/>
      <c r="KE143" s="27"/>
      <c r="KF143" s="27"/>
    </row>
    <row r="144" spans="5:292" outlineLevel="1" x14ac:dyDescent="0.35">
      <c r="E144" s="13" t="s">
        <v>55</v>
      </c>
      <c r="J144" s="15" t="s">
        <v>34</v>
      </c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  <c r="FS144" s="27"/>
      <c r="FT144" s="27"/>
      <c r="FU144" s="27"/>
      <c r="FV144" s="27"/>
      <c r="FW144" s="27"/>
      <c r="FX144" s="27"/>
      <c r="FY144" s="27"/>
      <c r="FZ144" s="27"/>
      <c r="GA144" s="27"/>
      <c r="GB144" s="27"/>
      <c r="GC144" s="27"/>
      <c r="GD144" s="27"/>
      <c r="GE144" s="27"/>
      <c r="GF144" s="27"/>
      <c r="GG144" s="27"/>
      <c r="GH144" s="27"/>
      <c r="GI144" s="27"/>
      <c r="GJ144" s="27"/>
      <c r="GK144" s="27"/>
      <c r="GL144" s="27"/>
      <c r="GM144" s="27"/>
      <c r="GN144" s="27"/>
      <c r="GO144" s="27"/>
      <c r="GP144" s="27"/>
      <c r="GQ144" s="27"/>
      <c r="GR144" s="27"/>
      <c r="GS144" s="27"/>
      <c r="GT144" s="27"/>
      <c r="GU144" s="27"/>
      <c r="GV144" s="27"/>
      <c r="GW144" s="27"/>
      <c r="GX144" s="27"/>
      <c r="GY144" s="27"/>
      <c r="GZ144" s="27"/>
      <c r="HA144" s="27"/>
      <c r="HB144" s="27"/>
      <c r="HC144" s="27"/>
      <c r="HD144" s="27"/>
      <c r="HE144" s="27"/>
      <c r="HF144" s="27"/>
      <c r="HG144" s="27"/>
      <c r="HH144" s="27"/>
      <c r="HI144" s="27"/>
      <c r="HJ144" s="27"/>
      <c r="HK144" s="27"/>
      <c r="HL144" s="27"/>
      <c r="HM144" s="27"/>
      <c r="HN144" s="27"/>
      <c r="HO144" s="27"/>
      <c r="HP144" s="27"/>
      <c r="HQ144" s="27"/>
      <c r="HR144" s="27"/>
      <c r="HS144" s="27"/>
      <c r="HT144" s="27"/>
      <c r="HU144" s="27"/>
      <c r="HV144" s="27"/>
      <c r="HW144" s="27"/>
      <c r="HX144" s="27"/>
      <c r="HY144" s="27"/>
      <c r="HZ144" s="27"/>
      <c r="IA144" s="27"/>
      <c r="IB144" s="27"/>
      <c r="IC144" s="27"/>
      <c r="ID144" s="27"/>
      <c r="IE144" s="27"/>
      <c r="IF144" s="27"/>
      <c r="IG144" s="27"/>
      <c r="IH144" s="27"/>
      <c r="II144" s="27"/>
      <c r="IJ144" s="27"/>
      <c r="IK144" s="27"/>
      <c r="IL144" s="27"/>
      <c r="IM144" s="27"/>
      <c r="IN144" s="27"/>
      <c r="IO144" s="27"/>
      <c r="IP144" s="27"/>
      <c r="IQ144" s="27"/>
      <c r="IR144" s="27"/>
      <c r="IS144" s="27"/>
      <c r="IT144" s="27"/>
      <c r="IU144" s="27"/>
      <c r="IV144" s="27"/>
      <c r="IW144" s="27"/>
      <c r="IX144" s="27"/>
      <c r="IY144" s="27"/>
      <c r="IZ144" s="27"/>
      <c r="JA144" s="27"/>
      <c r="JB144" s="27"/>
      <c r="JC144" s="27"/>
      <c r="JD144" s="27"/>
      <c r="JE144" s="27"/>
      <c r="JF144" s="27"/>
      <c r="JG144" s="27"/>
      <c r="JH144" s="27"/>
      <c r="JI144" s="27"/>
      <c r="JJ144" s="27"/>
      <c r="JK144" s="27"/>
      <c r="JL144" s="27"/>
      <c r="JM144" s="27"/>
      <c r="JN144" s="27"/>
      <c r="JO144" s="27"/>
      <c r="JP144" s="27"/>
      <c r="JQ144" s="27"/>
      <c r="JR144" s="27"/>
      <c r="JS144" s="27"/>
      <c r="JT144" s="27"/>
      <c r="JU144" s="27"/>
      <c r="JV144" s="27"/>
      <c r="JW144" s="27"/>
      <c r="JX144" s="27"/>
      <c r="JY144" s="27"/>
      <c r="JZ144" s="27"/>
      <c r="KA144" s="27"/>
      <c r="KB144" s="27"/>
      <c r="KC144" s="27"/>
      <c r="KD144" s="27"/>
      <c r="KE144" s="27"/>
      <c r="KF144" s="27"/>
    </row>
    <row r="145" spans="5:292" outlineLevel="1" x14ac:dyDescent="0.35">
      <c r="E145" s="13" t="s">
        <v>55</v>
      </c>
      <c r="J145" s="15" t="s">
        <v>34</v>
      </c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  <c r="FS145" s="27"/>
      <c r="FT145" s="27"/>
      <c r="FU145" s="27"/>
      <c r="FV145" s="27"/>
      <c r="FW145" s="27"/>
      <c r="FX145" s="27"/>
      <c r="FY145" s="27"/>
      <c r="FZ145" s="27"/>
      <c r="GA145" s="27"/>
      <c r="GB145" s="27"/>
      <c r="GC145" s="27"/>
      <c r="GD145" s="27"/>
      <c r="GE145" s="27"/>
      <c r="GF145" s="27"/>
      <c r="GG145" s="27"/>
      <c r="GH145" s="27"/>
      <c r="GI145" s="27"/>
      <c r="GJ145" s="27"/>
      <c r="GK145" s="27"/>
      <c r="GL145" s="27"/>
      <c r="GM145" s="27"/>
      <c r="GN145" s="27"/>
      <c r="GO145" s="27"/>
      <c r="GP145" s="27"/>
      <c r="GQ145" s="27"/>
      <c r="GR145" s="27"/>
      <c r="GS145" s="27"/>
      <c r="GT145" s="27"/>
      <c r="GU145" s="27"/>
      <c r="GV145" s="27"/>
      <c r="GW145" s="27"/>
      <c r="GX145" s="27"/>
      <c r="GY145" s="27"/>
      <c r="GZ145" s="27"/>
      <c r="HA145" s="27"/>
      <c r="HB145" s="27"/>
      <c r="HC145" s="27"/>
      <c r="HD145" s="27"/>
      <c r="HE145" s="27"/>
      <c r="HF145" s="27"/>
      <c r="HG145" s="27"/>
      <c r="HH145" s="27"/>
      <c r="HI145" s="27"/>
      <c r="HJ145" s="27"/>
      <c r="HK145" s="27"/>
      <c r="HL145" s="27"/>
      <c r="HM145" s="27"/>
      <c r="HN145" s="27"/>
      <c r="HO145" s="27"/>
      <c r="HP145" s="27"/>
      <c r="HQ145" s="27"/>
      <c r="HR145" s="27"/>
      <c r="HS145" s="27"/>
      <c r="HT145" s="27"/>
      <c r="HU145" s="27"/>
      <c r="HV145" s="27"/>
      <c r="HW145" s="27"/>
      <c r="HX145" s="27"/>
      <c r="HY145" s="27"/>
      <c r="HZ145" s="27"/>
      <c r="IA145" s="27"/>
      <c r="IB145" s="27"/>
      <c r="IC145" s="27"/>
      <c r="ID145" s="27"/>
      <c r="IE145" s="27"/>
      <c r="IF145" s="27"/>
      <c r="IG145" s="27"/>
      <c r="IH145" s="27"/>
      <c r="II145" s="27"/>
      <c r="IJ145" s="27"/>
      <c r="IK145" s="27"/>
      <c r="IL145" s="27"/>
      <c r="IM145" s="27"/>
      <c r="IN145" s="27"/>
      <c r="IO145" s="27"/>
      <c r="IP145" s="27"/>
      <c r="IQ145" s="27"/>
      <c r="IR145" s="27"/>
      <c r="IS145" s="27"/>
      <c r="IT145" s="27"/>
      <c r="IU145" s="27"/>
      <c r="IV145" s="27"/>
      <c r="IW145" s="27"/>
      <c r="IX145" s="27"/>
      <c r="IY145" s="27"/>
      <c r="IZ145" s="27"/>
      <c r="JA145" s="27"/>
      <c r="JB145" s="27"/>
      <c r="JC145" s="27"/>
      <c r="JD145" s="27"/>
      <c r="JE145" s="27"/>
      <c r="JF145" s="27"/>
      <c r="JG145" s="27"/>
      <c r="JH145" s="27"/>
      <c r="JI145" s="27"/>
      <c r="JJ145" s="27"/>
      <c r="JK145" s="27"/>
      <c r="JL145" s="27"/>
      <c r="JM145" s="27"/>
      <c r="JN145" s="27"/>
      <c r="JO145" s="27"/>
      <c r="JP145" s="27"/>
      <c r="JQ145" s="27"/>
      <c r="JR145" s="27"/>
      <c r="JS145" s="27"/>
      <c r="JT145" s="27"/>
      <c r="JU145" s="27"/>
      <c r="JV145" s="27"/>
      <c r="JW145" s="27"/>
      <c r="JX145" s="27"/>
      <c r="JY145" s="27"/>
      <c r="JZ145" s="27"/>
      <c r="KA145" s="27"/>
      <c r="KB145" s="27"/>
      <c r="KC145" s="27"/>
      <c r="KD145" s="27"/>
      <c r="KE145" s="27"/>
      <c r="KF145" s="27"/>
    </row>
    <row r="146" spans="5:292" x14ac:dyDescent="0.35"/>
    <row r="147" spans="5:292" x14ac:dyDescent="0.35"/>
    <row r="148" spans="5:292" x14ac:dyDescent="0.35"/>
    <row r="149" spans="5:292" x14ac:dyDescent="0.35"/>
    <row r="150" spans="5:292" x14ac:dyDescent="0.35"/>
    <row r="151" spans="5:292" x14ac:dyDescent="0.35"/>
    <row r="152" spans="5:292" x14ac:dyDescent="0.35"/>
    <row r="153" spans="5:292" x14ac:dyDescent="0.35"/>
    <row r="154" spans="5:292" x14ac:dyDescent="0.35"/>
    <row r="155" spans="5:292" x14ac:dyDescent="0.35"/>
    <row r="156" spans="5:292" x14ac:dyDescent="0.35"/>
    <row r="157" spans="5:292" x14ac:dyDescent="0.35"/>
    <row r="158" spans="5:292" x14ac:dyDescent="0.35"/>
    <row r="159" spans="5:292" x14ac:dyDescent="0.35"/>
    <row r="160" spans="5:292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4EAA-9662-40C8-A24D-F7D60D0D4B99}">
  <sheetPr codeName="Sheet10">
    <tabColor theme="8" tint="0.89999084444715716"/>
  </sheetPr>
  <dimension ref="A2:T151"/>
  <sheetViews>
    <sheetView showGridLines="0" topLeftCell="A2" zoomScale="115" zoomScaleNormal="115" workbookViewId="0">
      <selection activeCell="F31" sqref="F31"/>
    </sheetView>
    <sheetView workbookViewId="1"/>
  </sheetViews>
  <sheetFormatPr defaultColWidth="0" defaultRowHeight="15.6" x14ac:dyDescent="0.35"/>
  <cols>
    <col min="1" max="1" width="2.69921875" bestFit="1" customWidth="1"/>
    <col min="2" max="2" width="12.796875" customWidth="1"/>
    <col min="3" max="3" width="2.69921875" customWidth="1"/>
    <col min="4" max="4" width="1.796875" bestFit="1" customWidth="1"/>
    <col min="5" max="6" width="1.796875" customWidth="1"/>
    <col min="7" max="7" width="34.69921875" bestFit="1" customWidth="1"/>
    <col min="8" max="8" width="10.09765625" bestFit="1" customWidth="1"/>
    <col min="9" max="9" width="2.69921875" bestFit="1" customWidth="1"/>
    <col min="10" max="10" width="11.296875" bestFit="1" customWidth="1"/>
    <col min="11" max="18" width="10.09765625" bestFit="1" customWidth="1"/>
    <col min="19" max="20" width="2.69921875" bestFit="1" customWidth="1"/>
    <col min="21" max="16384" width="8.796875" hidden="1"/>
  </cols>
  <sheetData>
    <row r="2" spans="1:18" x14ac:dyDescent="0.35">
      <c r="A2" s="1"/>
      <c r="B2" s="2" t="s">
        <v>28</v>
      </c>
      <c r="C2" s="1"/>
      <c r="D2" s="2" t="s">
        <v>224</v>
      </c>
      <c r="E2" s="2"/>
      <c r="F2" s="2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x14ac:dyDescent="0.35">
      <c r="A3" s="1"/>
      <c r="B3" s="2"/>
      <c r="C3" s="1"/>
      <c r="D3" s="2" t="str">
        <f ca="1">MID(CELL("filename",A1),FIND("]",CELL("filename",A1))+1,255)</f>
        <v>Control</v>
      </c>
      <c r="E3" s="2"/>
      <c r="F3" s="2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x14ac:dyDescent="0.35">
      <c r="A4" s="1"/>
      <c r="B4" s="2" t="s">
        <v>8</v>
      </c>
      <c r="C4" s="1"/>
      <c r="D4" s="2" t="str">
        <f>"Financial Scenario: "&amp;H10</f>
        <v>Financial Scenario: Base Case</v>
      </c>
      <c r="E4" s="2"/>
      <c r="F4" s="2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35">
      <c r="A5" s="1"/>
      <c r="B5" s="1"/>
      <c r="C5" s="1"/>
      <c r="D5" s="1"/>
      <c r="E5" s="1"/>
      <c r="F5" s="1"/>
      <c r="G5" s="5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x14ac:dyDescent="0.35">
      <c r="B6" s="1"/>
      <c r="C6" s="1"/>
      <c r="D6" s="1"/>
      <c r="E6" s="1"/>
      <c r="F6" s="1"/>
      <c r="G6" s="5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x14ac:dyDescent="0.35">
      <c r="B7" s="3"/>
      <c r="C7" s="1"/>
      <c r="D7" s="10" t="s">
        <v>37</v>
      </c>
      <c r="E7" s="10"/>
      <c r="F7" s="10"/>
      <c r="G7" s="10"/>
      <c r="H7" s="10" t="s">
        <v>36</v>
      </c>
      <c r="I7" s="10"/>
      <c r="J7" s="10"/>
      <c r="K7" s="10"/>
      <c r="L7" s="10"/>
      <c r="M7" s="10"/>
      <c r="N7" s="10"/>
      <c r="O7" s="10"/>
      <c r="P7" s="10"/>
      <c r="Q7" s="10"/>
      <c r="R7" s="10"/>
    </row>
    <row r="9" spans="1:18" x14ac:dyDescent="0.35">
      <c r="G9" s="15" t="s">
        <v>38</v>
      </c>
      <c r="H9" s="14">
        <v>1</v>
      </c>
      <c r="J9" s="13">
        <v>1</v>
      </c>
      <c r="K9" s="13">
        <v>2</v>
      </c>
      <c r="L9" s="13">
        <v>3</v>
      </c>
      <c r="M9" s="13">
        <v>4</v>
      </c>
      <c r="N9" s="13">
        <v>5</v>
      </c>
      <c r="O9" s="13">
        <v>6</v>
      </c>
      <c r="P9" s="13">
        <v>7</v>
      </c>
      <c r="Q9" s="13">
        <v>8</v>
      </c>
      <c r="R9" s="13">
        <v>9</v>
      </c>
    </row>
    <row r="10" spans="1:18" x14ac:dyDescent="0.35">
      <c r="G10" s="15" t="s">
        <v>39</v>
      </c>
      <c r="H10" s="13" t="str" cm="1">
        <f t="array" ref="H10">INDEX(J10:R10,,$H$9)</f>
        <v>Base Case</v>
      </c>
      <c r="J10" s="13" t="s">
        <v>27</v>
      </c>
      <c r="K10" s="13" t="s">
        <v>40</v>
      </c>
      <c r="L10" s="13" t="s">
        <v>151</v>
      </c>
      <c r="M10" s="13" t="s">
        <v>152</v>
      </c>
      <c r="N10" s="13" t="s">
        <v>153</v>
      </c>
      <c r="O10" s="13" t="s">
        <v>154</v>
      </c>
      <c r="P10" s="13" t="s">
        <v>155</v>
      </c>
      <c r="Q10" s="13" t="s">
        <v>156</v>
      </c>
      <c r="R10" s="13" t="s">
        <v>157</v>
      </c>
    </row>
    <row r="12" spans="1:18" x14ac:dyDescent="0.35">
      <c r="D12" s="10" t="s">
        <v>174</v>
      </c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4" spans="1:18" x14ac:dyDescent="0.35">
      <c r="E14" s="19" t="s">
        <v>175</v>
      </c>
      <c r="F14" s="19"/>
      <c r="G14" s="16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</row>
    <row r="16" spans="1:18" x14ac:dyDescent="0.35">
      <c r="F16" s="22" t="s">
        <v>176</v>
      </c>
      <c r="G16" s="12"/>
    </row>
    <row r="17" spans="2:18" x14ac:dyDescent="0.35">
      <c r="G17" s="6" t="s">
        <v>160</v>
      </c>
      <c r="H17" s="13" cm="1">
        <f t="array" ref="H17">INDEX(J17:R17,,$H$9)</f>
        <v>1</v>
      </c>
      <c r="J17" s="14">
        <v>1</v>
      </c>
      <c r="K17" s="14">
        <v>2</v>
      </c>
      <c r="L17" s="14">
        <v>3</v>
      </c>
      <c r="M17" s="14">
        <v>3</v>
      </c>
      <c r="N17" s="14">
        <v>1</v>
      </c>
      <c r="O17" s="14">
        <v>1</v>
      </c>
      <c r="P17" s="14">
        <v>1</v>
      </c>
      <c r="Q17" s="14">
        <v>1</v>
      </c>
      <c r="R17" s="14">
        <v>1</v>
      </c>
    </row>
    <row r="18" spans="2:18" x14ac:dyDescent="0.35">
      <c r="G18" s="6" t="s">
        <v>163</v>
      </c>
      <c r="H18" s="13" cm="1">
        <f t="array" ref="H18">INDEX(J18:R18,,$H$9)</f>
        <v>1</v>
      </c>
      <c r="J18" s="14">
        <v>1</v>
      </c>
      <c r="K18" s="14">
        <v>2</v>
      </c>
      <c r="L18" s="14">
        <v>3</v>
      </c>
      <c r="M18" s="14">
        <v>3</v>
      </c>
      <c r="N18" s="14">
        <v>1</v>
      </c>
      <c r="O18" s="14">
        <v>1</v>
      </c>
      <c r="P18" s="14">
        <v>1</v>
      </c>
      <c r="Q18" s="14">
        <v>1</v>
      </c>
      <c r="R18" s="14">
        <v>1</v>
      </c>
    </row>
    <row r="19" spans="2:18" x14ac:dyDescent="0.35">
      <c r="G19" s="6" t="s">
        <v>165</v>
      </c>
      <c r="H19" s="13" cm="1">
        <f t="array" ref="H19">INDEX(J19:R19,,$H$9)</f>
        <v>1</v>
      </c>
      <c r="J19" s="14">
        <v>1</v>
      </c>
      <c r="K19" s="14">
        <v>2</v>
      </c>
      <c r="L19" s="14">
        <v>3</v>
      </c>
      <c r="M19" s="14">
        <v>3</v>
      </c>
      <c r="N19" s="14">
        <v>1</v>
      </c>
      <c r="O19" s="14">
        <v>1</v>
      </c>
      <c r="P19" s="14">
        <v>1</v>
      </c>
      <c r="Q19" s="14">
        <v>1</v>
      </c>
      <c r="R19" s="14">
        <v>1</v>
      </c>
    </row>
    <row r="20" spans="2:18" x14ac:dyDescent="0.35">
      <c r="G20" s="6" t="s">
        <v>168</v>
      </c>
      <c r="H20" s="13" cm="1">
        <f t="array" ref="H20">INDEX(J20:R20,,$H$9)</f>
        <v>1</v>
      </c>
      <c r="J20" s="14">
        <v>1</v>
      </c>
      <c r="K20" s="14">
        <v>2</v>
      </c>
      <c r="L20" s="14">
        <v>3</v>
      </c>
      <c r="M20" s="14">
        <v>3</v>
      </c>
      <c r="N20" s="14">
        <v>1</v>
      </c>
      <c r="O20" s="14">
        <v>1</v>
      </c>
      <c r="P20" s="14">
        <v>1</v>
      </c>
      <c r="Q20" s="14">
        <v>1</v>
      </c>
      <c r="R20" s="14">
        <v>1</v>
      </c>
    </row>
    <row r="21" spans="2:18" x14ac:dyDescent="0.35">
      <c r="C21" s="1"/>
      <c r="G21" s="6" t="s">
        <v>171</v>
      </c>
      <c r="H21" s="13" cm="1">
        <f t="array" ref="H21">INDEX(J21:R21,,$H$9)</f>
        <v>1</v>
      </c>
      <c r="J21" s="14">
        <v>1</v>
      </c>
      <c r="K21" s="14">
        <v>2</v>
      </c>
      <c r="L21" s="14">
        <v>3</v>
      </c>
      <c r="M21" s="14">
        <v>4</v>
      </c>
      <c r="N21" s="14">
        <v>1</v>
      </c>
      <c r="O21" s="14">
        <v>1</v>
      </c>
      <c r="P21" s="14">
        <v>1</v>
      </c>
      <c r="Q21" s="14">
        <v>1</v>
      </c>
      <c r="R21" s="14">
        <v>1</v>
      </c>
    </row>
    <row r="22" spans="2:18" x14ac:dyDescent="0.35">
      <c r="C22" s="1"/>
      <c r="G22" s="6" t="s">
        <v>25</v>
      </c>
      <c r="H22" s="13" cm="1">
        <f t="array" ref="H22">INDEX(J22:R22,,$H$9)</f>
        <v>1</v>
      </c>
      <c r="J22" s="14">
        <v>1</v>
      </c>
      <c r="K22" s="14">
        <v>2</v>
      </c>
      <c r="L22" s="14">
        <v>3</v>
      </c>
      <c r="M22" s="14">
        <v>4</v>
      </c>
      <c r="N22" s="14">
        <v>1</v>
      </c>
      <c r="O22" s="14">
        <v>1</v>
      </c>
      <c r="P22" s="14">
        <v>1</v>
      </c>
      <c r="Q22" s="14">
        <v>1</v>
      </c>
      <c r="R22" s="14">
        <v>1</v>
      </c>
    </row>
    <row r="23" spans="2:18" x14ac:dyDescent="0.35">
      <c r="C23" s="1"/>
      <c r="G23" s="6" t="s">
        <v>23</v>
      </c>
      <c r="H23" s="13" cm="1">
        <f t="array" ref="H23">INDEX(J23:R23,,$H$9)</f>
        <v>1</v>
      </c>
      <c r="J23" s="14">
        <v>1</v>
      </c>
      <c r="K23" s="14">
        <v>2</v>
      </c>
      <c r="L23" s="14">
        <v>3</v>
      </c>
      <c r="M23" s="14">
        <v>4</v>
      </c>
      <c r="N23" s="14">
        <v>1</v>
      </c>
      <c r="O23" s="14">
        <v>1</v>
      </c>
      <c r="P23" s="14">
        <v>1</v>
      </c>
      <c r="Q23" s="14">
        <v>1</v>
      </c>
      <c r="R23" s="14">
        <v>1</v>
      </c>
    </row>
    <row r="24" spans="2:18" x14ac:dyDescent="0.35">
      <c r="C24" s="1"/>
      <c r="G24" s="6" t="s">
        <v>21</v>
      </c>
      <c r="H24" s="13" cm="1">
        <f t="array" ref="H24">INDEX(J24:R24,,$H$9)</f>
        <v>1</v>
      </c>
      <c r="J24" s="14">
        <v>1</v>
      </c>
      <c r="K24" s="14">
        <v>2</v>
      </c>
      <c r="L24" s="14">
        <v>3</v>
      </c>
      <c r="M24" s="14">
        <v>4</v>
      </c>
      <c r="N24" s="14">
        <v>1</v>
      </c>
      <c r="O24" s="14">
        <v>1</v>
      </c>
      <c r="P24" s="14">
        <v>1</v>
      </c>
      <c r="Q24" s="14">
        <v>1</v>
      </c>
      <c r="R24" s="14">
        <v>1</v>
      </c>
    </row>
    <row r="25" spans="2:18" x14ac:dyDescent="0.35">
      <c r="C25" s="1"/>
      <c r="G25" s="6" t="s">
        <v>18</v>
      </c>
      <c r="H25" s="13" cm="1">
        <f t="array" ref="H25">INDEX(J25:R25,,$H$9)</f>
        <v>1</v>
      </c>
      <c r="J25" s="14">
        <v>1</v>
      </c>
      <c r="K25" s="14">
        <v>2</v>
      </c>
      <c r="L25" s="14">
        <v>3</v>
      </c>
      <c r="M25" s="14">
        <v>4</v>
      </c>
      <c r="N25" s="14">
        <v>1</v>
      </c>
      <c r="O25" s="14">
        <v>1</v>
      </c>
      <c r="P25" s="14">
        <v>1</v>
      </c>
      <c r="Q25" s="14">
        <v>1</v>
      </c>
      <c r="R25" s="14">
        <v>1</v>
      </c>
    </row>
    <row r="27" spans="2:18" x14ac:dyDescent="0.35">
      <c r="D27" s="10" t="s">
        <v>41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9" spans="2:18" x14ac:dyDescent="0.35">
      <c r="E29" s="19" t="s">
        <v>42</v>
      </c>
      <c r="F29" s="19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</row>
    <row r="31" spans="2:18" x14ac:dyDescent="0.35">
      <c r="F31" s="22" t="s">
        <v>43</v>
      </c>
    </row>
    <row r="32" spans="2:18" x14ac:dyDescent="0.35">
      <c r="B32" s="13" t="s">
        <v>72</v>
      </c>
      <c r="G32" s="13" t="s">
        <v>44</v>
      </c>
      <c r="H32" s="32" cm="1">
        <f t="array" ref="H32">INDEX(J32:R32,,$H$9)</f>
        <v>1.25</v>
      </c>
      <c r="J32" s="31">
        <v>1.25</v>
      </c>
      <c r="K32" s="31">
        <v>1.25</v>
      </c>
      <c r="L32" s="31">
        <v>1.25</v>
      </c>
      <c r="M32" s="31">
        <v>1.25</v>
      </c>
      <c r="N32" s="31">
        <v>1.25</v>
      </c>
      <c r="O32" s="31">
        <v>1.25</v>
      </c>
      <c r="P32" s="31">
        <v>1.25</v>
      </c>
      <c r="Q32" s="31">
        <v>1.25</v>
      </c>
      <c r="R32" s="31">
        <v>1.25</v>
      </c>
    </row>
    <row r="33" spans="2:18" x14ac:dyDescent="0.35">
      <c r="B33" s="13" t="s">
        <v>24</v>
      </c>
      <c r="G33" s="13" t="s">
        <v>45</v>
      </c>
      <c r="H33" s="21" cm="1">
        <f t="array" ref="H33">INDEX(J33:R33,,$H$9)</f>
        <v>0.4</v>
      </c>
      <c r="J33" s="20">
        <v>0.4</v>
      </c>
      <c r="K33" s="20">
        <v>0.4</v>
      </c>
      <c r="L33" s="20">
        <v>0.4</v>
      </c>
      <c r="M33" s="20">
        <v>0.4</v>
      </c>
      <c r="N33" s="20">
        <v>0.4</v>
      </c>
      <c r="O33" s="20">
        <v>0.4</v>
      </c>
      <c r="P33" s="20">
        <v>0.4</v>
      </c>
      <c r="Q33" s="20">
        <v>0.4</v>
      </c>
      <c r="R33" s="20">
        <v>0.4</v>
      </c>
    </row>
    <row r="34" spans="2:18" x14ac:dyDescent="0.35">
      <c r="B34" s="13" t="s">
        <v>49</v>
      </c>
      <c r="G34" s="13" t="s">
        <v>71</v>
      </c>
      <c r="H34" s="35" cm="1">
        <f t="array" ref="H34">INDEX(J34:R34,,$H$9)</f>
        <v>100</v>
      </c>
      <c r="J34" s="34">
        <v>100</v>
      </c>
      <c r="K34" s="34">
        <v>100</v>
      </c>
      <c r="L34" s="34">
        <v>100</v>
      </c>
      <c r="M34" s="34">
        <v>100</v>
      </c>
      <c r="N34" s="34">
        <v>100</v>
      </c>
      <c r="O34" s="34">
        <v>100</v>
      </c>
      <c r="P34" s="34">
        <v>100</v>
      </c>
      <c r="Q34" s="34">
        <v>100</v>
      </c>
      <c r="R34" s="34">
        <v>100</v>
      </c>
    </row>
    <row r="36" spans="2:18" x14ac:dyDescent="0.35">
      <c r="E36" s="19" t="s">
        <v>177</v>
      </c>
      <c r="F36" s="19"/>
      <c r="G36" s="16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</row>
    <row r="38" spans="2:18" x14ac:dyDescent="0.35">
      <c r="F38" s="22" t="s">
        <v>46</v>
      </c>
    </row>
    <row r="39" spans="2:18" x14ac:dyDescent="0.35">
      <c r="B39" s="13" t="s">
        <v>9</v>
      </c>
      <c r="G39" s="13" t="s">
        <v>47</v>
      </c>
      <c r="H39" s="36" cm="1">
        <f t="array" ref="H39">INDEX(J39:R39,,$H$9)</f>
        <v>45565</v>
      </c>
      <c r="J39" s="33">
        <f>DATE(2024,9,30)</f>
        <v>45565</v>
      </c>
      <c r="K39" s="33">
        <f t="shared" ref="K39:R39" si="0">DATE(2024,9,30)</f>
        <v>45565</v>
      </c>
      <c r="L39" s="33">
        <f t="shared" si="0"/>
        <v>45565</v>
      </c>
      <c r="M39" s="33">
        <f t="shared" si="0"/>
        <v>45565</v>
      </c>
      <c r="N39" s="33">
        <f t="shared" si="0"/>
        <v>45565</v>
      </c>
      <c r="O39" s="33">
        <f t="shared" si="0"/>
        <v>45565</v>
      </c>
      <c r="P39" s="33">
        <f t="shared" si="0"/>
        <v>45565</v>
      </c>
      <c r="Q39" s="33">
        <f t="shared" si="0"/>
        <v>45565</v>
      </c>
      <c r="R39" s="33">
        <f t="shared" si="0"/>
        <v>45565</v>
      </c>
    </row>
    <row r="40" spans="2:18" x14ac:dyDescent="0.35">
      <c r="B40" s="13" t="s">
        <v>49</v>
      </c>
      <c r="G40" s="13" t="s">
        <v>48</v>
      </c>
      <c r="H40" s="35" cm="1">
        <f t="array" ref="H40">INDEX(J40:R40,,$H$9)</f>
        <v>350</v>
      </c>
      <c r="J40" s="34">
        <v>350</v>
      </c>
      <c r="K40" s="34">
        <v>350</v>
      </c>
      <c r="L40" s="34">
        <v>350</v>
      </c>
      <c r="M40" s="34">
        <v>350</v>
      </c>
      <c r="N40" s="34">
        <v>350</v>
      </c>
      <c r="O40" s="34">
        <v>350</v>
      </c>
      <c r="P40" s="34">
        <v>350</v>
      </c>
      <c r="Q40" s="34">
        <v>350</v>
      </c>
      <c r="R40" s="34">
        <v>350</v>
      </c>
    </row>
    <row r="41" spans="2:18" x14ac:dyDescent="0.35">
      <c r="B41" s="13" t="s">
        <v>9</v>
      </c>
      <c r="G41" s="13" t="s">
        <v>50</v>
      </c>
      <c r="H41" s="36" cm="1">
        <f t="array" ref="H41">INDEX(J41:R41,,$H$9)</f>
        <v>47391</v>
      </c>
      <c r="J41" s="33">
        <f>DATE(2029,9,30)</f>
        <v>47391</v>
      </c>
      <c r="K41" s="33">
        <f t="shared" ref="K41:R41" si="1">DATE(2029,9,30)</f>
        <v>47391</v>
      </c>
      <c r="L41" s="33">
        <f t="shared" si="1"/>
        <v>47391</v>
      </c>
      <c r="M41" s="33">
        <f t="shared" si="1"/>
        <v>47391</v>
      </c>
      <c r="N41" s="33">
        <f t="shared" si="1"/>
        <v>47391</v>
      </c>
      <c r="O41" s="33">
        <f t="shared" si="1"/>
        <v>47391</v>
      </c>
      <c r="P41" s="33">
        <f t="shared" si="1"/>
        <v>47391</v>
      </c>
      <c r="Q41" s="33">
        <f t="shared" si="1"/>
        <v>47391</v>
      </c>
      <c r="R41" s="33">
        <f t="shared" si="1"/>
        <v>47391</v>
      </c>
    </row>
    <row r="42" spans="2:18" x14ac:dyDescent="0.35">
      <c r="B42" s="13" t="s">
        <v>56</v>
      </c>
      <c r="G42" s="13" t="s">
        <v>53</v>
      </c>
      <c r="H42" s="38" t="str" cm="1">
        <f t="array" ref="H42">INDEX(J42:R42,,$H$9)</f>
        <v>SOFR</v>
      </c>
      <c r="J42" s="37" t="s">
        <v>18</v>
      </c>
      <c r="K42" s="37" t="s">
        <v>18</v>
      </c>
      <c r="L42" s="37" t="s">
        <v>18</v>
      </c>
      <c r="M42" s="37" t="s">
        <v>18</v>
      </c>
      <c r="N42" s="37" t="s">
        <v>18</v>
      </c>
      <c r="O42" s="37" t="s">
        <v>18</v>
      </c>
      <c r="P42" s="37" t="s">
        <v>18</v>
      </c>
      <c r="Q42" s="37" t="s">
        <v>18</v>
      </c>
      <c r="R42" s="37" t="s">
        <v>18</v>
      </c>
    </row>
    <row r="43" spans="2:18" x14ac:dyDescent="0.35">
      <c r="B43" s="13" t="s">
        <v>55</v>
      </c>
      <c r="G43" s="13" t="s">
        <v>54</v>
      </c>
      <c r="H43" s="40" cm="1">
        <f t="array" ref="H43">INDEX(J43:R43,,$H$9)</f>
        <v>4.4999999999999998E-2</v>
      </c>
      <c r="J43" s="39">
        <v>4.4999999999999998E-2</v>
      </c>
      <c r="K43" s="39">
        <v>4.4999999999999998E-2</v>
      </c>
      <c r="L43" s="39">
        <v>4.4999999999999998E-2</v>
      </c>
      <c r="M43" s="39">
        <v>4.4999999999999998E-2</v>
      </c>
      <c r="N43" s="39">
        <v>4.4999999999999998E-2</v>
      </c>
      <c r="O43" s="39">
        <v>4.4999999999999998E-2</v>
      </c>
      <c r="P43" s="39">
        <v>4.4999999999999998E-2</v>
      </c>
      <c r="Q43" s="39">
        <v>4.4999999999999998E-2</v>
      </c>
      <c r="R43" s="39">
        <v>4.4999999999999998E-2</v>
      </c>
    </row>
    <row r="44" spans="2:18" x14ac:dyDescent="0.35">
      <c r="B44" s="13" t="s">
        <v>49</v>
      </c>
      <c r="G44" s="13" t="s">
        <v>103</v>
      </c>
      <c r="H44" s="35" cm="1">
        <f t="array" ref="H44">INDEX(J44:R44,,$H$9)</f>
        <v>245</v>
      </c>
      <c r="J44" s="34">
        <v>245</v>
      </c>
      <c r="K44" s="34">
        <v>245</v>
      </c>
      <c r="L44" s="34">
        <v>245</v>
      </c>
      <c r="M44" s="34">
        <v>245</v>
      </c>
      <c r="N44" s="34">
        <v>245</v>
      </c>
      <c r="O44" s="34">
        <v>245</v>
      </c>
      <c r="P44" s="34">
        <v>245</v>
      </c>
      <c r="Q44" s="34">
        <v>245</v>
      </c>
      <c r="R44" s="34">
        <v>245</v>
      </c>
    </row>
    <row r="45" spans="2:18" x14ac:dyDescent="0.35">
      <c r="B45" s="13" t="s">
        <v>49</v>
      </c>
      <c r="G45" s="13" t="s">
        <v>63</v>
      </c>
      <c r="H45" s="24" cm="1">
        <f t="array" ref="H45">INDEX(J45:R45,,$H$9)</f>
        <v>7</v>
      </c>
      <c r="J45" s="23">
        <v>7</v>
      </c>
      <c r="K45" s="23">
        <v>7</v>
      </c>
      <c r="L45" s="23">
        <v>7</v>
      </c>
      <c r="M45" s="23">
        <v>7</v>
      </c>
      <c r="N45" s="23">
        <v>7</v>
      </c>
      <c r="O45" s="23">
        <v>7</v>
      </c>
      <c r="P45" s="23">
        <v>7</v>
      </c>
      <c r="Q45" s="23">
        <v>7</v>
      </c>
      <c r="R45" s="23">
        <v>7</v>
      </c>
    </row>
    <row r="46" spans="2:18" x14ac:dyDescent="0.35">
      <c r="B46" s="13" t="s">
        <v>49</v>
      </c>
      <c r="G46" s="13" t="s">
        <v>109</v>
      </c>
      <c r="H46" s="24" cm="1">
        <f t="array" ref="H46">INDEX(J46:R46,,$H$9)</f>
        <v>2.5</v>
      </c>
      <c r="J46" s="23">
        <v>2.5</v>
      </c>
      <c r="K46" s="23">
        <v>2.5</v>
      </c>
      <c r="L46" s="23">
        <v>2.5</v>
      </c>
      <c r="M46" s="23">
        <v>2.5</v>
      </c>
      <c r="N46" s="23">
        <v>2.5</v>
      </c>
      <c r="O46" s="23">
        <v>2.5</v>
      </c>
      <c r="P46" s="23">
        <v>2.5</v>
      </c>
      <c r="Q46" s="23">
        <v>2.5</v>
      </c>
      <c r="R46" s="23">
        <v>2.5</v>
      </c>
    </row>
    <row r="47" spans="2:18" x14ac:dyDescent="0.35">
      <c r="B47" s="13" t="s">
        <v>52</v>
      </c>
      <c r="G47" s="13" t="s">
        <v>51</v>
      </c>
      <c r="H47" s="24">
        <f>YEARFRAC(H39,H41)</f>
        <v>5</v>
      </c>
    </row>
    <row r="48" spans="2:18" x14ac:dyDescent="0.35">
      <c r="B48" s="13" t="s">
        <v>60</v>
      </c>
      <c r="G48" s="13" t="s">
        <v>61</v>
      </c>
      <c r="H48" s="24">
        <f>(YEAR(H41)-YEAR(H39))*12+MONTH(H39)-MONTH(H41)</f>
        <v>60</v>
      </c>
    </row>
    <row r="49" spans="2:18" x14ac:dyDescent="0.35">
      <c r="G49" s="13" t="s">
        <v>111</v>
      </c>
      <c r="H49" s="24">
        <f>H45/H48</f>
        <v>0.11666666666666667</v>
      </c>
    </row>
    <row r="51" spans="2:18" x14ac:dyDescent="0.35">
      <c r="F51" s="22" t="s">
        <v>57</v>
      </c>
    </row>
    <row r="52" spans="2:18" x14ac:dyDescent="0.35">
      <c r="G52" s="13" t="s">
        <v>58</v>
      </c>
      <c r="H52" s="13" t="s">
        <v>59</v>
      </c>
    </row>
    <row r="53" spans="2:18" x14ac:dyDescent="0.35">
      <c r="B53" s="13" t="s">
        <v>49</v>
      </c>
      <c r="G53" s="41">
        <v>3</v>
      </c>
      <c r="H53" s="35" cm="1">
        <f t="array" ref="H53">INDEX(J53:R53,,$H$9)</f>
        <v>35</v>
      </c>
      <c r="J53" s="34">
        <v>35</v>
      </c>
      <c r="K53" s="34">
        <v>35</v>
      </c>
      <c r="L53" s="34">
        <v>35</v>
      </c>
      <c r="M53" s="34">
        <v>35</v>
      </c>
      <c r="N53" s="34">
        <v>35</v>
      </c>
      <c r="O53" s="34">
        <v>35</v>
      </c>
      <c r="P53" s="34">
        <v>35</v>
      </c>
      <c r="Q53" s="34">
        <v>35</v>
      </c>
      <c r="R53" s="34">
        <v>35</v>
      </c>
    </row>
    <row r="54" spans="2:18" x14ac:dyDescent="0.35">
      <c r="B54" s="13" t="s">
        <v>49</v>
      </c>
      <c r="G54" s="41">
        <f>G53+6</f>
        <v>9</v>
      </c>
      <c r="H54" s="35" cm="1">
        <f t="array" ref="H54">INDEX(J54:R54,,$H$9)</f>
        <v>35</v>
      </c>
      <c r="J54" s="34">
        <v>35</v>
      </c>
      <c r="K54" s="34">
        <v>35</v>
      </c>
      <c r="L54" s="34">
        <v>35</v>
      </c>
      <c r="M54" s="34">
        <v>35</v>
      </c>
      <c r="N54" s="34">
        <v>35</v>
      </c>
      <c r="O54" s="34">
        <v>35</v>
      </c>
      <c r="P54" s="34">
        <v>35</v>
      </c>
      <c r="Q54" s="34">
        <v>35</v>
      </c>
      <c r="R54" s="34">
        <v>35</v>
      </c>
    </row>
    <row r="55" spans="2:18" x14ac:dyDescent="0.35">
      <c r="B55" s="13" t="s">
        <v>49</v>
      </c>
      <c r="G55" s="41">
        <f t="shared" ref="G55:G62" si="2">G54+6</f>
        <v>15</v>
      </c>
      <c r="H55" s="35" cm="1">
        <f t="array" ref="H55">INDEX(J55:R55,,$H$9)</f>
        <v>35</v>
      </c>
      <c r="J55" s="34">
        <v>35</v>
      </c>
      <c r="K55" s="34">
        <v>35</v>
      </c>
      <c r="L55" s="34">
        <v>35</v>
      </c>
      <c r="M55" s="34">
        <v>35</v>
      </c>
      <c r="N55" s="34">
        <v>35</v>
      </c>
      <c r="O55" s="34">
        <v>35</v>
      </c>
      <c r="P55" s="34">
        <v>35</v>
      </c>
      <c r="Q55" s="34">
        <v>35</v>
      </c>
      <c r="R55" s="34">
        <v>35</v>
      </c>
    </row>
    <row r="56" spans="2:18" x14ac:dyDescent="0.35">
      <c r="B56" s="13" t="s">
        <v>49</v>
      </c>
      <c r="G56" s="41">
        <f t="shared" si="2"/>
        <v>21</v>
      </c>
      <c r="H56" s="35" cm="1">
        <f t="array" ref="H56">INDEX(J56:R56,,$H$9)</f>
        <v>35</v>
      </c>
      <c r="J56" s="34">
        <v>35</v>
      </c>
      <c r="K56" s="34">
        <v>35</v>
      </c>
      <c r="L56" s="34">
        <v>35</v>
      </c>
      <c r="M56" s="34">
        <v>35</v>
      </c>
      <c r="N56" s="34">
        <v>35</v>
      </c>
      <c r="O56" s="34">
        <v>35</v>
      </c>
      <c r="P56" s="34">
        <v>35</v>
      </c>
      <c r="Q56" s="34">
        <v>35</v>
      </c>
      <c r="R56" s="34">
        <v>35</v>
      </c>
    </row>
    <row r="57" spans="2:18" x14ac:dyDescent="0.35">
      <c r="B57" s="13" t="s">
        <v>49</v>
      </c>
      <c r="G57" s="41">
        <f t="shared" si="2"/>
        <v>27</v>
      </c>
      <c r="H57" s="35" cm="1">
        <f t="array" ref="H57">INDEX(J57:R57,,$H$9)</f>
        <v>35</v>
      </c>
      <c r="J57" s="34">
        <v>35</v>
      </c>
      <c r="K57" s="34">
        <v>35</v>
      </c>
      <c r="L57" s="34">
        <v>35</v>
      </c>
      <c r="M57" s="34">
        <v>35</v>
      </c>
      <c r="N57" s="34">
        <v>35</v>
      </c>
      <c r="O57" s="34">
        <v>35</v>
      </c>
      <c r="P57" s="34">
        <v>35</v>
      </c>
      <c r="Q57" s="34">
        <v>35</v>
      </c>
      <c r="R57" s="34">
        <v>35</v>
      </c>
    </row>
    <row r="58" spans="2:18" x14ac:dyDescent="0.35">
      <c r="B58" s="13" t="s">
        <v>49</v>
      </c>
      <c r="G58" s="41">
        <f t="shared" si="2"/>
        <v>33</v>
      </c>
      <c r="H58" s="35" cm="1">
        <f t="array" ref="H58">INDEX(J58:R58,,$H$9)</f>
        <v>35</v>
      </c>
      <c r="J58" s="34">
        <v>35</v>
      </c>
      <c r="K58" s="34">
        <v>35</v>
      </c>
      <c r="L58" s="34">
        <v>35</v>
      </c>
      <c r="M58" s="34">
        <v>35</v>
      </c>
      <c r="N58" s="34">
        <v>35</v>
      </c>
      <c r="O58" s="34">
        <v>35</v>
      </c>
      <c r="P58" s="34">
        <v>35</v>
      </c>
      <c r="Q58" s="34">
        <v>35</v>
      </c>
      <c r="R58" s="34">
        <v>35</v>
      </c>
    </row>
    <row r="59" spans="2:18" x14ac:dyDescent="0.35">
      <c r="B59" s="13" t="s">
        <v>49</v>
      </c>
      <c r="G59" s="41">
        <f t="shared" si="2"/>
        <v>39</v>
      </c>
      <c r="H59" s="35" cm="1">
        <f t="array" ref="H59">INDEX(J59:R59,,$H$9)</f>
        <v>35</v>
      </c>
      <c r="J59" s="34">
        <v>35</v>
      </c>
      <c r="K59" s="34">
        <v>35</v>
      </c>
      <c r="L59" s="34">
        <v>35</v>
      </c>
      <c r="M59" s="34">
        <v>35</v>
      </c>
      <c r="N59" s="34">
        <v>35</v>
      </c>
      <c r="O59" s="34">
        <v>35</v>
      </c>
      <c r="P59" s="34">
        <v>35</v>
      </c>
      <c r="Q59" s="34">
        <v>35</v>
      </c>
      <c r="R59" s="34">
        <v>35</v>
      </c>
    </row>
    <row r="60" spans="2:18" x14ac:dyDescent="0.35">
      <c r="B60" s="13" t="s">
        <v>49</v>
      </c>
      <c r="G60" s="41">
        <f t="shared" si="2"/>
        <v>45</v>
      </c>
      <c r="H60" s="35" cm="1">
        <f t="array" ref="H60">INDEX(J60:R60,,$H$9)</f>
        <v>35</v>
      </c>
      <c r="J60" s="34">
        <v>35</v>
      </c>
      <c r="K60" s="34">
        <v>35</v>
      </c>
      <c r="L60" s="34">
        <v>35</v>
      </c>
      <c r="M60" s="34">
        <v>35</v>
      </c>
      <c r="N60" s="34">
        <v>35</v>
      </c>
      <c r="O60" s="34">
        <v>35</v>
      </c>
      <c r="P60" s="34">
        <v>35</v>
      </c>
      <c r="Q60" s="34">
        <v>35</v>
      </c>
      <c r="R60" s="34">
        <v>35</v>
      </c>
    </row>
    <row r="61" spans="2:18" x14ac:dyDescent="0.35">
      <c r="B61" s="13" t="s">
        <v>49</v>
      </c>
      <c r="G61" s="41">
        <f t="shared" si="2"/>
        <v>51</v>
      </c>
      <c r="H61" s="35" cm="1">
        <f t="array" ref="H61">INDEX(J61:R61,,$H$9)</f>
        <v>35</v>
      </c>
      <c r="J61" s="34">
        <v>35</v>
      </c>
      <c r="K61" s="34">
        <v>35</v>
      </c>
      <c r="L61" s="34">
        <v>35</v>
      </c>
      <c r="M61" s="34">
        <v>35</v>
      </c>
      <c r="N61" s="34">
        <v>35</v>
      </c>
      <c r="O61" s="34">
        <v>35</v>
      </c>
      <c r="P61" s="34">
        <v>35</v>
      </c>
      <c r="Q61" s="34">
        <v>35</v>
      </c>
      <c r="R61" s="34">
        <v>35</v>
      </c>
    </row>
    <row r="62" spans="2:18" x14ac:dyDescent="0.35">
      <c r="B62" s="13" t="s">
        <v>49</v>
      </c>
      <c r="G62" s="41">
        <f t="shared" si="2"/>
        <v>57</v>
      </c>
      <c r="H62" s="35" cm="1">
        <f t="array" ref="H62">INDEX(J62:R62,,$H$9)</f>
        <v>35</v>
      </c>
      <c r="J62" s="34">
        <v>35</v>
      </c>
      <c r="K62" s="34">
        <v>35</v>
      </c>
      <c r="L62" s="34">
        <v>35</v>
      </c>
      <c r="M62" s="34">
        <v>35</v>
      </c>
      <c r="N62" s="34">
        <v>35</v>
      </c>
      <c r="O62" s="34">
        <v>35</v>
      </c>
      <c r="P62" s="34">
        <v>35</v>
      </c>
      <c r="Q62" s="34">
        <v>35</v>
      </c>
      <c r="R62" s="34">
        <v>35</v>
      </c>
    </row>
    <row r="64" spans="2:18" x14ac:dyDescent="0.35">
      <c r="F64" s="22" t="s">
        <v>62</v>
      </c>
    </row>
    <row r="65" spans="2:18" x14ac:dyDescent="0.35">
      <c r="B65" s="13" t="s">
        <v>9</v>
      </c>
      <c r="G65" s="13" t="s">
        <v>47</v>
      </c>
      <c r="H65" s="36" cm="1">
        <f t="array" ref="H65">INDEX(J65:R65,,$H$9)</f>
        <v>46418</v>
      </c>
      <c r="J65" s="33">
        <f>DATE(2027,1,31)</f>
        <v>46418</v>
      </c>
      <c r="K65" s="33">
        <f t="shared" ref="K65:R65" si="3">DATE(2027,1,31)</f>
        <v>46418</v>
      </c>
      <c r="L65" s="33">
        <f t="shared" si="3"/>
        <v>46418</v>
      </c>
      <c r="M65" s="33">
        <f t="shared" si="3"/>
        <v>46418</v>
      </c>
      <c r="N65" s="33">
        <f t="shared" si="3"/>
        <v>46418</v>
      </c>
      <c r="O65" s="33">
        <f t="shared" si="3"/>
        <v>46418</v>
      </c>
      <c r="P65" s="33">
        <f t="shared" si="3"/>
        <v>46418</v>
      </c>
      <c r="Q65" s="33">
        <f t="shared" si="3"/>
        <v>46418</v>
      </c>
      <c r="R65" s="33">
        <f t="shared" si="3"/>
        <v>46418</v>
      </c>
    </row>
    <row r="66" spans="2:18" x14ac:dyDescent="0.35">
      <c r="B66" s="13" t="s">
        <v>49</v>
      </c>
      <c r="G66" s="13" t="s">
        <v>48</v>
      </c>
      <c r="H66" s="35" cm="1">
        <f t="array" ref="H66">INDEX(J66:R66,,$H$9)</f>
        <v>250</v>
      </c>
      <c r="J66" s="34">
        <v>250</v>
      </c>
      <c r="K66" s="34">
        <v>250</v>
      </c>
      <c r="L66" s="34">
        <v>250</v>
      </c>
      <c r="M66" s="34">
        <v>250</v>
      </c>
      <c r="N66" s="34">
        <v>250</v>
      </c>
      <c r="O66" s="34">
        <v>250</v>
      </c>
      <c r="P66" s="34">
        <v>250</v>
      </c>
      <c r="Q66" s="34">
        <v>250</v>
      </c>
      <c r="R66" s="34">
        <v>250</v>
      </c>
    </row>
    <row r="67" spans="2:18" x14ac:dyDescent="0.35">
      <c r="B67" s="13" t="s">
        <v>9</v>
      </c>
      <c r="G67" s="13" t="s">
        <v>50</v>
      </c>
      <c r="H67" s="36" cm="1">
        <f t="array" ref="H67">INDEX(J67:R67,,$H$9)</f>
        <v>48213</v>
      </c>
      <c r="J67" s="33">
        <f>DATE(2031,12,31)</f>
        <v>48213</v>
      </c>
      <c r="K67" s="33">
        <f t="shared" ref="K67:R67" si="4">DATE(2031,12,31)</f>
        <v>48213</v>
      </c>
      <c r="L67" s="33">
        <f t="shared" si="4"/>
        <v>48213</v>
      </c>
      <c r="M67" s="33">
        <f t="shared" si="4"/>
        <v>48213</v>
      </c>
      <c r="N67" s="33">
        <f t="shared" si="4"/>
        <v>48213</v>
      </c>
      <c r="O67" s="33">
        <f t="shared" si="4"/>
        <v>48213</v>
      </c>
      <c r="P67" s="33">
        <f t="shared" si="4"/>
        <v>48213</v>
      </c>
      <c r="Q67" s="33">
        <f t="shared" si="4"/>
        <v>48213</v>
      </c>
      <c r="R67" s="33">
        <f t="shared" si="4"/>
        <v>48213</v>
      </c>
    </row>
    <row r="68" spans="2:18" x14ac:dyDescent="0.35">
      <c r="B68" s="13" t="s">
        <v>56</v>
      </c>
      <c r="G68" s="13" t="s">
        <v>53</v>
      </c>
      <c r="H68" s="38" t="str" cm="1">
        <f t="array" ref="H68">INDEX(J68:R68,,$H$9)</f>
        <v>SOFR</v>
      </c>
      <c r="J68" s="37" t="s">
        <v>18</v>
      </c>
      <c r="K68" s="37" t="s">
        <v>18</v>
      </c>
      <c r="L68" s="37" t="s">
        <v>18</v>
      </c>
      <c r="M68" s="37" t="s">
        <v>18</v>
      </c>
      <c r="N68" s="37" t="s">
        <v>18</v>
      </c>
      <c r="O68" s="37" t="s">
        <v>18</v>
      </c>
      <c r="P68" s="37" t="s">
        <v>18</v>
      </c>
      <c r="Q68" s="37" t="s">
        <v>18</v>
      </c>
      <c r="R68" s="37" t="s">
        <v>18</v>
      </c>
    </row>
    <row r="69" spans="2:18" x14ac:dyDescent="0.35">
      <c r="B69" s="13" t="s">
        <v>55</v>
      </c>
      <c r="G69" s="13" t="s">
        <v>54</v>
      </c>
      <c r="H69" s="40" cm="1">
        <f t="array" ref="H69">INDEX(J69:R69,,$H$9)</f>
        <v>3.7499999999999999E-2</v>
      </c>
      <c r="J69" s="39">
        <v>3.7499999999999999E-2</v>
      </c>
      <c r="K69" s="39">
        <v>3.7499999999999999E-2</v>
      </c>
      <c r="L69" s="39">
        <v>3.7499999999999999E-2</v>
      </c>
      <c r="M69" s="39">
        <v>3.7499999999999999E-2</v>
      </c>
      <c r="N69" s="39">
        <v>3.7499999999999999E-2</v>
      </c>
      <c r="O69" s="39">
        <v>3.7499999999999999E-2</v>
      </c>
      <c r="P69" s="39">
        <v>3.7499999999999999E-2</v>
      </c>
      <c r="Q69" s="39">
        <v>3.7499999999999999E-2</v>
      </c>
      <c r="R69" s="39">
        <v>3.7499999999999999E-2</v>
      </c>
    </row>
    <row r="70" spans="2:18" x14ac:dyDescent="0.35">
      <c r="B70" s="13" t="s">
        <v>55</v>
      </c>
      <c r="G70" s="13" t="s">
        <v>63</v>
      </c>
      <c r="H70" s="40" cm="1">
        <f t="array" ref="H70">INDEX(J70:R70,,$H$9)</f>
        <v>5.0000000000000001E-3</v>
      </c>
      <c r="J70" s="39">
        <v>5.0000000000000001E-3</v>
      </c>
      <c r="K70" s="39">
        <v>5.0000000000000001E-3</v>
      </c>
      <c r="L70" s="39">
        <v>5.0000000000000001E-3</v>
      </c>
      <c r="M70" s="39">
        <v>5.0000000000000001E-3</v>
      </c>
      <c r="N70" s="39">
        <v>5.0000000000000001E-3</v>
      </c>
      <c r="O70" s="39">
        <v>5.0000000000000001E-3</v>
      </c>
      <c r="P70" s="39">
        <v>5.0000000000000001E-3</v>
      </c>
      <c r="Q70" s="39">
        <v>5.0000000000000001E-3</v>
      </c>
      <c r="R70" s="39">
        <v>5.0000000000000001E-3</v>
      </c>
    </row>
    <row r="71" spans="2:18" x14ac:dyDescent="0.35">
      <c r="B71" s="13" t="s">
        <v>49</v>
      </c>
      <c r="G71" s="13" t="s">
        <v>64</v>
      </c>
      <c r="H71" s="40" cm="1">
        <f t="array" ref="H71">INDEX(J71:R71,,$H$9)</f>
        <v>3.3783783783783786E-2</v>
      </c>
      <c r="J71" s="42">
        <f>(J66*$H$70)/$H$77</f>
        <v>3.3783783783783786E-2</v>
      </c>
      <c r="K71" s="42">
        <f t="shared" ref="K71:R71" si="5">(K66*$H$70)/$H$77</f>
        <v>3.3783783783783786E-2</v>
      </c>
      <c r="L71" s="42">
        <f t="shared" si="5"/>
        <v>3.3783783783783786E-2</v>
      </c>
      <c r="M71" s="42">
        <f t="shared" si="5"/>
        <v>3.3783783783783786E-2</v>
      </c>
      <c r="N71" s="42">
        <f t="shared" si="5"/>
        <v>3.3783783783783786E-2</v>
      </c>
      <c r="O71" s="42">
        <f t="shared" si="5"/>
        <v>3.3783783783783786E-2</v>
      </c>
      <c r="P71" s="42">
        <f t="shared" si="5"/>
        <v>3.3783783783783786E-2</v>
      </c>
      <c r="Q71" s="42">
        <f t="shared" si="5"/>
        <v>3.3783783783783786E-2</v>
      </c>
      <c r="R71" s="42">
        <f t="shared" si="5"/>
        <v>3.3783783783783786E-2</v>
      </c>
    </row>
    <row r="72" spans="2:18" x14ac:dyDescent="0.35">
      <c r="G72" s="13" t="s">
        <v>61</v>
      </c>
      <c r="H72" s="24">
        <f>YEARFRAC(EOMONTH(H65,-1),H67)*12</f>
        <v>60</v>
      </c>
    </row>
    <row r="73" spans="2:18" x14ac:dyDescent="0.35">
      <c r="G73" s="13" t="s">
        <v>120</v>
      </c>
      <c r="H73" s="24">
        <f>H70*H66</f>
        <v>1.25</v>
      </c>
    </row>
    <row r="74" spans="2:18" x14ac:dyDescent="0.35">
      <c r="G74" s="13" t="s">
        <v>119</v>
      </c>
      <c r="H74" s="24">
        <f>H73/H72</f>
        <v>2.0833333333333332E-2</v>
      </c>
    </row>
    <row r="76" spans="2:18" x14ac:dyDescent="0.35">
      <c r="B76" s="13" t="s">
        <v>52</v>
      </c>
      <c r="G76" s="13" t="s">
        <v>51</v>
      </c>
      <c r="H76" s="24">
        <f>YEARFRAC(H65,H67)</f>
        <v>4.916666666666667</v>
      </c>
    </row>
    <row r="77" spans="2:18" x14ac:dyDescent="0.35">
      <c r="B77" s="13" t="s">
        <v>60</v>
      </c>
      <c r="G77" s="13" t="s">
        <v>61</v>
      </c>
      <c r="H77" s="24">
        <f>(YEAR(H67)-YEAR(H65))*12+MONTH(H65)-MONTH(H67)</f>
        <v>37</v>
      </c>
    </row>
    <row r="79" spans="2:18" x14ac:dyDescent="0.35">
      <c r="F79" s="22" t="s">
        <v>95</v>
      </c>
    </row>
    <row r="80" spans="2:18" x14ac:dyDescent="0.35">
      <c r="G80" s="13" t="s">
        <v>58</v>
      </c>
      <c r="H80" s="13" t="s">
        <v>59</v>
      </c>
      <c r="J80" s="13"/>
    </row>
    <row r="81" spans="2:18" x14ac:dyDescent="0.35">
      <c r="B81" s="13" t="s">
        <v>49</v>
      </c>
      <c r="G81" s="41">
        <v>3</v>
      </c>
      <c r="H81" s="35" cm="1">
        <f t="array" ref="H81">INDEX(J81:R81,,$H$9)</f>
        <v>25</v>
      </c>
      <c r="J81" s="34">
        <v>25</v>
      </c>
      <c r="K81" s="34">
        <v>25</v>
      </c>
      <c r="L81" s="34">
        <v>25</v>
      </c>
      <c r="M81" s="34">
        <v>25</v>
      </c>
      <c r="N81" s="34">
        <v>25</v>
      </c>
      <c r="O81" s="34">
        <v>25</v>
      </c>
      <c r="P81" s="34">
        <v>25</v>
      </c>
      <c r="Q81" s="34">
        <v>25</v>
      </c>
      <c r="R81" s="34">
        <v>25</v>
      </c>
    </row>
    <row r="82" spans="2:18" x14ac:dyDescent="0.35">
      <c r="B82" s="13" t="s">
        <v>49</v>
      </c>
      <c r="G82" s="41">
        <f>G81+6</f>
        <v>9</v>
      </c>
      <c r="H82" s="35" cm="1">
        <f t="array" ref="H82">INDEX(J82:R82,,$H$9)</f>
        <v>25</v>
      </c>
      <c r="J82" s="34">
        <v>25</v>
      </c>
      <c r="K82" s="34">
        <v>25</v>
      </c>
      <c r="L82" s="34">
        <v>25</v>
      </c>
      <c r="M82" s="34">
        <v>25</v>
      </c>
      <c r="N82" s="34">
        <v>25</v>
      </c>
      <c r="O82" s="34">
        <v>25</v>
      </c>
      <c r="P82" s="34">
        <v>25</v>
      </c>
      <c r="Q82" s="34">
        <v>25</v>
      </c>
      <c r="R82" s="34">
        <v>25</v>
      </c>
    </row>
    <row r="83" spans="2:18" x14ac:dyDescent="0.35">
      <c r="B83" s="13" t="s">
        <v>49</v>
      </c>
      <c r="G83" s="41">
        <f t="shared" ref="G83:G90" si="6">G82+6</f>
        <v>15</v>
      </c>
      <c r="H83" s="35" cm="1">
        <f t="array" ref="H83">INDEX(J83:R83,,$H$9)</f>
        <v>25</v>
      </c>
      <c r="J83" s="34">
        <v>25</v>
      </c>
      <c r="K83" s="34">
        <v>25</v>
      </c>
      <c r="L83" s="34">
        <v>25</v>
      </c>
      <c r="M83" s="34">
        <v>25</v>
      </c>
      <c r="N83" s="34">
        <v>25</v>
      </c>
      <c r="O83" s="34">
        <v>25</v>
      </c>
      <c r="P83" s="34">
        <v>25</v>
      </c>
      <c r="Q83" s="34">
        <v>25</v>
      </c>
      <c r="R83" s="34">
        <v>25</v>
      </c>
    </row>
    <row r="84" spans="2:18" x14ac:dyDescent="0.35">
      <c r="B84" s="13" t="s">
        <v>49</v>
      </c>
      <c r="G84" s="41">
        <f t="shared" si="6"/>
        <v>21</v>
      </c>
      <c r="H84" s="35" cm="1">
        <f t="array" ref="H84">INDEX(J84:R84,,$H$9)</f>
        <v>25</v>
      </c>
      <c r="J84" s="34">
        <v>25</v>
      </c>
      <c r="K84" s="34">
        <v>25</v>
      </c>
      <c r="L84" s="34">
        <v>25</v>
      </c>
      <c r="M84" s="34">
        <v>25</v>
      </c>
      <c r="N84" s="34">
        <v>25</v>
      </c>
      <c r="O84" s="34">
        <v>25</v>
      </c>
      <c r="P84" s="34">
        <v>25</v>
      </c>
      <c r="Q84" s="34">
        <v>25</v>
      </c>
      <c r="R84" s="34">
        <v>25</v>
      </c>
    </row>
    <row r="85" spans="2:18" x14ac:dyDescent="0.35">
      <c r="B85" s="13" t="s">
        <v>49</v>
      </c>
      <c r="G85" s="41">
        <f t="shared" si="6"/>
        <v>27</v>
      </c>
      <c r="H85" s="35" cm="1">
        <f t="array" ref="H85">INDEX(J85:R85,,$H$9)</f>
        <v>25</v>
      </c>
      <c r="J85" s="34">
        <v>25</v>
      </c>
      <c r="K85" s="34">
        <v>25</v>
      </c>
      <c r="L85" s="34">
        <v>25</v>
      </c>
      <c r="M85" s="34">
        <v>25</v>
      </c>
      <c r="N85" s="34">
        <v>25</v>
      </c>
      <c r="O85" s="34">
        <v>25</v>
      </c>
      <c r="P85" s="34">
        <v>25</v>
      </c>
      <c r="Q85" s="34">
        <v>25</v>
      </c>
      <c r="R85" s="34">
        <v>25</v>
      </c>
    </row>
    <row r="86" spans="2:18" x14ac:dyDescent="0.35">
      <c r="B86" s="13" t="s">
        <v>49</v>
      </c>
      <c r="G86" s="41">
        <f t="shared" si="6"/>
        <v>33</v>
      </c>
      <c r="H86" s="35" cm="1">
        <f t="array" ref="H86">INDEX(J86:R86,,$H$9)</f>
        <v>25</v>
      </c>
      <c r="J86" s="34">
        <v>25</v>
      </c>
      <c r="K86" s="34">
        <v>25</v>
      </c>
      <c r="L86" s="34">
        <v>25</v>
      </c>
      <c r="M86" s="34">
        <v>25</v>
      </c>
      <c r="N86" s="34">
        <v>25</v>
      </c>
      <c r="O86" s="34">
        <v>25</v>
      </c>
      <c r="P86" s="34">
        <v>25</v>
      </c>
      <c r="Q86" s="34">
        <v>25</v>
      </c>
      <c r="R86" s="34">
        <v>25</v>
      </c>
    </row>
    <row r="87" spans="2:18" x14ac:dyDescent="0.35">
      <c r="B87" s="13" t="s">
        <v>49</v>
      </c>
      <c r="G87" s="41">
        <f t="shared" si="6"/>
        <v>39</v>
      </c>
      <c r="H87" s="35" cm="1">
        <f t="array" ref="H87">INDEX(J87:R87,,$H$9)</f>
        <v>25</v>
      </c>
      <c r="J87" s="34">
        <v>25</v>
      </c>
      <c r="K87" s="34">
        <v>25</v>
      </c>
      <c r="L87" s="34">
        <v>25</v>
      </c>
      <c r="M87" s="34">
        <v>25</v>
      </c>
      <c r="N87" s="34">
        <v>25</v>
      </c>
      <c r="O87" s="34">
        <v>25</v>
      </c>
      <c r="P87" s="34">
        <v>25</v>
      </c>
      <c r="Q87" s="34">
        <v>25</v>
      </c>
      <c r="R87" s="34">
        <v>25</v>
      </c>
    </row>
    <row r="88" spans="2:18" x14ac:dyDescent="0.35">
      <c r="B88" s="13" t="s">
        <v>49</v>
      </c>
      <c r="G88" s="41">
        <f t="shared" si="6"/>
        <v>45</v>
      </c>
      <c r="H88" s="35" cm="1">
        <f t="array" ref="H88">INDEX(J88:R88,,$H$9)</f>
        <v>25</v>
      </c>
      <c r="J88" s="34">
        <v>25</v>
      </c>
      <c r="K88" s="34">
        <v>25</v>
      </c>
      <c r="L88" s="34">
        <v>25</v>
      </c>
      <c r="M88" s="34">
        <v>25</v>
      </c>
      <c r="N88" s="34">
        <v>25</v>
      </c>
      <c r="O88" s="34">
        <v>25</v>
      </c>
      <c r="P88" s="34">
        <v>25</v>
      </c>
      <c r="Q88" s="34">
        <v>25</v>
      </c>
      <c r="R88" s="34">
        <v>25</v>
      </c>
    </row>
    <row r="89" spans="2:18" x14ac:dyDescent="0.35">
      <c r="B89" s="13" t="s">
        <v>49</v>
      </c>
      <c r="G89" s="41">
        <f t="shared" si="6"/>
        <v>51</v>
      </c>
      <c r="H89" s="35" cm="1">
        <f t="array" ref="H89">INDEX(J89:R89,,$H$9)</f>
        <v>25</v>
      </c>
      <c r="J89" s="34">
        <v>25</v>
      </c>
      <c r="K89" s="34">
        <v>25</v>
      </c>
      <c r="L89" s="34">
        <v>25</v>
      </c>
      <c r="M89" s="34">
        <v>25</v>
      </c>
      <c r="N89" s="34">
        <v>25</v>
      </c>
      <c r="O89" s="34">
        <v>25</v>
      </c>
      <c r="P89" s="34">
        <v>25</v>
      </c>
      <c r="Q89" s="34">
        <v>25</v>
      </c>
      <c r="R89" s="34">
        <v>25</v>
      </c>
    </row>
    <row r="90" spans="2:18" x14ac:dyDescent="0.35">
      <c r="B90" s="13" t="s">
        <v>49</v>
      </c>
      <c r="G90" s="41">
        <f t="shared" si="6"/>
        <v>57</v>
      </c>
      <c r="H90" s="35" cm="1">
        <f t="array" ref="H90">INDEX(J90:R90,,$H$9)</f>
        <v>25</v>
      </c>
      <c r="J90" s="34">
        <v>25</v>
      </c>
      <c r="K90" s="34">
        <v>25</v>
      </c>
      <c r="L90" s="34">
        <v>25</v>
      </c>
      <c r="M90" s="34">
        <v>25</v>
      </c>
      <c r="N90" s="34">
        <v>25</v>
      </c>
      <c r="O90" s="34">
        <v>25</v>
      </c>
      <c r="P90" s="34">
        <v>25</v>
      </c>
      <c r="Q90" s="34">
        <v>25</v>
      </c>
      <c r="R90" s="34">
        <v>25</v>
      </c>
    </row>
    <row r="92" spans="2:18" x14ac:dyDescent="0.35">
      <c r="F92" s="22" t="s">
        <v>65</v>
      </c>
    </row>
    <row r="93" spans="2:18" x14ac:dyDescent="0.35">
      <c r="B93" s="13" t="s">
        <v>9</v>
      </c>
      <c r="G93" s="13" t="s">
        <v>66</v>
      </c>
      <c r="H93" s="36" cm="1">
        <f t="array" ref="H93">INDEX(J93:R93,,$H$9)</f>
        <v>46234</v>
      </c>
      <c r="J93" s="33">
        <f>DATE(2026,7,31)</f>
        <v>46234</v>
      </c>
      <c r="K93" s="33">
        <f t="shared" ref="K93:R93" si="7">DATE(2026,7,31)</f>
        <v>46234</v>
      </c>
      <c r="L93" s="33">
        <f t="shared" si="7"/>
        <v>46234</v>
      </c>
      <c r="M93" s="33">
        <f t="shared" si="7"/>
        <v>46234</v>
      </c>
      <c r="N93" s="33">
        <f t="shared" si="7"/>
        <v>46234</v>
      </c>
      <c r="O93" s="33">
        <f t="shared" si="7"/>
        <v>46234</v>
      </c>
      <c r="P93" s="33">
        <f t="shared" si="7"/>
        <v>46234</v>
      </c>
      <c r="Q93" s="33">
        <f t="shared" si="7"/>
        <v>46234</v>
      </c>
      <c r="R93" s="33">
        <f t="shared" si="7"/>
        <v>46234</v>
      </c>
    </row>
    <row r="94" spans="2:18" x14ac:dyDescent="0.35">
      <c r="B94" s="13" t="s">
        <v>49</v>
      </c>
      <c r="G94" s="13" t="s">
        <v>67</v>
      </c>
      <c r="H94" s="35" cm="1">
        <f t="array" ref="H94">INDEX(J94:R94,,$H$9)</f>
        <v>200</v>
      </c>
      <c r="J94" s="34">
        <v>200</v>
      </c>
      <c r="K94" s="34">
        <v>200</v>
      </c>
      <c r="L94" s="34">
        <v>200</v>
      </c>
      <c r="M94" s="34">
        <v>200</v>
      </c>
      <c r="N94" s="34">
        <v>200</v>
      </c>
      <c r="O94" s="34">
        <v>200</v>
      </c>
      <c r="P94" s="34">
        <v>200</v>
      </c>
      <c r="Q94" s="34">
        <v>200</v>
      </c>
      <c r="R94" s="34">
        <v>200</v>
      </c>
    </row>
    <row r="95" spans="2:18" x14ac:dyDescent="0.35">
      <c r="B95" s="13" t="s">
        <v>9</v>
      </c>
      <c r="G95" s="13" t="s">
        <v>68</v>
      </c>
      <c r="H95" s="36" cm="1">
        <f t="array" ref="H95">INDEX(J95:R95,,$H$9)</f>
        <v>47299</v>
      </c>
      <c r="J95" s="33">
        <f>DATE(2029,6,30)</f>
        <v>47299</v>
      </c>
      <c r="K95" s="33">
        <f t="shared" ref="K95:R95" si="8">DATE(2029,6,30)</f>
        <v>47299</v>
      </c>
      <c r="L95" s="33">
        <f t="shared" si="8"/>
        <v>47299</v>
      </c>
      <c r="M95" s="33">
        <f t="shared" si="8"/>
        <v>47299</v>
      </c>
      <c r="N95" s="33">
        <f t="shared" si="8"/>
        <v>47299</v>
      </c>
      <c r="O95" s="33">
        <f t="shared" si="8"/>
        <v>47299</v>
      </c>
      <c r="P95" s="33">
        <f t="shared" si="8"/>
        <v>47299</v>
      </c>
      <c r="Q95" s="33">
        <f t="shared" si="8"/>
        <v>47299</v>
      </c>
      <c r="R95" s="33">
        <f t="shared" si="8"/>
        <v>47299</v>
      </c>
    </row>
    <row r="96" spans="2:18" x14ac:dyDescent="0.35">
      <c r="B96" s="13" t="s">
        <v>56</v>
      </c>
      <c r="G96" s="13" t="s">
        <v>69</v>
      </c>
      <c r="H96" s="38" t="str" cm="1">
        <f t="array" ref="H96">INDEX(J96:R96,,$H$9)</f>
        <v>SOFR</v>
      </c>
      <c r="J96" s="37" t="s">
        <v>18</v>
      </c>
      <c r="K96" s="37" t="s">
        <v>18</v>
      </c>
      <c r="L96" s="37" t="s">
        <v>18</v>
      </c>
      <c r="M96" s="37" t="s">
        <v>18</v>
      </c>
      <c r="N96" s="37" t="s">
        <v>18</v>
      </c>
      <c r="O96" s="37" t="s">
        <v>18</v>
      </c>
      <c r="P96" s="37" t="s">
        <v>18</v>
      </c>
      <c r="Q96" s="37" t="s">
        <v>18</v>
      </c>
      <c r="R96" s="37" t="s">
        <v>18</v>
      </c>
    </row>
    <row r="97" spans="2:18" x14ac:dyDescent="0.35">
      <c r="B97" s="13" t="s">
        <v>55</v>
      </c>
      <c r="G97" s="13" t="s">
        <v>70</v>
      </c>
      <c r="H97" s="40" cm="1">
        <f t="array" ref="H97">INDEX(J97:R97,,$H$9)</f>
        <v>4.4999999999999998E-2</v>
      </c>
      <c r="J97" s="39">
        <v>4.4999999999999998E-2</v>
      </c>
      <c r="K97" s="39">
        <v>4.4999999999999998E-2</v>
      </c>
      <c r="L97" s="39">
        <v>4.4999999999999998E-2</v>
      </c>
      <c r="M97" s="39">
        <v>4.4999999999999998E-2</v>
      </c>
      <c r="N97" s="39">
        <v>4.4999999999999998E-2</v>
      </c>
      <c r="O97" s="39">
        <v>4.4999999999999998E-2</v>
      </c>
      <c r="P97" s="39">
        <v>4.4999999999999998E-2</v>
      </c>
      <c r="Q97" s="39">
        <v>4.4999999999999998E-2</v>
      </c>
      <c r="R97" s="39">
        <v>4.4999999999999998E-2</v>
      </c>
    </row>
    <row r="98" spans="2:18" x14ac:dyDescent="0.35">
      <c r="B98" s="13" t="s">
        <v>55</v>
      </c>
      <c r="G98" s="13" t="s">
        <v>116</v>
      </c>
      <c r="H98" s="40" cm="1">
        <f t="array" ref="H98">INDEX(J98:R98,,$H$9)</f>
        <v>0.02</v>
      </c>
      <c r="J98" s="39">
        <v>0.02</v>
      </c>
      <c r="K98" s="39">
        <v>0.02</v>
      </c>
      <c r="L98" s="39">
        <v>0.02</v>
      </c>
      <c r="M98" s="39">
        <v>0.02</v>
      </c>
      <c r="N98" s="39">
        <v>0.02</v>
      </c>
      <c r="O98" s="39">
        <v>0.02</v>
      </c>
      <c r="P98" s="39">
        <v>0.02</v>
      </c>
      <c r="Q98" s="39">
        <v>0.02</v>
      </c>
      <c r="R98" s="39">
        <v>0.02</v>
      </c>
    </row>
    <row r="99" spans="2:18" x14ac:dyDescent="0.35">
      <c r="B99" s="13" t="s">
        <v>55</v>
      </c>
      <c r="G99" s="13" t="s">
        <v>73</v>
      </c>
      <c r="H99" s="40" cm="1">
        <f t="array" ref="H99">INDEX(J99:R99,,$H$9)</f>
        <v>0.4</v>
      </c>
      <c r="J99" s="39">
        <v>0.4</v>
      </c>
      <c r="K99" s="39">
        <v>0.4</v>
      </c>
      <c r="L99" s="39">
        <v>0.4</v>
      </c>
      <c r="M99" s="39">
        <v>0.4</v>
      </c>
      <c r="N99" s="39">
        <v>0.4</v>
      </c>
      <c r="O99" s="39">
        <v>0.4</v>
      </c>
      <c r="P99" s="39">
        <v>0.4</v>
      </c>
      <c r="Q99" s="39">
        <v>0.4</v>
      </c>
      <c r="R99" s="39">
        <v>0.4</v>
      </c>
    </row>
    <row r="100" spans="2:18" x14ac:dyDescent="0.35">
      <c r="B100" s="13" t="s">
        <v>49</v>
      </c>
      <c r="G100" s="13" t="s">
        <v>117</v>
      </c>
      <c r="H100" s="53">
        <f>H98*H94</f>
        <v>4</v>
      </c>
    </row>
    <row r="101" spans="2:18" x14ac:dyDescent="0.35">
      <c r="G101" s="13" t="s">
        <v>118</v>
      </c>
      <c r="H101" s="53">
        <f>H100/(YEARFRAC(EOMONTH(H93,-1),H95)*12)</f>
        <v>0.1111111111111111</v>
      </c>
    </row>
    <row r="103" spans="2:18" x14ac:dyDescent="0.35">
      <c r="F103" s="22" t="s">
        <v>74</v>
      </c>
    </row>
    <row r="104" spans="2:18" x14ac:dyDescent="0.35">
      <c r="B104" s="13" t="s">
        <v>9</v>
      </c>
      <c r="G104" s="13" t="s">
        <v>75</v>
      </c>
      <c r="H104" s="36" cm="1">
        <f t="array" ref="H104">INDEX(J104:R104,,$H$9)</f>
        <v>46234</v>
      </c>
      <c r="J104" s="33">
        <f>DATE(2026,7,31)</f>
        <v>46234</v>
      </c>
      <c r="K104" s="33">
        <f t="shared" ref="K104:R104" si="9">DATE(2026,7,31)</f>
        <v>46234</v>
      </c>
      <c r="L104" s="33">
        <f t="shared" si="9"/>
        <v>46234</v>
      </c>
      <c r="M104" s="33">
        <f t="shared" si="9"/>
        <v>46234</v>
      </c>
      <c r="N104" s="33">
        <f t="shared" si="9"/>
        <v>46234</v>
      </c>
      <c r="O104" s="33">
        <f t="shared" si="9"/>
        <v>46234</v>
      </c>
      <c r="P104" s="33">
        <f t="shared" si="9"/>
        <v>46234</v>
      </c>
      <c r="Q104" s="33">
        <f t="shared" si="9"/>
        <v>46234</v>
      </c>
      <c r="R104" s="33">
        <f t="shared" si="9"/>
        <v>46234</v>
      </c>
    </row>
    <row r="105" spans="2:18" x14ac:dyDescent="0.35">
      <c r="B105" s="13" t="s">
        <v>49</v>
      </c>
      <c r="G105" s="13" t="s">
        <v>76</v>
      </c>
      <c r="H105" s="35" cm="1">
        <f t="array" ref="H105">INDEX(J105:R105,,$H$9)</f>
        <v>70</v>
      </c>
      <c r="J105" s="34">
        <v>70</v>
      </c>
      <c r="K105" s="34">
        <v>70</v>
      </c>
      <c r="L105" s="34">
        <v>70</v>
      </c>
      <c r="M105" s="34">
        <v>70</v>
      </c>
      <c r="N105" s="34">
        <v>70</v>
      </c>
      <c r="O105" s="34">
        <v>70</v>
      </c>
      <c r="P105" s="34">
        <v>70</v>
      </c>
      <c r="Q105" s="34">
        <v>70</v>
      </c>
      <c r="R105" s="34">
        <v>70</v>
      </c>
    </row>
    <row r="106" spans="2:18" x14ac:dyDescent="0.35">
      <c r="B106" s="13" t="s">
        <v>9</v>
      </c>
      <c r="G106" s="13" t="s">
        <v>77</v>
      </c>
      <c r="H106" s="36" cm="1">
        <f t="array" ref="H106">INDEX(J106:R106,,$H$9)</f>
        <v>47299</v>
      </c>
      <c r="J106" s="33">
        <f>DATE(2029,6,30)</f>
        <v>47299</v>
      </c>
      <c r="K106" s="33">
        <f t="shared" ref="K106:R106" si="10">DATE(2029,6,30)</f>
        <v>47299</v>
      </c>
      <c r="L106" s="33">
        <f t="shared" si="10"/>
        <v>47299</v>
      </c>
      <c r="M106" s="33">
        <f t="shared" si="10"/>
        <v>47299</v>
      </c>
      <c r="N106" s="33">
        <f t="shared" si="10"/>
        <v>47299</v>
      </c>
      <c r="O106" s="33">
        <f t="shared" si="10"/>
        <v>47299</v>
      </c>
      <c r="P106" s="33">
        <f t="shared" si="10"/>
        <v>47299</v>
      </c>
      <c r="Q106" s="33">
        <f t="shared" si="10"/>
        <v>47299</v>
      </c>
      <c r="R106" s="33">
        <f t="shared" si="10"/>
        <v>47299</v>
      </c>
    </row>
    <row r="107" spans="2:18" x14ac:dyDescent="0.35">
      <c r="B107" s="13" t="s">
        <v>56</v>
      </c>
      <c r="G107" s="13" t="s">
        <v>78</v>
      </c>
      <c r="H107" s="38" t="str" cm="1">
        <f t="array" ref="H107">INDEX(J107:R107,,$H$9)</f>
        <v>SOFR</v>
      </c>
      <c r="J107" s="37" t="s">
        <v>18</v>
      </c>
      <c r="K107" s="37" t="s">
        <v>18</v>
      </c>
      <c r="L107" s="37" t="s">
        <v>18</v>
      </c>
      <c r="M107" s="37" t="s">
        <v>18</v>
      </c>
      <c r="N107" s="37" t="s">
        <v>18</v>
      </c>
      <c r="O107" s="37" t="s">
        <v>18</v>
      </c>
      <c r="P107" s="37" t="s">
        <v>18</v>
      </c>
      <c r="Q107" s="37" t="s">
        <v>18</v>
      </c>
      <c r="R107" s="37" t="s">
        <v>18</v>
      </c>
    </row>
    <row r="108" spans="2:18" x14ac:dyDescent="0.35">
      <c r="B108" s="13" t="s">
        <v>55</v>
      </c>
      <c r="G108" s="13" t="s">
        <v>79</v>
      </c>
      <c r="H108" s="40" cm="1">
        <f t="array" ref="H108">INDEX(J108:R108,,$H$9)</f>
        <v>0.12</v>
      </c>
      <c r="J108" s="39">
        <v>0.12</v>
      </c>
      <c r="K108" s="39">
        <v>0.12</v>
      </c>
      <c r="L108" s="39">
        <v>0.12</v>
      </c>
      <c r="M108" s="39">
        <v>0.12</v>
      </c>
      <c r="N108" s="39">
        <v>0.12</v>
      </c>
      <c r="O108" s="39">
        <v>0.12</v>
      </c>
      <c r="P108" s="39">
        <v>0.12</v>
      </c>
      <c r="Q108" s="39">
        <v>0.12</v>
      </c>
      <c r="R108" s="39">
        <v>0.12</v>
      </c>
    </row>
    <row r="109" spans="2:18" x14ac:dyDescent="0.35">
      <c r="B109" s="13" t="s">
        <v>55</v>
      </c>
      <c r="G109" s="13" t="s">
        <v>80</v>
      </c>
      <c r="H109" s="53" cm="1">
        <f t="array" ref="H109">INDEX(J109:R109,,$H$9)</f>
        <v>5.0000000000000001E-3</v>
      </c>
      <c r="J109" s="42">
        <v>5.0000000000000001E-3</v>
      </c>
      <c r="K109" s="42">
        <v>5.0000000000000001E-3</v>
      </c>
      <c r="L109" s="42">
        <v>5.0000000000000001E-3</v>
      </c>
      <c r="M109" s="42">
        <v>5.0000000000000001E-3</v>
      </c>
      <c r="N109" s="42">
        <v>5.0000000000000001E-3</v>
      </c>
      <c r="O109" s="42">
        <v>5.0000000000000001E-3</v>
      </c>
      <c r="P109" s="42">
        <v>5.0000000000000001E-3</v>
      </c>
      <c r="Q109" s="42">
        <v>5.0000000000000001E-3</v>
      </c>
      <c r="R109" s="42">
        <v>5.0000000000000001E-3</v>
      </c>
    </row>
    <row r="110" spans="2:18" x14ac:dyDescent="0.35">
      <c r="B110" s="13" t="s">
        <v>55</v>
      </c>
      <c r="G110" s="13" t="s">
        <v>75</v>
      </c>
      <c r="H110" s="40" cm="1">
        <f t="array" ref="H110">INDEX(J110:R110,,$H$9)</f>
        <v>0.03</v>
      </c>
      <c r="J110" s="39">
        <v>0.03</v>
      </c>
      <c r="K110" s="39">
        <v>0.03</v>
      </c>
      <c r="L110" s="39">
        <v>0.03</v>
      </c>
      <c r="M110" s="39">
        <v>0.03</v>
      </c>
      <c r="N110" s="39">
        <v>0.03</v>
      </c>
      <c r="O110" s="39">
        <v>0.03</v>
      </c>
      <c r="P110" s="39">
        <v>0.03</v>
      </c>
      <c r="Q110" s="39">
        <v>0.03</v>
      </c>
      <c r="R110" s="39">
        <v>0.03</v>
      </c>
    </row>
    <row r="112" spans="2:18" x14ac:dyDescent="0.35">
      <c r="E112" s="19" t="s">
        <v>82</v>
      </c>
      <c r="F112" s="19"/>
      <c r="G112" s="16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</row>
    <row r="114" spans="2:18" x14ac:dyDescent="0.35">
      <c r="F114" s="22" t="s">
        <v>83</v>
      </c>
    </row>
    <row r="115" spans="2:18" x14ac:dyDescent="0.35">
      <c r="B115" s="13" t="s">
        <v>49</v>
      </c>
      <c r="G115" s="13" t="s">
        <v>84</v>
      </c>
      <c r="H115" s="35" cm="1">
        <f t="array" ref="H115">INDEX(J115:R115,,$H$9)</f>
        <v>212</v>
      </c>
      <c r="J115" s="34">
        <v>212</v>
      </c>
      <c r="K115" s="34">
        <v>212</v>
      </c>
      <c r="L115" s="34">
        <v>212</v>
      </c>
      <c r="M115" s="34">
        <v>212</v>
      </c>
      <c r="N115" s="34">
        <v>212</v>
      </c>
      <c r="O115" s="34">
        <v>212</v>
      </c>
      <c r="P115" s="34">
        <v>212</v>
      </c>
      <c r="Q115" s="34">
        <v>212</v>
      </c>
      <c r="R115" s="34">
        <v>212</v>
      </c>
    </row>
    <row r="116" spans="2:18" x14ac:dyDescent="0.35">
      <c r="B116" s="13" t="s">
        <v>56</v>
      </c>
      <c r="G116" s="13" t="s">
        <v>85</v>
      </c>
      <c r="H116" s="35" t="str" cm="1">
        <f t="array" ref="H116">INDEX(J116:R116,,$H$9)</f>
        <v>SOFR</v>
      </c>
      <c r="J116" s="34" t="s">
        <v>18</v>
      </c>
      <c r="K116" s="34" t="s">
        <v>18</v>
      </c>
      <c r="L116" s="34" t="s">
        <v>18</v>
      </c>
      <c r="M116" s="34" t="s">
        <v>18</v>
      </c>
      <c r="N116" s="34" t="s">
        <v>18</v>
      </c>
      <c r="O116" s="34" t="s">
        <v>18</v>
      </c>
      <c r="P116" s="34" t="s">
        <v>18</v>
      </c>
      <c r="Q116" s="34" t="s">
        <v>18</v>
      </c>
      <c r="R116" s="34" t="s">
        <v>18</v>
      </c>
    </row>
    <row r="117" spans="2:18" x14ac:dyDescent="0.35">
      <c r="B117" s="13" t="s">
        <v>91</v>
      </c>
      <c r="G117" s="13" t="s">
        <v>90</v>
      </c>
      <c r="H117" s="45" cm="1">
        <f t="array" ref="H117">INDEX(J117:R117,,$H$9)</f>
        <v>1</v>
      </c>
      <c r="J117" s="44">
        <v>1</v>
      </c>
      <c r="K117" s="44">
        <v>1</v>
      </c>
      <c r="L117" s="44">
        <v>1</v>
      </c>
      <c r="M117" s="44">
        <v>1</v>
      </c>
      <c r="N117" s="44">
        <v>1</v>
      </c>
      <c r="O117" s="44">
        <v>1</v>
      </c>
      <c r="P117" s="44">
        <v>1</v>
      </c>
      <c r="Q117" s="44">
        <v>1</v>
      </c>
      <c r="R117" s="44">
        <v>1</v>
      </c>
    </row>
    <row r="119" spans="2:18" x14ac:dyDescent="0.35">
      <c r="F119" s="22" t="s">
        <v>141</v>
      </c>
    </row>
    <row r="120" spans="2:18" x14ac:dyDescent="0.35">
      <c r="B120" s="13" t="s">
        <v>49</v>
      </c>
      <c r="G120" s="13" t="s">
        <v>141</v>
      </c>
      <c r="H120" s="35" cm="1">
        <f t="array" ref="H120">INDEX(J120:R120,,$H$9)</f>
        <v>1</v>
      </c>
      <c r="J120" s="34">
        <v>1</v>
      </c>
      <c r="K120" s="34">
        <v>2</v>
      </c>
      <c r="L120" s="34">
        <v>3</v>
      </c>
      <c r="M120" s="34">
        <v>1</v>
      </c>
      <c r="N120" s="34">
        <v>1</v>
      </c>
      <c r="O120" s="34">
        <v>1</v>
      </c>
      <c r="P120" s="34">
        <v>1</v>
      </c>
      <c r="Q120" s="34">
        <v>1</v>
      </c>
      <c r="R120" s="34">
        <v>1</v>
      </c>
    </row>
    <row r="122" spans="2:18" x14ac:dyDescent="0.35">
      <c r="D122" s="10" t="s">
        <v>121</v>
      </c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</row>
    <row r="124" spans="2:18" x14ac:dyDescent="0.35">
      <c r="E124" s="19" t="s">
        <v>122</v>
      </c>
      <c r="F124" s="19"/>
      <c r="G124" s="16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</row>
    <row r="126" spans="2:18" x14ac:dyDescent="0.35">
      <c r="F126" s="22" t="s">
        <v>122</v>
      </c>
    </row>
    <row r="127" spans="2:18" x14ac:dyDescent="0.35">
      <c r="B127" s="13" t="s">
        <v>91</v>
      </c>
      <c r="G127" s="13" t="s">
        <v>124</v>
      </c>
      <c r="H127" s="45" cm="1">
        <f t="array" ref="H127">INDEX(J127:R127,,$H$9)</f>
        <v>1</v>
      </c>
      <c r="J127" s="44">
        <v>1</v>
      </c>
      <c r="K127" s="44">
        <v>1</v>
      </c>
      <c r="L127" s="44">
        <v>1</v>
      </c>
      <c r="M127" s="44">
        <v>1</v>
      </c>
      <c r="N127" s="44">
        <v>1</v>
      </c>
      <c r="O127" s="44">
        <v>1</v>
      </c>
      <c r="P127" s="44">
        <v>1</v>
      </c>
      <c r="Q127" s="44">
        <v>1</v>
      </c>
      <c r="R127" s="44">
        <v>1</v>
      </c>
    </row>
    <row r="128" spans="2:18" x14ac:dyDescent="0.35">
      <c r="B128" s="13" t="s">
        <v>55</v>
      </c>
      <c r="G128" s="13" t="s">
        <v>123</v>
      </c>
      <c r="H128" s="40" cm="1">
        <f t="array" ref="H128">INDEX(J128:R128,,$H$9)</f>
        <v>0.25</v>
      </c>
      <c r="J128" s="39">
        <v>0.25</v>
      </c>
      <c r="K128" s="39">
        <v>0.25</v>
      </c>
      <c r="L128" s="39">
        <v>0.25</v>
      </c>
      <c r="M128" s="39">
        <v>0.25</v>
      </c>
      <c r="N128" s="39">
        <v>0.25</v>
      </c>
      <c r="O128" s="39">
        <v>0.25</v>
      </c>
      <c r="P128" s="39">
        <v>0.25</v>
      </c>
      <c r="Q128" s="39">
        <v>0.25</v>
      </c>
      <c r="R128" s="39">
        <v>0.25</v>
      </c>
    </row>
    <row r="130" spans="2:18" x14ac:dyDescent="0.35">
      <c r="D130" s="10" t="s">
        <v>137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</row>
    <row r="132" spans="2:18" x14ac:dyDescent="0.35">
      <c r="E132" s="19" t="s">
        <v>21</v>
      </c>
      <c r="F132" s="19"/>
      <c r="G132" s="16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</row>
    <row r="134" spans="2:18" x14ac:dyDescent="0.35">
      <c r="F134" s="22" t="s">
        <v>21</v>
      </c>
    </row>
    <row r="135" spans="2:18" x14ac:dyDescent="0.35">
      <c r="G135" s="13" t="s">
        <v>138</v>
      </c>
      <c r="H135" s="40">
        <v>0.3</v>
      </c>
    </row>
    <row r="136" spans="2:18" x14ac:dyDescent="0.35">
      <c r="G136" s="13" t="s">
        <v>139</v>
      </c>
      <c r="H136" s="35">
        <v>120</v>
      </c>
    </row>
    <row r="137" spans="2:18" x14ac:dyDescent="0.35">
      <c r="G137" s="13" t="s">
        <v>140</v>
      </c>
      <c r="H137" s="35">
        <v>-50</v>
      </c>
    </row>
    <row r="139" spans="2:18" x14ac:dyDescent="0.35">
      <c r="E139" s="19" t="s">
        <v>143</v>
      </c>
      <c r="F139" s="19"/>
      <c r="G139" s="16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</row>
    <row r="141" spans="2:18" x14ac:dyDescent="0.35">
      <c r="F141" s="22" t="s">
        <v>148</v>
      </c>
    </row>
    <row r="142" spans="2:18" x14ac:dyDescent="0.35">
      <c r="B142" s="13" t="s">
        <v>49</v>
      </c>
      <c r="G142" s="13" t="s">
        <v>142</v>
      </c>
      <c r="H142" s="34">
        <v>1250</v>
      </c>
    </row>
    <row r="143" spans="2:18" x14ac:dyDescent="0.35">
      <c r="B143" s="13" t="s">
        <v>49</v>
      </c>
      <c r="G143" s="13" t="s">
        <v>144</v>
      </c>
      <c r="H143" s="34">
        <v>117</v>
      </c>
    </row>
    <row r="145" spans="2:10" x14ac:dyDescent="0.35">
      <c r="F145" s="22" t="s">
        <v>147</v>
      </c>
    </row>
    <row r="146" spans="2:10" x14ac:dyDescent="0.35">
      <c r="B146" s="13" t="s">
        <v>49</v>
      </c>
      <c r="G146" s="13" t="s">
        <v>146</v>
      </c>
      <c r="H146" s="34">
        <v>35</v>
      </c>
    </row>
    <row r="148" spans="2:10" x14ac:dyDescent="0.35">
      <c r="F148" s="22" t="s">
        <v>158</v>
      </c>
    </row>
    <row r="149" spans="2:10" x14ac:dyDescent="0.35">
      <c r="B149" s="13" t="s">
        <v>49</v>
      </c>
      <c r="G149" s="13" t="s">
        <v>149</v>
      </c>
      <c r="H149" s="34">
        <v>700</v>
      </c>
    </row>
    <row r="150" spans="2:10" x14ac:dyDescent="0.35">
      <c r="B150" s="13" t="s">
        <v>49</v>
      </c>
      <c r="G150" s="13" t="s">
        <v>150</v>
      </c>
      <c r="H150" s="34">
        <v>599</v>
      </c>
    </row>
    <row r="151" spans="2:10" x14ac:dyDescent="0.35">
      <c r="J151" s="66"/>
    </row>
  </sheetData>
  <dataValidations disablePrompts="1" count="1">
    <dataValidation type="list" allowBlank="1" showInputMessage="1" showErrorMessage="1" sqref="H9" xr:uid="{C760F32E-0830-456E-8909-5DC49FCD6676}">
      <formula1>$J$9:$R$9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B6976-1132-4BD4-A4E0-0E629E78BB8A}">
  <sheetPr codeName="Sheet1"/>
  <dimension ref="A1"/>
  <sheetViews>
    <sheetView workbookViewId="0"/>
    <sheetView workbookViewId="1"/>
  </sheetViews>
  <sheetFormatPr defaultRowHeight="15.6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42E12-FE1C-43F5-AFA1-6A38797C57DD}">
  <dimension ref="B1:KA124"/>
  <sheetViews>
    <sheetView showGridLines="0" tabSelected="1" topLeftCell="A58" workbookViewId="0">
      <selection activeCell="E86" sqref="E86"/>
    </sheetView>
    <sheetView tabSelected="1" workbookViewId="1"/>
  </sheetViews>
  <sheetFormatPr defaultColWidth="0" defaultRowHeight="15.6" x14ac:dyDescent="0.35"/>
  <cols>
    <col min="1" max="1" width="3.09765625" bestFit="1" customWidth="1"/>
    <col min="2" max="2" width="1.796875" bestFit="1" customWidth="1"/>
    <col min="3" max="4" width="1.796875" customWidth="1"/>
    <col min="5" max="5" width="51" bestFit="1" customWidth="1"/>
    <col min="6" max="6" width="17.69921875" bestFit="1" customWidth="1"/>
    <col min="7" max="7" width="46.69921875" customWidth="1"/>
    <col min="8" max="8" width="18.09765625" bestFit="1" customWidth="1"/>
    <col min="9" max="9" width="17.19921875" bestFit="1" customWidth="1"/>
    <col min="10" max="10" width="10.296875" bestFit="1" customWidth="1"/>
    <col min="11" max="11" width="10.09765625" bestFit="1" customWidth="1"/>
    <col min="12" max="12" width="9.5" bestFit="1" customWidth="1"/>
    <col min="13" max="13" width="10" bestFit="1" customWidth="1"/>
    <col min="14" max="14" width="10.296875" bestFit="1" customWidth="1"/>
    <col min="15" max="15" width="9.796875" bestFit="1" customWidth="1"/>
    <col min="16" max="16" width="10.69921875" bestFit="1" customWidth="1"/>
    <col min="17" max="17" width="9.69921875" bestFit="1" customWidth="1"/>
    <col min="18" max="18" width="9" bestFit="1" customWidth="1"/>
    <col min="19" max="19" width="10.09765625" bestFit="1" customWidth="1"/>
    <col min="20" max="20" width="10" bestFit="1" customWidth="1"/>
    <col min="21" max="21" width="9.796875" bestFit="1" customWidth="1"/>
    <col min="22" max="22" width="10.296875" bestFit="1" customWidth="1"/>
    <col min="23" max="23" width="10.09765625" bestFit="1" customWidth="1"/>
    <col min="24" max="24" width="9.5" bestFit="1" customWidth="1"/>
    <col min="25" max="25" width="10" bestFit="1" customWidth="1"/>
    <col min="26" max="26" width="10.296875" bestFit="1" customWidth="1"/>
    <col min="27" max="27" width="9.796875" bestFit="1" customWidth="1"/>
    <col min="28" max="28" width="10.69921875" bestFit="1" customWidth="1"/>
    <col min="29" max="29" width="9.69921875" bestFit="1" customWidth="1"/>
    <col min="30" max="30" width="9" bestFit="1" customWidth="1"/>
    <col min="31" max="31" width="10.09765625" bestFit="1" customWidth="1"/>
    <col min="32" max="32" width="10" bestFit="1" customWidth="1"/>
    <col min="33" max="33" width="9.796875" bestFit="1" customWidth="1"/>
    <col min="34" max="34" width="10.296875" bestFit="1" customWidth="1"/>
    <col min="35" max="35" width="10.09765625" bestFit="1" customWidth="1"/>
    <col min="36" max="36" width="9.5" bestFit="1" customWidth="1"/>
    <col min="37" max="37" width="10" bestFit="1" customWidth="1"/>
    <col min="38" max="38" width="10.296875" bestFit="1" customWidth="1"/>
    <col min="39" max="39" width="9.796875" bestFit="1" customWidth="1"/>
    <col min="40" max="40" width="10.69921875" bestFit="1" customWidth="1"/>
    <col min="41" max="41" width="9.69921875" bestFit="1" customWidth="1"/>
    <col min="42" max="42" width="9" bestFit="1" customWidth="1"/>
    <col min="43" max="43" width="10.09765625" bestFit="1" customWidth="1"/>
    <col min="44" max="44" width="10" bestFit="1" customWidth="1"/>
    <col min="45" max="45" width="9.796875" bestFit="1" customWidth="1"/>
    <col min="46" max="46" width="10.296875" bestFit="1" customWidth="1"/>
    <col min="47" max="47" width="10.09765625" bestFit="1" customWidth="1"/>
    <col min="48" max="48" width="9.5" bestFit="1" customWidth="1"/>
    <col min="49" max="49" width="10" bestFit="1" customWidth="1"/>
    <col min="50" max="50" width="10.296875" bestFit="1" customWidth="1"/>
    <col min="51" max="51" width="9.796875" bestFit="1" customWidth="1"/>
    <col min="52" max="52" width="10.69921875" bestFit="1" customWidth="1"/>
    <col min="53" max="53" width="9.69921875" bestFit="1" customWidth="1"/>
    <col min="54" max="54" width="9" bestFit="1" customWidth="1"/>
    <col min="55" max="55" width="10.09765625" bestFit="1" customWidth="1"/>
    <col min="56" max="56" width="10" bestFit="1" customWidth="1"/>
    <col min="57" max="57" width="9.796875" bestFit="1" customWidth="1"/>
    <col min="58" max="58" width="10.296875" bestFit="1" customWidth="1"/>
    <col min="59" max="59" width="10.09765625" bestFit="1" customWidth="1"/>
    <col min="60" max="60" width="9.5" bestFit="1" customWidth="1"/>
    <col min="61" max="61" width="10" bestFit="1" customWidth="1"/>
    <col min="62" max="62" width="10.296875" bestFit="1" customWidth="1"/>
    <col min="63" max="63" width="9.796875" bestFit="1" customWidth="1"/>
    <col min="64" max="64" width="10.69921875" bestFit="1" customWidth="1"/>
    <col min="65" max="65" width="9.69921875" bestFit="1" customWidth="1"/>
    <col min="66" max="66" width="9" bestFit="1" customWidth="1"/>
    <col min="67" max="67" width="10.09765625" bestFit="1" customWidth="1"/>
    <col min="68" max="68" width="10" bestFit="1" customWidth="1"/>
    <col min="69" max="69" width="9.796875" bestFit="1" customWidth="1"/>
    <col min="70" max="70" width="10.296875" bestFit="1" customWidth="1"/>
    <col min="71" max="71" width="10.09765625" bestFit="1" customWidth="1"/>
    <col min="72" max="72" width="9.5" bestFit="1" customWidth="1"/>
    <col min="73" max="73" width="10" bestFit="1" customWidth="1"/>
    <col min="74" max="74" width="10.296875" bestFit="1" customWidth="1"/>
    <col min="75" max="75" width="9.796875" bestFit="1" customWidth="1"/>
    <col min="76" max="76" width="10.69921875" bestFit="1" customWidth="1"/>
    <col min="77" max="77" width="9.69921875" bestFit="1" customWidth="1"/>
    <col min="78" max="78" width="9" bestFit="1" customWidth="1"/>
    <col min="79" max="79" width="10.09765625" bestFit="1" customWidth="1"/>
    <col min="80" max="80" width="10" bestFit="1" customWidth="1"/>
    <col min="81" max="81" width="9.796875" bestFit="1" customWidth="1"/>
    <col min="82" max="82" width="10.296875" bestFit="1" customWidth="1"/>
    <col min="83" max="83" width="10.09765625" bestFit="1" customWidth="1"/>
    <col min="84" max="84" width="9.5" bestFit="1" customWidth="1"/>
    <col min="85" max="85" width="10" bestFit="1" customWidth="1"/>
    <col min="86" max="86" width="10.296875" bestFit="1" customWidth="1"/>
    <col min="87" max="87" width="9.796875" bestFit="1" customWidth="1"/>
    <col min="88" max="88" width="10.69921875" bestFit="1" customWidth="1"/>
    <col min="89" max="89" width="9.69921875" bestFit="1" customWidth="1"/>
    <col min="90" max="90" width="9" bestFit="1" customWidth="1"/>
    <col min="91" max="91" width="10.09765625" bestFit="1" customWidth="1"/>
    <col min="92" max="92" width="10" bestFit="1" customWidth="1"/>
    <col min="93" max="93" width="9.796875" bestFit="1" customWidth="1"/>
    <col min="94" max="94" width="10.296875" bestFit="1" customWidth="1"/>
    <col min="95" max="95" width="10.09765625" bestFit="1" customWidth="1"/>
    <col min="96" max="96" width="9.5" bestFit="1" customWidth="1"/>
    <col min="97" max="97" width="10" bestFit="1" customWidth="1"/>
    <col min="98" max="98" width="10.296875" bestFit="1" customWidth="1"/>
    <col min="99" max="99" width="9.796875" bestFit="1" customWidth="1"/>
    <col min="100" max="100" width="10.69921875" bestFit="1" customWidth="1"/>
    <col min="101" max="101" width="9.69921875" bestFit="1" customWidth="1"/>
    <col min="102" max="102" width="9" bestFit="1" customWidth="1"/>
    <col min="103" max="103" width="10.09765625" bestFit="1" customWidth="1"/>
    <col min="104" max="104" width="10" bestFit="1" customWidth="1"/>
    <col min="105" max="105" width="9.796875" bestFit="1" customWidth="1"/>
    <col min="106" max="106" width="10.296875" bestFit="1" customWidth="1"/>
    <col min="107" max="107" width="10.09765625" bestFit="1" customWidth="1"/>
    <col min="108" max="108" width="9.5" bestFit="1" customWidth="1"/>
    <col min="109" max="109" width="10" bestFit="1" customWidth="1"/>
    <col min="110" max="110" width="10.296875" bestFit="1" customWidth="1"/>
    <col min="111" max="111" width="9.796875" bestFit="1" customWidth="1"/>
    <col min="112" max="112" width="10.69921875" bestFit="1" customWidth="1"/>
    <col min="113" max="113" width="9.69921875" bestFit="1" customWidth="1"/>
    <col min="114" max="114" width="9" bestFit="1" customWidth="1"/>
    <col min="115" max="115" width="10.09765625" bestFit="1" customWidth="1"/>
    <col min="116" max="116" width="10" bestFit="1" customWidth="1"/>
    <col min="117" max="117" width="9.796875" bestFit="1" customWidth="1"/>
    <col min="118" max="118" width="10.296875" bestFit="1" customWidth="1"/>
    <col min="119" max="119" width="10.09765625" bestFit="1" customWidth="1"/>
    <col min="120" max="120" width="9.5" bestFit="1" customWidth="1"/>
    <col min="121" max="121" width="10" bestFit="1" customWidth="1"/>
    <col min="122" max="122" width="10.296875" bestFit="1" customWidth="1"/>
    <col min="123" max="123" width="9.796875" bestFit="1" customWidth="1"/>
    <col min="124" max="124" width="10.69921875" bestFit="1" customWidth="1"/>
    <col min="125" max="125" width="9.69921875" bestFit="1" customWidth="1"/>
    <col min="126" max="126" width="9" bestFit="1" customWidth="1"/>
    <col min="127" max="127" width="10.09765625" bestFit="1" customWidth="1"/>
    <col min="128" max="128" width="10" bestFit="1" customWidth="1"/>
    <col min="129" max="129" width="9.796875" bestFit="1" customWidth="1"/>
    <col min="130" max="130" width="10.296875" bestFit="1" customWidth="1"/>
    <col min="131" max="131" width="10.09765625" bestFit="1" customWidth="1"/>
    <col min="132" max="132" width="9.5" bestFit="1" customWidth="1"/>
    <col min="133" max="133" width="10" bestFit="1" customWidth="1"/>
    <col min="134" max="134" width="10.296875" bestFit="1" customWidth="1"/>
    <col min="135" max="135" width="9.796875" bestFit="1" customWidth="1"/>
    <col min="136" max="136" width="10.69921875" bestFit="1" customWidth="1"/>
    <col min="137" max="137" width="9.69921875" bestFit="1" customWidth="1"/>
    <col min="138" max="138" width="9" bestFit="1" customWidth="1"/>
    <col min="139" max="139" width="10.09765625" bestFit="1" customWidth="1"/>
    <col min="140" max="140" width="10" bestFit="1" customWidth="1"/>
    <col min="141" max="141" width="9.796875" bestFit="1" customWidth="1"/>
    <col min="142" max="142" width="10.296875" bestFit="1" customWidth="1"/>
    <col min="143" max="143" width="10.09765625" bestFit="1" customWidth="1"/>
    <col min="144" max="144" width="9.5" bestFit="1" customWidth="1"/>
    <col min="145" max="145" width="10" bestFit="1" customWidth="1"/>
    <col min="146" max="146" width="10.296875" bestFit="1" customWidth="1"/>
    <col min="147" max="147" width="9.796875" bestFit="1" customWidth="1"/>
    <col min="148" max="148" width="10.69921875" bestFit="1" customWidth="1"/>
    <col min="149" max="149" width="9.69921875" bestFit="1" customWidth="1"/>
    <col min="150" max="150" width="9" bestFit="1" customWidth="1"/>
    <col min="151" max="151" width="10.09765625" bestFit="1" customWidth="1"/>
    <col min="152" max="152" width="10" bestFit="1" customWidth="1"/>
    <col min="153" max="153" width="9.796875" bestFit="1" customWidth="1"/>
    <col min="154" max="154" width="10.296875" bestFit="1" customWidth="1"/>
    <col min="155" max="155" width="10.09765625" bestFit="1" customWidth="1"/>
    <col min="156" max="156" width="9.5" bestFit="1" customWidth="1"/>
    <col min="157" max="157" width="10" bestFit="1" customWidth="1"/>
    <col min="158" max="158" width="10.296875" bestFit="1" customWidth="1"/>
    <col min="159" max="159" width="9.796875" bestFit="1" customWidth="1"/>
    <col min="160" max="160" width="10.69921875" bestFit="1" customWidth="1"/>
    <col min="161" max="161" width="9.69921875" bestFit="1" customWidth="1"/>
    <col min="162" max="162" width="9" bestFit="1" customWidth="1"/>
    <col min="163" max="163" width="10.09765625" bestFit="1" customWidth="1"/>
    <col min="164" max="164" width="10" bestFit="1" customWidth="1"/>
    <col min="165" max="165" width="9.796875" bestFit="1" customWidth="1"/>
    <col min="166" max="166" width="10.296875" bestFit="1" customWidth="1"/>
    <col min="167" max="167" width="10.09765625" bestFit="1" customWidth="1"/>
    <col min="168" max="168" width="9.5" bestFit="1" customWidth="1"/>
    <col min="169" max="169" width="10" bestFit="1" customWidth="1"/>
    <col min="170" max="170" width="10.296875" bestFit="1" customWidth="1"/>
    <col min="171" max="171" width="9.796875" bestFit="1" customWidth="1"/>
    <col min="172" max="172" width="10.69921875" bestFit="1" customWidth="1"/>
    <col min="173" max="173" width="9.69921875" bestFit="1" customWidth="1"/>
    <col min="174" max="174" width="9" bestFit="1" customWidth="1"/>
    <col min="175" max="175" width="10.09765625" bestFit="1" customWidth="1"/>
    <col min="176" max="176" width="10" bestFit="1" customWidth="1"/>
    <col min="177" max="177" width="9.796875" bestFit="1" customWidth="1"/>
    <col min="178" max="178" width="10.296875" bestFit="1" customWidth="1"/>
    <col min="179" max="179" width="10.09765625" bestFit="1" customWidth="1"/>
    <col min="180" max="180" width="9.5" bestFit="1" customWidth="1"/>
    <col min="181" max="181" width="10" bestFit="1" customWidth="1"/>
    <col min="182" max="182" width="10.296875" bestFit="1" customWidth="1"/>
    <col min="183" max="183" width="9.796875" bestFit="1" customWidth="1"/>
    <col min="184" max="184" width="10.69921875" bestFit="1" customWidth="1"/>
    <col min="185" max="185" width="9.69921875" bestFit="1" customWidth="1"/>
    <col min="186" max="186" width="9" bestFit="1" customWidth="1"/>
    <col min="187" max="187" width="10.09765625" bestFit="1" customWidth="1"/>
    <col min="188" max="188" width="10" bestFit="1" customWidth="1"/>
    <col min="189" max="189" width="9.796875" bestFit="1" customWidth="1"/>
    <col min="190" max="190" width="10.296875" bestFit="1" customWidth="1"/>
    <col min="191" max="191" width="10.09765625" bestFit="1" customWidth="1"/>
    <col min="192" max="192" width="9.5" bestFit="1" customWidth="1"/>
    <col min="193" max="193" width="10" bestFit="1" customWidth="1"/>
    <col min="194" max="194" width="10.296875" bestFit="1" customWidth="1"/>
    <col min="195" max="195" width="9.796875" bestFit="1" customWidth="1"/>
    <col min="196" max="196" width="10.69921875" bestFit="1" customWidth="1"/>
    <col min="197" max="197" width="9.69921875" bestFit="1" customWidth="1"/>
    <col min="198" max="198" width="9" bestFit="1" customWidth="1"/>
    <col min="199" max="199" width="10.09765625" bestFit="1" customWidth="1"/>
    <col min="200" max="200" width="10" bestFit="1" customWidth="1"/>
    <col min="201" max="201" width="9.796875" bestFit="1" customWidth="1"/>
    <col min="202" max="202" width="10.296875" bestFit="1" customWidth="1"/>
    <col min="203" max="203" width="10.09765625" bestFit="1" customWidth="1"/>
    <col min="204" max="204" width="9.5" bestFit="1" customWidth="1"/>
    <col min="205" max="205" width="10" bestFit="1" customWidth="1"/>
    <col min="206" max="206" width="10.296875" bestFit="1" customWidth="1"/>
    <col min="207" max="207" width="9.796875" bestFit="1" customWidth="1"/>
    <col min="208" max="208" width="10.69921875" bestFit="1" customWidth="1"/>
    <col min="209" max="209" width="9.69921875" bestFit="1" customWidth="1"/>
    <col min="210" max="210" width="9" bestFit="1" customWidth="1"/>
    <col min="211" max="211" width="10.09765625" bestFit="1" customWidth="1"/>
    <col min="212" max="212" width="10" bestFit="1" customWidth="1"/>
    <col min="213" max="213" width="9.796875" bestFit="1" customWidth="1"/>
    <col min="214" max="214" width="10.296875" bestFit="1" customWidth="1"/>
    <col min="215" max="215" width="10.09765625" bestFit="1" customWidth="1"/>
    <col min="216" max="216" width="9.5" bestFit="1" customWidth="1"/>
    <col min="217" max="217" width="10" bestFit="1" customWidth="1"/>
    <col min="218" max="218" width="10.296875" bestFit="1" customWidth="1"/>
    <col min="219" max="219" width="9.796875" bestFit="1" customWidth="1"/>
    <col min="220" max="220" width="10.69921875" bestFit="1" customWidth="1"/>
    <col min="221" max="221" width="9.69921875" bestFit="1" customWidth="1"/>
    <col min="222" max="222" width="9" bestFit="1" customWidth="1"/>
    <col min="223" max="223" width="10.09765625" bestFit="1" customWidth="1"/>
    <col min="224" max="224" width="10" bestFit="1" customWidth="1"/>
    <col min="225" max="225" width="9.796875" bestFit="1" customWidth="1"/>
    <col min="226" max="226" width="10.296875" bestFit="1" customWidth="1"/>
    <col min="227" max="227" width="10.09765625" bestFit="1" customWidth="1"/>
    <col min="228" max="228" width="9.5" bestFit="1" customWidth="1"/>
    <col min="229" max="229" width="10" bestFit="1" customWidth="1"/>
    <col min="230" max="230" width="10.296875" bestFit="1" customWidth="1"/>
    <col min="231" max="231" width="9.796875" bestFit="1" customWidth="1"/>
    <col min="232" max="232" width="10.69921875" bestFit="1" customWidth="1"/>
    <col min="233" max="233" width="9.69921875" bestFit="1" customWidth="1"/>
    <col min="234" max="234" width="9" bestFit="1" customWidth="1"/>
    <col min="235" max="235" width="10.09765625" bestFit="1" customWidth="1"/>
    <col min="236" max="236" width="10" bestFit="1" customWidth="1"/>
    <col min="237" max="237" width="9.796875" bestFit="1" customWidth="1"/>
    <col min="238" max="238" width="10.296875" bestFit="1" customWidth="1"/>
    <col min="239" max="239" width="10.09765625" bestFit="1" customWidth="1"/>
    <col min="240" max="240" width="9.5" bestFit="1" customWidth="1"/>
    <col min="241" max="241" width="10" bestFit="1" customWidth="1"/>
    <col min="242" max="242" width="10.296875" bestFit="1" customWidth="1"/>
    <col min="243" max="243" width="9.796875" bestFit="1" customWidth="1"/>
    <col min="244" max="244" width="10.69921875" bestFit="1" customWidth="1"/>
    <col min="245" max="245" width="9.69921875" bestFit="1" customWidth="1"/>
    <col min="246" max="246" width="9" bestFit="1" customWidth="1"/>
    <col min="247" max="247" width="10.09765625" bestFit="1" customWidth="1"/>
    <col min="248" max="248" width="10" bestFit="1" customWidth="1"/>
    <col min="249" max="249" width="9.796875" bestFit="1" customWidth="1"/>
    <col min="250" max="250" width="10.296875" bestFit="1" customWidth="1"/>
    <col min="251" max="251" width="10.09765625" bestFit="1" customWidth="1"/>
    <col min="252" max="252" width="9.5" bestFit="1" customWidth="1"/>
    <col min="253" max="253" width="10" bestFit="1" customWidth="1"/>
    <col min="254" max="254" width="10.296875" bestFit="1" customWidth="1"/>
    <col min="255" max="255" width="9.796875" bestFit="1" customWidth="1"/>
    <col min="256" max="256" width="10.69921875" bestFit="1" customWidth="1"/>
    <col min="257" max="257" width="9.69921875" bestFit="1" customWidth="1"/>
    <col min="258" max="258" width="9" bestFit="1" customWidth="1"/>
    <col min="259" max="259" width="10.09765625" bestFit="1" customWidth="1"/>
    <col min="260" max="260" width="10" bestFit="1" customWidth="1"/>
    <col min="261" max="261" width="9.796875" bestFit="1" customWidth="1"/>
    <col min="262" max="262" width="10.296875" bestFit="1" customWidth="1"/>
    <col min="263" max="263" width="10.09765625" bestFit="1" customWidth="1"/>
    <col min="264" max="264" width="9.5" bestFit="1" customWidth="1"/>
    <col min="265" max="265" width="10" bestFit="1" customWidth="1"/>
    <col min="266" max="266" width="10.296875" bestFit="1" customWidth="1"/>
    <col min="267" max="267" width="9.796875" bestFit="1" customWidth="1"/>
    <col min="268" max="268" width="10.69921875" bestFit="1" customWidth="1"/>
    <col min="269" max="269" width="9.69921875" bestFit="1" customWidth="1"/>
    <col min="270" max="270" width="9" bestFit="1" customWidth="1"/>
    <col min="271" max="271" width="10.09765625" bestFit="1" customWidth="1"/>
    <col min="272" max="272" width="10" bestFit="1" customWidth="1"/>
    <col min="273" max="273" width="9.796875" bestFit="1" customWidth="1"/>
    <col min="274" max="274" width="10.296875" bestFit="1" customWidth="1"/>
    <col min="275" max="275" width="10.09765625" bestFit="1" customWidth="1"/>
    <col min="276" max="276" width="9.5" bestFit="1" customWidth="1"/>
    <col min="277" max="277" width="10" bestFit="1" customWidth="1"/>
    <col min="278" max="278" width="10.296875" bestFit="1" customWidth="1"/>
    <col min="279" max="279" width="9.796875" bestFit="1" customWidth="1"/>
    <col min="280" max="280" width="10.69921875" bestFit="1" customWidth="1"/>
    <col min="281" max="282" width="9.69921875" bestFit="1" customWidth="1"/>
    <col min="283" max="283" width="10.09765625" bestFit="1" customWidth="1"/>
    <col min="284" max="284" width="10" bestFit="1" customWidth="1"/>
    <col min="285" max="285" width="9.796875" bestFit="1" customWidth="1"/>
    <col min="286" max="286" width="10.296875" bestFit="1" customWidth="1"/>
    <col min="287" max="287" width="10.09765625" bestFit="1" customWidth="1"/>
    <col min="288" max="290" width="8.796875" customWidth="1"/>
    <col min="291" max="16384" width="8.796875" hidden="1"/>
  </cols>
  <sheetData>
    <row r="1" spans="2:287" x14ac:dyDescent="0.35">
      <c r="B1" s="2" t="str">
        <f>Control!$D$2</f>
        <v>Basic Financial Model</v>
      </c>
      <c r="C1" s="2"/>
      <c r="D1" s="2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</row>
    <row r="2" spans="2:287" x14ac:dyDescent="0.35">
      <c r="B2" s="2" t="str">
        <f ca="1">MID(CELL("filename",$B$1),FIND("]",CELL("filename",$B$1))+1,255)</f>
        <v>Dates</v>
      </c>
      <c r="C2" s="2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</row>
    <row r="3" spans="2:287" x14ac:dyDescent="0.35">
      <c r="B3" s="2" t="str">
        <f>Control!$D$4</f>
        <v>Financial Scenario: Base Case</v>
      </c>
      <c r="C3" s="2"/>
      <c r="D3" s="2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  <c r="IU3" s="2"/>
      <c r="IV3" s="2"/>
      <c r="IW3" s="2"/>
      <c r="IX3" s="2"/>
      <c r="IY3" s="2"/>
      <c r="IZ3" s="2"/>
      <c r="JA3" s="2"/>
      <c r="JB3" s="2"/>
      <c r="JC3" s="2"/>
      <c r="JD3" s="2"/>
      <c r="JE3" s="2"/>
      <c r="JF3" s="2"/>
      <c r="JG3" s="2"/>
      <c r="JH3" s="2"/>
      <c r="JI3" s="2"/>
      <c r="JJ3" s="2"/>
      <c r="JK3" s="2"/>
      <c r="JL3" s="2"/>
      <c r="JM3" s="2"/>
      <c r="JN3" s="2"/>
      <c r="JO3" s="2"/>
      <c r="JP3" s="2"/>
      <c r="JQ3" s="2"/>
      <c r="JR3" s="2"/>
      <c r="JS3" s="2"/>
      <c r="JT3" s="2"/>
      <c r="JU3" s="2"/>
      <c r="JV3" s="2"/>
      <c r="JW3" s="2"/>
      <c r="JX3" s="2"/>
      <c r="JY3" s="2"/>
      <c r="JZ3" s="2"/>
      <c r="KA3" s="2"/>
    </row>
    <row r="4" spans="2:287" x14ac:dyDescent="0.35">
      <c r="B4" s="2" t="s">
        <v>0</v>
      </c>
      <c r="C4" s="2"/>
      <c r="D4" s="2"/>
      <c r="E4" s="4"/>
      <c r="F4" s="2" t="str">
        <f t="shared" ref="F4:BQ5" si="0">F12</f>
        <v>CY26</v>
      </c>
      <c r="G4" s="2" t="str">
        <f t="shared" si="0"/>
        <v>CY26</v>
      </c>
      <c r="H4" s="2" t="str">
        <f t="shared" si="0"/>
        <v>CY26</v>
      </c>
      <c r="I4" s="2" t="str">
        <f t="shared" si="0"/>
        <v>CY26</v>
      </c>
      <c r="J4" s="2" t="str">
        <f t="shared" si="0"/>
        <v>CY26</v>
      </c>
      <c r="K4" s="2" t="str">
        <f t="shared" si="0"/>
        <v>CY26</v>
      </c>
      <c r="L4" s="2" t="str">
        <f t="shared" si="0"/>
        <v>CY27</v>
      </c>
      <c r="M4" s="2" t="str">
        <f t="shared" si="0"/>
        <v>CY27</v>
      </c>
      <c r="N4" s="2" t="str">
        <f t="shared" si="0"/>
        <v>CY27</v>
      </c>
      <c r="O4" s="2" t="str">
        <f t="shared" si="0"/>
        <v>CY27</v>
      </c>
      <c r="P4" s="2" t="str">
        <f t="shared" si="0"/>
        <v>CY27</v>
      </c>
      <c r="Q4" s="2" t="str">
        <f t="shared" si="0"/>
        <v>CY27</v>
      </c>
      <c r="R4" s="2" t="str">
        <f t="shared" si="0"/>
        <v>CY27</v>
      </c>
      <c r="S4" s="2" t="str">
        <f t="shared" si="0"/>
        <v>CY27</v>
      </c>
      <c r="T4" s="2" t="str">
        <f t="shared" si="0"/>
        <v>CY27</v>
      </c>
      <c r="U4" s="2" t="str">
        <f t="shared" si="0"/>
        <v>CY27</v>
      </c>
      <c r="V4" s="2" t="str">
        <f t="shared" si="0"/>
        <v>CY27</v>
      </c>
      <c r="W4" s="2" t="str">
        <f t="shared" si="0"/>
        <v>CY27</v>
      </c>
      <c r="X4" s="2" t="str">
        <f t="shared" si="0"/>
        <v>CY28</v>
      </c>
      <c r="Y4" s="2" t="str">
        <f t="shared" si="0"/>
        <v>CY28</v>
      </c>
      <c r="Z4" s="2" t="str">
        <f t="shared" si="0"/>
        <v>CY28</v>
      </c>
      <c r="AA4" s="2" t="str">
        <f t="shared" si="0"/>
        <v>CY28</v>
      </c>
      <c r="AB4" s="2" t="str">
        <f t="shared" si="0"/>
        <v>CY28</v>
      </c>
      <c r="AC4" s="2" t="str">
        <f t="shared" si="0"/>
        <v>CY28</v>
      </c>
      <c r="AD4" s="2" t="str">
        <f t="shared" si="0"/>
        <v>CY28</v>
      </c>
      <c r="AE4" s="2" t="str">
        <f t="shared" si="0"/>
        <v>CY28</v>
      </c>
      <c r="AF4" s="2" t="str">
        <f t="shared" si="0"/>
        <v>CY28</v>
      </c>
      <c r="AG4" s="2" t="str">
        <f t="shared" si="0"/>
        <v>CY28</v>
      </c>
      <c r="AH4" s="2" t="str">
        <f t="shared" si="0"/>
        <v>CY28</v>
      </c>
      <c r="AI4" s="2" t="str">
        <f t="shared" si="0"/>
        <v>CY28</v>
      </c>
      <c r="AJ4" s="2" t="str">
        <f t="shared" si="0"/>
        <v>CY29</v>
      </c>
      <c r="AK4" s="2" t="str">
        <f t="shared" si="0"/>
        <v>CY29</v>
      </c>
      <c r="AL4" s="2" t="str">
        <f t="shared" si="0"/>
        <v>CY29</v>
      </c>
      <c r="AM4" s="2" t="str">
        <f t="shared" si="0"/>
        <v>CY29</v>
      </c>
      <c r="AN4" s="2" t="str">
        <f t="shared" si="0"/>
        <v>CY29</v>
      </c>
      <c r="AO4" s="2" t="str">
        <f t="shared" si="0"/>
        <v>CY29</v>
      </c>
      <c r="AP4" s="2" t="str">
        <f t="shared" si="0"/>
        <v>CY29</v>
      </c>
      <c r="AQ4" s="2" t="str">
        <f t="shared" si="0"/>
        <v>CY29</v>
      </c>
      <c r="AR4" s="2" t="str">
        <f t="shared" si="0"/>
        <v>CY29</v>
      </c>
      <c r="AS4" s="2" t="str">
        <f t="shared" si="0"/>
        <v>CY29</v>
      </c>
      <c r="AT4" s="2" t="str">
        <f t="shared" si="0"/>
        <v>CY29</v>
      </c>
      <c r="AU4" s="2" t="str">
        <f t="shared" si="0"/>
        <v>CY29</v>
      </c>
      <c r="AV4" s="2" t="str">
        <f t="shared" si="0"/>
        <v>CY30</v>
      </c>
      <c r="AW4" s="2" t="str">
        <f t="shared" si="0"/>
        <v>CY30</v>
      </c>
      <c r="AX4" s="2" t="str">
        <f t="shared" si="0"/>
        <v>CY30</v>
      </c>
      <c r="AY4" s="2" t="str">
        <f t="shared" si="0"/>
        <v>CY30</v>
      </c>
      <c r="AZ4" s="2" t="str">
        <f t="shared" si="0"/>
        <v>CY30</v>
      </c>
      <c r="BA4" s="2" t="str">
        <f t="shared" si="0"/>
        <v>CY30</v>
      </c>
      <c r="BB4" s="2" t="str">
        <f t="shared" si="0"/>
        <v>CY30</v>
      </c>
      <c r="BC4" s="2" t="str">
        <f t="shared" si="0"/>
        <v>CY30</v>
      </c>
      <c r="BD4" s="2" t="str">
        <f t="shared" si="0"/>
        <v>CY30</v>
      </c>
      <c r="BE4" s="2" t="str">
        <f t="shared" si="0"/>
        <v>CY30</v>
      </c>
      <c r="BF4" s="2" t="str">
        <f t="shared" si="0"/>
        <v>CY30</v>
      </c>
      <c r="BG4" s="2" t="str">
        <f t="shared" si="0"/>
        <v>CY30</v>
      </c>
      <c r="BH4" s="2" t="str">
        <f t="shared" si="0"/>
        <v>CY31</v>
      </c>
      <c r="BI4" s="2" t="str">
        <f t="shared" si="0"/>
        <v>CY31</v>
      </c>
      <c r="BJ4" s="2" t="str">
        <f t="shared" si="0"/>
        <v>CY31</v>
      </c>
      <c r="BK4" s="2" t="str">
        <f t="shared" si="0"/>
        <v>CY31</v>
      </c>
      <c r="BL4" s="2" t="str">
        <f t="shared" si="0"/>
        <v>CY31</v>
      </c>
      <c r="BM4" s="2" t="str">
        <f t="shared" si="0"/>
        <v>CY31</v>
      </c>
      <c r="BN4" s="2" t="str">
        <f t="shared" si="0"/>
        <v>CY31</v>
      </c>
      <c r="BO4" s="2" t="str">
        <f t="shared" si="0"/>
        <v>CY31</v>
      </c>
      <c r="BP4" s="2" t="str">
        <f t="shared" si="0"/>
        <v>CY31</v>
      </c>
      <c r="BQ4" s="2" t="str">
        <f t="shared" si="0"/>
        <v>CY31</v>
      </c>
      <c r="BR4" s="2" t="str">
        <f t="shared" ref="BR4:EC5" si="1">BR12</f>
        <v>CY31</v>
      </c>
      <c r="BS4" s="2" t="str">
        <f t="shared" si="1"/>
        <v>CY31</v>
      </c>
      <c r="BT4" s="2" t="str">
        <f t="shared" si="1"/>
        <v>CY32</v>
      </c>
      <c r="BU4" s="2" t="str">
        <f t="shared" si="1"/>
        <v>CY32</v>
      </c>
      <c r="BV4" s="2" t="str">
        <f t="shared" si="1"/>
        <v>CY32</v>
      </c>
      <c r="BW4" s="2" t="str">
        <f t="shared" si="1"/>
        <v>CY32</v>
      </c>
      <c r="BX4" s="2" t="str">
        <f t="shared" si="1"/>
        <v>CY32</v>
      </c>
      <c r="BY4" s="2" t="str">
        <f t="shared" si="1"/>
        <v>CY32</v>
      </c>
      <c r="BZ4" s="2" t="str">
        <f t="shared" si="1"/>
        <v>CY32</v>
      </c>
      <c r="CA4" s="2" t="str">
        <f t="shared" si="1"/>
        <v>CY32</v>
      </c>
      <c r="CB4" s="2" t="str">
        <f t="shared" si="1"/>
        <v>CY32</v>
      </c>
      <c r="CC4" s="2" t="str">
        <f t="shared" si="1"/>
        <v>CY32</v>
      </c>
      <c r="CD4" s="2" t="str">
        <f t="shared" si="1"/>
        <v>CY32</v>
      </c>
      <c r="CE4" s="2" t="str">
        <f t="shared" si="1"/>
        <v>CY32</v>
      </c>
      <c r="CF4" s="2" t="str">
        <f t="shared" si="1"/>
        <v>CY33</v>
      </c>
      <c r="CG4" s="2" t="str">
        <f t="shared" si="1"/>
        <v>CY33</v>
      </c>
      <c r="CH4" s="2" t="str">
        <f t="shared" si="1"/>
        <v>CY33</v>
      </c>
      <c r="CI4" s="2" t="str">
        <f t="shared" si="1"/>
        <v>CY33</v>
      </c>
      <c r="CJ4" s="2" t="str">
        <f t="shared" si="1"/>
        <v>CY33</v>
      </c>
      <c r="CK4" s="2" t="str">
        <f t="shared" si="1"/>
        <v>CY33</v>
      </c>
      <c r="CL4" s="2" t="str">
        <f t="shared" si="1"/>
        <v>CY33</v>
      </c>
      <c r="CM4" s="2" t="str">
        <f t="shared" si="1"/>
        <v>CY33</v>
      </c>
      <c r="CN4" s="2" t="str">
        <f t="shared" si="1"/>
        <v>CY33</v>
      </c>
      <c r="CO4" s="2" t="str">
        <f t="shared" si="1"/>
        <v>CY33</v>
      </c>
      <c r="CP4" s="2" t="str">
        <f t="shared" si="1"/>
        <v>CY33</v>
      </c>
      <c r="CQ4" s="2" t="str">
        <f t="shared" si="1"/>
        <v>CY33</v>
      </c>
      <c r="CR4" s="2" t="str">
        <f t="shared" si="1"/>
        <v>CY34</v>
      </c>
      <c r="CS4" s="2" t="str">
        <f t="shared" si="1"/>
        <v>CY34</v>
      </c>
      <c r="CT4" s="2" t="str">
        <f t="shared" si="1"/>
        <v>CY34</v>
      </c>
      <c r="CU4" s="2" t="str">
        <f t="shared" si="1"/>
        <v>CY34</v>
      </c>
      <c r="CV4" s="2" t="str">
        <f t="shared" si="1"/>
        <v>CY34</v>
      </c>
      <c r="CW4" s="2" t="str">
        <f t="shared" si="1"/>
        <v>CY34</v>
      </c>
      <c r="CX4" s="2" t="str">
        <f t="shared" si="1"/>
        <v>CY34</v>
      </c>
      <c r="CY4" s="2" t="str">
        <f t="shared" si="1"/>
        <v>CY34</v>
      </c>
      <c r="CZ4" s="2" t="str">
        <f t="shared" si="1"/>
        <v>CY34</v>
      </c>
      <c r="DA4" s="2" t="str">
        <f t="shared" si="1"/>
        <v>CY34</v>
      </c>
      <c r="DB4" s="2" t="str">
        <f t="shared" si="1"/>
        <v>CY34</v>
      </c>
      <c r="DC4" s="2" t="str">
        <f t="shared" si="1"/>
        <v>CY34</v>
      </c>
      <c r="DD4" s="2" t="str">
        <f t="shared" si="1"/>
        <v>CY35</v>
      </c>
      <c r="DE4" s="2" t="str">
        <f t="shared" si="1"/>
        <v>CY35</v>
      </c>
      <c r="DF4" s="2" t="str">
        <f t="shared" si="1"/>
        <v>CY35</v>
      </c>
      <c r="DG4" s="2" t="str">
        <f t="shared" si="1"/>
        <v>CY35</v>
      </c>
      <c r="DH4" s="2" t="str">
        <f t="shared" si="1"/>
        <v>CY35</v>
      </c>
      <c r="DI4" s="2" t="str">
        <f t="shared" si="1"/>
        <v>CY35</v>
      </c>
      <c r="DJ4" s="2" t="str">
        <f t="shared" si="1"/>
        <v>CY35</v>
      </c>
      <c r="DK4" s="2" t="str">
        <f t="shared" si="1"/>
        <v>CY35</v>
      </c>
      <c r="DL4" s="2" t="str">
        <f t="shared" si="1"/>
        <v>CY35</v>
      </c>
      <c r="DM4" s="2" t="str">
        <f t="shared" si="1"/>
        <v>CY35</v>
      </c>
      <c r="DN4" s="2" t="str">
        <f t="shared" si="1"/>
        <v>CY35</v>
      </c>
      <c r="DO4" s="2" t="str">
        <f t="shared" si="1"/>
        <v>CY35</v>
      </c>
      <c r="DP4" s="2" t="str">
        <f t="shared" si="1"/>
        <v>CY36</v>
      </c>
      <c r="DQ4" s="2" t="str">
        <f t="shared" si="1"/>
        <v>CY36</v>
      </c>
      <c r="DR4" s="2" t="str">
        <f t="shared" si="1"/>
        <v>CY36</v>
      </c>
      <c r="DS4" s="2" t="str">
        <f t="shared" si="1"/>
        <v>CY36</v>
      </c>
      <c r="DT4" s="2" t="str">
        <f t="shared" si="1"/>
        <v>CY36</v>
      </c>
      <c r="DU4" s="2" t="str">
        <f t="shared" si="1"/>
        <v>CY36</v>
      </c>
      <c r="DV4" s="2" t="str">
        <f t="shared" si="1"/>
        <v>CY36</v>
      </c>
      <c r="DW4" s="2" t="str">
        <f t="shared" si="1"/>
        <v>CY36</v>
      </c>
      <c r="DX4" s="2" t="str">
        <f t="shared" si="1"/>
        <v>CY36</v>
      </c>
      <c r="DY4" s="2" t="str">
        <f t="shared" si="1"/>
        <v>CY36</v>
      </c>
      <c r="DZ4" s="2" t="str">
        <f t="shared" si="1"/>
        <v>CY36</v>
      </c>
      <c r="EA4" s="2" t="str">
        <f t="shared" si="1"/>
        <v>CY36</v>
      </c>
      <c r="EB4" s="2" t="str">
        <f t="shared" si="1"/>
        <v>CY37</v>
      </c>
      <c r="EC4" s="2" t="str">
        <f t="shared" si="1"/>
        <v>CY37</v>
      </c>
      <c r="ED4" s="2" t="str">
        <f t="shared" ref="ED4:GO5" si="2">ED12</f>
        <v>CY37</v>
      </c>
      <c r="EE4" s="2" t="str">
        <f t="shared" si="2"/>
        <v>CY37</v>
      </c>
      <c r="EF4" s="2" t="str">
        <f t="shared" si="2"/>
        <v>CY37</v>
      </c>
      <c r="EG4" s="2" t="str">
        <f t="shared" si="2"/>
        <v>CY37</v>
      </c>
      <c r="EH4" s="2" t="str">
        <f t="shared" si="2"/>
        <v>CY37</v>
      </c>
      <c r="EI4" s="2" t="str">
        <f t="shared" si="2"/>
        <v>CY37</v>
      </c>
      <c r="EJ4" s="2" t="str">
        <f t="shared" si="2"/>
        <v>CY37</v>
      </c>
      <c r="EK4" s="2" t="str">
        <f t="shared" si="2"/>
        <v>CY37</v>
      </c>
      <c r="EL4" s="2" t="str">
        <f t="shared" si="2"/>
        <v>CY37</v>
      </c>
      <c r="EM4" s="2" t="str">
        <f t="shared" si="2"/>
        <v>CY37</v>
      </c>
      <c r="EN4" s="2" t="str">
        <f t="shared" si="2"/>
        <v>CY38</v>
      </c>
      <c r="EO4" s="2" t="str">
        <f t="shared" si="2"/>
        <v>CY38</v>
      </c>
      <c r="EP4" s="2" t="str">
        <f t="shared" si="2"/>
        <v>CY38</v>
      </c>
      <c r="EQ4" s="2" t="str">
        <f t="shared" si="2"/>
        <v>CY38</v>
      </c>
      <c r="ER4" s="2" t="str">
        <f t="shared" si="2"/>
        <v>CY38</v>
      </c>
      <c r="ES4" s="2" t="str">
        <f t="shared" si="2"/>
        <v>CY38</v>
      </c>
      <c r="ET4" s="2" t="str">
        <f t="shared" si="2"/>
        <v>CY38</v>
      </c>
      <c r="EU4" s="2" t="str">
        <f t="shared" si="2"/>
        <v>CY38</v>
      </c>
      <c r="EV4" s="2" t="str">
        <f t="shared" si="2"/>
        <v>CY38</v>
      </c>
      <c r="EW4" s="2" t="str">
        <f t="shared" si="2"/>
        <v>CY38</v>
      </c>
      <c r="EX4" s="2" t="str">
        <f t="shared" si="2"/>
        <v>CY38</v>
      </c>
      <c r="EY4" s="2" t="str">
        <f t="shared" si="2"/>
        <v>CY38</v>
      </c>
      <c r="EZ4" s="2" t="str">
        <f t="shared" si="2"/>
        <v>CY39</v>
      </c>
      <c r="FA4" s="2" t="str">
        <f t="shared" si="2"/>
        <v>CY39</v>
      </c>
      <c r="FB4" s="2" t="str">
        <f t="shared" si="2"/>
        <v>CY39</v>
      </c>
      <c r="FC4" s="2" t="str">
        <f t="shared" si="2"/>
        <v>CY39</v>
      </c>
      <c r="FD4" s="2" t="str">
        <f t="shared" si="2"/>
        <v>CY39</v>
      </c>
      <c r="FE4" s="2" t="str">
        <f t="shared" si="2"/>
        <v>CY39</v>
      </c>
      <c r="FF4" s="2" t="str">
        <f t="shared" si="2"/>
        <v>CY39</v>
      </c>
      <c r="FG4" s="2" t="str">
        <f t="shared" si="2"/>
        <v>CY39</v>
      </c>
      <c r="FH4" s="2" t="str">
        <f t="shared" si="2"/>
        <v>CY39</v>
      </c>
      <c r="FI4" s="2" t="str">
        <f t="shared" si="2"/>
        <v>CY39</v>
      </c>
      <c r="FJ4" s="2" t="str">
        <f t="shared" si="2"/>
        <v>CY39</v>
      </c>
      <c r="FK4" s="2" t="str">
        <f t="shared" si="2"/>
        <v>CY39</v>
      </c>
      <c r="FL4" s="2" t="str">
        <f t="shared" si="2"/>
        <v>CY40</v>
      </c>
      <c r="FM4" s="2" t="str">
        <f t="shared" si="2"/>
        <v>CY40</v>
      </c>
      <c r="FN4" s="2" t="str">
        <f t="shared" si="2"/>
        <v>CY40</v>
      </c>
      <c r="FO4" s="2" t="str">
        <f t="shared" si="2"/>
        <v>CY40</v>
      </c>
      <c r="FP4" s="2" t="str">
        <f t="shared" si="2"/>
        <v>CY40</v>
      </c>
      <c r="FQ4" s="2" t="str">
        <f t="shared" si="2"/>
        <v>CY40</v>
      </c>
      <c r="FR4" s="2" t="str">
        <f t="shared" si="2"/>
        <v>CY40</v>
      </c>
      <c r="FS4" s="2" t="str">
        <f t="shared" si="2"/>
        <v>CY40</v>
      </c>
      <c r="FT4" s="2" t="str">
        <f t="shared" si="2"/>
        <v>CY40</v>
      </c>
      <c r="FU4" s="2" t="str">
        <f t="shared" si="2"/>
        <v>CY40</v>
      </c>
      <c r="FV4" s="2" t="str">
        <f t="shared" si="2"/>
        <v>CY40</v>
      </c>
      <c r="FW4" s="2" t="str">
        <f t="shared" si="2"/>
        <v>CY40</v>
      </c>
      <c r="FX4" s="2" t="str">
        <f t="shared" si="2"/>
        <v>CY41</v>
      </c>
      <c r="FY4" s="2" t="str">
        <f t="shared" si="2"/>
        <v>CY41</v>
      </c>
      <c r="FZ4" s="2" t="str">
        <f t="shared" si="2"/>
        <v>CY41</v>
      </c>
      <c r="GA4" s="2" t="str">
        <f t="shared" si="2"/>
        <v>CY41</v>
      </c>
      <c r="GB4" s="2" t="str">
        <f t="shared" si="2"/>
        <v>CY41</v>
      </c>
      <c r="GC4" s="2" t="str">
        <f t="shared" si="2"/>
        <v>CY41</v>
      </c>
      <c r="GD4" s="2" t="str">
        <f t="shared" si="2"/>
        <v>CY41</v>
      </c>
      <c r="GE4" s="2" t="str">
        <f t="shared" si="2"/>
        <v>CY41</v>
      </c>
      <c r="GF4" s="2" t="str">
        <f t="shared" si="2"/>
        <v>CY41</v>
      </c>
      <c r="GG4" s="2" t="str">
        <f t="shared" si="2"/>
        <v>CY41</v>
      </c>
      <c r="GH4" s="2" t="str">
        <f t="shared" si="2"/>
        <v>CY41</v>
      </c>
      <c r="GI4" s="2" t="str">
        <f t="shared" si="2"/>
        <v>CY41</v>
      </c>
      <c r="GJ4" s="2" t="str">
        <f t="shared" si="2"/>
        <v>CY42</v>
      </c>
      <c r="GK4" s="2" t="str">
        <f t="shared" si="2"/>
        <v>CY42</v>
      </c>
      <c r="GL4" s="2" t="str">
        <f t="shared" si="2"/>
        <v>CY42</v>
      </c>
      <c r="GM4" s="2" t="str">
        <f t="shared" si="2"/>
        <v>CY42</v>
      </c>
      <c r="GN4" s="2" t="str">
        <f t="shared" si="2"/>
        <v>CY42</v>
      </c>
      <c r="GO4" s="2" t="str">
        <f t="shared" si="2"/>
        <v>CY42</v>
      </c>
      <c r="GP4" s="2" t="str">
        <f t="shared" ref="GP4:JA5" si="3">GP12</f>
        <v>CY42</v>
      </c>
      <c r="GQ4" s="2" t="str">
        <f t="shared" si="3"/>
        <v>CY42</v>
      </c>
      <c r="GR4" s="2" t="str">
        <f t="shared" si="3"/>
        <v>CY42</v>
      </c>
      <c r="GS4" s="2" t="str">
        <f t="shared" si="3"/>
        <v>CY42</v>
      </c>
      <c r="GT4" s="2" t="str">
        <f t="shared" si="3"/>
        <v>CY42</v>
      </c>
      <c r="GU4" s="2" t="str">
        <f t="shared" si="3"/>
        <v>CY42</v>
      </c>
      <c r="GV4" s="2" t="str">
        <f t="shared" si="3"/>
        <v>CY43</v>
      </c>
      <c r="GW4" s="2" t="str">
        <f t="shared" si="3"/>
        <v>CY43</v>
      </c>
      <c r="GX4" s="2" t="str">
        <f t="shared" si="3"/>
        <v>CY43</v>
      </c>
      <c r="GY4" s="2" t="str">
        <f t="shared" si="3"/>
        <v>CY43</v>
      </c>
      <c r="GZ4" s="2" t="str">
        <f t="shared" si="3"/>
        <v>CY43</v>
      </c>
      <c r="HA4" s="2" t="str">
        <f t="shared" si="3"/>
        <v>CY43</v>
      </c>
      <c r="HB4" s="2" t="str">
        <f t="shared" si="3"/>
        <v>CY43</v>
      </c>
      <c r="HC4" s="2" t="str">
        <f t="shared" si="3"/>
        <v>CY43</v>
      </c>
      <c r="HD4" s="2" t="str">
        <f t="shared" si="3"/>
        <v>CY43</v>
      </c>
      <c r="HE4" s="2" t="str">
        <f t="shared" si="3"/>
        <v>CY43</v>
      </c>
      <c r="HF4" s="2" t="str">
        <f t="shared" si="3"/>
        <v>CY43</v>
      </c>
      <c r="HG4" s="2" t="str">
        <f t="shared" si="3"/>
        <v>CY43</v>
      </c>
      <c r="HH4" s="2" t="str">
        <f t="shared" si="3"/>
        <v>CY44</v>
      </c>
      <c r="HI4" s="2" t="str">
        <f t="shared" si="3"/>
        <v>CY44</v>
      </c>
      <c r="HJ4" s="2" t="str">
        <f t="shared" si="3"/>
        <v>CY44</v>
      </c>
      <c r="HK4" s="2" t="str">
        <f t="shared" si="3"/>
        <v>CY44</v>
      </c>
      <c r="HL4" s="2" t="str">
        <f t="shared" si="3"/>
        <v>CY44</v>
      </c>
      <c r="HM4" s="2" t="str">
        <f t="shared" si="3"/>
        <v>CY44</v>
      </c>
      <c r="HN4" s="2" t="str">
        <f t="shared" si="3"/>
        <v>CY44</v>
      </c>
      <c r="HO4" s="2" t="str">
        <f t="shared" si="3"/>
        <v>CY44</v>
      </c>
      <c r="HP4" s="2" t="str">
        <f t="shared" si="3"/>
        <v>CY44</v>
      </c>
      <c r="HQ4" s="2" t="str">
        <f t="shared" si="3"/>
        <v>CY44</v>
      </c>
      <c r="HR4" s="2" t="str">
        <f t="shared" si="3"/>
        <v>CY44</v>
      </c>
      <c r="HS4" s="2" t="str">
        <f t="shared" si="3"/>
        <v>CY44</v>
      </c>
      <c r="HT4" s="2" t="str">
        <f t="shared" si="3"/>
        <v>CY45</v>
      </c>
      <c r="HU4" s="2" t="str">
        <f t="shared" si="3"/>
        <v>CY45</v>
      </c>
      <c r="HV4" s="2" t="str">
        <f t="shared" si="3"/>
        <v>CY45</v>
      </c>
      <c r="HW4" s="2" t="str">
        <f t="shared" si="3"/>
        <v>CY45</v>
      </c>
      <c r="HX4" s="2" t="str">
        <f t="shared" si="3"/>
        <v>CY45</v>
      </c>
      <c r="HY4" s="2" t="str">
        <f t="shared" si="3"/>
        <v>CY45</v>
      </c>
      <c r="HZ4" s="2" t="str">
        <f t="shared" si="3"/>
        <v>CY45</v>
      </c>
      <c r="IA4" s="2" t="str">
        <f t="shared" si="3"/>
        <v>CY45</v>
      </c>
      <c r="IB4" s="2" t="str">
        <f t="shared" si="3"/>
        <v>CY45</v>
      </c>
      <c r="IC4" s="2" t="str">
        <f t="shared" si="3"/>
        <v>CY45</v>
      </c>
      <c r="ID4" s="2" t="str">
        <f t="shared" si="3"/>
        <v>CY45</v>
      </c>
      <c r="IE4" s="2" t="str">
        <f t="shared" si="3"/>
        <v>CY45</v>
      </c>
      <c r="IF4" s="2" t="str">
        <f t="shared" si="3"/>
        <v>CY46</v>
      </c>
      <c r="IG4" s="2" t="str">
        <f t="shared" si="3"/>
        <v>CY46</v>
      </c>
      <c r="IH4" s="2" t="str">
        <f t="shared" si="3"/>
        <v>CY46</v>
      </c>
      <c r="II4" s="2" t="str">
        <f t="shared" si="3"/>
        <v>CY46</v>
      </c>
      <c r="IJ4" s="2" t="str">
        <f t="shared" si="3"/>
        <v>CY46</v>
      </c>
      <c r="IK4" s="2" t="str">
        <f t="shared" si="3"/>
        <v>CY46</v>
      </c>
      <c r="IL4" s="2" t="str">
        <f t="shared" si="3"/>
        <v>CY46</v>
      </c>
      <c r="IM4" s="2" t="str">
        <f t="shared" si="3"/>
        <v>CY46</v>
      </c>
      <c r="IN4" s="2" t="str">
        <f t="shared" si="3"/>
        <v>CY46</v>
      </c>
      <c r="IO4" s="2" t="str">
        <f t="shared" si="3"/>
        <v>CY46</v>
      </c>
      <c r="IP4" s="2" t="str">
        <f t="shared" si="3"/>
        <v>CY46</v>
      </c>
      <c r="IQ4" s="2" t="str">
        <f t="shared" si="3"/>
        <v>CY46</v>
      </c>
      <c r="IR4" s="2" t="str">
        <f t="shared" si="3"/>
        <v>CY47</v>
      </c>
      <c r="IS4" s="2" t="str">
        <f t="shared" si="3"/>
        <v>CY47</v>
      </c>
      <c r="IT4" s="2" t="str">
        <f t="shared" si="3"/>
        <v>CY47</v>
      </c>
      <c r="IU4" s="2" t="str">
        <f t="shared" si="3"/>
        <v>CY47</v>
      </c>
      <c r="IV4" s="2" t="str">
        <f t="shared" si="3"/>
        <v>CY47</v>
      </c>
      <c r="IW4" s="2" t="str">
        <f t="shared" si="3"/>
        <v>CY47</v>
      </c>
      <c r="IX4" s="2" t="str">
        <f t="shared" si="3"/>
        <v>CY47</v>
      </c>
      <c r="IY4" s="2" t="str">
        <f t="shared" si="3"/>
        <v>CY47</v>
      </c>
      <c r="IZ4" s="2" t="str">
        <f t="shared" si="3"/>
        <v>CY47</v>
      </c>
      <c r="JA4" s="2" t="str">
        <f t="shared" si="3"/>
        <v>CY47</v>
      </c>
      <c r="JB4" s="2" t="str">
        <f t="shared" ref="JB4:KA5" si="4">JB12</f>
        <v>CY47</v>
      </c>
      <c r="JC4" s="2" t="str">
        <f t="shared" si="4"/>
        <v>CY47</v>
      </c>
      <c r="JD4" s="2" t="str">
        <f t="shared" si="4"/>
        <v>CY48</v>
      </c>
      <c r="JE4" s="2" t="str">
        <f t="shared" si="4"/>
        <v>CY48</v>
      </c>
      <c r="JF4" s="2" t="str">
        <f t="shared" si="4"/>
        <v>CY48</v>
      </c>
      <c r="JG4" s="2" t="str">
        <f t="shared" si="4"/>
        <v>CY48</v>
      </c>
      <c r="JH4" s="2" t="str">
        <f t="shared" si="4"/>
        <v>CY48</v>
      </c>
      <c r="JI4" s="2" t="str">
        <f t="shared" si="4"/>
        <v>CY48</v>
      </c>
      <c r="JJ4" s="2" t="str">
        <f t="shared" si="4"/>
        <v>CY48</v>
      </c>
      <c r="JK4" s="2" t="str">
        <f t="shared" si="4"/>
        <v>CY48</v>
      </c>
      <c r="JL4" s="2" t="str">
        <f t="shared" si="4"/>
        <v>CY48</v>
      </c>
      <c r="JM4" s="2" t="str">
        <f t="shared" si="4"/>
        <v>CY48</v>
      </c>
      <c r="JN4" s="2" t="str">
        <f t="shared" si="4"/>
        <v>CY48</v>
      </c>
      <c r="JO4" s="2" t="str">
        <f t="shared" si="4"/>
        <v>CY48</v>
      </c>
      <c r="JP4" s="2" t="str">
        <f t="shared" si="4"/>
        <v>CY49</v>
      </c>
      <c r="JQ4" s="2" t="str">
        <f t="shared" si="4"/>
        <v>CY49</v>
      </c>
      <c r="JR4" s="2" t="str">
        <f t="shared" si="4"/>
        <v>CY49</v>
      </c>
      <c r="JS4" s="2" t="str">
        <f t="shared" si="4"/>
        <v>CY49</v>
      </c>
      <c r="JT4" s="2" t="str">
        <f t="shared" si="4"/>
        <v>CY49</v>
      </c>
      <c r="JU4" s="2" t="str">
        <f t="shared" si="4"/>
        <v>CY49</v>
      </c>
      <c r="JV4" s="2" t="str">
        <f t="shared" si="4"/>
        <v>CY49</v>
      </c>
      <c r="JW4" s="2" t="str">
        <f t="shared" si="4"/>
        <v>CY49</v>
      </c>
      <c r="JX4" s="2" t="str">
        <f t="shared" si="4"/>
        <v>CY49</v>
      </c>
      <c r="JY4" s="2" t="str">
        <f t="shared" si="4"/>
        <v>CY49</v>
      </c>
      <c r="JZ4" s="2" t="str">
        <f t="shared" si="4"/>
        <v>CY49</v>
      </c>
      <c r="KA4" s="2" t="str">
        <f t="shared" si="4"/>
        <v>CY49</v>
      </c>
    </row>
    <row r="5" spans="2:287" x14ac:dyDescent="0.35">
      <c r="B5" s="2" t="s">
        <v>1</v>
      </c>
      <c r="C5" s="2"/>
      <c r="D5" s="2"/>
      <c r="E5" s="4"/>
      <c r="F5" s="2" t="str">
        <f t="shared" si="0"/>
        <v>FY27</v>
      </c>
      <c r="G5" s="2" t="str">
        <f t="shared" si="0"/>
        <v>FY27</v>
      </c>
      <c r="H5" s="2" t="str">
        <f t="shared" si="0"/>
        <v>FY27</v>
      </c>
      <c r="I5" s="2" t="str">
        <f t="shared" si="0"/>
        <v>FY27</v>
      </c>
      <c r="J5" s="2" t="str">
        <f t="shared" si="0"/>
        <v>FY27</v>
      </c>
      <c r="K5" s="2" t="str">
        <f t="shared" si="0"/>
        <v>FY27</v>
      </c>
      <c r="L5" s="2" t="str">
        <f t="shared" si="0"/>
        <v>FY27</v>
      </c>
      <c r="M5" s="2" t="str">
        <f t="shared" si="0"/>
        <v>FY27</v>
      </c>
      <c r="N5" s="2" t="str">
        <f t="shared" si="0"/>
        <v>FY27</v>
      </c>
      <c r="O5" s="2" t="str">
        <f t="shared" si="0"/>
        <v>FY27</v>
      </c>
      <c r="P5" s="2" t="str">
        <f t="shared" si="0"/>
        <v>FY27</v>
      </c>
      <c r="Q5" s="2" t="str">
        <f t="shared" si="0"/>
        <v>FY27</v>
      </c>
      <c r="R5" s="2" t="str">
        <f t="shared" si="0"/>
        <v>FY28</v>
      </c>
      <c r="S5" s="2" t="str">
        <f t="shared" si="0"/>
        <v>FY28</v>
      </c>
      <c r="T5" s="2" t="str">
        <f t="shared" si="0"/>
        <v>FY28</v>
      </c>
      <c r="U5" s="2" t="str">
        <f t="shared" si="0"/>
        <v>FY28</v>
      </c>
      <c r="V5" s="2" t="str">
        <f t="shared" si="0"/>
        <v>FY28</v>
      </c>
      <c r="W5" s="2" t="str">
        <f t="shared" si="0"/>
        <v>FY28</v>
      </c>
      <c r="X5" s="2" t="str">
        <f t="shared" si="0"/>
        <v>FY28</v>
      </c>
      <c r="Y5" s="2" t="str">
        <f t="shared" si="0"/>
        <v>FY28</v>
      </c>
      <c r="Z5" s="2" t="str">
        <f t="shared" si="0"/>
        <v>FY28</v>
      </c>
      <c r="AA5" s="2" t="str">
        <f t="shared" si="0"/>
        <v>FY28</v>
      </c>
      <c r="AB5" s="2" t="str">
        <f t="shared" si="0"/>
        <v>FY28</v>
      </c>
      <c r="AC5" s="2" t="str">
        <f t="shared" si="0"/>
        <v>FY28</v>
      </c>
      <c r="AD5" s="2" t="str">
        <f t="shared" si="0"/>
        <v>FY29</v>
      </c>
      <c r="AE5" s="2" t="str">
        <f t="shared" si="0"/>
        <v>FY29</v>
      </c>
      <c r="AF5" s="2" t="str">
        <f t="shared" si="0"/>
        <v>FY29</v>
      </c>
      <c r="AG5" s="2" t="str">
        <f t="shared" si="0"/>
        <v>FY29</v>
      </c>
      <c r="AH5" s="2" t="str">
        <f t="shared" si="0"/>
        <v>FY29</v>
      </c>
      <c r="AI5" s="2" t="str">
        <f t="shared" si="0"/>
        <v>FY29</v>
      </c>
      <c r="AJ5" s="2" t="str">
        <f t="shared" si="0"/>
        <v>FY29</v>
      </c>
      <c r="AK5" s="2" t="str">
        <f t="shared" si="0"/>
        <v>FY29</v>
      </c>
      <c r="AL5" s="2" t="str">
        <f t="shared" si="0"/>
        <v>FY29</v>
      </c>
      <c r="AM5" s="2" t="str">
        <f t="shared" si="0"/>
        <v>FY29</v>
      </c>
      <c r="AN5" s="2" t="str">
        <f t="shared" si="0"/>
        <v>FY29</v>
      </c>
      <c r="AO5" s="2" t="str">
        <f t="shared" si="0"/>
        <v>FY29</v>
      </c>
      <c r="AP5" s="2" t="str">
        <f t="shared" si="0"/>
        <v>FY30</v>
      </c>
      <c r="AQ5" s="2" t="str">
        <f t="shared" si="0"/>
        <v>FY30</v>
      </c>
      <c r="AR5" s="2" t="str">
        <f t="shared" si="0"/>
        <v>FY30</v>
      </c>
      <c r="AS5" s="2" t="str">
        <f t="shared" si="0"/>
        <v>FY30</v>
      </c>
      <c r="AT5" s="2" t="str">
        <f t="shared" si="0"/>
        <v>FY30</v>
      </c>
      <c r="AU5" s="2" t="str">
        <f t="shared" si="0"/>
        <v>FY30</v>
      </c>
      <c r="AV5" s="2" t="str">
        <f t="shared" si="0"/>
        <v>FY30</v>
      </c>
      <c r="AW5" s="2" t="str">
        <f t="shared" si="0"/>
        <v>FY30</v>
      </c>
      <c r="AX5" s="2" t="str">
        <f t="shared" si="0"/>
        <v>FY30</v>
      </c>
      <c r="AY5" s="2" t="str">
        <f t="shared" si="0"/>
        <v>FY30</v>
      </c>
      <c r="AZ5" s="2" t="str">
        <f t="shared" si="0"/>
        <v>FY30</v>
      </c>
      <c r="BA5" s="2" t="str">
        <f t="shared" si="0"/>
        <v>FY30</v>
      </c>
      <c r="BB5" s="2" t="str">
        <f t="shared" si="0"/>
        <v>FY31</v>
      </c>
      <c r="BC5" s="2" t="str">
        <f t="shared" si="0"/>
        <v>FY31</v>
      </c>
      <c r="BD5" s="2" t="str">
        <f t="shared" si="0"/>
        <v>FY31</v>
      </c>
      <c r="BE5" s="2" t="str">
        <f t="shared" si="0"/>
        <v>FY31</v>
      </c>
      <c r="BF5" s="2" t="str">
        <f t="shared" si="0"/>
        <v>FY31</v>
      </c>
      <c r="BG5" s="2" t="str">
        <f t="shared" si="0"/>
        <v>FY31</v>
      </c>
      <c r="BH5" s="2" t="str">
        <f t="shared" si="0"/>
        <v>FY31</v>
      </c>
      <c r="BI5" s="2" t="str">
        <f t="shared" si="0"/>
        <v>FY31</v>
      </c>
      <c r="BJ5" s="2" t="str">
        <f t="shared" si="0"/>
        <v>FY31</v>
      </c>
      <c r="BK5" s="2" t="str">
        <f t="shared" si="0"/>
        <v>FY31</v>
      </c>
      <c r="BL5" s="2" t="str">
        <f t="shared" si="0"/>
        <v>FY31</v>
      </c>
      <c r="BM5" s="2" t="str">
        <f t="shared" si="0"/>
        <v>FY31</v>
      </c>
      <c r="BN5" s="2" t="str">
        <f t="shared" si="0"/>
        <v>FY32</v>
      </c>
      <c r="BO5" s="2" t="str">
        <f t="shared" si="0"/>
        <v>FY32</v>
      </c>
      <c r="BP5" s="2" t="str">
        <f t="shared" si="0"/>
        <v>FY32</v>
      </c>
      <c r="BQ5" s="2" t="str">
        <f t="shared" si="0"/>
        <v>FY32</v>
      </c>
      <c r="BR5" s="2" t="str">
        <f t="shared" si="1"/>
        <v>FY32</v>
      </c>
      <c r="BS5" s="2" t="str">
        <f t="shared" si="1"/>
        <v>FY32</v>
      </c>
      <c r="BT5" s="2" t="str">
        <f t="shared" si="1"/>
        <v>FY32</v>
      </c>
      <c r="BU5" s="2" t="str">
        <f t="shared" si="1"/>
        <v>FY32</v>
      </c>
      <c r="BV5" s="2" t="str">
        <f t="shared" si="1"/>
        <v>FY32</v>
      </c>
      <c r="BW5" s="2" t="str">
        <f t="shared" si="1"/>
        <v>FY32</v>
      </c>
      <c r="BX5" s="2" t="str">
        <f t="shared" si="1"/>
        <v>FY32</v>
      </c>
      <c r="BY5" s="2" t="str">
        <f t="shared" si="1"/>
        <v>FY32</v>
      </c>
      <c r="BZ5" s="2" t="str">
        <f t="shared" si="1"/>
        <v>FY33</v>
      </c>
      <c r="CA5" s="2" t="str">
        <f t="shared" si="1"/>
        <v>FY33</v>
      </c>
      <c r="CB5" s="2" t="str">
        <f t="shared" si="1"/>
        <v>FY33</v>
      </c>
      <c r="CC5" s="2" t="str">
        <f t="shared" si="1"/>
        <v>FY33</v>
      </c>
      <c r="CD5" s="2" t="str">
        <f t="shared" si="1"/>
        <v>FY33</v>
      </c>
      <c r="CE5" s="2" t="str">
        <f t="shared" si="1"/>
        <v>FY33</v>
      </c>
      <c r="CF5" s="2" t="str">
        <f t="shared" si="1"/>
        <v>FY33</v>
      </c>
      <c r="CG5" s="2" t="str">
        <f t="shared" si="1"/>
        <v>FY33</v>
      </c>
      <c r="CH5" s="2" t="str">
        <f t="shared" si="1"/>
        <v>FY33</v>
      </c>
      <c r="CI5" s="2" t="str">
        <f t="shared" si="1"/>
        <v>FY33</v>
      </c>
      <c r="CJ5" s="2" t="str">
        <f t="shared" si="1"/>
        <v>FY33</v>
      </c>
      <c r="CK5" s="2" t="str">
        <f t="shared" si="1"/>
        <v>FY33</v>
      </c>
      <c r="CL5" s="2" t="str">
        <f t="shared" si="1"/>
        <v>FY34</v>
      </c>
      <c r="CM5" s="2" t="str">
        <f t="shared" si="1"/>
        <v>FY34</v>
      </c>
      <c r="CN5" s="2" t="str">
        <f t="shared" si="1"/>
        <v>FY34</v>
      </c>
      <c r="CO5" s="2" t="str">
        <f t="shared" si="1"/>
        <v>FY34</v>
      </c>
      <c r="CP5" s="2" t="str">
        <f t="shared" si="1"/>
        <v>FY34</v>
      </c>
      <c r="CQ5" s="2" t="str">
        <f t="shared" si="1"/>
        <v>FY34</v>
      </c>
      <c r="CR5" s="2" t="str">
        <f t="shared" si="1"/>
        <v>FY34</v>
      </c>
      <c r="CS5" s="2" t="str">
        <f t="shared" si="1"/>
        <v>FY34</v>
      </c>
      <c r="CT5" s="2" t="str">
        <f t="shared" si="1"/>
        <v>FY34</v>
      </c>
      <c r="CU5" s="2" t="str">
        <f t="shared" si="1"/>
        <v>FY34</v>
      </c>
      <c r="CV5" s="2" t="str">
        <f t="shared" si="1"/>
        <v>FY34</v>
      </c>
      <c r="CW5" s="2" t="str">
        <f t="shared" si="1"/>
        <v>FY34</v>
      </c>
      <c r="CX5" s="2" t="str">
        <f t="shared" si="1"/>
        <v>FY35</v>
      </c>
      <c r="CY5" s="2" t="str">
        <f t="shared" si="1"/>
        <v>FY35</v>
      </c>
      <c r="CZ5" s="2" t="str">
        <f t="shared" si="1"/>
        <v>FY35</v>
      </c>
      <c r="DA5" s="2" t="str">
        <f t="shared" si="1"/>
        <v>FY35</v>
      </c>
      <c r="DB5" s="2" t="str">
        <f t="shared" si="1"/>
        <v>FY35</v>
      </c>
      <c r="DC5" s="2" t="str">
        <f t="shared" si="1"/>
        <v>FY35</v>
      </c>
      <c r="DD5" s="2" t="str">
        <f t="shared" si="1"/>
        <v>FY35</v>
      </c>
      <c r="DE5" s="2" t="str">
        <f t="shared" si="1"/>
        <v>FY35</v>
      </c>
      <c r="DF5" s="2" t="str">
        <f t="shared" si="1"/>
        <v>FY35</v>
      </c>
      <c r="DG5" s="2" t="str">
        <f t="shared" si="1"/>
        <v>FY35</v>
      </c>
      <c r="DH5" s="2" t="str">
        <f t="shared" si="1"/>
        <v>FY35</v>
      </c>
      <c r="DI5" s="2" t="str">
        <f t="shared" si="1"/>
        <v>FY35</v>
      </c>
      <c r="DJ5" s="2" t="str">
        <f t="shared" si="1"/>
        <v>FY36</v>
      </c>
      <c r="DK5" s="2" t="str">
        <f t="shared" si="1"/>
        <v>FY36</v>
      </c>
      <c r="DL5" s="2" t="str">
        <f t="shared" si="1"/>
        <v>FY36</v>
      </c>
      <c r="DM5" s="2" t="str">
        <f t="shared" si="1"/>
        <v>FY36</v>
      </c>
      <c r="DN5" s="2" t="str">
        <f t="shared" si="1"/>
        <v>FY36</v>
      </c>
      <c r="DO5" s="2" t="str">
        <f t="shared" si="1"/>
        <v>FY36</v>
      </c>
      <c r="DP5" s="2" t="str">
        <f t="shared" si="1"/>
        <v>FY36</v>
      </c>
      <c r="DQ5" s="2" t="str">
        <f t="shared" si="1"/>
        <v>FY36</v>
      </c>
      <c r="DR5" s="2" t="str">
        <f t="shared" si="1"/>
        <v>FY36</v>
      </c>
      <c r="DS5" s="2" t="str">
        <f t="shared" si="1"/>
        <v>FY36</v>
      </c>
      <c r="DT5" s="2" t="str">
        <f t="shared" si="1"/>
        <v>FY36</v>
      </c>
      <c r="DU5" s="2" t="str">
        <f t="shared" si="1"/>
        <v>FY36</v>
      </c>
      <c r="DV5" s="2" t="str">
        <f t="shared" si="1"/>
        <v>FY37</v>
      </c>
      <c r="DW5" s="2" t="str">
        <f t="shared" si="1"/>
        <v>FY37</v>
      </c>
      <c r="DX5" s="2" t="str">
        <f t="shared" si="1"/>
        <v>FY37</v>
      </c>
      <c r="DY5" s="2" t="str">
        <f t="shared" si="1"/>
        <v>FY37</v>
      </c>
      <c r="DZ5" s="2" t="str">
        <f t="shared" si="1"/>
        <v>FY37</v>
      </c>
      <c r="EA5" s="2" t="str">
        <f t="shared" si="1"/>
        <v>FY37</v>
      </c>
      <c r="EB5" s="2" t="str">
        <f t="shared" si="1"/>
        <v>FY37</v>
      </c>
      <c r="EC5" s="2" t="str">
        <f t="shared" si="1"/>
        <v>FY37</v>
      </c>
      <c r="ED5" s="2" t="str">
        <f t="shared" si="2"/>
        <v>FY37</v>
      </c>
      <c r="EE5" s="2" t="str">
        <f t="shared" si="2"/>
        <v>FY37</v>
      </c>
      <c r="EF5" s="2" t="str">
        <f t="shared" si="2"/>
        <v>FY37</v>
      </c>
      <c r="EG5" s="2" t="str">
        <f t="shared" si="2"/>
        <v>FY37</v>
      </c>
      <c r="EH5" s="2" t="str">
        <f t="shared" si="2"/>
        <v>FY38</v>
      </c>
      <c r="EI5" s="2" t="str">
        <f t="shared" si="2"/>
        <v>FY38</v>
      </c>
      <c r="EJ5" s="2" t="str">
        <f t="shared" si="2"/>
        <v>FY38</v>
      </c>
      <c r="EK5" s="2" t="str">
        <f t="shared" si="2"/>
        <v>FY38</v>
      </c>
      <c r="EL5" s="2" t="str">
        <f t="shared" si="2"/>
        <v>FY38</v>
      </c>
      <c r="EM5" s="2" t="str">
        <f t="shared" si="2"/>
        <v>FY38</v>
      </c>
      <c r="EN5" s="2" t="str">
        <f t="shared" si="2"/>
        <v>FY38</v>
      </c>
      <c r="EO5" s="2" t="str">
        <f t="shared" si="2"/>
        <v>FY38</v>
      </c>
      <c r="EP5" s="2" t="str">
        <f t="shared" si="2"/>
        <v>FY38</v>
      </c>
      <c r="EQ5" s="2" t="str">
        <f t="shared" si="2"/>
        <v>FY38</v>
      </c>
      <c r="ER5" s="2" t="str">
        <f t="shared" si="2"/>
        <v>FY38</v>
      </c>
      <c r="ES5" s="2" t="str">
        <f t="shared" si="2"/>
        <v>FY38</v>
      </c>
      <c r="ET5" s="2" t="str">
        <f t="shared" si="2"/>
        <v>FY39</v>
      </c>
      <c r="EU5" s="2" t="str">
        <f t="shared" si="2"/>
        <v>FY39</v>
      </c>
      <c r="EV5" s="2" t="str">
        <f t="shared" si="2"/>
        <v>FY39</v>
      </c>
      <c r="EW5" s="2" t="str">
        <f t="shared" si="2"/>
        <v>FY39</v>
      </c>
      <c r="EX5" s="2" t="str">
        <f t="shared" si="2"/>
        <v>FY39</v>
      </c>
      <c r="EY5" s="2" t="str">
        <f t="shared" si="2"/>
        <v>FY39</v>
      </c>
      <c r="EZ5" s="2" t="str">
        <f t="shared" si="2"/>
        <v>FY39</v>
      </c>
      <c r="FA5" s="2" t="str">
        <f t="shared" si="2"/>
        <v>FY39</v>
      </c>
      <c r="FB5" s="2" t="str">
        <f t="shared" si="2"/>
        <v>FY39</v>
      </c>
      <c r="FC5" s="2" t="str">
        <f t="shared" si="2"/>
        <v>FY39</v>
      </c>
      <c r="FD5" s="2" t="str">
        <f t="shared" si="2"/>
        <v>FY39</v>
      </c>
      <c r="FE5" s="2" t="str">
        <f t="shared" si="2"/>
        <v>FY39</v>
      </c>
      <c r="FF5" s="2" t="str">
        <f t="shared" si="2"/>
        <v>FY40</v>
      </c>
      <c r="FG5" s="2" t="str">
        <f t="shared" si="2"/>
        <v>FY40</v>
      </c>
      <c r="FH5" s="2" t="str">
        <f t="shared" si="2"/>
        <v>FY40</v>
      </c>
      <c r="FI5" s="2" t="str">
        <f t="shared" si="2"/>
        <v>FY40</v>
      </c>
      <c r="FJ5" s="2" t="str">
        <f t="shared" si="2"/>
        <v>FY40</v>
      </c>
      <c r="FK5" s="2" t="str">
        <f t="shared" si="2"/>
        <v>FY40</v>
      </c>
      <c r="FL5" s="2" t="str">
        <f t="shared" si="2"/>
        <v>FY40</v>
      </c>
      <c r="FM5" s="2" t="str">
        <f t="shared" si="2"/>
        <v>FY40</v>
      </c>
      <c r="FN5" s="2" t="str">
        <f t="shared" si="2"/>
        <v>FY40</v>
      </c>
      <c r="FO5" s="2" t="str">
        <f t="shared" si="2"/>
        <v>FY40</v>
      </c>
      <c r="FP5" s="2" t="str">
        <f t="shared" si="2"/>
        <v>FY40</v>
      </c>
      <c r="FQ5" s="2" t="str">
        <f t="shared" si="2"/>
        <v>FY40</v>
      </c>
      <c r="FR5" s="2" t="str">
        <f t="shared" si="2"/>
        <v>FY41</v>
      </c>
      <c r="FS5" s="2" t="str">
        <f t="shared" si="2"/>
        <v>FY41</v>
      </c>
      <c r="FT5" s="2" t="str">
        <f t="shared" si="2"/>
        <v>FY41</v>
      </c>
      <c r="FU5" s="2" t="str">
        <f t="shared" si="2"/>
        <v>FY41</v>
      </c>
      <c r="FV5" s="2" t="str">
        <f t="shared" si="2"/>
        <v>FY41</v>
      </c>
      <c r="FW5" s="2" t="str">
        <f t="shared" si="2"/>
        <v>FY41</v>
      </c>
      <c r="FX5" s="2" t="str">
        <f t="shared" si="2"/>
        <v>FY41</v>
      </c>
      <c r="FY5" s="2" t="str">
        <f t="shared" si="2"/>
        <v>FY41</v>
      </c>
      <c r="FZ5" s="2" t="str">
        <f t="shared" si="2"/>
        <v>FY41</v>
      </c>
      <c r="GA5" s="2" t="str">
        <f t="shared" si="2"/>
        <v>FY41</v>
      </c>
      <c r="GB5" s="2" t="str">
        <f t="shared" si="2"/>
        <v>FY41</v>
      </c>
      <c r="GC5" s="2" t="str">
        <f t="shared" si="2"/>
        <v>FY41</v>
      </c>
      <c r="GD5" s="2" t="str">
        <f t="shared" si="2"/>
        <v>FY42</v>
      </c>
      <c r="GE5" s="2" t="str">
        <f t="shared" si="2"/>
        <v>FY42</v>
      </c>
      <c r="GF5" s="2" t="str">
        <f t="shared" si="2"/>
        <v>FY42</v>
      </c>
      <c r="GG5" s="2" t="str">
        <f t="shared" si="2"/>
        <v>FY42</v>
      </c>
      <c r="GH5" s="2" t="str">
        <f t="shared" si="2"/>
        <v>FY42</v>
      </c>
      <c r="GI5" s="2" t="str">
        <f t="shared" si="2"/>
        <v>FY42</v>
      </c>
      <c r="GJ5" s="2" t="str">
        <f t="shared" si="2"/>
        <v>FY42</v>
      </c>
      <c r="GK5" s="2" t="str">
        <f t="shared" si="2"/>
        <v>FY42</v>
      </c>
      <c r="GL5" s="2" t="str">
        <f t="shared" si="2"/>
        <v>FY42</v>
      </c>
      <c r="GM5" s="2" t="str">
        <f t="shared" si="2"/>
        <v>FY42</v>
      </c>
      <c r="GN5" s="2" t="str">
        <f t="shared" si="2"/>
        <v>FY42</v>
      </c>
      <c r="GO5" s="2" t="str">
        <f t="shared" si="2"/>
        <v>FY42</v>
      </c>
      <c r="GP5" s="2" t="str">
        <f t="shared" si="3"/>
        <v>FY43</v>
      </c>
      <c r="GQ5" s="2" t="str">
        <f t="shared" si="3"/>
        <v>FY43</v>
      </c>
      <c r="GR5" s="2" t="str">
        <f t="shared" si="3"/>
        <v>FY43</v>
      </c>
      <c r="GS5" s="2" t="str">
        <f t="shared" si="3"/>
        <v>FY43</v>
      </c>
      <c r="GT5" s="2" t="str">
        <f t="shared" si="3"/>
        <v>FY43</v>
      </c>
      <c r="GU5" s="2" t="str">
        <f t="shared" si="3"/>
        <v>FY43</v>
      </c>
      <c r="GV5" s="2" t="str">
        <f t="shared" si="3"/>
        <v>FY43</v>
      </c>
      <c r="GW5" s="2" t="str">
        <f t="shared" si="3"/>
        <v>FY43</v>
      </c>
      <c r="GX5" s="2" t="str">
        <f t="shared" si="3"/>
        <v>FY43</v>
      </c>
      <c r="GY5" s="2" t="str">
        <f t="shared" si="3"/>
        <v>FY43</v>
      </c>
      <c r="GZ5" s="2" t="str">
        <f t="shared" si="3"/>
        <v>FY43</v>
      </c>
      <c r="HA5" s="2" t="str">
        <f t="shared" si="3"/>
        <v>FY43</v>
      </c>
      <c r="HB5" s="2" t="str">
        <f t="shared" si="3"/>
        <v>FY44</v>
      </c>
      <c r="HC5" s="2" t="str">
        <f t="shared" si="3"/>
        <v>FY44</v>
      </c>
      <c r="HD5" s="2" t="str">
        <f t="shared" si="3"/>
        <v>FY44</v>
      </c>
      <c r="HE5" s="2" t="str">
        <f t="shared" si="3"/>
        <v>FY44</v>
      </c>
      <c r="HF5" s="2" t="str">
        <f t="shared" si="3"/>
        <v>FY44</v>
      </c>
      <c r="HG5" s="2" t="str">
        <f t="shared" si="3"/>
        <v>FY44</v>
      </c>
      <c r="HH5" s="2" t="str">
        <f t="shared" si="3"/>
        <v>FY44</v>
      </c>
      <c r="HI5" s="2" t="str">
        <f t="shared" si="3"/>
        <v>FY44</v>
      </c>
      <c r="HJ5" s="2" t="str">
        <f t="shared" si="3"/>
        <v>FY44</v>
      </c>
      <c r="HK5" s="2" t="str">
        <f t="shared" si="3"/>
        <v>FY44</v>
      </c>
      <c r="HL5" s="2" t="str">
        <f t="shared" si="3"/>
        <v>FY44</v>
      </c>
      <c r="HM5" s="2" t="str">
        <f t="shared" si="3"/>
        <v>FY44</v>
      </c>
      <c r="HN5" s="2" t="str">
        <f t="shared" si="3"/>
        <v>FY45</v>
      </c>
      <c r="HO5" s="2" t="str">
        <f t="shared" si="3"/>
        <v>FY45</v>
      </c>
      <c r="HP5" s="2" t="str">
        <f t="shared" si="3"/>
        <v>FY45</v>
      </c>
      <c r="HQ5" s="2" t="str">
        <f t="shared" si="3"/>
        <v>FY45</v>
      </c>
      <c r="HR5" s="2" t="str">
        <f t="shared" si="3"/>
        <v>FY45</v>
      </c>
      <c r="HS5" s="2" t="str">
        <f t="shared" si="3"/>
        <v>FY45</v>
      </c>
      <c r="HT5" s="2" t="str">
        <f t="shared" si="3"/>
        <v>FY45</v>
      </c>
      <c r="HU5" s="2" t="str">
        <f t="shared" si="3"/>
        <v>FY45</v>
      </c>
      <c r="HV5" s="2" t="str">
        <f t="shared" si="3"/>
        <v>FY45</v>
      </c>
      <c r="HW5" s="2" t="str">
        <f t="shared" si="3"/>
        <v>FY45</v>
      </c>
      <c r="HX5" s="2" t="str">
        <f t="shared" si="3"/>
        <v>FY45</v>
      </c>
      <c r="HY5" s="2" t="str">
        <f t="shared" si="3"/>
        <v>FY45</v>
      </c>
      <c r="HZ5" s="2" t="str">
        <f t="shared" si="3"/>
        <v>FY46</v>
      </c>
      <c r="IA5" s="2" t="str">
        <f t="shared" si="3"/>
        <v>FY46</v>
      </c>
      <c r="IB5" s="2" t="str">
        <f t="shared" si="3"/>
        <v>FY46</v>
      </c>
      <c r="IC5" s="2" t="str">
        <f t="shared" si="3"/>
        <v>FY46</v>
      </c>
      <c r="ID5" s="2" t="str">
        <f t="shared" si="3"/>
        <v>FY46</v>
      </c>
      <c r="IE5" s="2" t="str">
        <f t="shared" si="3"/>
        <v>FY46</v>
      </c>
      <c r="IF5" s="2" t="str">
        <f t="shared" si="3"/>
        <v>FY46</v>
      </c>
      <c r="IG5" s="2" t="str">
        <f t="shared" si="3"/>
        <v>FY46</v>
      </c>
      <c r="IH5" s="2" t="str">
        <f t="shared" si="3"/>
        <v>FY46</v>
      </c>
      <c r="II5" s="2" t="str">
        <f t="shared" si="3"/>
        <v>FY46</v>
      </c>
      <c r="IJ5" s="2" t="str">
        <f t="shared" si="3"/>
        <v>FY46</v>
      </c>
      <c r="IK5" s="2" t="str">
        <f t="shared" si="3"/>
        <v>FY46</v>
      </c>
      <c r="IL5" s="2" t="str">
        <f t="shared" si="3"/>
        <v>FY47</v>
      </c>
      <c r="IM5" s="2" t="str">
        <f t="shared" si="3"/>
        <v>FY47</v>
      </c>
      <c r="IN5" s="2" t="str">
        <f t="shared" si="3"/>
        <v>FY47</v>
      </c>
      <c r="IO5" s="2" t="str">
        <f t="shared" si="3"/>
        <v>FY47</v>
      </c>
      <c r="IP5" s="2" t="str">
        <f t="shared" si="3"/>
        <v>FY47</v>
      </c>
      <c r="IQ5" s="2" t="str">
        <f t="shared" si="3"/>
        <v>FY47</v>
      </c>
      <c r="IR5" s="2" t="str">
        <f t="shared" si="3"/>
        <v>FY47</v>
      </c>
      <c r="IS5" s="2" t="str">
        <f t="shared" si="3"/>
        <v>FY47</v>
      </c>
      <c r="IT5" s="2" t="str">
        <f t="shared" si="3"/>
        <v>FY47</v>
      </c>
      <c r="IU5" s="2" t="str">
        <f t="shared" si="3"/>
        <v>FY47</v>
      </c>
      <c r="IV5" s="2" t="str">
        <f t="shared" si="3"/>
        <v>FY47</v>
      </c>
      <c r="IW5" s="2" t="str">
        <f t="shared" si="3"/>
        <v>FY47</v>
      </c>
      <c r="IX5" s="2" t="str">
        <f t="shared" si="3"/>
        <v>FY48</v>
      </c>
      <c r="IY5" s="2" t="str">
        <f t="shared" si="3"/>
        <v>FY48</v>
      </c>
      <c r="IZ5" s="2" t="str">
        <f t="shared" si="3"/>
        <v>FY48</v>
      </c>
      <c r="JA5" s="2" t="str">
        <f t="shared" si="3"/>
        <v>FY48</v>
      </c>
      <c r="JB5" s="2" t="str">
        <f t="shared" si="4"/>
        <v>FY48</v>
      </c>
      <c r="JC5" s="2" t="str">
        <f t="shared" si="4"/>
        <v>FY48</v>
      </c>
      <c r="JD5" s="2" t="str">
        <f t="shared" si="4"/>
        <v>FY48</v>
      </c>
      <c r="JE5" s="2" t="str">
        <f t="shared" si="4"/>
        <v>FY48</v>
      </c>
      <c r="JF5" s="2" t="str">
        <f t="shared" si="4"/>
        <v>FY48</v>
      </c>
      <c r="JG5" s="2" t="str">
        <f t="shared" si="4"/>
        <v>FY48</v>
      </c>
      <c r="JH5" s="2" t="str">
        <f t="shared" si="4"/>
        <v>FY48</v>
      </c>
      <c r="JI5" s="2" t="str">
        <f t="shared" si="4"/>
        <v>FY48</v>
      </c>
      <c r="JJ5" s="2" t="str">
        <f t="shared" si="4"/>
        <v>FY49</v>
      </c>
      <c r="JK5" s="2" t="str">
        <f t="shared" si="4"/>
        <v>FY49</v>
      </c>
      <c r="JL5" s="2" t="str">
        <f t="shared" si="4"/>
        <v>FY49</v>
      </c>
      <c r="JM5" s="2" t="str">
        <f t="shared" si="4"/>
        <v>FY49</v>
      </c>
      <c r="JN5" s="2" t="str">
        <f t="shared" si="4"/>
        <v>FY49</v>
      </c>
      <c r="JO5" s="2" t="str">
        <f t="shared" si="4"/>
        <v>FY49</v>
      </c>
      <c r="JP5" s="2" t="str">
        <f t="shared" si="4"/>
        <v>FY49</v>
      </c>
      <c r="JQ5" s="2" t="str">
        <f t="shared" si="4"/>
        <v>FY49</v>
      </c>
      <c r="JR5" s="2" t="str">
        <f t="shared" si="4"/>
        <v>FY49</v>
      </c>
      <c r="JS5" s="2" t="str">
        <f t="shared" si="4"/>
        <v>FY49</v>
      </c>
      <c r="JT5" s="2" t="str">
        <f t="shared" si="4"/>
        <v>FY49</v>
      </c>
      <c r="JU5" s="2" t="str">
        <f t="shared" si="4"/>
        <v>FY49</v>
      </c>
      <c r="JV5" s="2" t="str">
        <f t="shared" si="4"/>
        <v>FY50</v>
      </c>
      <c r="JW5" s="2" t="str">
        <f t="shared" si="4"/>
        <v>FY50</v>
      </c>
      <c r="JX5" s="2" t="str">
        <f t="shared" si="4"/>
        <v>FY50</v>
      </c>
      <c r="JY5" s="2" t="str">
        <f t="shared" si="4"/>
        <v>FY50</v>
      </c>
      <c r="JZ5" s="2" t="str">
        <f t="shared" si="4"/>
        <v>FY50</v>
      </c>
      <c r="KA5" s="2" t="str">
        <f t="shared" si="4"/>
        <v>FY50</v>
      </c>
    </row>
    <row r="6" spans="2:287" x14ac:dyDescent="0.35">
      <c r="B6" s="2" t="s">
        <v>9</v>
      </c>
      <c r="C6" s="2"/>
      <c r="D6" s="2"/>
      <c r="E6" s="4"/>
      <c r="F6" s="9" t="str">
        <f t="shared" ref="F6:BQ6" si="5">TEXT(F11,"mmm-yy")</f>
        <v>Jul-26</v>
      </c>
      <c r="G6" s="9" t="str">
        <f t="shared" si="5"/>
        <v>Aug-26</v>
      </c>
      <c r="H6" s="9" t="str">
        <f t="shared" si="5"/>
        <v>Sep-26</v>
      </c>
      <c r="I6" s="9" t="str">
        <f t="shared" si="5"/>
        <v>Oct-26</v>
      </c>
      <c r="J6" s="9" t="str">
        <f t="shared" si="5"/>
        <v>Nov-26</v>
      </c>
      <c r="K6" s="9" t="str">
        <f t="shared" si="5"/>
        <v>Dec-26</v>
      </c>
      <c r="L6" s="9" t="str">
        <f t="shared" si="5"/>
        <v>Jan-27</v>
      </c>
      <c r="M6" s="9" t="str">
        <f t="shared" si="5"/>
        <v>Feb-27</v>
      </c>
      <c r="N6" s="9" t="str">
        <f t="shared" si="5"/>
        <v>Mar-27</v>
      </c>
      <c r="O6" s="9" t="str">
        <f t="shared" si="5"/>
        <v>Apr-27</v>
      </c>
      <c r="P6" s="9" t="str">
        <f t="shared" si="5"/>
        <v>May-27</v>
      </c>
      <c r="Q6" s="9" t="str">
        <f t="shared" si="5"/>
        <v>Jun-27</v>
      </c>
      <c r="R6" s="9" t="str">
        <f t="shared" si="5"/>
        <v>Jul-27</v>
      </c>
      <c r="S6" s="9" t="str">
        <f t="shared" si="5"/>
        <v>Aug-27</v>
      </c>
      <c r="T6" s="9" t="str">
        <f t="shared" si="5"/>
        <v>Sep-27</v>
      </c>
      <c r="U6" s="9" t="str">
        <f t="shared" si="5"/>
        <v>Oct-27</v>
      </c>
      <c r="V6" s="9" t="str">
        <f t="shared" si="5"/>
        <v>Nov-27</v>
      </c>
      <c r="W6" s="9" t="str">
        <f t="shared" si="5"/>
        <v>Dec-27</v>
      </c>
      <c r="X6" s="9" t="str">
        <f t="shared" si="5"/>
        <v>Jan-28</v>
      </c>
      <c r="Y6" s="9" t="str">
        <f t="shared" si="5"/>
        <v>Feb-28</v>
      </c>
      <c r="Z6" s="9" t="str">
        <f t="shared" si="5"/>
        <v>Mar-28</v>
      </c>
      <c r="AA6" s="9" t="str">
        <f t="shared" si="5"/>
        <v>Apr-28</v>
      </c>
      <c r="AB6" s="9" t="str">
        <f t="shared" si="5"/>
        <v>May-28</v>
      </c>
      <c r="AC6" s="9" t="str">
        <f t="shared" si="5"/>
        <v>Jun-28</v>
      </c>
      <c r="AD6" s="9" t="str">
        <f t="shared" si="5"/>
        <v>Jul-28</v>
      </c>
      <c r="AE6" s="9" t="str">
        <f t="shared" si="5"/>
        <v>Aug-28</v>
      </c>
      <c r="AF6" s="9" t="str">
        <f t="shared" si="5"/>
        <v>Sep-28</v>
      </c>
      <c r="AG6" s="9" t="str">
        <f t="shared" si="5"/>
        <v>Oct-28</v>
      </c>
      <c r="AH6" s="9" t="str">
        <f t="shared" si="5"/>
        <v>Nov-28</v>
      </c>
      <c r="AI6" s="9" t="str">
        <f t="shared" si="5"/>
        <v>Dec-28</v>
      </c>
      <c r="AJ6" s="9" t="str">
        <f t="shared" si="5"/>
        <v>Jan-29</v>
      </c>
      <c r="AK6" s="9" t="str">
        <f t="shared" si="5"/>
        <v>Feb-29</v>
      </c>
      <c r="AL6" s="9" t="str">
        <f t="shared" si="5"/>
        <v>Mar-29</v>
      </c>
      <c r="AM6" s="9" t="str">
        <f t="shared" si="5"/>
        <v>Apr-29</v>
      </c>
      <c r="AN6" s="9" t="str">
        <f t="shared" si="5"/>
        <v>May-29</v>
      </c>
      <c r="AO6" s="9" t="str">
        <f t="shared" si="5"/>
        <v>Jun-29</v>
      </c>
      <c r="AP6" s="9" t="str">
        <f t="shared" si="5"/>
        <v>Jul-29</v>
      </c>
      <c r="AQ6" s="9" t="str">
        <f t="shared" si="5"/>
        <v>Aug-29</v>
      </c>
      <c r="AR6" s="9" t="str">
        <f t="shared" si="5"/>
        <v>Sep-29</v>
      </c>
      <c r="AS6" s="9" t="str">
        <f t="shared" si="5"/>
        <v>Oct-29</v>
      </c>
      <c r="AT6" s="9" t="str">
        <f t="shared" si="5"/>
        <v>Nov-29</v>
      </c>
      <c r="AU6" s="9" t="str">
        <f t="shared" si="5"/>
        <v>Dec-29</v>
      </c>
      <c r="AV6" s="9" t="str">
        <f t="shared" si="5"/>
        <v>Jan-30</v>
      </c>
      <c r="AW6" s="9" t="str">
        <f t="shared" si="5"/>
        <v>Feb-30</v>
      </c>
      <c r="AX6" s="9" t="str">
        <f t="shared" si="5"/>
        <v>Mar-30</v>
      </c>
      <c r="AY6" s="9" t="str">
        <f t="shared" si="5"/>
        <v>Apr-30</v>
      </c>
      <c r="AZ6" s="9" t="str">
        <f t="shared" si="5"/>
        <v>May-30</v>
      </c>
      <c r="BA6" s="9" t="str">
        <f t="shared" si="5"/>
        <v>Jun-30</v>
      </c>
      <c r="BB6" s="9" t="str">
        <f t="shared" si="5"/>
        <v>Jul-30</v>
      </c>
      <c r="BC6" s="9" t="str">
        <f t="shared" si="5"/>
        <v>Aug-30</v>
      </c>
      <c r="BD6" s="9" t="str">
        <f t="shared" si="5"/>
        <v>Sep-30</v>
      </c>
      <c r="BE6" s="9" t="str">
        <f t="shared" si="5"/>
        <v>Oct-30</v>
      </c>
      <c r="BF6" s="9" t="str">
        <f t="shared" si="5"/>
        <v>Nov-30</v>
      </c>
      <c r="BG6" s="9" t="str">
        <f t="shared" si="5"/>
        <v>Dec-30</v>
      </c>
      <c r="BH6" s="9" t="str">
        <f t="shared" si="5"/>
        <v>Jan-31</v>
      </c>
      <c r="BI6" s="9" t="str">
        <f t="shared" si="5"/>
        <v>Feb-31</v>
      </c>
      <c r="BJ6" s="9" t="str">
        <f t="shared" si="5"/>
        <v>Mar-31</v>
      </c>
      <c r="BK6" s="9" t="str">
        <f t="shared" si="5"/>
        <v>Apr-31</v>
      </c>
      <c r="BL6" s="9" t="str">
        <f t="shared" si="5"/>
        <v>May-31</v>
      </c>
      <c r="BM6" s="9" t="str">
        <f t="shared" si="5"/>
        <v>Jun-31</v>
      </c>
      <c r="BN6" s="9" t="str">
        <f t="shared" si="5"/>
        <v>Jul-31</v>
      </c>
      <c r="BO6" s="9" t="str">
        <f t="shared" si="5"/>
        <v>Aug-31</v>
      </c>
      <c r="BP6" s="9" t="str">
        <f t="shared" si="5"/>
        <v>Sep-31</v>
      </c>
      <c r="BQ6" s="9" t="str">
        <f t="shared" si="5"/>
        <v>Oct-31</v>
      </c>
      <c r="BR6" s="9" t="str">
        <f t="shared" ref="BR6:EC6" si="6">TEXT(BR11,"mmm-yy")</f>
        <v>Nov-31</v>
      </c>
      <c r="BS6" s="9" t="str">
        <f t="shared" si="6"/>
        <v>Dec-31</v>
      </c>
      <c r="BT6" s="9" t="str">
        <f t="shared" si="6"/>
        <v>Jan-32</v>
      </c>
      <c r="BU6" s="9" t="str">
        <f t="shared" si="6"/>
        <v>Feb-32</v>
      </c>
      <c r="BV6" s="9" t="str">
        <f t="shared" si="6"/>
        <v>Mar-32</v>
      </c>
      <c r="BW6" s="9" t="str">
        <f t="shared" si="6"/>
        <v>Apr-32</v>
      </c>
      <c r="BX6" s="9" t="str">
        <f t="shared" si="6"/>
        <v>May-32</v>
      </c>
      <c r="BY6" s="9" t="str">
        <f t="shared" si="6"/>
        <v>Jun-32</v>
      </c>
      <c r="BZ6" s="9" t="str">
        <f t="shared" si="6"/>
        <v>Jul-32</v>
      </c>
      <c r="CA6" s="9" t="str">
        <f t="shared" si="6"/>
        <v>Aug-32</v>
      </c>
      <c r="CB6" s="9" t="str">
        <f t="shared" si="6"/>
        <v>Sep-32</v>
      </c>
      <c r="CC6" s="9" t="str">
        <f t="shared" si="6"/>
        <v>Oct-32</v>
      </c>
      <c r="CD6" s="9" t="str">
        <f t="shared" si="6"/>
        <v>Nov-32</v>
      </c>
      <c r="CE6" s="9" t="str">
        <f t="shared" si="6"/>
        <v>Dec-32</v>
      </c>
      <c r="CF6" s="9" t="str">
        <f t="shared" si="6"/>
        <v>Jan-33</v>
      </c>
      <c r="CG6" s="9" t="str">
        <f t="shared" si="6"/>
        <v>Feb-33</v>
      </c>
      <c r="CH6" s="9" t="str">
        <f t="shared" si="6"/>
        <v>Mar-33</v>
      </c>
      <c r="CI6" s="9" t="str">
        <f t="shared" si="6"/>
        <v>Apr-33</v>
      </c>
      <c r="CJ6" s="9" t="str">
        <f t="shared" si="6"/>
        <v>May-33</v>
      </c>
      <c r="CK6" s="9" t="str">
        <f t="shared" si="6"/>
        <v>Jun-33</v>
      </c>
      <c r="CL6" s="9" t="str">
        <f t="shared" si="6"/>
        <v>Jul-33</v>
      </c>
      <c r="CM6" s="9" t="str">
        <f t="shared" si="6"/>
        <v>Aug-33</v>
      </c>
      <c r="CN6" s="9" t="str">
        <f t="shared" si="6"/>
        <v>Sep-33</v>
      </c>
      <c r="CO6" s="9" t="str">
        <f t="shared" si="6"/>
        <v>Oct-33</v>
      </c>
      <c r="CP6" s="9" t="str">
        <f t="shared" si="6"/>
        <v>Nov-33</v>
      </c>
      <c r="CQ6" s="9" t="str">
        <f t="shared" si="6"/>
        <v>Dec-33</v>
      </c>
      <c r="CR6" s="9" t="str">
        <f t="shared" si="6"/>
        <v>Jan-34</v>
      </c>
      <c r="CS6" s="9" t="str">
        <f t="shared" si="6"/>
        <v>Feb-34</v>
      </c>
      <c r="CT6" s="9" t="str">
        <f t="shared" si="6"/>
        <v>Mar-34</v>
      </c>
      <c r="CU6" s="9" t="str">
        <f t="shared" si="6"/>
        <v>Apr-34</v>
      </c>
      <c r="CV6" s="9" t="str">
        <f t="shared" si="6"/>
        <v>May-34</v>
      </c>
      <c r="CW6" s="9" t="str">
        <f t="shared" si="6"/>
        <v>Jun-34</v>
      </c>
      <c r="CX6" s="9" t="str">
        <f t="shared" si="6"/>
        <v>Jul-34</v>
      </c>
      <c r="CY6" s="9" t="str">
        <f t="shared" si="6"/>
        <v>Aug-34</v>
      </c>
      <c r="CZ6" s="9" t="str">
        <f t="shared" si="6"/>
        <v>Sep-34</v>
      </c>
      <c r="DA6" s="9" t="str">
        <f t="shared" si="6"/>
        <v>Oct-34</v>
      </c>
      <c r="DB6" s="9" t="str">
        <f t="shared" si="6"/>
        <v>Nov-34</v>
      </c>
      <c r="DC6" s="9" t="str">
        <f t="shared" si="6"/>
        <v>Dec-34</v>
      </c>
      <c r="DD6" s="9" t="str">
        <f t="shared" si="6"/>
        <v>Jan-35</v>
      </c>
      <c r="DE6" s="9" t="str">
        <f t="shared" si="6"/>
        <v>Feb-35</v>
      </c>
      <c r="DF6" s="9" t="str">
        <f t="shared" si="6"/>
        <v>Mar-35</v>
      </c>
      <c r="DG6" s="9" t="str">
        <f t="shared" si="6"/>
        <v>Apr-35</v>
      </c>
      <c r="DH6" s="9" t="str">
        <f t="shared" si="6"/>
        <v>May-35</v>
      </c>
      <c r="DI6" s="9" t="str">
        <f t="shared" si="6"/>
        <v>Jun-35</v>
      </c>
      <c r="DJ6" s="9" t="str">
        <f t="shared" si="6"/>
        <v>Jul-35</v>
      </c>
      <c r="DK6" s="9" t="str">
        <f t="shared" si="6"/>
        <v>Aug-35</v>
      </c>
      <c r="DL6" s="9" t="str">
        <f t="shared" si="6"/>
        <v>Sep-35</v>
      </c>
      <c r="DM6" s="9" t="str">
        <f t="shared" si="6"/>
        <v>Oct-35</v>
      </c>
      <c r="DN6" s="9" t="str">
        <f t="shared" si="6"/>
        <v>Nov-35</v>
      </c>
      <c r="DO6" s="9" t="str">
        <f t="shared" si="6"/>
        <v>Dec-35</v>
      </c>
      <c r="DP6" s="9" t="str">
        <f t="shared" si="6"/>
        <v>Jan-36</v>
      </c>
      <c r="DQ6" s="9" t="str">
        <f t="shared" si="6"/>
        <v>Feb-36</v>
      </c>
      <c r="DR6" s="9" t="str">
        <f t="shared" si="6"/>
        <v>Mar-36</v>
      </c>
      <c r="DS6" s="9" t="str">
        <f t="shared" si="6"/>
        <v>Apr-36</v>
      </c>
      <c r="DT6" s="9" t="str">
        <f t="shared" si="6"/>
        <v>May-36</v>
      </c>
      <c r="DU6" s="9" t="str">
        <f t="shared" si="6"/>
        <v>Jun-36</v>
      </c>
      <c r="DV6" s="9" t="str">
        <f t="shared" si="6"/>
        <v>Jul-36</v>
      </c>
      <c r="DW6" s="9" t="str">
        <f t="shared" si="6"/>
        <v>Aug-36</v>
      </c>
      <c r="DX6" s="9" t="str">
        <f t="shared" si="6"/>
        <v>Sep-36</v>
      </c>
      <c r="DY6" s="9" t="str">
        <f t="shared" si="6"/>
        <v>Oct-36</v>
      </c>
      <c r="DZ6" s="9" t="str">
        <f t="shared" si="6"/>
        <v>Nov-36</v>
      </c>
      <c r="EA6" s="9" t="str">
        <f t="shared" si="6"/>
        <v>Dec-36</v>
      </c>
      <c r="EB6" s="9" t="str">
        <f t="shared" si="6"/>
        <v>Jan-37</v>
      </c>
      <c r="EC6" s="9" t="str">
        <f t="shared" si="6"/>
        <v>Feb-37</v>
      </c>
      <c r="ED6" s="9" t="str">
        <f t="shared" ref="ED6:GO6" si="7">TEXT(ED11,"mmm-yy")</f>
        <v>Mar-37</v>
      </c>
      <c r="EE6" s="9" t="str">
        <f t="shared" si="7"/>
        <v>Apr-37</v>
      </c>
      <c r="EF6" s="9" t="str">
        <f t="shared" si="7"/>
        <v>May-37</v>
      </c>
      <c r="EG6" s="9" t="str">
        <f t="shared" si="7"/>
        <v>Jun-37</v>
      </c>
      <c r="EH6" s="9" t="str">
        <f t="shared" si="7"/>
        <v>Jul-37</v>
      </c>
      <c r="EI6" s="9" t="str">
        <f t="shared" si="7"/>
        <v>Aug-37</v>
      </c>
      <c r="EJ6" s="9" t="str">
        <f t="shared" si="7"/>
        <v>Sep-37</v>
      </c>
      <c r="EK6" s="9" t="str">
        <f t="shared" si="7"/>
        <v>Oct-37</v>
      </c>
      <c r="EL6" s="9" t="str">
        <f t="shared" si="7"/>
        <v>Nov-37</v>
      </c>
      <c r="EM6" s="9" t="str">
        <f t="shared" si="7"/>
        <v>Dec-37</v>
      </c>
      <c r="EN6" s="9" t="str">
        <f t="shared" si="7"/>
        <v>Jan-38</v>
      </c>
      <c r="EO6" s="9" t="str">
        <f t="shared" si="7"/>
        <v>Feb-38</v>
      </c>
      <c r="EP6" s="9" t="str">
        <f t="shared" si="7"/>
        <v>Mar-38</v>
      </c>
      <c r="EQ6" s="9" t="str">
        <f t="shared" si="7"/>
        <v>Apr-38</v>
      </c>
      <c r="ER6" s="9" t="str">
        <f t="shared" si="7"/>
        <v>May-38</v>
      </c>
      <c r="ES6" s="9" t="str">
        <f t="shared" si="7"/>
        <v>Jun-38</v>
      </c>
      <c r="ET6" s="9" t="str">
        <f t="shared" si="7"/>
        <v>Jul-38</v>
      </c>
      <c r="EU6" s="9" t="str">
        <f t="shared" si="7"/>
        <v>Aug-38</v>
      </c>
      <c r="EV6" s="9" t="str">
        <f t="shared" si="7"/>
        <v>Sep-38</v>
      </c>
      <c r="EW6" s="9" t="str">
        <f t="shared" si="7"/>
        <v>Oct-38</v>
      </c>
      <c r="EX6" s="9" t="str">
        <f t="shared" si="7"/>
        <v>Nov-38</v>
      </c>
      <c r="EY6" s="9" t="str">
        <f t="shared" si="7"/>
        <v>Dec-38</v>
      </c>
      <c r="EZ6" s="9" t="str">
        <f t="shared" si="7"/>
        <v>Jan-39</v>
      </c>
      <c r="FA6" s="9" t="str">
        <f t="shared" si="7"/>
        <v>Feb-39</v>
      </c>
      <c r="FB6" s="9" t="str">
        <f t="shared" si="7"/>
        <v>Mar-39</v>
      </c>
      <c r="FC6" s="9" t="str">
        <f t="shared" si="7"/>
        <v>Apr-39</v>
      </c>
      <c r="FD6" s="9" t="str">
        <f t="shared" si="7"/>
        <v>May-39</v>
      </c>
      <c r="FE6" s="9" t="str">
        <f t="shared" si="7"/>
        <v>Jun-39</v>
      </c>
      <c r="FF6" s="9" t="str">
        <f t="shared" si="7"/>
        <v>Jul-39</v>
      </c>
      <c r="FG6" s="9" t="str">
        <f t="shared" si="7"/>
        <v>Aug-39</v>
      </c>
      <c r="FH6" s="9" t="str">
        <f t="shared" si="7"/>
        <v>Sep-39</v>
      </c>
      <c r="FI6" s="9" t="str">
        <f t="shared" si="7"/>
        <v>Oct-39</v>
      </c>
      <c r="FJ6" s="9" t="str">
        <f t="shared" si="7"/>
        <v>Nov-39</v>
      </c>
      <c r="FK6" s="9" t="str">
        <f t="shared" si="7"/>
        <v>Dec-39</v>
      </c>
      <c r="FL6" s="9" t="str">
        <f t="shared" si="7"/>
        <v>Jan-40</v>
      </c>
      <c r="FM6" s="9" t="str">
        <f t="shared" si="7"/>
        <v>Feb-40</v>
      </c>
      <c r="FN6" s="9" t="str">
        <f t="shared" si="7"/>
        <v>Mar-40</v>
      </c>
      <c r="FO6" s="9" t="str">
        <f t="shared" si="7"/>
        <v>Apr-40</v>
      </c>
      <c r="FP6" s="9" t="str">
        <f t="shared" si="7"/>
        <v>May-40</v>
      </c>
      <c r="FQ6" s="9" t="str">
        <f t="shared" si="7"/>
        <v>Jun-40</v>
      </c>
      <c r="FR6" s="9" t="str">
        <f t="shared" si="7"/>
        <v>Jul-40</v>
      </c>
      <c r="FS6" s="9" t="str">
        <f t="shared" si="7"/>
        <v>Aug-40</v>
      </c>
      <c r="FT6" s="9" t="str">
        <f t="shared" si="7"/>
        <v>Sep-40</v>
      </c>
      <c r="FU6" s="9" t="str">
        <f t="shared" si="7"/>
        <v>Oct-40</v>
      </c>
      <c r="FV6" s="9" t="str">
        <f t="shared" si="7"/>
        <v>Nov-40</v>
      </c>
      <c r="FW6" s="9" t="str">
        <f t="shared" si="7"/>
        <v>Dec-40</v>
      </c>
      <c r="FX6" s="9" t="str">
        <f t="shared" si="7"/>
        <v>Jan-41</v>
      </c>
      <c r="FY6" s="9" t="str">
        <f t="shared" si="7"/>
        <v>Feb-41</v>
      </c>
      <c r="FZ6" s="9" t="str">
        <f t="shared" si="7"/>
        <v>Mar-41</v>
      </c>
      <c r="GA6" s="9" t="str">
        <f t="shared" si="7"/>
        <v>Apr-41</v>
      </c>
      <c r="GB6" s="9" t="str">
        <f t="shared" si="7"/>
        <v>May-41</v>
      </c>
      <c r="GC6" s="9" t="str">
        <f t="shared" si="7"/>
        <v>Jun-41</v>
      </c>
      <c r="GD6" s="9" t="str">
        <f t="shared" si="7"/>
        <v>Jul-41</v>
      </c>
      <c r="GE6" s="9" t="str">
        <f t="shared" si="7"/>
        <v>Aug-41</v>
      </c>
      <c r="GF6" s="9" t="str">
        <f t="shared" si="7"/>
        <v>Sep-41</v>
      </c>
      <c r="GG6" s="9" t="str">
        <f t="shared" si="7"/>
        <v>Oct-41</v>
      </c>
      <c r="GH6" s="9" t="str">
        <f t="shared" si="7"/>
        <v>Nov-41</v>
      </c>
      <c r="GI6" s="9" t="str">
        <f t="shared" si="7"/>
        <v>Dec-41</v>
      </c>
      <c r="GJ6" s="9" t="str">
        <f t="shared" si="7"/>
        <v>Jan-42</v>
      </c>
      <c r="GK6" s="9" t="str">
        <f t="shared" si="7"/>
        <v>Feb-42</v>
      </c>
      <c r="GL6" s="9" t="str">
        <f t="shared" si="7"/>
        <v>Mar-42</v>
      </c>
      <c r="GM6" s="9" t="str">
        <f t="shared" si="7"/>
        <v>Apr-42</v>
      </c>
      <c r="GN6" s="9" t="str">
        <f t="shared" si="7"/>
        <v>May-42</v>
      </c>
      <c r="GO6" s="9" t="str">
        <f t="shared" si="7"/>
        <v>Jun-42</v>
      </c>
      <c r="GP6" s="9" t="str">
        <f t="shared" ref="GP6:JA6" si="8">TEXT(GP11,"mmm-yy")</f>
        <v>Jul-42</v>
      </c>
      <c r="GQ6" s="9" t="str">
        <f t="shared" si="8"/>
        <v>Aug-42</v>
      </c>
      <c r="GR6" s="9" t="str">
        <f t="shared" si="8"/>
        <v>Sep-42</v>
      </c>
      <c r="GS6" s="9" t="str">
        <f t="shared" si="8"/>
        <v>Oct-42</v>
      </c>
      <c r="GT6" s="9" t="str">
        <f t="shared" si="8"/>
        <v>Nov-42</v>
      </c>
      <c r="GU6" s="9" t="str">
        <f t="shared" si="8"/>
        <v>Dec-42</v>
      </c>
      <c r="GV6" s="9" t="str">
        <f t="shared" si="8"/>
        <v>Jan-43</v>
      </c>
      <c r="GW6" s="9" t="str">
        <f t="shared" si="8"/>
        <v>Feb-43</v>
      </c>
      <c r="GX6" s="9" t="str">
        <f t="shared" si="8"/>
        <v>Mar-43</v>
      </c>
      <c r="GY6" s="9" t="str">
        <f t="shared" si="8"/>
        <v>Apr-43</v>
      </c>
      <c r="GZ6" s="9" t="str">
        <f t="shared" si="8"/>
        <v>May-43</v>
      </c>
      <c r="HA6" s="9" t="str">
        <f t="shared" si="8"/>
        <v>Jun-43</v>
      </c>
      <c r="HB6" s="9" t="str">
        <f t="shared" si="8"/>
        <v>Jul-43</v>
      </c>
      <c r="HC6" s="9" t="str">
        <f t="shared" si="8"/>
        <v>Aug-43</v>
      </c>
      <c r="HD6" s="9" t="str">
        <f t="shared" si="8"/>
        <v>Sep-43</v>
      </c>
      <c r="HE6" s="9" t="str">
        <f t="shared" si="8"/>
        <v>Oct-43</v>
      </c>
      <c r="HF6" s="9" t="str">
        <f t="shared" si="8"/>
        <v>Nov-43</v>
      </c>
      <c r="HG6" s="9" t="str">
        <f t="shared" si="8"/>
        <v>Dec-43</v>
      </c>
      <c r="HH6" s="9" t="str">
        <f t="shared" si="8"/>
        <v>Jan-44</v>
      </c>
      <c r="HI6" s="9" t="str">
        <f t="shared" si="8"/>
        <v>Feb-44</v>
      </c>
      <c r="HJ6" s="9" t="str">
        <f t="shared" si="8"/>
        <v>Mar-44</v>
      </c>
      <c r="HK6" s="9" t="str">
        <f t="shared" si="8"/>
        <v>Apr-44</v>
      </c>
      <c r="HL6" s="9" t="str">
        <f t="shared" si="8"/>
        <v>May-44</v>
      </c>
      <c r="HM6" s="9" t="str">
        <f t="shared" si="8"/>
        <v>Jun-44</v>
      </c>
      <c r="HN6" s="9" t="str">
        <f t="shared" si="8"/>
        <v>Jul-44</v>
      </c>
      <c r="HO6" s="9" t="str">
        <f t="shared" si="8"/>
        <v>Aug-44</v>
      </c>
      <c r="HP6" s="9" t="str">
        <f t="shared" si="8"/>
        <v>Sep-44</v>
      </c>
      <c r="HQ6" s="9" t="str">
        <f t="shared" si="8"/>
        <v>Oct-44</v>
      </c>
      <c r="HR6" s="9" t="str">
        <f t="shared" si="8"/>
        <v>Nov-44</v>
      </c>
      <c r="HS6" s="9" t="str">
        <f t="shared" si="8"/>
        <v>Dec-44</v>
      </c>
      <c r="HT6" s="9" t="str">
        <f t="shared" si="8"/>
        <v>Jan-45</v>
      </c>
      <c r="HU6" s="9" t="str">
        <f t="shared" si="8"/>
        <v>Feb-45</v>
      </c>
      <c r="HV6" s="9" t="str">
        <f t="shared" si="8"/>
        <v>Mar-45</v>
      </c>
      <c r="HW6" s="9" t="str">
        <f t="shared" si="8"/>
        <v>Apr-45</v>
      </c>
      <c r="HX6" s="9" t="str">
        <f t="shared" si="8"/>
        <v>May-45</v>
      </c>
      <c r="HY6" s="9" t="str">
        <f t="shared" si="8"/>
        <v>Jun-45</v>
      </c>
      <c r="HZ6" s="9" t="str">
        <f t="shared" si="8"/>
        <v>Jul-45</v>
      </c>
      <c r="IA6" s="9" t="str">
        <f t="shared" si="8"/>
        <v>Aug-45</v>
      </c>
      <c r="IB6" s="9" t="str">
        <f t="shared" si="8"/>
        <v>Sep-45</v>
      </c>
      <c r="IC6" s="9" t="str">
        <f t="shared" si="8"/>
        <v>Oct-45</v>
      </c>
      <c r="ID6" s="9" t="str">
        <f t="shared" si="8"/>
        <v>Nov-45</v>
      </c>
      <c r="IE6" s="9" t="str">
        <f t="shared" si="8"/>
        <v>Dec-45</v>
      </c>
      <c r="IF6" s="9" t="str">
        <f t="shared" si="8"/>
        <v>Jan-46</v>
      </c>
      <c r="IG6" s="9" t="str">
        <f t="shared" si="8"/>
        <v>Feb-46</v>
      </c>
      <c r="IH6" s="9" t="str">
        <f t="shared" si="8"/>
        <v>Mar-46</v>
      </c>
      <c r="II6" s="9" t="str">
        <f t="shared" si="8"/>
        <v>Apr-46</v>
      </c>
      <c r="IJ6" s="9" t="str">
        <f t="shared" si="8"/>
        <v>May-46</v>
      </c>
      <c r="IK6" s="9" t="str">
        <f t="shared" si="8"/>
        <v>Jun-46</v>
      </c>
      <c r="IL6" s="9" t="str">
        <f t="shared" si="8"/>
        <v>Jul-46</v>
      </c>
      <c r="IM6" s="9" t="str">
        <f t="shared" si="8"/>
        <v>Aug-46</v>
      </c>
      <c r="IN6" s="9" t="str">
        <f t="shared" si="8"/>
        <v>Sep-46</v>
      </c>
      <c r="IO6" s="9" t="str">
        <f t="shared" si="8"/>
        <v>Oct-46</v>
      </c>
      <c r="IP6" s="9" t="str">
        <f t="shared" si="8"/>
        <v>Nov-46</v>
      </c>
      <c r="IQ6" s="9" t="str">
        <f t="shared" si="8"/>
        <v>Dec-46</v>
      </c>
      <c r="IR6" s="9" t="str">
        <f t="shared" si="8"/>
        <v>Jan-47</v>
      </c>
      <c r="IS6" s="9" t="str">
        <f t="shared" si="8"/>
        <v>Feb-47</v>
      </c>
      <c r="IT6" s="9" t="str">
        <f t="shared" si="8"/>
        <v>Mar-47</v>
      </c>
      <c r="IU6" s="9" t="str">
        <f t="shared" si="8"/>
        <v>Apr-47</v>
      </c>
      <c r="IV6" s="9" t="str">
        <f t="shared" si="8"/>
        <v>May-47</v>
      </c>
      <c r="IW6" s="9" t="str">
        <f t="shared" si="8"/>
        <v>Jun-47</v>
      </c>
      <c r="IX6" s="9" t="str">
        <f t="shared" si="8"/>
        <v>Jul-47</v>
      </c>
      <c r="IY6" s="9" t="str">
        <f t="shared" si="8"/>
        <v>Aug-47</v>
      </c>
      <c r="IZ6" s="9" t="str">
        <f t="shared" si="8"/>
        <v>Sep-47</v>
      </c>
      <c r="JA6" s="9" t="str">
        <f t="shared" si="8"/>
        <v>Oct-47</v>
      </c>
      <c r="JB6" s="9" t="str">
        <f t="shared" ref="JB6:KA6" si="9">TEXT(JB11,"mmm-yy")</f>
        <v>Nov-47</v>
      </c>
      <c r="JC6" s="9" t="str">
        <f t="shared" si="9"/>
        <v>Dec-47</v>
      </c>
      <c r="JD6" s="9" t="str">
        <f t="shared" si="9"/>
        <v>Jan-48</v>
      </c>
      <c r="JE6" s="9" t="str">
        <f t="shared" si="9"/>
        <v>Feb-48</v>
      </c>
      <c r="JF6" s="9" t="str">
        <f t="shared" si="9"/>
        <v>Mar-48</v>
      </c>
      <c r="JG6" s="9" t="str">
        <f t="shared" si="9"/>
        <v>Apr-48</v>
      </c>
      <c r="JH6" s="9" t="str">
        <f t="shared" si="9"/>
        <v>May-48</v>
      </c>
      <c r="JI6" s="9" t="str">
        <f t="shared" si="9"/>
        <v>Jun-48</v>
      </c>
      <c r="JJ6" s="9" t="str">
        <f t="shared" si="9"/>
        <v>Jul-48</v>
      </c>
      <c r="JK6" s="9" t="str">
        <f t="shared" si="9"/>
        <v>Aug-48</v>
      </c>
      <c r="JL6" s="9" t="str">
        <f t="shared" si="9"/>
        <v>Sep-48</v>
      </c>
      <c r="JM6" s="9" t="str">
        <f t="shared" si="9"/>
        <v>Oct-48</v>
      </c>
      <c r="JN6" s="9" t="str">
        <f t="shared" si="9"/>
        <v>Nov-48</v>
      </c>
      <c r="JO6" s="9" t="str">
        <f t="shared" si="9"/>
        <v>Dec-48</v>
      </c>
      <c r="JP6" s="9" t="str">
        <f t="shared" si="9"/>
        <v>Jan-49</v>
      </c>
      <c r="JQ6" s="9" t="str">
        <f t="shared" si="9"/>
        <v>Feb-49</v>
      </c>
      <c r="JR6" s="9" t="str">
        <f t="shared" si="9"/>
        <v>Mar-49</v>
      </c>
      <c r="JS6" s="9" t="str">
        <f t="shared" si="9"/>
        <v>Apr-49</v>
      </c>
      <c r="JT6" s="9" t="str">
        <f t="shared" si="9"/>
        <v>May-49</v>
      </c>
      <c r="JU6" s="9" t="str">
        <f t="shared" si="9"/>
        <v>Jun-49</v>
      </c>
      <c r="JV6" s="9" t="str">
        <f t="shared" si="9"/>
        <v>Jul-49</v>
      </c>
      <c r="JW6" s="9" t="str">
        <f t="shared" si="9"/>
        <v>Aug-49</v>
      </c>
      <c r="JX6" s="9" t="str">
        <f t="shared" si="9"/>
        <v>Sep-49</v>
      </c>
      <c r="JY6" s="9" t="str">
        <f t="shared" si="9"/>
        <v>Oct-49</v>
      </c>
      <c r="JZ6" s="9" t="str">
        <f t="shared" si="9"/>
        <v>Nov-49</v>
      </c>
      <c r="KA6" s="9" t="str">
        <f t="shared" si="9"/>
        <v>Dec-49</v>
      </c>
    </row>
    <row r="7" spans="2:287" x14ac:dyDescent="0.35">
      <c r="B7" s="1"/>
      <c r="C7" s="1"/>
      <c r="D7" s="1"/>
      <c r="E7" s="5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</row>
    <row r="8" spans="2:287" x14ac:dyDescent="0.35">
      <c r="B8" s="10" t="s">
        <v>10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 s="10"/>
      <c r="GM8" s="10"/>
      <c r="GN8" s="10"/>
      <c r="GO8" s="10"/>
      <c r="GP8" s="10"/>
      <c r="GQ8" s="10"/>
      <c r="GR8" s="10"/>
      <c r="GS8" s="10"/>
      <c r="GT8" s="10"/>
      <c r="GU8" s="10"/>
      <c r="GV8" s="10"/>
      <c r="GW8" s="10"/>
      <c r="GX8" s="10"/>
      <c r="GY8" s="10"/>
      <c r="GZ8" s="10"/>
      <c r="HA8" s="10"/>
      <c r="HB8" s="10"/>
      <c r="HC8" s="10"/>
      <c r="HD8" s="10"/>
      <c r="HE8" s="10"/>
      <c r="HF8" s="10"/>
      <c r="HG8" s="10"/>
      <c r="HH8" s="10"/>
      <c r="HI8" s="10"/>
      <c r="HJ8" s="10"/>
      <c r="HK8" s="10"/>
      <c r="HL8" s="10"/>
      <c r="HM8" s="10"/>
      <c r="HN8" s="10"/>
      <c r="HO8" s="10"/>
      <c r="HP8" s="10"/>
      <c r="HQ8" s="10"/>
      <c r="HR8" s="10"/>
      <c r="HS8" s="10"/>
      <c r="HT8" s="10"/>
      <c r="HU8" s="10"/>
      <c r="HV8" s="10"/>
      <c r="HW8" s="10"/>
      <c r="HX8" s="10"/>
      <c r="HY8" s="10"/>
      <c r="HZ8" s="10"/>
      <c r="IA8" s="10"/>
      <c r="IB8" s="10"/>
      <c r="IC8" s="10"/>
      <c r="ID8" s="10"/>
      <c r="IE8" s="10"/>
      <c r="IF8" s="10"/>
      <c r="IG8" s="10"/>
      <c r="IH8" s="10"/>
      <c r="II8" s="10"/>
      <c r="IJ8" s="10"/>
      <c r="IK8" s="10"/>
      <c r="IL8" s="10"/>
      <c r="IM8" s="10"/>
      <c r="IN8" s="10"/>
      <c r="IO8" s="10"/>
      <c r="IP8" s="10"/>
      <c r="IQ8" s="10"/>
      <c r="IR8" s="10"/>
      <c r="IS8" s="10"/>
      <c r="IT8" s="10"/>
      <c r="IU8" s="10"/>
      <c r="IV8" s="10"/>
      <c r="IW8" s="10"/>
      <c r="IX8" s="10"/>
      <c r="IY8" s="10"/>
      <c r="IZ8" s="10"/>
      <c r="JA8" s="10"/>
      <c r="JB8" s="10"/>
      <c r="JC8" s="10"/>
      <c r="JD8" s="10"/>
      <c r="JE8" s="10"/>
      <c r="JF8" s="10"/>
      <c r="JG8" s="10"/>
      <c r="JH8" s="10"/>
      <c r="JI8" s="10"/>
      <c r="JJ8" s="10"/>
      <c r="JK8" s="10"/>
      <c r="JL8" s="10"/>
      <c r="JM8" s="10"/>
      <c r="JN8" s="10"/>
      <c r="JO8" s="10"/>
      <c r="JP8" s="10"/>
      <c r="JQ8" s="10"/>
      <c r="JR8" s="10"/>
      <c r="JS8" s="10"/>
      <c r="JT8" s="10"/>
      <c r="JU8" s="10"/>
      <c r="JV8" s="10"/>
      <c r="JW8" s="10"/>
      <c r="JX8" s="10"/>
      <c r="JY8" s="10"/>
      <c r="JZ8" s="10"/>
      <c r="KA8" s="10"/>
    </row>
    <row r="9" spans="2:287" x14ac:dyDescent="0.35">
      <c r="B9" s="1"/>
      <c r="C9" s="1"/>
      <c r="D9" s="1"/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</row>
    <row r="10" spans="2:287" x14ac:dyDescent="0.35">
      <c r="B10" s="1"/>
      <c r="C10" s="1"/>
      <c r="D10" s="1"/>
      <c r="E10" s="6" t="s">
        <v>11</v>
      </c>
      <c r="F10" s="7">
        <f>DATE(2026,7,1)</f>
        <v>46204</v>
      </c>
      <c r="G10" s="7">
        <f t="shared" ref="G10:BR10" si="10">F11+1</f>
        <v>46235</v>
      </c>
      <c r="H10" s="7">
        <f t="shared" si="10"/>
        <v>46266</v>
      </c>
      <c r="I10" s="7">
        <f t="shared" si="10"/>
        <v>46296</v>
      </c>
      <c r="J10" s="7">
        <f t="shared" si="10"/>
        <v>46327</v>
      </c>
      <c r="K10" s="7">
        <f t="shared" si="10"/>
        <v>46357</v>
      </c>
      <c r="L10" s="7">
        <f t="shared" si="10"/>
        <v>46388</v>
      </c>
      <c r="M10" s="7">
        <f t="shared" si="10"/>
        <v>46419</v>
      </c>
      <c r="N10" s="7">
        <f t="shared" si="10"/>
        <v>46447</v>
      </c>
      <c r="O10" s="7">
        <f t="shared" si="10"/>
        <v>46478</v>
      </c>
      <c r="P10" s="7">
        <f t="shared" si="10"/>
        <v>46508</v>
      </c>
      <c r="Q10" s="7">
        <f t="shared" si="10"/>
        <v>46539</v>
      </c>
      <c r="R10" s="7">
        <f t="shared" si="10"/>
        <v>46569</v>
      </c>
      <c r="S10" s="7">
        <f t="shared" si="10"/>
        <v>46600</v>
      </c>
      <c r="T10" s="7">
        <f t="shared" si="10"/>
        <v>46631</v>
      </c>
      <c r="U10" s="7">
        <f t="shared" si="10"/>
        <v>46661</v>
      </c>
      <c r="V10" s="7">
        <f t="shared" si="10"/>
        <v>46692</v>
      </c>
      <c r="W10" s="7">
        <f t="shared" si="10"/>
        <v>46722</v>
      </c>
      <c r="X10" s="7">
        <f t="shared" si="10"/>
        <v>46753</v>
      </c>
      <c r="Y10" s="7">
        <f t="shared" si="10"/>
        <v>46784</v>
      </c>
      <c r="Z10" s="7">
        <f t="shared" si="10"/>
        <v>46813</v>
      </c>
      <c r="AA10" s="7">
        <f t="shared" si="10"/>
        <v>46844</v>
      </c>
      <c r="AB10" s="7">
        <f t="shared" si="10"/>
        <v>46874</v>
      </c>
      <c r="AC10" s="7">
        <f t="shared" si="10"/>
        <v>46905</v>
      </c>
      <c r="AD10" s="7">
        <f t="shared" si="10"/>
        <v>46935</v>
      </c>
      <c r="AE10" s="7">
        <f t="shared" si="10"/>
        <v>46966</v>
      </c>
      <c r="AF10" s="7">
        <f t="shared" si="10"/>
        <v>46997</v>
      </c>
      <c r="AG10" s="7">
        <f t="shared" si="10"/>
        <v>47027</v>
      </c>
      <c r="AH10" s="7">
        <f t="shared" si="10"/>
        <v>47058</v>
      </c>
      <c r="AI10" s="7">
        <f t="shared" si="10"/>
        <v>47088</v>
      </c>
      <c r="AJ10" s="7">
        <f t="shared" si="10"/>
        <v>47119</v>
      </c>
      <c r="AK10" s="7">
        <f t="shared" si="10"/>
        <v>47150</v>
      </c>
      <c r="AL10" s="7">
        <f t="shared" si="10"/>
        <v>47178</v>
      </c>
      <c r="AM10" s="7">
        <f t="shared" si="10"/>
        <v>47209</v>
      </c>
      <c r="AN10" s="7">
        <f t="shared" si="10"/>
        <v>47239</v>
      </c>
      <c r="AO10" s="7">
        <f t="shared" si="10"/>
        <v>47270</v>
      </c>
      <c r="AP10" s="7">
        <f t="shared" si="10"/>
        <v>47300</v>
      </c>
      <c r="AQ10" s="7">
        <f t="shared" si="10"/>
        <v>47331</v>
      </c>
      <c r="AR10" s="7">
        <f t="shared" si="10"/>
        <v>47362</v>
      </c>
      <c r="AS10" s="7">
        <f t="shared" si="10"/>
        <v>47392</v>
      </c>
      <c r="AT10" s="7">
        <f t="shared" si="10"/>
        <v>47423</v>
      </c>
      <c r="AU10" s="7">
        <f t="shared" si="10"/>
        <v>47453</v>
      </c>
      <c r="AV10" s="7">
        <f t="shared" si="10"/>
        <v>47484</v>
      </c>
      <c r="AW10" s="7">
        <f t="shared" si="10"/>
        <v>47515</v>
      </c>
      <c r="AX10" s="7">
        <f t="shared" si="10"/>
        <v>47543</v>
      </c>
      <c r="AY10" s="7">
        <f t="shared" si="10"/>
        <v>47574</v>
      </c>
      <c r="AZ10" s="7">
        <f t="shared" si="10"/>
        <v>47604</v>
      </c>
      <c r="BA10" s="7">
        <f t="shared" si="10"/>
        <v>47635</v>
      </c>
      <c r="BB10" s="7">
        <f t="shared" si="10"/>
        <v>47665</v>
      </c>
      <c r="BC10" s="7">
        <f t="shared" si="10"/>
        <v>47696</v>
      </c>
      <c r="BD10" s="7">
        <f t="shared" si="10"/>
        <v>47727</v>
      </c>
      <c r="BE10" s="7">
        <f t="shared" si="10"/>
        <v>47757</v>
      </c>
      <c r="BF10" s="7">
        <f t="shared" si="10"/>
        <v>47788</v>
      </c>
      <c r="BG10" s="7">
        <f t="shared" si="10"/>
        <v>47818</v>
      </c>
      <c r="BH10" s="7">
        <f t="shared" si="10"/>
        <v>47849</v>
      </c>
      <c r="BI10" s="7">
        <f t="shared" si="10"/>
        <v>47880</v>
      </c>
      <c r="BJ10" s="7">
        <f t="shared" si="10"/>
        <v>47908</v>
      </c>
      <c r="BK10" s="7">
        <f t="shared" si="10"/>
        <v>47939</v>
      </c>
      <c r="BL10" s="7">
        <f t="shared" si="10"/>
        <v>47969</v>
      </c>
      <c r="BM10" s="7">
        <f t="shared" si="10"/>
        <v>48000</v>
      </c>
      <c r="BN10" s="7">
        <f t="shared" si="10"/>
        <v>48030</v>
      </c>
      <c r="BO10" s="7">
        <f t="shared" si="10"/>
        <v>48061</v>
      </c>
      <c r="BP10" s="7">
        <f t="shared" si="10"/>
        <v>48092</v>
      </c>
      <c r="BQ10" s="7">
        <f t="shared" si="10"/>
        <v>48122</v>
      </c>
      <c r="BR10" s="7">
        <f t="shared" si="10"/>
        <v>48153</v>
      </c>
      <c r="BS10" s="7">
        <f t="shared" ref="BS10:ED10" si="11">BR11+1</f>
        <v>48183</v>
      </c>
      <c r="BT10" s="7">
        <f t="shared" si="11"/>
        <v>48214</v>
      </c>
      <c r="BU10" s="7">
        <f t="shared" si="11"/>
        <v>48245</v>
      </c>
      <c r="BV10" s="7">
        <f t="shared" si="11"/>
        <v>48274</v>
      </c>
      <c r="BW10" s="7">
        <f t="shared" si="11"/>
        <v>48305</v>
      </c>
      <c r="BX10" s="7">
        <f t="shared" si="11"/>
        <v>48335</v>
      </c>
      <c r="BY10" s="7">
        <f t="shared" si="11"/>
        <v>48366</v>
      </c>
      <c r="BZ10" s="7">
        <f t="shared" si="11"/>
        <v>48396</v>
      </c>
      <c r="CA10" s="7">
        <f t="shared" si="11"/>
        <v>48427</v>
      </c>
      <c r="CB10" s="7">
        <f t="shared" si="11"/>
        <v>48458</v>
      </c>
      <c r="CC10" s="7">
        <f t="shared" si="11"/>
        <v>48488</v>
      </c>
      <c r="CD10" s="7">
        <f t="shared" si="11"/>
        <v>48519</v>
      </c>
      <c r="CE10" s="7">
        <f t="shared" si="11"/>
        <v>48549</v>
      </c>
      <c r="CF10" s="7">
        <f t="shared" si="11"/>
        <v>48580</v>
      </c>
      <c r="CG10" s="7">
        <f t="shared" si="11"/>
        <v>48611</v>
      </c>
      <c r="CH10" s="7">
        <f t="shared" si="11"/>
        <v>48639</v>
      </c>
      <c r="CI10" s="7">
        <f t="shared" si="11"/>
        <v>48670</v>
      </c>
      <c r="CJ10" s="7">
        <f t="shared" si="11"/>
        <v>48700</v>
      </c>
      <c r="CK10" s="7">
        <f t="shared" si="11"/>
        <v>48731</v>
      </c>
      <c r="CL10" s="7">
        <f t="shared" si="11"/>
        <v>48761</v>
      </c>
      <c r="CM10" s="7">
        <f t="shared" si="11"/>
        <v>48792</v>
      </c>
      <c r="CN10" s="7">
        <f t="shared" si="11"/>
        <v>48823</v>
      </c>
      <c r="CO10" s="7">
        <f t="shared" si="11"/>
        <v>48853</v>
      </c>
      <c r="CP10" s="7">
        <f t="shared" si="11"/>
        <v>48884</v>
      </c>
      <c r="CQ10" s="7">
        <f t="shared" si="11"/>
        <v>48914</v>
      </c>
      <c r="CR10" s="7">
        <f t="shared" si="11"/>
        <v>48945</v>
      </c>
      <c r="CS10" s="7">
        <f t="shared" si="11"/>
        <v>48976</v>
      </c>
      <c r="CT10" s="7">
        <f t="shared" si="11"/>
        <v>49004</v>
      </c>
      <c r="CU10" s="7">
        <f t="shared" si="11"/>
        <v>49035</v>
      </c>
      <c r="CV10" s="7">
        <f t="shared" si="11"/>
        <v>49065</v>
      </c>
      <c r="CW10" s="7">
        <f t="shared" si="11"/>
        <v>49096</v>
      </c>
      <c r="CX10" s="7">
        <f t="shared" si="11"/>
        <v>49126</v>
      </c>
      <c r="CY10" s="7">
        <f t="shared" si="11"/>
        <v>49157</v>
      </c>
      <c r="CZ10" s="7">
        <f t="shared" si="11"/>
        <v>49188</v>
      </c>
      <c r="DA10" s="7">
        <f t="shared" si="11"/>
        <v>49218</v>
      </c>
      <c r="DB10" s="7">
        <f t="shared" si="11"/>
        <v>49249</v>
      </c>
      <c r="DC10" s="7">
        <f t="shared" si="11"/>
        <v>49279</v>
      </c>
      <c r="DD10" s="7">
        <f t="shared" si="11"/>
        <v>49310</v>
      </c>
      <c r="DE10" s="7">
        <f t="shared" si="11"/>
        <v>49341</v>
      </c>
      <c r="DF10" s="7">
        <f t="shared" si="11"/>
        <v>49369</v>
      </c>
      <c r="DG10" s="7">
        <f t="shared" si="11"/>
        <v>49400</v>
      </c>
      <c r="DH10" s="7">
        <f t="shared" si="11"/>
        <v>49430</v>
      </c>
      <c r="DI10" s="7">
        <f t="shared" si="11"/>
        <v>49461</v>
      </c>
      <c r="DJ10" s="7">
        <f t="shared" si="11"/>
        <v>49491</v>
      </c>
      <c r="DK10" s="7">
        <f t="shared" si="11"/>
        <v>49522</v>
      </c>
      <c r="DL10" s="7">
        <f t="shared" si="11"/>
        <v>49553</v>
      </c>
      <c r="DM10" s="7">
        <f t="shared" si="11"/>
        <v>49583</v>
      </c>
      <c r="DN10" s="7">
        <f t="shared" si="11"/>
        <v>49614</v>
      </c>
      <c r="DO10" s="7">
        <f t="shared" si="11"/>
        <v>49644</v>
      </c>
      <c r="DP10" s="7">
        <f t="shared" si="11"/>
        <v>49675</v>
      </c>
      <c r="DQ10" s="7">
        <f t="shared" si="11"/>
        <v>49706</v>
      </c>
      <c r="DR10" s="7">
        <f t="shared" si="11"/>
        <v>49735</v>
      </c>
      <c r="DS10" s="7">
        <f t="shared" si="11"/>
        <v>49766</v>
      </c>
      <c r="DT10" s="7">
        <f t="shared" si="11"/>
        <v>49796</v>
      </c>
      <c r="DU10" s="7">
        <f t="shared" si="11"/>
        <v>49827</v>
      </c>
      <c r="DV10" s="7">
        <f t="shared" si="11"/>
        <v>49857</v>
      </c>
      <c r="DW10" s="7">
        <f t="shared" si="11"/>
        <v>49888</v>
      </c>
      <c r="DX10" s="7">
        <f t="shared" si="11"/>
        <v>49919</v>
      </c>
      <c r="DY10" s="7">
        <f t="shared" si="11"/>
        <v>49949</v>
      </c>
      <c r="DZ10" s="7">
        <f t="shared" si="11"/>
        <v>49980</v>
      </c>
      <c r="EA10" s="7">
        <f t="shared" si="11"/>
        <v>50010</v>
      </c>
      <c r="EB10" s="7">
        <f t="shared" si="11"/>
        <v>50041</v>
      </c>
      <c r="EC10" s="7">
        <f t="shared" si="11"/>
        <v>50072</v>
      </c>
      <c r="ED10" s="7">
        <f t="shared" si="11"/>
        <v>50100</v>
      </c>
      <c r="EE10" s="7">
        <f t="shared" ref="EE10:GP10" si="12">ED11+1</f>
        <v>50131</v>
      </c>
      <c r="EF10" s="7">
        <f t="shared" si="12"/>
        <v>50161</v>
      </c>
      <c r="EG10" s="7">
        <f t="shared" si="12"/>
        <v>50192</v>
      </c>
      <c r="EH10" s="7">
        <f t="shared" si="12"/>
        <v>50222</v>
      </c>
      <c r="EI10" s="7">
        <f t="shared" si="12"/>
        <v>50253</v>
      </c>
      <c r="EJ10" s="7">
        <f t="shared" si="12"/>
        <v>50284</v>
      </c>
      <c r="EK10" s="7">
        <f t="shared" si="12"/>
        <v>50314</v>
      </c>
      <c r="EL10" s="7">
        <f t="shared" si="12"/>
        <v>50345</v>
      </c>
      <c r="EM10" s="7">
        <f t="shared" si="12"/>
        <v>50375</v>
      </c>
      <c r="EN10" s="7">
        <f t="shared" si="12"/>
        <v>50406</v>
      </c>
      <c r="EO10" s="7">
        <f t="shared" si="12"/>
        <v>50437</v>
      </c>
      <c r="EP10" s="7">
        <f t="shared" si="12"/>
        <v>50465</v>
      </c>
      <c r="EQ10" s="7">
        <f t="shared" si="12"/>
        <v>50496</v>
      </c>
      <c r="ER10" s="7">
        <f t="shared" si="12"/>
        <v>50526</v>
      </c>
      <c r="ES10" s="7">
        <f t="shared" si="12"/>
        <v>50557</v>
      </c>
      <c r="ET10" s="7">
        <f t="shared" si="12"/>
        <v>50587</v>
      </c>
      <c r="EU10" s="7">
        <f t="shared" si="12"/>
        <v>50618</v>
      </c>
      <c r="EV10" s="7">
        <f t="shared" si="12"/>
        <v>50649</v>
      </c>
      <c r="EW10" s="7">
        <f t="shared" si="12"/>
        <v>50679</v>
      </c>
      <c r="EX10" s="7">
        <f t="shared" si="12"/>
        <v>50710</v>
      </c>
      <c r="EY10" s="7">
        <f t="shared" si="12"/>
        <v>50740</v>
      </c>
      <c r="EZ10" s="7">
        <f t="shared" si="12"/>
        <v>50771</v>
      </c>
      <c r="FA10" s="7">
        <f t="shared" si="12"/>
        <v>50802</v>
      </c>
      <c r="FB10" s="7">
        <f t="shared" si="12"/>
        <v>50830</v>
      </c>
      <c r="FC10" s="7">
        <f t="shared" si="12"/>
        <v>50861</v>
      </c>
      <c r="FD10" s="7">
        <f t="shared" si="12"/>
        <v>50891</v>
      </c>
      <c r="FE10" s="7">
        <f t="shared" si="12"/>
        <v>50922</v>
      </c>
      <c r="FF10" s="7">
        <f t="shared" si="12"/>
        <v>50952</v>
      </c>
      <c r="FG10" s="7">
        <f t="shared" si="12"/>
        <v>50983</v>
      </c>
      <c r="FH10" s="7">
        <f t="shared" si="12"/>
        <v>51014</v>
      </c>
      <c r="FI10" s="7">
        <f t="shared" si="12"/>
        <v>51044</v>
      </c>
      <c r="FJ10" s="7">
        <f t="shared" si="12"/>
        <v>51075</v>
      </c>
      <c r="FK10" s="7">
        <f t="shared" si="12"/>
        <v>51105</v>
      </c>
      <c r="FL10" s="7">
        <f t="shared" si="12"/>
        <v>51136</v>
      </c>
      <c r="FM10" s="7">
        <f t="shared" si="12"/>
        <v>51167</v>
      </c>
      <c r="FN10" s="7">
        <f t="shared" si="12"/>
        <v>51196</v>
      </c>
      <c r="FO10" s="7">
        <f t="shared" si="12"/>
        <v>51227</v>
      </c>
      <c r="FP10" s="7">
        <f t="shared" si="12"/>
        <v>51257</v>
      </c>
      <c r="FQ10" s="7">
        <f t="shared" si="12"/>
        <v>51288</v>
      </c>
      <c r="FR10" s="7">
        <f t="shared" si="12"/>
        <v>51318</v>
      </c>
      <c r="FS10" s="7">
        <f t="shared" si="12"/>
        <v>51349</v>
      </c>
      <c r="FT10" s="7">
        <f t="shared" si="12"/>
        <v>51380</v>
      </c>
      <c r="FU10" s="7">
        <f t="shared" si="12"/>
        <v>51410</v>
      </c>
      <c r="FV10" s="7">
        <f t="shared" si="12"/>
        <v>51441</v>
      </c>
      <c r="FW10" s="7">
        <f t="shared" si="12"/>
        <v>51471</v>
      </c>
      <c r="FX10" s="7">
        <f t="shared" si="12"/>
        <v>51502</v>
      </c>
      <c r="FY10" s="7">
        <f t="shared" si="12"/>
        <v>51533</v>
      </c>
      <c r="FZ10" s="7">
        <f t="shared" si="12"/>
        <v>51561</v>
      </c>
      <c r="GA10" s="7">
        <f t="shared" si="12"/>
        <v>51592</v>
      </c>
      <c r="GB10" s="7">
        <f t="shared" si="12"/>
        <v>51622</v>
      </c>
      <c r="GC10" s="7">
        <f t="shared" si="12"/>
        <v>51653</v>
      </c>
      <c r="GD10" s="7">
        <f t="shared" si="12"/>
        <v>51683</v>
      </c>
      <c r="GE10" s="7">
        <f t="shared" si="12"/>
        <v>51714</v>
      </c>
      <c r="GF10" s="7">
        <f t="shared" si="12"/>
        <v>51745</v>
      </c>
      <c r="GG10" s="7">
        <f t="shared" si="12"/>
        <v>51775</v>
      </c>
      <c r="GH10" s="7">
        <f t="shared" si="12"/>
        <v>51806</v>
      </c>
      <c r="GI10" s="7">
        <f t="shared" si="12"/>
        <v>51836</v>
      </c>
      <c r="GJ10" s="7">
        <f t="shared" si="12"/>
        <v>51867</v>
      </c>
      <c r="GK10" s="7">
        <f t="shared" si="12"/>
        <v>51898</v>
      </c>
      <c r="GL10" s="7">
        <f t="shared" si="12"/>
        <v>51926</v>
      </c>
      <c r="GM10" s="7">
        <f t="shared" si="12"/>
        <v>51957</v>
      </c>
      <c r="GN10" s="7">
        <f t="shared" si="12"/>
        <v>51987</v>
      </c>
      <c r="GO10" s="7">
        <f t="shared" si="12"/>
        <v>52018</v>
      </c>
      <c r="GP10" s="7">
        <f t="shared" si="12"/>
        <v>52048</v>
      </c>
      <c r="GQ10" s="7">
        <f t="shared" ref="GQ10:JB10" si="13">GP11+1</f>
        <v>52079</v>
      </c>
      <c r="GR10" s="7">
        <f t="shared" si="13"/>
        <v>52110</v>
      </c>
      <c r="GS10" s="7">
        <f t="shared" si="13"/>
        <v>52140</v>
      </c>
      <c r="GT10" s="7">
        <f t="shared" si="13"/>
        <v>52171</v>
      </c>
      <c r="GU10" s="7">
        <f t="shared" si="13"/>
        <v>52201</v>
      </c>
      <c r="GV10" s="7">
        <f t="shared" si="13"/>
        <v>52232</v>
      </c>
      <c r="GW10" s="7">
        <f t="shared" si="13"/>
        <v>52263</v>
      </c>
      <c r="GX10" s="7">
        <f t="shared" si="13"/>
        <v>52291</v>
      </c>
      <c r="GY10" s="7">
        <f t="shared" si="13"/>
        <v>52322</v>
      </c>
      <c r="GZ10" s="7">
        <f t="shared" si="13"/>
        <v>52352</v>
      </c>
      <c r="HA10" s="7">
        <f t="shared" si="13"/>
        <v>52383</v>
      </c>
      <c r="HB10" s="7">
        <f t="shared" si="13"/>
        <v>52413</v>
      </c>
      <c r="HC10" s="7">
        <f t="shared" si="13"/>
        <v>52444</v>
      </c>
      <c r="HD10" s="7">
        <f t="shared" si="13"/>
        <v>52475</v>
      </c>
      <c r="HE10" s="7">
        <f t="shared" si="13"/>
        <v>52505</v>
      </c>
      <c r="HF10" s="7">
        <f t="shared" si="13"/>
        <v>52536</v>
      </c>
      <c r="HG10" s="7">
        <f t="shared" si="13"/>
        <v>52566</v>
      </c>
      <c r="HH10" s="7">
        <f t="shared" si="13"/>
        <v>52597</v>
      </c>
      <c r="HI10" s="7">
        <f t="shared" si="13"/>
        <v>52628</v>
      </c>
      <c r="HJ10" s="7">
        <f t="shared" si="13"/>
        <v>52657</v>
      </c>
      <c r="HK10" s="7">
        <f t="shared" si="13"/>
        <v>52688</v>
      </c>
      <c r="HL10" s="7">
        <f t="shared" si="13"/>
        <v>52718</v>
      </c>
      <c r="HM10" s="7">
        <f t="shared" si="13"/>
        <v>52749</v>
      </c>
      <c r="HN10" s="7">
        <f t="shared" si="13"/>
        <v>52779</v>
      </c>
      <c r="HO10" s="7">
        <f t="shared" si="13"/>
        <v>52810</v>
      </c>
      <c r="HP10" s="7">
        <f t="shared" si="13"/>
        <v>52841</v>
      </c>
      <c r="HQ10" s="7">
        <f t="shared" si="13"/>
        <v>52871</v>
      </c>
      <c r="HR10" s="7">
        <f t="shared" si="13"/>
        <v>52902</v>
      </c>
      <c r="HS10" s="7">
        <f t="shared" si="13"/>
        <v>52932</v>
      </c>
      <c r="HT10" s="7">
        <f t="shared" si="13"/>
        <v>52963</v>
      </c>
      <c r="HU10" s="7">
        <f t="shared" si="13"/>
        <v>52994</v>
      </c>
      <c r="HV10" s="7">
        <f t="shared" si="13"/>
        <v>53022</v>
      </c>
      <c r="HW10" s="7">
        <f t="shared" si="13"/>
        <v>53053</v>
      </c>
      <c r="HX10" s="7">
        <f t="shared" si="13"/>
        <v>53083</v>
      </c>
      <c r="HY10" s="7">
        <f t="shared" si="13"/>
        <v>53114</v>
      </c>
      <c r="HZ10" s="7">
        <f t="shared" si="13"/>
        <v>53144</v>
      </c>
      <c r="IA10" s="7">
        <f t="shared" si="13"/>
        <v>53175</v>
      </c>
      <c r="IB10" s="7">
        <f t="shared" si="13"/>
        <v>53206</v>
      </c>
      <c r="IC10" s="7">
        <f t="shared" si="13"/>
        <v>53236</v>
      </c>
      <c r="ID10" s="7">
        <f t="shared" si="13"/>
        <v>53267</v>
      </c>
      <c r="IE10" s="7">
        <f t="shared" si="13"/>
        <v>53297</v>
      </c>
      <c r="IF10" s="7">
        <f t="shared" si="13"/>
        <v>53328</v>
      </c>
      <c r="IG10" s="7">
        <f t="shared" si="13"/>
        <v>53359</v>
      </c>
      <c r="IH10" s="7">
        <f t="shared" si="13"/>
        <v>53387</v>
      </c>
      <c r="II10" s="7">
        <f t="shared" si="13"/>
        <v>53418</v>
      </c>
      <c r="IJ10" s="7">
        <f t="shared" si="13"/>
        <v>53448</v>
      </c>
      <c r="IK10" s="7">
        <f t="shared" si="13"/>
        <v>53479</v>
      </c>
      <c r="IL10" s="7">
        <f t="shared" si="13"/>
        <v>53509</v>
      </c>
      <c r="IM10" s="7">
        <f t="shared" si="13"/>
        <v>53540</v>
      </c>
      <c r="IN10" s="7">
        <f t="shared" si="13"/>
        <v>53571</v>
      </c>
      <c r="IO10" s="7">
        <f t="shared" si="13"/>
        <v>53601</v>
      </c>
      <c r="IP10" s="7">
        <f t="shared" si="13"/>
        <v>53632</v>
      </c>
      <c r="IQ10" s="7">
        <f t="shared" si="13"/>
        <v>53662</v>
      </c>
      <c r="IR10" s="7">
        <f t="shared" si="13"/>
        <v>53693</v>
      </c>
      <c r="IS10" s="7">
        <f t="shared" si="13"/>
        <v>53724</v>
      </c>
      <c r="IT10" s="7">
        <f t="shared" si="13"/>
        <v>53752</v>
      </c>
      <c r="IU10" s="7">
        <f t="shared" si="13"/>
        <v>53783</v>
      </c>
      <c r="IV10" s="7">
        <f t="shared" si="13"/>
        <v>53813</v>
      </c>
      <c r="IW10" s="7">
        <f t="shared" si="13"/>
        <v>53844</v>
      </c>
      <c r="IX10" s="7">
        <f t="shared" si="13"/>
        <v>53874</v>
      </c>
      <c r="IY10" s="7">
        <f t="shared" si="13"/>
        <v>53905</v>
      </c>
      <c r="IZ10" s="7">
        <f t="shared" si="13"/>
        <v>53936</v>
      </c>
      <c r="JA10" s="7">
        <f t="shared" si="13"/>
        <v>53966</v>
      </c>
      <c r="JB10" s="7">
        <f t="shared" si="13"/>
        <v>53997</v>
      </c>
      <c r="JC10" s="7">
        <f t="shared" ref="JC10:KA10" si="14">JB11+1</f>
        <v>54027</v>
      </c>
      <c r="JD10" s="7">
        <f t="shared" si="14"/>
        <v>54058</v>
      </c>
      <c r="JE10" s="7">
        <f t="shared" si="14"/>
        <v>54089</v>
      </c>
      <c r="JF10" s="7">
        <f t="shared" si="14"/>
        <v>54118</v>
      </c>
      <c r="JG10" s="7">
        <f t="shared" si="14"/>
        <v>54149</v>
      </c>
      <c r="JH10" s="7">
        <f t="shared" si="14"/>
        <v>54179</v>
      </c>
      <c r="JI10" s="7">
        <f t="shared" si="14"/>
        <v>54210</v>
      </c>
      <c r="JJ10" s="7">
        <f t="shared" si="14"/>
        <v>54240</v>
      </c>
      <c r="JK10" s="7">
        <f t="shared" si="14"/>
        <v>54271</v>
      </c>
      <c r="JL10" s="7">
        <f t="shared" si="14"/>
        <v>54302</v>
      </c>
      <c r="JM10" s="7">
        <f t="shared" si="14"/>
        <v>54332</v>
      </c>
      <c r="JN10" s="7">
        <f t="shared" si="14"/>
        <v>54363</v>
      </c>
      <c r="JO10" s="7">
        <f t="shared" si="14"/>
        <v>54393</v>
      </c>
      <c r="JP10" s="7">
        <f t="shared" si="14"/>
        <v>54424</v>
      </c>
      <c r="JQ10" s="7">
        <f t="shared" si="14"/>
        <v>54455</v>
      </c>
      <c r="JR10" s="7">
        <f t="shared" si="14"/>
        <v>54483</v>
      </c>
      <c r="JS10" s="7">
        <f t="shared" si="14"/>
        <v>54514</v>
      </c>
      <c r="JT10" s="7">
        <f t="shared" si="14"/>
        <v>54544</v>
      </c>
      <c r="JU10" s="7">
        <f t="shared" si="14"/>
        <v>54575</v>
      </c>
      <c r="JV10" s="7">
        <f t="shared" si="14"/>
        <v>54605</v>
      </c>
      <c r="JW10" s="7">
        <f t="shared" si="14"/>
        <v>54636</v>
      </c>
      <c r="JX10" s="7">
        <f t="shared" si="14"/>
        <v>54667</v>
      </c>
      <c r="JY10" s="7">
        <f t="shared" si="14"/>
        <v>54697</v>
      </c>
      <c r="JZ10" s="7">
        <f t="shared" si="14"/>
        <v>54728</v>
      </c>
      <c r="KA10" s="7">
        <f t="shared" si="14"/>
        <v>54758</v>
      </c>
    </row>
    <row r="11" spans="2:287" x14ac:dyDescent="0.35">
      <c r="B11" s="1"/>
      <c r="C11" s="1"/>
      <c r="D11" s="1"/>
      <c r="E11" s="6" t="s">
        <v>12</v>
      </c>
      <c r="F11" s="7">
        <f t="shared" ref="F11:BQ11" si="15">EOMONTH(F10,0)</f>
        <v>46234</v>
      </c>
      <c r="G11" s="7">
        <f t="shared" si="15"/>
        <v>46265</v>
      </c>
      <c r="H11" s="7">
        <f t="shared" si="15"/>
        <v>46295</v>
      </c>
      <c r="I11" s="7">
        <f t="shared" si="15"/>
        <v>46326</v>
      </c>
      <c r="J11" s="7">
        <f t="shared" si="15"/>
        <v>46356</v>
      </c>
      <c r="K11" s="7">
        <f t="shared" si="15"/>
        <v>46387</v>
      </c>
      <c r="L11" s="7">
        <f t="shared" si="15"/>
        <v>46418</v>
      </c>
      <c r="M11" s="7">
        <f t="shared" si="15"/>
        <v>46446</v>
      </c>
      <c r="N11" s="7">
        <f t="shared" si="15"/>
        <v>46477</v>
      </c>
      <c r="O11" s="7">
        <f t="shared" si="15"/>
        <v>46507</v>
      </c>
      <c r="P11" s="7">
        <f t="shared" si="15"/>
        <v>46538</v>
      </c>
      <c r="Q11" s="7">
        <f t="shared" si="15"/>
        <v>46568</v>
      </c>
      <c r="R11" s="7">
        <f t="shared" si="15"/>
        <v>46599</v>
      </c>
      <c r="S11" s="7">
        <f t="shared" si="15"/>
        <v>46630</v>
      </c>
      <c r="T11" s="7">
        <f t="shared" si="15"/>
        <v>46660</v>
      </c>
      <c r="U11" s="7">
        <f t="shared" si="15"/>
        <v>46691</v>
      </c>
      <c r="V11" s="7">
        <f t="shared" si="15"/>
        <v>46721</v>
      </c>
      <c r="W11" s="7">
        <f t="shared" si="15"/>
        <v>46752</v>
      </c>
      <c r="X11" s="7">
        <f t="shared" si="15"/>
        <v>46783</v>
      </c>
      <c r="Y11" s="7">
        <f t="shared" si="15"/>
        <v>46812</v>
      </c>
      <c r="Z11" s="7">
        <f t="shared" si="15"/>
        <v>46843</v>
      </c>
      <c r="AA11" s="7">
        <f t="shared" si="15"/>
        <v>46873</v>
      </c>
      <c r="AB11" s="7">
        <f t="shared" si="15"/>
        <v>46904</v>
      </c>
      <c r="AC11" s="7">
        <f t="shared" si="15"/>
        <v>46934</v>
      </c>
      <c r="AD11" s="7">
        <f t="shared" si="15"/>
        <v>46965</v>
      </c>
      <c r="AE11" s="7">
        <f t="shared" si="15"/>
        <v>46996</v>
      </c>
      <c r="AF11" s="7">
        <f t="shared" si="15"/>
        <v>47026</v>
      </c>
      <c r="AG11" s="7">
        <f t="shared" si="15"/>
        <v>47057</v>
      </c>
      <c r="AH11" s="7">
        <f t="shared" si="15"/>
        <v>47087</v>
      </c>
      <c r="AI11" s="7">
        <f t="shared" si="15"/>
        <v>47118</v>
      </c>
      <c r="AJ11" s="7">
        <f t="shared" si="15"/>
        <v>47149</v>
      </c>
      <c r="AK11" s="7">
        <f t="shared" si="15"/>
        <v>47177</v>
      </c>
      <c r="AL11" s="7">
        <f t="shared" si="15"/>
        <v>47208</v>
      </c>
      <c r="AM11" s="7">
        <f t="shared" si="15"/>
        <v>47238</v>
      </c>
      <c r="AN11" s="7">
        <f t="shared" si="15"/>
        <v>47269</v>
      </c>
      <c r="AO11" s="7">
        <f t="shared" si="15"/>
        <v>47299</v>
      </c>
      <c r="AP11" s="7">
        <f t="shared" si="15"/>
        <v>47330</v>
      </c>
      <c r="AQ11" s="7">
        <f t="shared" si="15"/>
        <v>47361</v>
      </c>
      <c r="AR11" s="7">
        <f t="shared" si="15"/>
        <v>47391</v>
      </c>
      <c r="AS11" s="7">
        <f t="shared" si="15"/>
        <v>47422</v>
      </c>
      <c r="AT11" s="7">
        <f t="shared" si="15"/>
        <v>47452</v>
      </c>
      <c r="AU11" s="7">
        <f t="shared" si="15"/>
        <v>47483</v>
      </c>
      <c r="AV11" s="7">
        <f t="shared" si="15"/>
        <v>47514</v>
      </c>
      <c r="AW11" s="7">
        <f t="shared" si="15"/>
        <v>47542</v>
      </c>
      <c r="AX11" s="7">
        <f t="shared" si="15"/>
        <v>47573</v>
      </c>
      <c r="AY11" s="7">
        <f t="shared" si="15"/>
        <v>47603</v>
      </c>
      <c r="AZ11" s="7">
        <f t="shared" si="15"/>
        <v>47634</v>
      </c>
      <c r="BA11" s="7">
        <f t="shared" si="15"/>
        <v>47664</v>
      </c>
      <c r="BB11" s="7">
        <f t="shared" si="15"/>
        <v>47695</v>
      </c>
      <c r="BC11" s="7">
        <f t="shared" si="15"/>
        <v>47726</v>
      </c>
      <c r="BD11" s="7">
        <f t="shared" si="15"/>
        <v>47756</v>
      </c>
      <c r="BE11" s="7">
        <f t="shared" si="15"/>
        <v>47787</v>
      </c>
      <c r="BF11" s="7">
        <f t="shared" si="15"/>
        <v>47817</v>
      </c>
      <c r="BG11" s="7">
        <f t="shared" si="15"/>
        <v>47848</v>
      </c>
      <c r="BH11" s="7">
        <f t="shared" si="15"/>
        <v>47879</v>
      </c>
      <c r="BI11" s="7">
        <f t="shared" si="15"/>
        <v>47907</v>
      </c>
      <c r="BJ11" s="7">
        <f t="shared" si="15"/>
        <v>47938</v>
      </c>
      <c r="BK11" s="7">
        <f t="shared" si="15"/>
        <v>47968</v>
      </c>
      <c r="BL11" s="7">
        <f t="shared" si="15"/>
        <v>47999</v>
      </c>
      <c r="BM11" s="7">
        <f t="shared" si="15"/>
        <v>48029</v>
      </c>
      <c r="BN11" s="7">
        <f t="shared" si="15"/>
        <v>48060</v>
      </c>
      <c r="BO11" s="7">
        <f t="shared" si="15"/>
        <v>48091</v>
      </c>
      <c r="BP11" s="7">
        <f t="shared" si="15"/>
        <v>48121</v>
      </c>
      <c r="BQ11" s="7">
        <f t="shared" si="15"/>
        <v>48152</v>
      </c>
      <c r="BR11" s="7">
        <f t="shared" ref="BR11:EC11" si="16">EOMONTH(BR10,0)</f>
        <v>48182</v>
      </c>
      <c r="BS11" s="7">
        <f t="shared" si="16"/>
        <v>48213</v>
      </c>
      <c r="BT11" s="7">
        <f t="shared" si="16"/>
        <v>48244</v>
      </c>
      <c r="BU11" s="7">
        <f t="shared" si="16"/>
        <v>48273</v>
      </c>
      <c r="BV11" s="7">
        <f t="shared" si="16"/>
        <v>48304</v>
      </c>
      <c r="BW11" s="7">
        <f t="shared" si="16"/>
        <v>48334</v>
      </c>
      <c r="BX11" s="7">
        <f t="shared" si="16"/>
        <v>48365</v>
      </c>
      <c r="BY11" s="7">
        <f t="shared" si="16"/>
        <v>48395</v>
      </c>
      <c r="BZ11" s="7">
        <f t="shared" si="16"/>
        <v>48426</v>
      </c>
      <c r="CA11" s="7">
        <f t="shared" si="16"/>
        <v>48457</v>
      </c>
      <c r="CB11" s="7">
        <f t="shared" si="16"/>
        <v>48487</v>
      </c>
      <c r="CC11" s="7">
        <f t="shared" si="16"/>
        <v>48518</v>
      </c>
      <c r="CD11" s="7">
        <f t="shared" si="16"/>
        <v>48548</v>
      </c>
      <c r="CE11" s="7">
        <f t="shared" si="16"/>
        <v>48579</v>
      </c>
      <c r="CF11" s="7">
        <f t="shared" si="16"/>
        <v>48610</v>
      </c>
      <c r="CG11" s="7">
        <f t="shared" si="16"/>
        <v>48638</v>
      </c>
      <c r="CH11" s="7">
        <f t="shared" si="16"/>
        <v>48669</v>
      </c>
      <c r="CI11" s="7">
        <f t="shared" si="16"/>
        <v>48699</v>
      </c>
      <c r="CJ11" s="7">
        <f t="shared" si="16"/>
        <v>48730</v>
      </c>
      <c r="CK11" s="7">
        <f t="shared" si="16"/>
        <v>48760</v>
      </c>
      <c r="CL11" s="7">
        <f t="shared" si="16"/>
        <v>48791</v>
      </c>
      <c r="CM11" s="7">
        <f t="shared" si="16"/>
        <v>48822</v>
      </c>
      <c r="CN11" s="7">
        <f t="shared" si="16"/>
        <v>48852</v>
      </c>
      <c r="CO11" s="7">
        <f t="shared" si="16"/>
        <v>48883</v>
      </c>
      <c r="CP11" s="7">
        <f t="shared" si="16"/>
        <v>48913</v>
      </c>
      <c r="CQ11" s="7">
        <f t="shared" si="16"/>
        <v>48944</v>
      </c>
      <c r="CR11" s="7">
        <f t="shared" si="16"/>
        <v>48975</v>
      </c>
      <c r="CS11" s="7">
        <f t="shared" si="16"/>
        <v>49003</v>
      </c>
      <c r="CT11" s="7">
        <f t="shared" si="16"/>
        <v>49034</v>
      </c>
      <c r="CU11" s="7">
        <f t="shared" si="16"/>
        <v>49064</v>
      </c>
      <c r="CV11" s="7">
        <f t="shared" si="16"/>
        <v>49095</v>
      </c>
      <c r="CW11" s="7">
        <f t="shared" si="16"/>
        <v>49125</v>
      </c>
      <c r="CX11" s="7">
        <f t="shared" si="16"/>
        <v>49156</v>
      </c>
      <c r="CY11" s="7">
        <f t="shared" si="16"/>
        <v>49187</v>
      </c>
      <c r="CZ11" s="7">
        <f t="shared" si="16"/>
        <v>49217</v>
      </c>
      <c r="DA11" s="7">
        <f t="shared" si="16"/>
        <v>49248</v>
      </c>
      <c r="DB11" s="7">
        <f t="shared" si="16"/>
        <v>49278</v>
      </c>
      <c r="DC11" s="7">
        <f t="shared" si="16"/>
        <v>49309</v>
      </c>
      <c r="DD11" s="7">
        <f t="shared" si="16"/>
        <v>49340</v>
      </c>
      <c r="DE11" s="7">
        <f t="shared" si="16"/>
        <v>49368</v>
      </c>
      <c r="DF11" s="7">
        <f t="shared" si="16"/>
        <v>49399</v>
      </c>
      <c r="DG11" s="7">
        <f t="shared" si="16"/>
        <v>49429</v>
      </c>
      <c r="DH11" s="7">
        <f t="shared" si="16"/>
        <v>49460</v>
      </c>
      <c r="DI11" s="7">
        <f t="shared" si="16"/>
        <v>49490</v>
      </c>
      <c r="DJ11" s="7">
        <f t="shared" si="16"/>
        <v>49521</v>
      </c>
      <c r="DK11" s="7">
        <f t="shared" si="16"/>
        <v>49552</v>
      </c>
      <c r="DL11" s="7">
        <f t="shared" si="16"/>
        <v>49582</v>
      </c>
      <c r="DM11" s="7">
        <f t="shared" si="16"/>
        <v>49613</v>
      </c>
      <c r="DN11" s="7">
        <f t="shared" si="16"/>
        <v>49643</v>
      </c>
      <c r="DO11" s="7">
        <f t="shared" si="16"/>
        <v>49674</v>
      </c>
      <c r="DP11" s="7">
        <f t="shared" si="16"/>
        <v>49705</v>
      </c>
      <c r="DQ11" s="7">
        <f t="shared" si="16"/>
        <v>49734</v>
      </c>
      <c r="DR11" s="7">
        <f t="shared" si="16"/>
        <v>49765</v>
      </c>
      <c r="DS11" s="7">
        <f t="shared" si="16"/>
        <v>49795</v>
      </c>
      <c r="DT11" s="7">
        <f t="shared" si="16"/>
        <v>49826</v>
      </c>
      <c r="DU11" s="7">
        <f t="shared" si="16"/>
        <v>49856</v>
      </c>
      <c r="DV11" s="7">
        <f t="shared" si="16"/>
        <v>49887</v>
      </c>
      <c r="DW11" s="7">
        <f t="shared" si="16"/>
        <v>49918</v>
      </c>
      <c r="DX11" s="7">
        <f t="shared" si="16"/>
        <v>49948</v>
      </c>
      <c r="DY11" s="7">
        <f t="shared" si="16"/>
        <v>49979</v>
      </c>
      <c r="DZ11" s="7">
        <f t="shared" si="16"/>
        <v>50009</v>
      </c>
      <c r="EA11" s="7">
        <f t="shared" si="16"/>
        <v>50040</v>
      </c>
      <c r="EB11" s="7">
        <f t="shared" si="16"/>
        <v>50071</v>
      </c>
      <c r="EC11" s="7">
        <f t="shared" si="16"/>
        <v>50099</v>
      </c>
      <c r="ED11" s="7">
        <f t="shared" ref="ED11:GO11" si="17">EOMONTH(ED10,0)</f>
        <v>50130</v>
      </c>
      <c r="EE11" s="7">
        <f t="shared" si="17"/>
        <v>50160</v>
      </c>
      <c r="EF11" s="7">
        <f t="shared" si="17"/>
        <v>50191</v>
      </c>
      <c r="EG11" s="7">
        <f t="shared" si="17"/>
        <v>50221</v>
      </c>
      <c r="EH11" s="7">
        <f t="shared" si="17"/>
        <v>50252</v>
      </c>
      <c r="EI11" s="7">
        <f t="shared" si="17"/>
        <v>50283</v>
      </c>
      <c r="EJ11" s="7">
        <f t="shared" si="17"/>
        <v>50313</v>
      </c>
      <c r="EK11" s="7">
        <f t="shared" si="17"/>
        <v>50344</v>
      </c>
      <c r="EL11" s="7">
        <f t="shared" si="17"/>
        <v>50374</v>
      </c>
      <c r="EM11" s="7">
        <f t="shared" si="17"/>
        <v>50405</v>
      </c>
      <c r="EN11" s="7">
        <f t="shared" si="17"/>
        <v>50436</v>
      </c>
      <c r="EO11" s="7">
        <f t="shared" si="17"/>
        <v>50464</v>
      </c>
      <c r="EP11" s="7">
        <f t="shared" si="17"/>
        <v>50495</v>
      </c>
      <c r="EQ11" s="7">
        <f t="shared" si="17"/>
        <v>50525</v>
      </c>
      <c r="ER11" s="7">
        <f t="shared" si="17"/>
        <v>50556</v>
      </c>
      <c r="ES11" s="7">
        <f t="shared" si="17"/>
        <v>50586</v>
      </c>
      <c r="ET11" s="7">
        <f t="shared" si="17"/>
        <v>50617</v>
      </c>
      <c r="EU11" s="7">
        <f t="shared" si="17"/>
        <v>50648</v>
      </c>
      <c r="EV11" s="7">
        <f t="shared" si="17"/>
        <v>50678</v>
      </c>
      <c r="EW11" s="7">
        <f t="shared" si="17"/>
        <v>50709</v>
      </c>
      <c r="EX11" s="7">
        <f t="shared" si="17"/>
        <v>50739</v>
      </c>
      <c r="EY11" s="7">
        <f t="shared" si="17"/>
        <v>50770</v>
      </c>
      <c r="EZ11" s="7">
        <f t="shared" si="17"/>
        <v>50801</v>
      </c>
      <c r="FA11" s="7">
        <f t="shared" si="17"/>
        <v>50829</v>
      </c>
      <c r="FB11" s="7">
        <f t="shared" si="17"/>
        <v>50860</v>
      </c>
      <c r="FC11" s="7">
        <f t="shared" si="17"/>
        <v>50890</v>
      </c>
      <c r="FD11" s="7">
        <f t="shared" si="17"/>
        <v>50921</v>
      </c>
      <c r="FE11" s="7">
        <f t="shared" si="17"/>
        <v>50951</v>
      </c>
      <c r="FF11" s="7">
        <f t="shared" si="17"/>
        <v>50982</v>
      </c>
      <c r="FG11" s="7">
        <f t="shared" si="17"/>
        <v>51013</v>
      </c>
      <c r="FH11" s="7">
        <f t="shared" si="17"/>
        <v>51043</v>
      </c>
      <c r="FI11" s="7">
        <f t="shared" si="17"/>
        <v>51074</v>
      </c>
      <c r="FJ11" s="7">
        <f t="shared" si="17"/>
        <v>51104</v>
      </c>
      <c r="FK11" s="7">
        <f t="shared" si="17"/>
        <v>51135</v>
      </c>
      <c r="FL11" s="7">
        <f t="shared" si="17"/>
        <v>51166</v>
      </c>
      <c r="FM11" s="7">
        <f t="shared" si="17"/>
        <v>51195</v>
      </c>
      <c r="FN11" s="7">
        <f t="shared" si="17"/>
        <v>51226</v>
      </c>
      <c r="FO11" s="7">
        <f t="shared" si="17"/>
        <v>51256</v>
      </c>
      <c r="FP11" s="7">
        <f t="shared" si="17"/>
        <v>51287</v>
      </c>
      <c r="FQ11" s="7">
        <f t="shared" si="17"/>
        <v>51317</v>
      </c>
      <c r="FR11" s="7">
        <f t="shared" si="17"/>
        <v>51348</v>
      </c>
      <c r="FS11" s="7">
        <f t="shared" si="17"/>
        <v>51379</v>
      </c>
      <c r="FT11" s="7">
        <f t="shared" si="17"/>
        <v>51409</v>
      </c>
      <c r="FU11" s="7">
        <f t="shared" si="17"/>
        <v>51440</v>
      </c>
      <c r="FV11" s="7">
        <f t="shared" si="17"/>
        <v>51470</v>
      </c>
      <c r="FW11" s="7">
        <f t="shared" si="17"/>
        <v>51501</v>
      </c>
      <c r="FX11" s="7">
        <f t="shared" si="17"/>
        <v>51532</v>
      </c>
      <c r="FY11" s="7">
        <f t="shared" si="17"/>
        <v>51560</v>
      </c>
      <c r="FZ11" s="7">
        <f t="shared" si="17"/>
        <v>51591</v>
      </c>
      <c r="GA11" s="7">
        <f t="shared" si="17"/>
        <v>51621</v>
      </c>
      <c r="GB11" s="7">
        <f t="shared" si="17"/>
        <v>51652</v>
      </c>
      <c r="GC11" s="7">
        <f t="shared" si="17"/>
        <v>51682</v>
      </c>
      <c r="GD11" s="7">
        <f t="shared" si="17"/>
        <v>51713</v>
      </c>
      <c r="GE11" s="7">
        <f t="shared" si="17"/>
        <v>51744</v>
      </c>
      <c r="GF11" s="7">
        <f t="shared" si="17"/>
        <v>51774</v>
      </c>
      <c r="GG11" s="7">
        <f t="shared" si="17"/>
        <v>51805</v>
      </c>
      <c r="GH11" s="7">
        <f t="shared" si="17"/>
        <v>51835</v>
      </c>
      <c r="GI11" s="7">
        <f t="shared" si="17"/>
        <v>51866</v>
      </c>
      <c r="GJ11" s="7">
        <f t="shared" si="17"/>
        <v>51897</v>
      </c>
      <c r="GK11" s="7">
        <f t="shared" si="17"/>
        <v>51925</v>
      </c>
      <c r="GL11" s="7">
        <f t="shared" si="17"/>
        <v>51956</v>
      </c>
      <c r="GM11" s="7">
        <f t="shared" si="17"/>
        <v>51986</v>
      </c>
      <c r="GN11" s="7">
        <f t="shared" si="17"/>
        <v>52017</v>
      </c>
      <c r="GO11" s="7">
        <f t="shared" si="17"/>
        <v>52047</v>
      </c>
      <c r="GP11" s="7">
        <f t="shared" ref="GP11:JA11" si="18">EOMONTH(GP10,0)</f>
        <v>52078</v>
      </c>
      <c r="GQ11" s="7">
        <f t="shared" si="18"/>
        <v>52109</v>
      </c>
      <c r="GR11" s="7">
        <f t="shared" si="18"/>
        <v>52139</v>
      </c>
      <c r="GS11" s="7">
        <f t="shared" si="18"/>
        <v>52170</v>
      </c>
      <c r="GT11" s="7">
        <f t="shared" si="18"/>
        <v>52200</v>
      </c>
      <c r="GU11" s="7">
        <f t="shared" si="18"/>
        <v>52231</v>
      </c>
      <c r="GV11" s="7">
        <f t="shared" si="18"/>
        <v>52262</v>
      </c>
      <c r="GW11" s="7">
        <f t="shared" si="18"/>
        <v>52290</v>
      </c>
      <c r="GX11" s="7">
        <f t="shared" si="18"/>
        <v>52321</v>
      </c>
      <c r="GY11" s="7">
        <f t="shared" si="18"/>
        <v>52351</v>
      </c>
      <c r="GZ11" s="7">
        <f t="shared" si="18"/>
        <v>52382</v>
      </c>
      <c r="HA11" s="7">
        <f t="shared" si="18"/>
        <v>52412</v>
      </c>
      <c r="HB11" s="7">
        <f t="shared" si="18"/>
        <v>52443</v>
      </c>
      <c r="HC11" s="7">
        <f t="shared" si="18"/>
        <v>52474</v>
      </c>
      <c r="HD11" s="7">
        <f t="shared" si="18"/>
        <v>52504</v>
      </c>
      <c r="HE11" s="7">
        <f t="shared" si="18"/>
        <v>52535</v>
      </c>
      <c r="HF11" s="7">
        <f t="shared" si="18"/>
        <v>52565</v>
      </c>
      <c r="HG11" s="7">
        <f t="shared" si="18"/>
        <v>52596</v>
      </c>
      <c r="HH11" s="7">
        <f t="shared" si="18"/>
        <v>52627</v>
      </c>
      <c r="HI11" s="7">
        <f t="shared" si="18"/>
        <v>52656</v>
      </c>
      <c r="HJ11" s="7">
        <f t="shared" si="18"/>
        <v>52687</v>
      </c>
      <c r="HK11" s="7">
        <f t="shared" si="18"/>
        <v>52717</v>
      </c>
      <c r="HL11" s="7">
        <f t="shared" si="18"/>
        <v>52748</v>
      </c>
      <c r="HM11" s="7">
        <f t="shared" si="18"/>
        <v>52778</v>
      </c>
      <c r="HN11" s="7">
        <f t="shared" si="18"/>
        <v>52809</v>
      </c>
      <c r="HO11" s="7">
        <f t="shared" si="18"/>
        <v>52840</v>
      </c>
      <c r="HP11" s="7">
        <f t="shared" si="18"/>
        <v>52870</v>
      </c>
      <c r="HQ11" s="7">
        <f t="shared" si="18"/>
        <v>52901</v>
      </c>
      <c r="HR11" s="7">
        <f t="shared" si="18"/>
        <v>52931</v>
      </c>
      <c r="HS11" s="7">
        <f t="shared" si="18"/>
        <v>52962</v>
      </c>
      <c r="HT11" s="7">
        <f t="shared" si="18"/>
        <v>52993</v>
      </c>
      <c r="HU11" s="7">
        <f t="shared" si="18"/>
        <v>53021</v>
      </c>
      <c r="HV11" s="7">
        <f t="shared" si="18"/>
        <v>53052</v>
      </c>
      <c r="HW11" s="7">
        <f t="shared" si="18"/>
        <v>53082</v>
      </c>
      <c r="HX11" s="7">
        <f t="shared" si="18"/>
        <v>53113</v>
      </c>
      <c r="HY11" s="7">
        <f t="shared" si="18"/>
        <v>53143</v>
      </c>
      <c r="HZ11" s="7">
        <f t="shared" si="18"/>
        <v>53174</v>
      </c>
      <c r="IA11" s="7">
        <f t="shared" si="18"/>
        <v>53205</v>
      </c>
      <c r="IB11" s="7">
        <f t="shared" si="18"/>
        <v>53235</v>
      </c>
      <c r="IC11" s="7">
        <f t="shared" si="18"/>
        <v>53266</v>
      </c>
      <c r="ID11" s="7">
        <f t="shared" si="18"/>
        <v>53296</v>
      </c>
      <c r="IE11" s="7">
        <f t="shared" si="18"/>
        <v>53327</v>
      </c>
      <c r="IF11" s="7">
        <f t="shared" si="18"/>
        <v>53358</v>
      </c>
      <c r="IG11" s="7">
        <f t="shared" si="18"/>
        <v>53386</v>
      </c>
      <c r="IH11" s="7">
        <f t="shared" si="18"/>
        <v>53417</v>
      </c>
      <c r="II11" s="7">
        <f t="shared" si="18"/>
        <v>53447</v>
      </c>
      <c r="IJ11" s="7">
        <f t="shared" si="18"/>
        <v>53478</v>
      </c>
      <c r="IK11" s="7">
        <f t="shared" si="18"/>
        <v>53508</v>
      </c>
      <c r="IL11" s="7">
        <f t="shared" si="18"/>
        <v>53539</v>
      </c>
      <c r="IM11" s="7">
        <f t="shared" si="18"/>
        <v>53570</v>
      </c>
      <c r="IN11" s="7">
        <f t="shared" si="18"/>
        <v>53600</v>
      </c>
      <c r="IO11" s="7">
        <f t="shared" si="18"/>
        <v>53631</v>
      </c>
      <c r="IP11" s="7">
        <f t="shared" si="18"/>
        <v>53661</v>
      </c>
      <c r="IQ11" s="7">
        <f t="shared" si="18"/>
        <v>53692</v>
      </c>
      <c r="IR11" s="7">
        <f t="shared" si="18"/>
        <v>53723</v>
      </c>
      <c r="IS11" s="7">
        <f t="shared" si="18"/>
        <v>53751</v>
      </c>
      <c r="IT11" s="7">
        <f t="shared" si="18"/>
        <v>53782</v>
      </c>
      <c r="IU11" s="7">
        <f t="shared" si="18"/>
        <v>53812</v>
      </c>
      <c r="IV11" s="7">
        <f t="shared" si="18"/>
        <v>53843</v>
      </c>
      <c r="IW11" s="7">
        <f t="shared" si="18"/>
        <v>53873</v>
      </c>
      <c r="IX11" s="7">
        <f t="shared" si="18"/>
        <v>53904</v>
      </c>
      <c r="IY11" s="7">
        <f t="shared" si="18"/>
        <v>53935</v>
      </c>
      <c r="IZ11" s="7">
        <f t="shared" si="18"/>
        <v>53965</v>
      </c>
      <c r="JA11" s="7">
        <f t="shared" si="18"/>
        <v>53996</v>
      </c>
      <c r="JB11" s="7">
        <f t="shared" ref="JB11:KA11" si="19">EOMONTH(JB10,0)</f>
        <v>54026</v>
      </c>
      <c r="JC11" s="7">
        <f t="shared" si="19"/>
        <v>54057</v>
      </c>
      <c r="JD11" s="7">
        <f t="shared" si="19"/>
        <v>54088</v>
      </c>
      <c r="JE11" s="7">
        <f t="shared" si="19"/>
        <v>54117</v>
      </c>
      <c r="JF11" s="7">
        <f t="shared" si="19"/>
        <v>54148</v>
      </c>
      <c r="JG11" s="7">
        <f t="shared" si="19"/>
        <v>54178</v>
      </c>
      <c r="JH11" s="7">
        <f t="shared" si="19"/>
        <v>54209</v>
      </c>
      <c r="JI11" s="7">
        <f t="shared" si="19"/>
        <v>54239</v>
      </c>
      <c r="JJ11" s="7">
        <f t="shared" si="19"/>
        <v>54270</v>
      </c>
      <c r="JK11" s="7">
        <f t="shared" si="19"/>
        <v>54301</v>
      </c>
      <c r="JL11" s="7">
        <f t="shared" si="19"/>
        <v>54331</v>
      </c>
      <c r="JM11" s="7">
        <f t="shared" si="19"/>
        <v>54362</v>
      </c>
      <c r="JN11" s="7">
        <f t="shared" si="19"/>
        <v>54392</v>
      </c>
      <c r="JO11" s="7">
        <f t="shared" si="19"/>
        <v>54423</v>
      </c>
      <c r="JP11" s="7">
        <f t="shared" si="19"/>
        <v>54454</v>
      </c>
      <c r="JQ11" s="7">
        <f t="shared" si="19"/>
        <v>54482</v>
      </c>
      <c r="JR11" s="7">
        <f t="shared" si="19"/>
        <v>54513</v>
      </c>
      <c r="JS11" s="7">
        <f t="shared" si="19"/>
        <v>54543</v>
      </c>
      <c r="JT11" s="7">
        <f t="shared" si="19"/>
        <v>54574</v>
      </c>
      <c r="JU11" s="7">
        <f t="shared" si="19"/>
        <v>54604</v>
      </c>
      <c r="JV11" s="7">
        <f t="shared" si="19"/>
        <v>54635</v>
      </c>
      <c r="JW11" s="7">
        <f t="shared" si="19"/>
        <v>54666</v>
      </c>
      <c r="JX11" s="7">
        <f t="shared" si="19"/>
        <v>54696</v>
      </c>
      <c r="JY11" s="7">
        <f t="shared" si="19"/>
        <v>54727</v>
      </c>
      <c r="JZ11" s="7">
        <f t="shared" si="19"/>
        <v>54757</v>
      </c>
      <c r="KA11" s="7">
        <f t="shared" si="19"/>
        <v>54788</v>
      </c>
    </row>
    <row r="12" spans="2:287" x14ac:dyDescent="0.35">
      <c r="B12" s="1"/>
      <c r="C12" s="1"/>
      <c r="D12" s="1"/>
      <c r="E12" s="6" t="s">
        <v>13</v>
      </c>
      <c r="F12" s="6" t="str">
        <f t="shared" ref="F12:BQ12" si="20">"CY"&amp;RIGHT(YEAR(F10),2)</f>
        <v>CY26</v>
      </c>
      <c r="G12" s="6" t="str">
        <f t="shared" si="20"/>
        <v>CY26</v>
      </c>
      <c r="H12" s="6" t="str">
        <f t="shared" si="20"/>
        <v>CY26</v>
      </c>
      <c r="I12" s="6" t="str">
        <f t="shared" si="20"/>
        <v>CY26</v>
      </c>
      <c r="J12" s="6" t="str">
        <f t="shared" si="20"/>
        <v>CY26</v>
      </c>
      <c r="K12" s="6" t="str">
        <f t="shared" si="20"/>
        <v>CY26</v>
      </c>
      <c r="L12" s="6" t="str">
        <f t="shared" si="20"/>
        <v>CY27</v>
      </c>
      <c r="M12" s="6" t="str">
        <f t="shared" si="20"/>
        <v>CY27</v>
      </c>
      <c r="N12" s="6" t="str">
        <f t="shared" si="20"/>
        <v>CY27</v>
      </c>
      <c r="O12" s="6" t="str">
        <f t="shared" si="20"/>
        <v>CY27</v>
      </c>
      <c r="P12" s="6" t="str">
        <f t="shared" si="20"/>
        <v>CY27</v>
      </c>
      <c r="Q12" s="6" t="str">
        <f t="shared" si="20"/>
        <v>CY27</v>
      </c>
      <c r="R12" s="6" t="str">
        <f t="shared" si="20"/>
        <v>CY27</v>
      </c>
      <c r="S12" s="6" t="str">
        <f t="shared" si="20"/>
        <v>CY27</v>
      </c>
      <c r="T12" s="6" t="str">
        <f t="shared" si="20"/>
        <v>CY27</v>
      </c>
      <c r="U12" s="6" t="str">
        <f t="shared" si="20"/>
        <v>CY27</v>
      </c>
      <c r="V12" s="6" t="str">
        <f t="shared" si="20"/>
        <v>CY27</v>
      </c>
      <c r="W12" s="6" t="str">
        <f t="shared" si="20"/>
        <v>CY27</v>
      </c>
      <c r="X12" s="6" t="str">
        <f t="shared" si="20"/>
        <v>CY28</v>
      </c>
      <c r="Y12" s="6" t="str">
        <f t="shared" si="20"/>
        <v>CY28</v>
      </c>
      <c r="Z12" s="6" t="str">
        <f t="shared" si="20"/>
        <v>CY28</v>
      </c>
      <c r="AA12" s="6" t="str">
        <f t="shared" si="20"/>
        <v>CY28</v>
      </c>
      <c r="AB12" s="6" t="str">
        <f t="shared" si="20"/>
        <v>CY28</v>
      </c>
      <c r="AC12" s="6" t="str">
        <f t="shared" si="20"/>
        <v>CY28</v>
      </c>
      <c r="AD12" s="6" t="str">
        <f t="shared" si="20"/>
        <v>CY28</v>
      </c>
      <c r="AE12" s="6" t="str">
        <f t="shared" si="20"/>
        <v>CY28</v>
      </c>
      <c r="AF12" s="6" t="str">
        <f t="shared" si="20"/>
        <v>CY28</v>
      </c>
      <c r="AG12" s="6" t="str">
        <f t="shared" si="20"/>
        <v>CY28</v>
      </c>
      <c r="AH12" s="6" t="str">
        <f t="shared" si="20"/>
        <v>CY28</v>
      </c>
      <c r="AI12" s="6" t="str">
        <f t="shared" si="20"/>
        <v>CY28</v>
      </c>
      <c r="AJ12" s="6" t="str">
        <f t="shared" si="20"/>
        <v>CY29</v>
      </c>
      <c r="AK12" s="6" t="str">
        <f t="shared" si="20"/>
        <v>CY29</v>
      </c>
      <c r="AL12" s="6" t="str">
        <f t="shared" si="20"/>
        <v>CY29</v>
      </c>
      <c r="AM12" s="6" t="str">
        <f t="shared" si="20"/>
        <v>CY29</v>
      </c>
      <c r="AN12" s="6" t="str">
        <f t="shared" si="20"/>
        <v>CY29</v>
      </c>
      <c r="AO12" s="6" t="str">
        <f t="shared" si="20"/>
        <v>CY29</v>
      </c>
      <c r="AP12" s="6" t="str">
        <f t="shared" si="20"/>
        <v>CY29</v>
      </c>
      <c r="AQ12" s="6" t="str">
        <f t="shared" si="20"/>
        <v>CY29</v>
      </c>
      <c r="AR12" s="6" t="str">
        <f t="shared" si="20"/>
        <v>CY29</v>
      </c>
      <c r="AS12" s="6" t="str">
        <f t="shared" si="20"/>
        <v>CY29</v>
      </c>
      <c r="AT12" s="6" t="str">
        <f t="shared" si="20"/>
        <v>CY29</v>
      </c>
      <c r="AU12" s="6" t="str">
        <f t="shared" si="20"/>
        <v>CY29</v>
      </c>
      <c r="AV12" s="6" t="str">
        <f t="shared" si="20"/>
        <v>CY30</v>
      </c>
      <c r="AW12" s="6" t="str">
        <f t="shared" si="20"/>
        <v>CY30</v>
      </c>
      <c r="AX12" s="6" t="str">
        <f t="shared" si="20"/>
        <v>CY30</v>
      </c>
      <c r="AY12" s="6" t="str">
        <f t="shared" si="20"/>
        <v>CY30</v>
      </c>
      <c r="AZ12" s="6" t="str">
        <f t="shared" si="20"/>
        <v>CY30</v>
      </c>
      <c r="BA12" s="6" t="str">
        <f t="shared" si="20"/>
        <v>CY30</v>
      </c>
      <c r="BB12" s="6" t="str">
        <f t="shared" si="20"/>
        <v>CY30</v>
      </c>
      <c r="BC12" s="6" t="str">
        <f t="shared" si="20"/>
        <v>CY30</v>
      </c>
      <c r="BD12" s="6" t="str">
        <f t="shared" si="20"/>
        <v>CY30</v>
      </c>
      <c r="BE12" s="6" t="str">
        <f t="shared" si="20"/>
        <v>CY30</v>
      </c>
      <c r="BF12" s="6" t="str">
        <f t="shared" si="20"/>
        <v>CY30</v>
      </c>
      <c r="BG12" s="6" t="str">
        <f t="shared" si="20"/>
        <v>CY30</v>
      </c>
      <c r="BH12" s="6" t="str">
        <f t="shared" si="20"/>
        <v>CY31</v>
      </c>
      <c r="BI12" s="6" t="str">
        <f t="shared" si="20"/>
        <v>CY31</v>
      </c>
      <c r="BJ12" s="6" t="str">
        <f t="shared" si="20"/>
        <v>CY31</v>
      </c>
      <c r="BK12" s="6" t="str">
        <f t="shared" si="20"/>
        <v>CY31</v>
      </c>
      <c r="BL12" s="6" t="str">
        <f t="shared" si="20"/>
        <v>CY31</v>
      </c>
      <c r="BM12" s="6" t="str">
        <f t="shared" si="20"/>
        <v>CY31</v>
      </c>
      <c r="BN12" s="6" t="str">
        <f t="shared" si="20"/>
        <v>CY31</v>
      </c>
      <c r="BO12" s="6" t="str">
        <f t="shared" si="20"/>
        <v>CY31</v>
      </c>
      <c r="BP12" s="6" t="str">
        <f t="shared" si="20"/>
        <v>CY31</v>
      </c>
      <c r="BQ12" s="6" t="str">
        <f t="shared" si="20"/>
        <v>CY31</v>
      </c>
      <c r="BR12" s="6" t="str">
        <f t="shared" ref="BR12:EC12" si="21">"CY"&amp;RIGHT(YEAR(BR10),2)</f>
        <v>CY31</v>
      </c>
      <c r="BS12" s="6" t="str">
        <f t="shared" si="21"/>
        <v>CY31</v>
      </c>
      <c r="BT12" s="6" t="str">
        <f t="shared" si="21"/>
        <v>CY32</v>
      </c>
      <c r="BU12" s="6" t="str">
        <f t="shared" si="21"/>
        <v>CY32</v>
      </c>
      <c r="BV12" s="6" t="str">
        <f t="shared" si="21"/>
        <v>CY32</v>
      </c>
      <c r="BW12" s="6" t="str">
        <f t="shared" si="21"/>
        <v>CY32</v>
      </c>
      <c r="BX12" s="6" t="str">
        <f t="shared" si="21"/>
        <v>CY32</v>
      </c>
      <c r="BY12" s="6" t="str">
        <f t="shared" si="21"/>
        <v>CY32</v>
      </c>
      <c r="BZ12" s="6" t="str">
        <f t="shared" si="21"/>
        <v>CY32</v>
      </c>
      <c r="CA12" s="6" t="str">
        <f t="shared" si="21"/>
        <v>CY32</v>
      </c>
      <c r="CB12" s="6" t="str">
        <f t="shared" si="21"/>
        <v>CY32</v>
      </c>
      <c r="CC12" s="6" t="str">
        <f t="shared" si="21"/>
        <v>CY32</v>
      </c>
      <c r="CD12" s="6" t="str">
        <f t="shared" si="21"/>
        <v>CY32</v>
      </c>
      <c r="CE12" s="6" t="str">
        <f t="shared" si="21"/>
        <v>CY32</v>
      </c>
      <c r="CF12" s="6" t="str">
        <f t="shared" si="21"/>
        <v>CY33</v>
      </c>
      <c r="CG12" s="6" t="str">
        <f t="shared" si="21"/>
        <v>CY33</v>
      </c>
      <c r="CH12" s="6" t="str">
        <f t="shared" si="21"/>
        <v>CY33</v>
      </c>
      <c r="CI12" s="6" t="str">
        <f t="shared" si="21"/>
        <v>CY33</v>
      </c>
      <c r="CJ12" s="6" t="str">
        <f t="shared" si="21"/>
        <v>CY33</v>
      </c>
      <c r="CK12" s="6" t="str">
        <f t="shared" si="21"/>
        <v>CY33</v>
      </c>
      <c r="CL12" s="6" t="str">
        <f t="shared" si="21"/>
        <v>CY33</v>
      </c>
      <c r="CM12" s="6" t="str">
        <f t="shared" si="21"/>
        <v>CY33</v>
      </c>
      <c r="CN12" s="6" t="str">
        <f t="shared" si="21"/>
        <v>CY33</v>
      </c>
      <c r="CO12" s="6" t="str">
        <f t="shared" si="21"/>
        <v>CY33</v>
      </c>
      <c r="CP12" s="6" t="str">
        <f t="shared" si="21"/>
        <v>CY33</v>
      </c>
      <c r="CQ12" s="6" t="str">
        <f t="shared" si="21"/>
        <v>CY33</v>
      </c>
      <c r="CR12" s="6" t="str">
        <f t="shared" si="21"/>
        <v>CY34</v>
      </c>
      <c r="CS12" s="6" t="str">
        <f t="shared" si="21"/>
        <v>CY34</v>
      </c>
      <c r="CT12" s="6" t="str">
        <f t="shared" si="21"/>
        <v>CY34</v>
      </c>
      <c r="CU12" s="6" t="str">
        <f t="shared" si="21"/>
        <v>CY34</v>
      </c>
      <c r="CV12" s="6" t="str">
        <f t="shared" si="21"/>
        <v>CY34</v>
      </c>
      <c r="CW12" s="6" t="str">
        <f t="shared" si="21"/>
        <v>CY34</v>
      </c>
      <c r="CX12" s="6" t="str">
        <f t="shared" si="21"/>
        <v>CY34</v>
      </c>
      <c r="CY12" s="6" t="str">
        <f t="shared" si="21"/>
        <v>CY34</v>
      </c>
      <c r="CZ12" s="6" t="str">
        <f t="shared" si="21"/>
        <v>CY34</v>
      </c>
      <c r="DA12" s="6" t="str">
        <f t="shared" si="21"/>
        <v>CY34</v>
      </c>
      <c r="DB12" s="6" t="str">
        <f t="shared" si="21"/>
        <v>CY34</v>
      </c>
      <c r="DC12" s="6" t="str">
        <f t="shared" si="21"/>
        <v>CY34</v>
      </c>
      <c r="DD12" s="6" t="str">
        <f t="shared" si="21"/>
        <v>CY35</v>
      </c>
      <c r="DE12" s="6" t="str">
        <f t="shared" si="21"/>
        <v>CY35</v>
      </c>
      <c r="DF12" s="6" t="str">
        <f t="shared" si="21"/>
        <v>CY35</v>
      </c>
      <c r="DG12" s="6" t="str">
        <f t="shared" si="21"/>
        <v>CY35</v>
      </c>
      <c r="DH12" s="6" t="str">
        <f t="shared" si="21"/>
        <v>CY35</v>
      </c>
      <c r="DI12" s="6" t="str">
        <f t="shared" si="21"/>
        <v>CY35</v>
      </c>
      <c r="DJ12" s="6" t="str">
        <f t="shared" si="21"/>
        <v>CY35</v>
      </c>
      <c r="DK12" s="6" t="str">
        <f t="shared" si="21"/>
        <v>CY35</v>
      </c>
      <c r="DL12" s="6" t="str">
        <f t="shared" si="21"/>
        <v>CY35</v>
      </c>
      <c r="DM12" s="6" t="str">
        <f t="shared" si="21"/>
        <v>CY35</v>
      </c>
      <c r="DN12" s="6" t="str">
        <f t="shared" si="21"/>
        <v>CY35</v>
      </c>
      <c r="DO12" s="6" t="str">
        <f t="shared" si="21"/>
        <v>CY35</v>
      </c>
      <c r="DP12" s="6" t="str">
        <f t="shared" si="21"/>
        <v>CY36</v>
      </c>
      <c r="DQ12" s="6" t="str">
        <f t="shared" si="21"/>
        <v>CY36</v>
      </c>
      <c r="DR12" s="6" t="str">
        <f t="shared" si="21"/>
        <v>CY36</v>
      </c>
      <c r="DS12" s="6" t="str">
        <f t="shared" si="21"/>
        <v>CY36</v>
      </c>
      <c r="DT12" s="6" t="str">
        <f t="shared" si="21"/>
        <v>CY36</v>
      </c>
      <c r="DU12" s="6" t="str">
        <f t="shared" si="21"/>
        <v>CY36</v>
      </c>
      <c r="DV12" s="6" t="str">
        <f t="shared" si="21"/>
        <v>CY36</v>
      </c>
      <c r="DW12" s="6" t="str">
        <f t="shared" si="21"/>
        <v>CY36</v>
      </c>
      <c r="DX12" s="6" t="str">
        <f t="shared" si="21"/>
        <v>CY36</v>
      </c>
      <c r="DY12" s="6" t="str">
        <f t="shared" si="21"/>
        <v>CY36</v>
      </c>
      <c r="DZ12" s="6" t="str">
        <f t="shared" si="21"/>
        <v>CY36</v>
      </c>
      <c r="EA12" s="6" t="str">
        <f t="shared" si="21"/>
        <v>CY36</v>
      </c>
      <c r="EB12" s="6" t="str">
        <f t="shared" si="21"/>
        <v>CY37</v>
      </c>
      <c r="EC12" s="6" t="str">
        <f t="shared" si="21"/>
        <v>CY37</v>
      </c>
      <c r="ED12" s="6" t="str">
        <f t="shared" ref="ED12:GO12" si="22">"CY"&amp;RIGHT(YEAR(ED10),2)</f>
        <v>CY37</v>
      </c>
      <c r="EE12" s="6" t="str">
        <f t="shared" si="22"/>
        <v>CY37</v>
      </c>
      <c r="EF12" s="6" t="str">
        <f t="shared" si="22"/>
        <v>CY37</v>
      </c>
      <c r="EG12" s="6" t="str">
        <f t="shared" si="22"/>
        <v>CY37</v>
      </c>
      <c r="EH12" s="6" t="str">
        <f t="shared" si="22"/>
        <v>CY37</v>
      </c>
      <c r="EI12" s="6" t="str">
        <f t="shared" si="22"/>
        <v>CY37</v>
      </c>
      <c r="EJ12" s="6" t="str">
        <f t="shared" si="22"/>
        <v>CY37</v>
      </c>
      <c r="EK12" s="6" t="str">
        <f t="shared" si="22"/>
        <v>CY37</v>
      </c>
      <c r="EL12" s="6" t="str">
        <f t="shared" si="22"/>
        <v>CY37</v>
      </c>
      <c r="EM12" s="6" t="str">
        <f t="shared" si="22"/>
        <v>CY37</v>
      </c>
      <c r="EN12" s="6" t="str">
        <f t="shared" si="22"/>
        <v>CY38</v>
      </c>
      <c r="EO12" s="6" t="str">
        <f t="shared" si="22"/>
        <v>CY38</v>
      </c>
      <c r="EP12" s="6" t="str">
        <f t="shared" si="22"/>
        <v>CY38</v>
      </c>
      <c r="EQ12" s="6" t="str">
        <f t="shared" si="22"/>
        <v>CY38</v>
      </c>
      <c r="ER12" s="6" t="str">
        <f t="shared" si="22"/>
        <v>CY38</v>
      </c>
      <c r="ES12" s="6" t="str">
        <f t="shared" si="22"/>
        <v>CY38</v>
      </c>
      <c r="ET12" s="6" t="str">
        <f t="shared" si="22"/>
        <v>CY38</v>
      </c>
      <c r="EU12" s="6" t="str">
        <f t="shared" si="22"/>
        <v>CY38</v>
      </c>
      <c r="EV12" s="6" t="str">
        <f t="shared" si="22"/>
        <v>CY38</v>
      </c>
      <c r="EW12" s="6" t="str">
        <f t="shared" si="22"/>
        <v>CY38</v>
      </c>
      <c r="EX12" s="6" t="str">
        <f t="shared" si="22"/>
        <v>CY38</v>
      </c>
      <c r="EY12" s="6" t="str">
        <f t="shared" si="22"/>
        <v>CY38</v>
      </c>
      <c r="EZ12" s="6" t="str">
        <f t="shared" si="22"/>
        <v>CY39</v>
      </c>
      <c r="FA12" s="6" t="str">
        <f t="shared" si="22"/>
        <v>CY39</v>
      </c>
      <c r="FB12" s="6" t="str">
        <f t="shared" si="22"/>
        <v>CY39</v>
      </c>
      <c r="FC12" s="6" t="str">
        <f t="shared" si="22"/>
        <v>CY39</v>
      </c>
      <c r="FD12" s="6" t="str">
        <f t="shared" si="22"/>
        <v>CY39</v>
      </c>
      <c r="FE12" s="6" t="str">
        <f t="shared" si="22"/>
        <v>CY39</v>
      </c>
      <c r="FF12" s="6" t="str">
        <f t="shared" si="22"/>
        <v>CY39</v>
      </c>
      <c r="FG12" s="6" t="str">
        <f t="shared" si="22"/>
        <v>CY39</v>
      </c>
      <c r="FH12" s="6" t="str">
        <f t="shared" si="22"/>
        <v>CY39</v>
      </c>
      <c r="FI12" s="6" t="str">
        <f t="shared" si="22"/>
        <v>CY39</v>
      </c>
      <c r="FJ12" s="6" t="str">
        <f t="shared" si="22"/>
        <v>CY39</v>
      </c>
      <c r="FK12" s="6" t="str">
        <f t="shared" si="22"/>
        <v>CY39</v>
      </c>
      <c r="FL12" s="6" t="str">
        <f t="shared" si="22"/>
        <v>CY40</v>
      </c>
      <c r="FM12" s="6" t="str">
        <f t="shared" si="22"/>
        <v>CY40</v>
      </c>
      <c r="FN12" s="6" t="str">
        <f t="shared" si="22"/>
        <v>CY40</v>
      </c>
      <c r="FO12" s="6" t="str">
        <f t="shared" si="22"/>
        <v>CY40</v>
      </c>
      <c r="FP12" s="6" t="str">
        <f t="shared" si="22"/>
        <v>CY40</v>
      </c>
      <c r="FQ12" s="6" t="str">
        <f t="shared" si="22"/>
        <v>CY40</v>
      </c>
      <c r="FR12" s="6" t="str">
        <f t="shared" si="22"/>
        <v>CY40</v>
      </c>
      <c r="FS12" s="6" t="str">
        <f t="shared" si="22"/>
        <v>CY40</v>
      </c>
      <c r="FT12" s="6" t="str">
        <f t="shared" si="22"/>
        <v>CY40</v>
      </c>
      <c r="FU12" s="6" t="str">
        <f t="shared" si="22"/>
        <v>CY40</v>
      </c>
      <c r="FV12" s="6" t="str">
        <f t="shared" si="22"/>
        <v>CY40</v>
      </c>
      <c r="FW12" s="6" t="str">
        <f t="shared" si="22"/>
        <v>CY40</v>
      </c>
      <c r="FX12" s="6" t="str">
        <f t="shared" si="22"/>
        <v>CY41</v>
      </c>
      <c r="FY12" s="6" t="str">
        <f t="shared" si="22"/>
        <v>CY41</v>
      </c>
      <c r="FZ12" s="6" t="str">
        <f t="shared" si="22"/>
        <v>CY41</v>
      </c>
      <c r="GA12" s="6" t="str">
        <f t="shared" si="22"/>
        <v>CY41</v>
      </c>
      <c r="GB12" s="6" t="str">
        <f t="shared" si="22"/>
        <v>CY41</v>
      </c>
      <c r="GC12" s="6" t="str">
        <f t="shared" si="22"/>
        <v>CY41</v>
      </c>
      <c r="GD12" s="6" t="str">
        <f t="shared" si="22"/>
        <v>CY41</v>
      </c>
      <c r="GE12" s="6" t="str">
        <f t="shared" si="22"/>
        <v>CY41</v>
      </c>
      <c r="GF12" s="6" t="str">
        <f t="shared" si="22"/>
        <v>CY41</v>
      </c>
      <c r="GG12" s="6" t="str">
        <f t="shared" si="22"/>
        <v>CY41</v>
      </c>
      <c r="GH12" s="6" t="str">
        <f t="shared" si="22"/>
        <v>CY41</v>
      </c>
      <c r="GI12" s="6" t="str">
        <f t="shared" si="22"/>
        <v>CY41</v>
      </c>
      <c r="GJ12" s="6" t="str">
        <f t="shared" si="22"/>
        <v>CY42</v>
      </c>
      <c r="GK12" s="6" t="str">
        <f t="shared" si="22"/>
        <v>CY42</v>
      </c>
      <c r="GL12" s="6" t="str">
        <f t="shared" si="22"/>
        <v>CY42</v>
      </c>
      <c r="GM12" s="6" t="str">
        <f t="shared" si="22"/>
        <v>CY42</v>
      </c>
      <c r="GN12" s="6" t="str">
        <f t="shared" si="22"/>
        <v>CY42</v>
      </c>
      <c r="GO12" s="6" t="str">
        <f t="shared" si="22"/>
        <v>CY42</v>
      </c>
      <c r="GP12" s="6" t="str">
        <f t="shared" ref="GP12:JA12" si="23">"CY"&amp;RIGHT(YEAR(GP10),2)</f>
        <v>CY42</v>
      </c>
      <c r="GQ12" s="6" t="str">
        <f t="shared" si="23"/>
        <v>CY42</v>
      </c>
      <c r="GR12" s="6" t="str">
        <f t="shared" si="23"/>
        <v>CY42</v>
      </c>
      <c r="GS12" s="6" t="str">
        <f t="shared" si="23"/>
        <v>CY42</v>
      </c>
      <c r="GT12" s="6" t="str">
        <f t="shared" si="23"/>
        <v>CY42</v>
      </c>
      <c r="GU12" s="6" t="str">
        <f t="shared" si="23"/>
        <v>CY42</v>
      </c>
      <c r="GV12" s="6" t="str">
        <f t="shared" si="23"/>
        <v>CY43</v>
      </c>
      <c r="GW12" s="6" t="str">
        <f t="shared" si="23"/>
        <v>CY43</v>
      </c>
      <c r="GX12" s="6" t="str">
        <f t="shared" si="23"/>
        <v>CY43</v>
      </c>
      <c r="GY12" s="6" t="str">
        <f t="shared" si="23"/>
        <v>CY43</v>
      </c>
      <c r="GZ12" s="6" t="str">
        <f t="shared" si="23"/>
        <v>CY43</v>
      </c>
      <c r="HA12" s="6" t="str">
        <f t="shared" si="23"/>
        <v>CY43</v>
      </c>
      <c r="HB12" s="6" t="str">
        <f t="shared" si="23"/>
        <v>CY43</v>
      </c>
      <c r="HC12" s="6" t="str">
        <f t="shared" si="23"/>
        <v>CY43</v>
      </c>
      <c r="HD12" s="6" t="str">
        <f t="shared" si="23"/>
        <v>CY43</v>
      </c>
      <c r="HE12" s="6" t="str">
        <f t="shared" si="23"/>
        <v>CY43</v>
      </c>
      <c r="HF12" s="6" t="str">
        <f t="shared" si="23"/>
        <v>CY43</v>
      </c>
      <c r="HG12" s="6" t="str">
        <f t="shared" si="23"/>
        <v>CY43</v>
      </c>
      <c r="HH12" s="6" t="str">
        <f t="shared" si="23"/>
        <v>CY44</v>
      </c>
      <c r="HI12" s="6" t="str">
        <f t="shared" si="23"/>
        <v>CY44</v>
      </c>
      <c r="HJ12" s="6" t="str">
        <f t="shared" si="23"/>
        <v>CY44</v>
      </c>
      <c r="HK12" s="6" t="str">
        <f t="shared" si="23"/>
        <v>CY44</v>
      </c>
      <c r="HL12" s="6" t="str">
        <f t="shared" si="23"/>
        <v>CY44</v>
      </c>
      <c r="HM12" s="6" t="str">
        <f t="shared" si="23"/>
        <v>CY44</v>
      </c>
      <c r="HN12" s="6" t="str">
        <f t="shared" si="23"/>
        <v>CY44</v>
      </c>
      <c r="HO12" s="6" t="str">
        <f t="shared" si="23"/>
        <v>CY44</v>
      </c>
      <c r="HP12" s="6" t="str">
        <f t="shared" si="23"/>
        <v>CY44</v>
      </c>
      <c r="HQ12" s="6" t="str">
        <f t="shared" si="23"/>
        <v>CY44</v>
      </c>
      <c r="HR12" s="6" t="str">
        <f t="shared" si="23"/>
        <v>CY44</v>
      </c>
      <c r="HS12" s="6" t="str">
        <f t="shared" si="23"/>
        <v>CY44</v>
      </c>
      <c r="HT12" s="6" t="str">
        <f t="shared" si="23"/>
        <v>CY45</v>
      </c>
      <c r="HU12" s="6" t="str">
        <f t="shared" si="23"/>
        <v>CY45</v>
      </c>
      <c r="HV12" s="6" t="str">
        <f t="shared" si="23"/>
        <v>CY45</v>
      </c>
      <c r="HW12" s="6" t="str">
        <f t="shared" si="23"/>
        <v>CY45</v>
      </c>
      <c r="HX12" s="6" t="str">
        <f t="shared" si="23"/>
        <v>CY45</v>
      </c>
      <c r="HY12" s="6" t="str">
        <f t="shared" si="23"/>
        <v>CY45</v>
      </c>
      <c r="HZ12" s="6" t="str">
        <f t="shared" si="23"/>
        <v>CY45</v>
      </c>
      <c r="IA12" s="6" t="str">
        <f t="shared" si="23"/>
        <v>CY45</v>
      </c>
      <c r="IB12" s="6" t="str">
        <f t="shared" si="23"/>
        <v>CY45</v>
      </c>
      <c r="IC12" s="6" t="str">
        <f t="shared" si="23"/>
        <v>CY45</v>
      </c>
      <c r="ID12" s="6" t="str">
        <f t="shared" si="23"/>
        <v>CY45</v>
      </c>
      <c r="IE12" s="6" t="str">
        <f t="shared" si="23"/>
        <v>CY45</v>
      </c>
      <c r="IF12" s="6" t="str">
        <f t="shared" si="23"/>
        <v>CY46</v>
      </c>
      <c r="IG12" s="6" t="str">
        <f t="shared" si="23"/>
        <v>CY46</v>
      </c>
      <c r="IH12" s="6" t="str">
        <f t="shared" si="23"/>
        <v>CY46</v>
      </c>
      <c r="II12" s="6" t="str">
        <f t="shared" si="23"/>
        <v>CY46</v>
      </c>
      <c r="IJ12" s="6" t="str">
        <f t="shared" si="23"/>
        <v>CY46</v>
      </c>
      <c r="IK12" s="6" t="str">
        <f t="shared" si="23"/>
        <v>CY46</v>
      </c>
      <c r="IL12" s="6" t="str">
        <f t="shared" si="23"/>
        <v>CY46</v>
      </c>
      <c r="IM12" s="6" t="str">
        <f t="shared" si="23"/>
        <v>CY46</v>
      </c>
      <c r="IN12" s="6" t="str">
        <f t="shared" si="23"/>
        <v>CY46</v>
      </c>
      <c r="IO12" s="6" t="str">
        <f t="shared" si="23"/>
        <v>CY46</v>
      </c>
      <c r="IP12" s="6" t="str">
        <f t="shared" si="23"/>
        <v>CY46</v>
      </c>
      <c r="IQ12" s="6" t="str">
        <f t="shared" si="23"/>
        <v>CY46</v>
      </c>
      <c r="IR12" s="6" t="str">
        <f t="shared" si="23"/>
        <v>CY47</v>
      </c>
      <c r="IS12" s="6" t="str">
        <f t="shared" si="23"/>
        <v>CY47</v>
      </c>
      <c r="IT12" s="6" t="str">
        <f t="shared" si="23"/>
        <v>CY47</v>
      </c>
      <c r="IU12" s="6" t="str">
        <f t="shared" si="23"/>
        <v>CY47</v>
      </c>
      <c r="IV12" s="6" t="str">
        <f t="shared" si="23"/>
        <v>CY47</v>
      </c>
      <c r="IW12" s="6" t="str">
        <f t="shared" si="23"/>
        <v>CY47</v>
      </c>
      <c r="IX12" s="6" t="str">
        <f t="shared" si="23"/>
        <v>CY47</v>
      </c>
      <c r="IY12" s="6" t="str">
        <f t="shared" si="23"/>
        <v>CY47</v>
      </c>
      <c r="IZ12" s="6" t="str">
        <f t="shared" si="23"/>
        <v>CY47</v>
      </c>
      <c r="JA12" s="6" t="str">
        <f t="shared" si="23"/>
        <v>CY47</v>
      </c>
      <c r="JB12" s="6" t="str">
        <f t="shared" ref="JB12:KA12" si="24">"CY"&amp;RIGHT(YEAR(JB10),2)</f>
        <v>CY47</v>
      </c>
      <c r="JC12" s="6" t="str">
        <f t="shared" si="24"/>
        <v>CY47</v>
      </c>
      <c r="JD12" s="6" t="str">
        <f t="shared" si="24"/>
        <v>CY48</v>
      </c>
      <c r="JE12" s="6" t="str">
        <f t="shared" si="24"/>
        <v>CY48</v>
      </c>
      <c r="JF12" s="6" t="str">
        <f t="shared" si="24"/>
        <v>CY48</v>
      </c>
      <c r="JG12" s="6" t="str">
        <f t="shared" si="24"/>
        <v>CY48</v>
      </c>
      <c r="JH12" s="6" t="str">
        <f t="shared" si="24"/>
        <v>CY48</v>
      </c>
      <c r="JI12" s="6" t="str">
        <f t="shared" si="24"/>
        <v>CY48</v>
      </c>
      <c r="JJ12" s="6" t="str">
        <f t="shared" si="24"/>
        <v>CY48</v>
      </c>
      <c r="JK12" s="6" t="str">
        <f t="shared" si="24"/>
        <v>CY48</v>
      </c>
      <c r="JL12" s="6" t="str">
        <f t="shared" si="24"/>
        <v>CY48</v>
      </c>
      <c r="JM12" s="6" t="str">
        <f t="shared" si="24"/>
        <v>CY48</v>
      </c>
      <c r="JN12" s="6" t="str">
        <f t="shared" si="24"/>
        <v>CY48</v>
      </c>
      <c r="JO12" s="6" t="str">
        <f t="shared" si="24"/>
        <v>CY48</v>
      </c>
      <c r="JP12" s="6" t="str">
        <f t="shared" si="24"/>
        <v>CY49</v>
      </c>
      <c r="JQ12" s="6" t="str">
        <f t="shared" si="24"/>
        <v>CY49</v>
      </c>
      <c r="JR12" s="6" t="str">
        <f t="shared" si="24"/>
        <v>CY49</v>
      </c>
      <c r="JS12" s="6" t="str">
        <f t="shared" si="24"/>
        <v>CY49</v>
      </c>
      <c r="JT12" s="6" t="str">
        <f t="shared" si="24"/>
        <v>CY49</v>
      </c>
      <c r="JU12" s="6" t="str">
        <f t="shared" si="24"/>
        <v>CY49</v>
      </c>
      <c r="JV12" s="6" t="str">
        <f t="shared" si="24"/>
        <v>CY49</v>
      </c>
      <c r="JW12" s="6" t="str">
        <f t="shared" si="24"/>
        <v>CY49</v>
      </c>
      <c r="JX12" s="6" t="str">
        <f t="shared" si="24"/>
        <v>CY49</v>
      </c>
      <c r="JY12" s="6" t="str">
        <f t="shared" si="24"/>
        <v>CY49</v>
      </c>
      <c r="JZ12" s="6" t="str">
        <f t="shared" si="24"/>
        <v>CY49</v>
      </c>
      <c r="KA12" s="6" t="str">
        <f t="shared" si="24"/>
        <v>CY49</v>
      </c>
    </row>
    <row r="13" spans="2:287" x14ac:dyDescent="0.35">
      <c r="B13" s="1"/>
      <c r="C13" s="1"/>
      <c r="D13" s="1"/>
      <c r="E13" s="6" t="s">
        <v>1</v>
      </c>
      <c r="F13" s="6" t="str">
        <f t="shared" ref="F13:BQ13" si="25">"FY"&amp;IF(MONTH(F10)&gt;6,RIGHT(YEAR(F10)+1,2),RIGHT(YEAR(F10),2))</f>
        <v>FY27</v>
      </c>
      <c r="G13" s="6" t="str">
        <f t="shared" si="25"/>
        <v>FY27</v>
      </c>
      <c r="H13" s="6" t="str">
        <f t="shared" si="25"/>
        <v>FY27</v>
      </c>
      <c r="I13" s="6" t="str">
        <f t="shared" si="25"/>
        <v>FY27</v>
      </c>
      <c r="J13" s="6" t="str">
        <f t="shared" si="25"/>
        <v>FY27</v>
      </c>
      <c r="K13" s="6" t="str">
        <f t="shared" si="25"/>
        <v>FY27</v>
      </c>
      <c r="L13" s="6" t="str">
        <f t="shared" si="25"/>
        <v>FY27</v>
      </c>
      <c r="M13" s="6" t="str">
        <f t="shared" si="25"/>
        <v>FY27</v>
      </c>
      <c r="N13" s="6" t="str">
        <f t="shared" si="25"/>
        <v>FY27</v>
      </c>
      <c r="O13" s="6" t="str">
        <f t="shared" si="25"/>
        <v>FY27</v>
      </c>
      <c r="P13" s="6" t="str">
        <f t="shared" si="25"/>
        <v>FY27</v>
      </c>
      <c r="Q13" s="6" t="str">
        <f t="shared" si="25"/>
        <v>FY27</v>
      </c>
      <c r="R13" s="6" t="str">
        <f t="shared" si="25"/>
        <v>FY28</v>
      </c>
      <c r="S13" s="6" t="str">
        <f t="shared" si="25"/>
        <v>FY28</v>
      </c>
      <c r="T13" s="6" t="str">
        <f t="shared" si="25"/>
        <v>FY28</v>
      </c>
      <c r="U13" s="6" t="str">
        <f t="shared" si="25"/>
        <v>FY28</v>
      </c>
      <c r="V13" s="6" t="str">
        <f t="shared" si="25"/>
        <v>FY28</v>
      </c>
      <c r="W13" s="6" t="str">
        <f t="shared" si="25"/>
        <v>FY28</v>
      </c>
      <c r="X13" s="6" t="str">
        <f t="shared" si="25"/>
        <v>FY28</v>
      </c>
      <c r="Y13" s="6" t="str">
        <f t="shared" si="25"/>
        <v>FY28</v>
      </c>
      <c r="Z13" s="6" t="str">
        <f t="shared" si="25"/>
        <v>FY28</v>
      </c>
      <c r="AA13" s="6" t="str">
        <f t="shared" si="25"/>
        <v>FY28</v>
      </c>
      <c r="AB13" s="6" t="str">
        <f t="shared" si="25"/>
        <v>FY28</v>
      </c>
      <c r="AC13" s="6" t="str">
        <f t="shared" si="25"/>
        <v>FY28</v>
      </c>
      <c r="AD13" s="6" t="str">
        <f t="shared" si="25"/>
        <v>FY29</v>
      </c>
      <c r="AE13" s="6" t="str">
        <f t="shared" si="25"/>
        <v>FY29</v>
      </c>
      <c r="AF13" s="6" t="str">
        <f t="shared" si="25"/>
        <v>FY29</v>
      </c>
      <c r="AG13" s="6" t="str">
        <f t="shared" si="25"/>
        <v>FY29</v>
      </c>
      <c r="AH13" s="6" t="str">
        <f t="shared" si="25"/>
        <v>FY29</v>
      </c>
      <c r="AI13" s="6" t="str">
        <f t="shared" si="25"/>
        <v>FY29</v>
      </c>
      <c r="AJ13" s="6" t="str">
        <f t="shared" si="25"/>
        <v>FY29</v>
      </c>
      <c r="AK13" s="6" t="str">
        <f t="shared" si="25"/>
        <v>FY29</v>
      </c>
      <c r="AL13" s="6" t="str">
        <f t="shared" si="25"/>
        <v>FY29</v>
      </c>
      <c r="AM13" s="6" t="str">
        <f t="shared" si="25"/>
        <v>FY29</v>
      </c>
      <c r="AN13" s="6" t="str">
        <f t="shared" si="25"/>
        <v>FY29</v>
      </c>
      <c r="AO13" s="6" t="str">
        <f t="shared" si="25"/>
        <v>FY29</v>
      </c>
      <c r="AP13" s="6" t="str">
        <f t="shared" si="25"/>
        <v>FY30</v>
      </c>
      <c r="AQ13" s="6" t="str">
        <f t="shared" si="25"/>
        <v>FY30</v>
      </c>
      <c r="AR13" s="6" t="str">
        <f t="shared" si="25"/>
        <v>FY30</v>
      </c>
      <c r="AS13" s="6" t="str">
        <f t="shared" si="25"/>
        <v>FY30</v>
      </c>
      <c r="AT13" s="6" t="str">
        <f t="shared" si="25"/>
        <v>FY30</v>
      </c>
      <c r="AU13" s="6" t="str">
        <f t="shared" si="25"/>
        <v>FY30</v>
      </c>
      <c r="AV13" s="6" t="str">
        <f t="shared" si="25"/>
        <v>FY30</v>
      </c>
      <c r="AW13" s="6" t="str">
        <f t="shared" si="25"/>
        <v>FY30</v>
      </c>
      <c r="AX13" s="6" t="str">
        <f t="shared" si="25"/>
        <v>FY30</v>
      </c>
      <c r="AY13" s="6" t="str">
        <f t="shared" si="25"/>
        <v>FY30</v>
      </c>
      <c r="AZ13" s="6" t="str">
        <f t="shared" si="25"/>
        <v>FY30</v>
      </c>
      <c r="BA13" s="6" t="str">
        <f t="shared" si="25"/>
        <v>FY30</v>
      </c>
      <c r="BB13" s="6" t="str">
        <f t="shared" si="25"/>
        <v>FY31</v>
      </c>
      <c r="BC13" s="6" t="str">
        <f t="shared" si="25"/>
        <v>FY31</v>
      </c>
      <c r="BD13" s="6" t="str">
        <f t="shared" si="25"/>
        <v>FY31</v>
      </c>
      <c r="BE13" s="6" t="str">
        <f t="shared" si="25"/>
        <v>FY31</v>
      </c>
      <c r="BF13" s="6" t="str">
        <f t="shared" si="25"/>
        <v>FY31</v>
      </c>
      <c r="BG13" s="6" t="str">
        <f t="shared" si="25"/>
        <v>FY31</v>
      </c>
      <c r="BH13" s="6" t="str">
        <f t="shared" si="25"/>
        <v>FY31</v>
      </c>
      <c r="BI13" s="6" t="str">
        <f t="shared" si="25"/>
        <v>FY31</v>
      </c>
      <c r="BJ13" s="6" t="str">
        <f t="shared" si="25"/>
        <v>FY31</v>
      </c>
      <c r="BK13" s="6" t="str">
        <f t="shared" si="25"/>
        <v>FY31</v>
      </c>
      <c r="BL13" s="6" t="str">
        <f t="shared" si="25"/>
        <v>FY31</v>
      </c>
      <c r="BM13" s="6" t="str">
        <f t="shared" si="25"/>
        <v>FY31</v>
      </c>
      <c r="BN13" s="6" t="str">
        <f t="shared" si="25"/>
        <v>FY32</v>
      </c>
      <c r="BO13" s="6" t="str">
        <f t="shared" si="25"/>
        <v>FY32</v>
      </c>
      <c r="BP13" s="6" t="str">
        <f t="shared" si="25"/>
        <v>FY32</v>
      </c>
      <c r="BQ13" s="6" t="str">
        <f t="shared" si="25"/>
        <v>FY32</v>
      </c>
      <c r="BR13" s="6" t="str">
        <f t="shared" ref="BR13:EC13" si="26">"FY"&amp;IF(MONTH(BR10)&gt;6,RIGHT(YEAR(BR10)+1,2),RIGHT(YEAR(BR10),2))</f>
        <v>FY32</v>
      </c>
      <c r="BS13" s="6" t="str">
        <f t="shared" si="26"/>
        <v>FY32</v>
      </c>
      <c r="BT13" s="6" t="str">
        <f t="shared" si="26"/>
        <v>FY32</v>
      </c>
      <c r="BU13" s="6" t="str">
        <f t="shared" si="26"/>
        <v>FY32</v>
      </c>
      <c r="BV13" s="6" t="str">
        <f t="shared" si="26"/>
        <v>FY32</v>
      </c>
      <c r="BW13" s="6" t="str">
        <f t="shared" si="26"/>
        <v>FY32</v>
      </c>
      <c r="BX13" s="6" t="str">
        <f t="shared" si="26"/>
        <v>FY32</v>
      </c>
      <c r="BY13" s="6" t="str">
        <f t="shared" si="26"/>
        <v>FY32</v>
      </c>
      <c r="BZ13" s="6" t="str">
        <f t="shared" si="26"/>
        <v>FY33</v>
      </c>
      <c r="CA13" s="6" t="str">
        <f t="shared" si="26"/>
        <v>FY33</v>
      </c>
      <c r="CB13" s="6" t="str">
        <f t="shared" si="26"/>
        <v>FY33</v>
      </c>
      <c r="CC13" s="6" t="str">
        <f t="shared" si="26"/>
        <v>FY33</v>
      </c>
      <c r="CD13" s="6" t="str">
        <f t="shared" si="26"/>
        <v>FY33</v>
      </c>
      <c r="CE13" s="6" t="str">
        <f t="shared" si="26"/>
        <v>FY33</v>
      </c>
      <c r="CF13" s="6" t="str">
        <f t="shared" si="26"/>
        <v>FY33</v>
      </c>
      <c r="CG13" s="6" t="str">
        <f t="shared" si="26"/>
        <v>FY33</v>
      </c>
      <c r="CH13" s="6" t="str">
        <f t="shared" si="26"/>
        <v>FY33</v>
      </c>
      <c r="CI13" s="6" t="str">
        <f t="shared" si="26"/>
        <v>FY33</v>
      </c>
      <c r="CJ13" s="6" t="str">
        <f t="shared" si="26"/>
        <v>FY33</v>
      </c>
      <c r="CK13" s="6" t="str">
        <f t="shared" si="26"/>
        <v>FY33</v>
      </c>
      <c r="CL13" s="6" t="str">
        <f t="shared" si="26"/>
        <v>FY34</v>
      </c>
      <c r="CM13" s="6" t="str">
        <f t="shared" si="26"/>
        <v>FY34</v>
      </c>
      <c r="CN13" s="6" t="str">
        <f t="shared" si="26"/>
        <v>FY34</v>
      </c>
      <c r="CO13" s="6" t="str">
        <f t="shared" si="26"/>
        <v>FY34</v>
      </c>
      <c r="CP13" s="6" t="str">
        <f t="shared" si="26"/>
        <v>FY34</v>
      </c>
      <c r="CQ13" s="6" t="str">
        <f t="shared" si="26"/>
        <v>FY34</v>
      </c>
      <c r="CR13" s="6" t="str">
        <f t="shared" si="26"/>
        <v>FY34</v>
      </c>
      <c r="CS13" s="6" t="str">
        <f t="shared" si="26"/>
        <v>FY34</v>
      </c>
      <c r="CT13" s="6" t="str">
        <f t="shared" si="26"/>
        <v>FY34</v>
      </c>
      <c r="CU13" s="6" t="str">
        <f t="shared" si="26"/>
        <v>FY34</v>
      </c>
      <c r="CV13" s="6" t="str">
        <f t="shared" si="26"/>
        <v>FY34</v>
      </c>
      <c r="CW13" s="6" t="str">
        <f t="shared" si="26"/>
        <v>FY34</v>
      </c>
      <c r="CX13" s="6" t="str">
        <f t="shared" si="26"/>
        <v>FY35</v>
      </c>
      <c r="CY13" s="6" t="str">
        <f t="shared" si="26"/>
        <v>FY35</v>
      </c>
      <c r="CZ13" s="6" t="str">
        <f t="shared" si="26"/>
        <v>FY35</v>
      </c>
      <c r="DA13" s="6" t="str">
        <f t="shared" si="26"/>
        <v>FY35</v>
      </c>
      <c r="DB13" s="6" t="str">
        <f t="shared" si="26"/>
        <v>FY35</v>
      </c>
      <c r="DC13" s="6" t="str">
        <f t="shared" si="26"/>
        <v>FY35</v>
      </c>
      <c r="DD13" s="6" t="str">
        <f t="shared" si="26"/>
        <v>FY35</v>
      </c>
      <c r="DE13" s="6" t="str">
        <f t="shared" si="26"/>
        <v>FY35</v>
      </c>
      <c r="DF13" s="6" t="str">
        <f t="shared" si="26"/>
        <v>FY35</v>
      </c>
      <c r="DG13" s="6" t="str">
        <f t="shared" si="26"/>
        <v>FY35</v>
      </c>
      <c r="DH13" s="6" t="str">
        <f t="shared" si="26"/>
        <v>FY35</v>
      </c>
      <c r="DI13" s="6" t="str">
        <f t="shared" si="26"/>
        <v>FY35</v>
      </c>
      <c r="DJ13" s="6" t="str">
        <f t="shared" si="26"/>
        <v>FY36</v>
      </c>
      <c r="DK13" s="6" t="str">
        <f t="shared" si="26"/>
        <v>FY36</v>
      </c>
      <c r="DL13" s="6" t="str">
        <f t="shared" si="26"/>
        <v>FY36</v>
      </c>
      <c r="DM13" s="6" t="str">
        <f t="shared" si="26"/>
        <v>FY36</v>
      </c>
      <c r="DN13" s="6" t="str">
        <f t="shared" si="26"/>
        <v>FY36</v>
      </c>
      <c r="DO13" s="6" t="str">
        <f t="shared" si="26"/>
        <v>FY36</v>
      </c>
      <c r="DP13" s="6" t="str">
        <f t="shared" si="26"/>
        <v>FY36</v>
      </c>
      <c r="DQ13" s="6" t="str">
        <f t="shared" si="26"/>
        <v>FY36</v>
      </c>
      <c r="DR13" s="6" t="str">
        <f t="shared" si="26"/>
        <v>FY36</v>
      </c>
      <c r="DS13" s="6" t="str">
        <f t="shared" si="26"/>
        <v>FY36</v>
      </c>
      <c r="DT13" s="6" t="str">
        <f t="shared" si="26"/>
        <v>FY36</v>
      </c>
      <c r="DU13" s="6" t="str">
        <f t="shared" si="26"/>
        <v>FY36</v>
      </c>
      <c r="DV13" s="6" t="str">
        <f t="shared" si="26"/>
        <v>FY37</v>
      </c>
      <c r="DW13" s="6" t="str">
        <f t="shared" si="26"/>
        <v>FY37</v>
      </c>
      <c r="DX13" s="6" t="str">
        <f t="shared" si="26"/>
        <v>FY37</v>
      </c>
      <c r="DY13" s="6" t="str">
        <f t="shared" si="26"/>
        <v>FY37</v>
      </c>
      <c r="DZ13" s="6" t="str">
        <f t="shared" si="26"/>
        <v>FY37</v>
      </c>
      <c r="EA13" s="6" t="str">
        <f t="shared" si="26"/>
        <v>FY37</v>
      </c>
      <c r="EB13" s="6" t="str">
        <f t="shared" si="26"/>
        <v>FY37</v>
      </c>
      <c r="EC13" s="6" t="str">
        <f t="shared" si="26"/>
        <v>FY37</v>
      </c>
      <c r="ED13" s="6" t="str">
        <f t="shared" ref="ED13:GO13" si="27">"FY"&amp;IF(MONTH(ED10)&gt;6,RIGHT(YEAR(ED10)+1,2),RIGHT(YEAR(ED10),2))</f>
        <v>FY37</v>
      </c>
      <c r="EE13" s="6" t="str">
        <f t="shared" si="27"/>
        <v>FY37</v>
      </c>
      <c r="EF13" s="6" t="str">
        <f t="shared" si="27"/>
        <v>FY37</v>
      </c>
      <c r="EG13" s="6" t="str">
        <f t="shared" si="27"/>
        <v>FY37</v>
      </c>
      <c r="EH13" s="6" t="str">
        <f t="shared" si="27"/>
        <v>FY38</v>
      </c>
      <c r="EI13" s="6" t="str">
        <f t="shared" si="27"/>
        <v>FY38</v>
      </c>
      <c r="EJ13" s="6" t="str">
        <f t="shared" si="27"/>
        <v>FY38</v>
      </c>
      <c r="EK13" s="6" t="str">
        <f t="shared" si="27"/>
        <v>FY38</v>
      </c>
      <c r="EL13" s="6" t="str">
        <f t="shared" si="27"/>
        <v>FY38</v>
      </c>
      <c r="EM13" s="6" t="str">
        <f t="shared" si="27"/>
        <v>FY38</v>
      </c>
      <c r="EN13" s="6" t="str">
        <f t="shared" si="27"/>
        <v>FY38</v>
      </c>
      <c r="EO13" s="6" t="str">
        <f t="shared" si="27"/>
        <v>FY38</v>
      </c>
      <c r="EP13" s="6" t="str">
        <f t="shared" si="27"/>
        <v>FY38</v>
      </c>
      <c r="EQ13" s="6" t="str">
        <f t="shared" si="27"/>
        <v>FY38</v>
      </c>
      <c r="ER13" s="6" t="str">
        <f t="shared" si="27"/>
        <v>FY38</v>
      </c>
      <c r="ES13" s="6" t="str">
        <f t="shared" si="27"/>
        <v>FY38</v>
      </c>
      <c r="ET13" s="6" t="str">
        <f t="shared" si="27"/>
        <v>FY39</v>
      </c>
      <c r="EU13" s="6" t="str">
        <f t="shared" si="27"/>
        <v>FY39</v>
      </c>
      <c r="EV13" s="6" t="str">
        <f t="shared" si="27"/>
        <v>FY39</v>
      </c>
      <c r="EW13" s="6" t="str">
        <f t="shared" si="27"/>
        <v>FY39</v>
      </c>
      <c r="EX13" s="6" t="str">
        <f t="shared" si="27"/>
        <v>FY39</v>
      </c>
      <c r="EY13" s="6" t="str">
        <f t="shared" si="27"/>
        <v>FY39</v>
      </c>
      <c r="EZ13" s="6" t="str">
        <f t="shared" si="27"/>
        <v>FY39</v>
      </c>
      <c r="FA13" s="6" t="str">
        <f t="shared" si="27"/>
        <v>FY39</v>
      </c>
      <c r="FB13" s="6" t="str">
        <f t="shared" si="27"/>
        <v>FY39</v>
      </c>
      <c r="FC13" s="6" t="str">
        <f t="shared" si="27"/>
        <v>FY39</v>
      </c>
      <c r="FD13" s="6" t="str">
        <f t="shared" si="27"/>
        <v>FY39</v>
      </c>
      <c r="FE13" s="6" t="str">
        <f t="shared" si="27"/>
        <v>FY39</v>
      </c>
      <c r="FF13" s="6" t="str">
        <f t="shared" si="27"/>
        <v>FY40</v>
      </c>
      <c r="FG13" s="6" t="str">
        <f t="shared" si="27"/>
        <v>FY40</v>
      </c>
      <c r="FH13" s="6" t="str">
        <f t="shared" si="27"/>
        <v>FY40</v>
      </c>
      <c r="FI13" s="6" t="str">
        <f t="shared" si="27"/>
        <v>FY40</v>
      </c>
      <c r="FJ13" s="6" t="str">
        <f t="shared" si="27"/>
        <v>FY40</v>
      </c>
      <c r="FK13" s="6" t="str">
        <f t="shared" si="27"/>
        <v>FY40</v>
      </c>
      <c r="FL13" s="6" t="str">
        <f t="shared" si="27"/>
        <v>FY40</v>
      </c>
      <c r="FM13" s="6" t="str">
        <f t="shared" si="27"/>
        <v>FY40</v>
      </c>
      <c r="FN13" s="6" t="str">
        <f t="shared" si="27"/>
        <v>FY40</v>
      </c>
      <c r="FO13" s="6" t="str">
        <f t="shared" si="27"/>
        <v>FY40</v>
      </c>
      <c r="FP13" s="6" t="str">
        <f t="shared" si="27"/>
        <v>FY40</v>
      </c>
      <c r="FQ13" s="6" t="str">
        <f t="shared" si="27"/>
        <v>FY40</v>
      </c>
      <c r="FR13" s="6" t="str">
        <f t="shared" si="27"/>
        <v>FY41</v>
      </c>
      <c r="FS13" s="6" t="str">
        <f t="shared" si="27"/>
        <v>FY41</v>
      </c>
      <c r="FT13" s="6" t="str">
        <f t="shared" si="27"/>
        <v>FY41</v>
      </c>
      <c r="FU13" s="6" t="str">
        <f t="shared" si="27"/>
        <v>FY41</v>
      </c>
      <c r="FV13" s="6" t="str">
        <f t="shared" si="27"/>
        <v>FY41</v>
      </c>
      <c r="FW13" s="6" t="str">
        <f t="shared" si="27"/>
        <v>FY41</v>
      </c>
      <c r="FX13" s="6" t="str">
        <f t="shared" si="27"/>
        <v>FY41</v>
      </c>
      <c r="FY13" s="6" t="str">
        <f t="shared" si="27"/>
        <v>FY41</v>
      </c>
      <c r="FZ13" s="6" t="str">
        <f t="shared" si="27"/>
        <v>FY41</v>
      </c>
      <c r="GA13" s="6" t="str">
        <f t="shared" si="27"/>
        <v>FY41</v>
      </c>
      <c r="GB13" s="6" t="str">
        <f t="shared" si="27"/>
        <v>FY41</v>
      </c>
      <c r="GC13" s="6" t="str">
        <f t="shared" si="27"/>
        <v>FY41</v>
      </c>
      <c r="GD13" s="6" t="str">
        <f t="shared" si="27"/>
        <v>FY42</v>
      </c>
      <c r="GE13" s="6" t="str">
        <f t="shared" si="27"/>
        <v>FY42</v>
      </c>
      <c r="GF13" s="6" t="str">
        <f t="shared" si="27"/>
        <v>FY42</v>
      </c>
      <c r="GG13" s="6" t="str">
        <f t="shared" si="27"/>
        <v>FY42</v>
      </c>
      <c r="GH13" s="6" t="str">
        <f t="shared" si="27"/>
        <v>FY42</v>
      </c>
      <c r="GI13" s="6" t="str">
        <f t="shared" si="27"/>
        <v>FY42</v>
      </c>
      <c r="GJ13" s="6" t="str">
        <f t="shared" si="27"/>
        <v>FY42</v>
      </c>
      <c r="GK13" s="6" t="str">
        <f t="shared" si="27"/>
        <v>FY42</v>
      </c>
      <c r="GL13" s="6" t="str">
        <f t="shared" si="27"/>
        <v>FY42</v>
      </c>
      <c r="GM13" s="6" t="str">
        <f t="shared" si="27"/>
        <v>FY42</v>
      </c>
      <c r="GN13" s="6" t="str">
        <f t="shared" si="27"/>
        <v>FY42</v>
      </c>
      <c r="GO13" s="6" t="str">
        <f t="shared" si="27"/>
        <v>FY42</v>
      </c>
      <c r="GP13" s="6" t="str">
        <f t="shared" ref="GP13:JA13" si="28">"FY"&amp;IF(MONTH(GP10)&gt;6,RIGHT(YEAR(GP10)+1,2),RIGHT(YEAR(GP10),2))</f>
        <v>FY43</v>
      </c>
      <c r="GQ13" s="6" t="str">
        <f t="shared" si="28"/>
        <v>FY43</v>
      </c>
      <c r="GR13" s="6" t="str">
        <f t="shared" si="28"/>
        <v>FY43</v>
      </c>
      <c r="GS13" s="6" t="str">
        <f t="shared" si="28"/>
        <v>FY43</v>
      </c>
      <c r="GT13" s="6" t="str">
        <f t="shared" si="28"/>
        <v>FY43</v>
      </c>
      <c r="GU13" s="6" t="str">
        <f t="shared" si="28"/>
        <v>FY43</v>
      </c>
      <c r="GV13" s="6" t="str">
        <f t="shared" si="28"/>
        <v>FY43</v>
      </c>
      <c r="GW13" s="6" t="str">
        <f t="shared" si="28"/>
        <v>FY43</v>
      </c>
      <c r="GX13" s="6" t="str">
        <f t="shared" si="28"/>
        <v>FY43</v>
      </c>
      <c r="GY13" s="6" t="str">
        <f t="shared" si="28"/>
        <v>FY43</v>
      </c>
      <c r="GZ13" s="6" t="str">
        <f t="shared" si="28"/>
        <v>FY43</v>
      </c>
      <c r="HA13" s="6" t="str">
        <f t="shared" si="28"/>
        <v>FY43</v>
      </c>
      <c r="HB13" s="6" t="str">
        <f t="shared" si="28"/>
        <v>FY44</v>
      </c>
      <c r="HC13" s="6" t="str">
        <f t="shared" si="28"/>
        <v>FY44</v>
      </c>
      <c r="HD13" s="6" t="str">
        <f t="shared" si="28"/>
        <v>FY44</v>
      </c>
      <c r="HE13" s="6" t="str">
        <f t="shared" si="28"/>
        <v>FY44</v>
      </c>
      <c r="HF13" s="6" t="str">
        <f t="shared" si="28"/>
        <v>FY44</v>
      </c>
      <c r="HG13" s="6" t="str">
        <f t="shared" si="28"/>
        <v>FY44</v>
      </c>
      <c r="HH13" s="6" t="str">
        <f t="shared" si="28"/>
        <v>FY44</v>
      </c>
      <c r="HI13" s="6" t="str">
        <f t="shared" si="28"/>
        <v>FY44</v>
      </c>
      <c r="HJ13" s="6" t="str">
        <f t="shared" si="28"/>
        <v>FY44</v>
      </c>
      <c r="HK13" s="6" t="str">
        <f t="shared" si="28"/>
        <v>FY44</v>
      </c>
      <c r="HL13" s="6" t="str">
        <f t="shared" si="28"/>
        <v>FY44</v>
      </c>
      <c r="HM13" s="6" t="str">
        <f t="shared" si="28"/>
        <v>FY44</v>
      </c>
      <c r="HN13" s="6" t="str">
        <f t="shared" si="28"/>
        <v>FY45</v>
      </c>
      <c r="HO13" s="6" t="str">
        <f t="shared" si="28"/>
        <v>FY45</v>
      </c>
      <c r="HP13" s="6" t="str">
        <f t="shared" si="28"/>
        <v>FY45</v>
      </c>
      <c r="HQ13" s="6" t="str">
        <f t="shared" si="28"/>
        <v>FY45</v>
      </c>
      <c r="HR13" s="6" t="str">
        <f t="shared" si="28"/>
        <v>FY45</v>
      </c>
      <c r="HS13" s="6" t="str">
        <f t="shared" si="28"/>
        <v>FY45</v>
      </c>
      <c r="HT13" s="6" t="str">
        <f t="shared" si="28"/>
        <v>FY45</v>
      </c>
      <c r="HU13" s="6" t="str">
        <f t="shared" si="28"/>
        <v>FY45</v>
      </c>
      <c r="HV13" s="6" t="str">
        <f t="shared" si="28"/>
        <v>FY45</v>
      </c>
      <c r="HW13" s="6" t="str">
        <f t="shared" si="28"/>
        <v>FY45</v>
      </c>
      <c r="HX13" s="6" t="str">
        <f t="shared" si="28"/>
        <v>FY45</v>
      </c>
      <c r="HY13" s="6" t="str">
        <f t="shared" si="28"/>
        <v>FY45</v>
      </c>
      <c r="HZ13" s="6" t="str">
        <f t="shared" si="28"/>
        <v>FY46</v>
      </c>
      <c r="IA13" s="6" t="str">
        <f t="shared" si="28"/>
        <v>FY46</v>
      </c>
      <c r="IB13" s="6" t="str">
        <f t="shared" si="28"/>
        <v>FY46</v>
      </c>
      <c r="IC13" s="6" t="str">
        <f t="shared" si="28"/>
        <v>FY46</v>
      </c>
      <c r="ID13" s="6" t="str">
        <f t="shared" si="28"/>
        <v>FY46</v>
      </c>
      <c r="IE13" s="6" t="str">
        <f t="shared" si="28"/>
        <v>FY46</v>
      </c>
      <c r="IF13" s="6" t="str">
        <f t="shared" si="28"/>
        <v>FY46</v>
      </c>
      <c r="IG13" s="6" t="str">
        <f t="shared" si="28"/>
        <v>FY46</v>
      </c>
      <c r="IH13" s="6" t="str">
        <f t="shared" si="28"/>
        <v>FY46</v>
      </c>
      <c r="II13" s="6" t="str">
        <f t="shared" si="28"/>
        <v>FY46</v>
      </c>
      <c r="IJ13" s="6" t="str">
        <f t="shared" si="28"/>
        <v>FY46</v>
      </c>
      <c r="IK13" s="6" t="str">
        <f t="shared" si="28"/>
        <v>FY46</v>
      </c>
      <c r="IL13" s="6" t="str">
        <f t="shared" si="28"/>
        <v>FY47</v>
      </c>
      <c r="IM13" s="6" t="str">
        <f t="shared" si="28"/>
        <v>FY47</v>
      </c>
      <c r="IN13" s="6" t="str">
        <f t="shared" si="28"/>
        <v>FY47</v>
      </c>
      <c r="IO13" s="6" t="str">
        <f t="shared" si="28"/>
        <v>FY47</v>
      </c>
      <c r="IP13" s="6" t="str">
        <f t="shared" si="28"/>
        <v>FY47</v>
      </c>
      <c r="IQ13" s="6" t="str">
        <f t="shared" si="28"/>
        <v>FY47</v>
      </c>
      <c r="IR13" s="6" t="str">
        <f t="shared" si="28"/>
        <v>FY47</v>
      </c>
      <c r="IS13" s="6" t="str">
        <f t="shared" si="28"/>
        <v>FY47</v>
      </c>
      <c r="IT13" s="6" t="str">
        <f t="shared" si="28"/>
        <v>FY47</v>
      </c>
      <c r="IU13" s="6" t="str">
        <f t="shared" si="28"/>
        <v>FY47</v>
      </c>
      <c r="IV13" s="6" t="str">
        <f t="shared" si="28"/>
        <v>FY47</v>
      </c>
      <c r="IW13" s="6" t="str">
        <f t="shared" si="28"/>
        <v>FY47</v>
      </c>
      <c r="IX13" s="6" t="str">
        <f t="shared" si="28"/>
        <v>FY48</v>
      </c>
      <c r="IY13" s="6" t="str">
        <f t="shared" si="28"/>
        <v>FY48</v>
      </c>
      <c r="IZ13" s="6" t="str">
        <f t="shared" si="28"/>
        <v>FY48</v>
      </c>
      <c r="JA13" s="6" t="str">
        <f t="shared" si="28"/>
        <v>FY48</v>
      </c>
      <c r="JB13" s="6" t="str">
        <f t="shared" ref="JB13:KA13" si="29">"FY"&amp;IF(MONTH(JB10)&gt;6,RIGHT(YEAR(JB10)+1,2),RIGHT(YEAR(JB10),2))</f>
        <v>FY48</v>
      </c>
      <c r="JC13" s="6" t="str">
        <f t="shared" si="29"/>
        <v>FY48</v>
      </c>
      <c r="JD13" s="6" t="str">
        <f t="shared" si="29"/>
        <v>FY48</v>
      </c>
      <c r="JE13" s="6" t="str">
        <f t="shared" si="29"/>
        <v>FY48</v>
      </c>
      <c r="JF13" s="6" t="str">
        <f t="shared" si="29"/>
        <v>FY48</v>
      </c>
      <c r="JG13" s="6" t="str">
        <f t="shared" si="29"/>
        <v>FY48</v>
      </c>
      <c r="JH13" s="6" t="str">
        <f t="shared" si="29"/>
        <v>FY48</v>
      </c>
      <c r="JI13" s="6" t="str">
        <f t="shared" si="29"/>
        <v>FY48</v>
      </c>
      <c r="JJ13" s="6" t="str">
        <f t="shared" si="29"/>
        <v>FY49</v>
      </c>
      <c r="JK13" s="6" t="str">
        <f t="shared" si="29"/>
        <v>FY49</v>
      </c>
      <c r="JL13" s="6" t="str">
        <f t="shared" si="29"/>
        <v>FY49</v>
      </c>
      <c r="JM13" s="6" t="str">
        <f t="shared" si="29"/>
        <v>FY49</v>
      </c>
      <c r="JN13" s="6" t="str">
        <f t="shared" si="29"/>
        <v>FY49</v>
      </c>
      <c r="JO13" s="6" t="str">
        <f t="shared" si="29"/>
        <v>FY49</v>
      </c>
      <c r="JP13" s="6" t="str">
        <f t="shared" si="29"/>
        <v>FY49</v>
      </c>
      <c r="JQ13" s="6" t="str">
        <f t="shared" si="29"/>
        <v>FY49</v>
      </c>
      <c r="JR13" s="6" t="str">
        <f t="shared" si="29"/>
        <v>FY49</v>
      </c>
      <c r="JS13" s="6" t="str">
        <f t="shared" si="29"/>
        <v>FY49</v>
      </c>
      <c r="JT13" s="6" t="str">
        <f t="shared" si="29"/>
        <v>FY49</v>
      </c>
      <c r="JU13" s="6" t="str">
        <f t="shared" si="29"/>
        <v>FY49</v>
      </c>
      <c r="JV13" s="6" t="str">
        <f t="shared" si="29"/>
        <v>FY50</v>
      </c>
      <c r="JW13" s="6" t="str">
        <f t="shared" si="29"/>
        <v>FY50</v>
      </c>
      <c r="JX13" s="6" t="str">
        <f t="shared" si="29"/>
        <v>FY50</v>
      </c>
      <c r="JY13" s="6" t="str">
        <f t="shared" si="29"/>
        <v>FY50</v>
      </c>
      <c r="JZ13" s="6" t="str">
        <f t="shared" si="29"/>
        <v>FY50</v>
      </c>
      <c r="KA13" s="6" t="str">
        <f t="shared" si="29"/>
        <v>FY50</v>
      </c>
    </row>
    <row r="14" spans="2:287" x14ac:dyDescent="0.35">
      <c r="B14" s="1"/>
      <c r="C14" s="1"/>
      <c r="D14" s="1"/>
      <c r="E14" s="6" t="s">
        <v>15</v>
      </c>
      <c r="F14" s="8">
        <f t="shared" ref="F14:BQ14" si="30">F11-F10+1</f>
        <v>31</v>
      </c>
      <c r="G14" s="8">
        <f t="shared" si="30"/>
        <v>31</v>
      </c>
      <c r="H14" s="8">
        <f t="shared" si="30"/>
        <v>30</v>
      </c>
      <c r="I14" s="8">
        <f t="shared" si="30"/>
        <v>31</v>
      </c>
      <c r="J14" s="8">
        <f t="shared" si="30"/>
        <v>30</v>
      </c>
      <c r="K14" s="8">
        <f t="shared" si="30"/>
        <v>31</v>
      </c>
      <c r="L14" s="8">
        <f t="shared" si="30"/>
        <v>31</v>
      </c>
      <c r="M14" s="8">
        <f t="shared" si="30"/>
        <v>28</v>
      </c>
      <c r="N14" s="8">
        <f t="shared" si="30"/>
        <v>31</v>
      </c>
      <c r="O14" s="8">
        <f t="shared" si="30"/>
        <v>30</v>
      </c>
      <c r="P14" s="8">
        <f t="shared" si="30"/>
        <v>31</v>
      </c>
      <c r="Q14" s="8">
        <f t="shared" si="30"/>
        <v>30</v>
      </c>
      <c r="R14" s="8">
        <f t="shared" si="30"/>
        <v>31</v>
      </c>
      <c r="S14" s="8">
        <f t="shared" si="30"/>
        <v>31</v>
      </c>
      <c r="T14" s="8">
        <f t="shared" si="30"/>
        <v>30</v>
      </c>
      <c r="U14" s="8">
        <f t="shared" si="30"/>
        <v>31</v>
      </c>
      <c r="V14" s="8">
        <f t="shared" si="30"/>
        <v>30</v>
      </c>
      <c r="W14" s="8">
        <f t="shared" si="30"/>
        <v>31</v>
      </c>
      <c r="X14" s="8">
        <f t="shared" si="30"/>
        <v>31</v>
      </c>
      <c r="Y14" s="8">
        <f t="shared" si="30"/>
        <v>29</v>
      </c>
      <c r="Z14" s="8">
        <f t="shared" si="30"/>
        <v>31</v>
      </c>
      <c r="AA14" s="8">
        <f t="shared" si="30"/>
        <v>30</v>
      </c>
      <c r="AB14" s="8">
        <f t="shared" si="30"/>
        <v>31</v>
      </c>
      <c r="AC14" s="8">
        <f t="shared" si="30"/>
        <v>30</v>
      </c>
      <c r="AD14" s="8">
        <f t="shared" si="30"/>
        <v>31</v>
      </c>
      <c r="AE14" s="8">
        <f t="shared" si="30"/>
        <v>31</v>
      </c>
      <c r="AF14" s="8">
        <f t="shared" si="30"/>
        <v>30</v>
      </c>
      <c r="AG14" s="8">
        <f t="shared" si="30"/>
        <v>31</v>
      </c>
      <c r="AH14" s="8">
        <f t="shared" si="30"/>
        <v>30</v>
      </c>
      <c r="AI14" s="8">
        <f t="shared" si="30"/>
        <v>31</v>
      </c>
      <c r="AJ14" s="8">
        <f t="shared" si="30"/>
        <v>31</v>
      </c>
      <c r="AK14" s="8">
        <f t="shared" si="30"/>
        <v>28</v>
      </c>
      <c r="AL14" s="8">
        <f t="shared" si="30"/>
        <v>31</v>
      </c>
      <c r="AM14" s="8">
        <f t="shared" si="30"/>
        <v>30</v>
      </c>
      <c r="AN14" s="8">
        <f t="shared" si="30"/>
        <v>31</v>
      </c>
      <c r="AO14" s="8">
        <f t="shared" si="30"/>
        <v>30</v>
      </c>
      <c r="AP14" s="8">
        <f t="shared" si="30"/>
        <v>31</v>
      </c>
      <c r="AQ14" s="8">
        <f t="shared" si="30"/>
        <v>31</v>
      </c>
      <c r="AR14" s="8">
        <f t="shared" si="30"/>
        <v>30</v>
      </c>
      <c r="AS14" s="8">
        <f t="shared" si="30"/>
        <v>31</v>
      </c>
      <c r="AT14" s="8">
        <f t="shared" si="30"/>
        <v>30</v>
      </c>
      <c r="AU14" s="8">
        <f t="shared" si="30"/>
        <v>31</v>
      </c>
      <c r="AV14" s="8">
        <f t="shared" si="30"/>
        <v>31</v>
      </c>
      <c r="AW14" s="8">
        <f t="shared" si="30"/>
        <v>28</v>
      </c>
      <c r="AX14" s="8">
        <f t="shared" si="30"/>
        <v>31</v>
      </c>
      <c r="AY14" s="8">
        <f t="shared" si="30"/>
        <v>30</v>
      </c>
      <c r="AZ14" s="8">
        <f t="shared" si="30"/>
        <v>31</v>
      </c>
      <c r="BA14" s="8">
        <f t="shared" si="30"/>
        <v>30</v>
      </c>
      <c r="BB14" s="8">
        <f t="shared" si="30"/>
        <v>31</v>
      </c>
      <c r="BC14" s="8">
        <f t="shared" si="30"/>
        <v>31</v>
      </c>
      <c r="BD14" s="8">
        <f t="shared" si="30"/>
        <v>30</v>
      </c>
      <c r="BE14" s="8">
        <f t="shared" si="30"/>
        <v>31</v>
      </c>
      <c r="BF14" s="8">
        <f t="shared" si="30"/>
        <v>30</v>
      </c>
      <c r="BG14" s="8">
        <f t="shared" si="30"/>
        <v>31</v>
      </c>
      <c r="BH14" s="8">
        <f t="shared" si="30"/>
        <v>31</v>
      </c>
      <c r="BI14" s="8">
        <f t="shared" si="30"/>
        <v>28</v>
      </c>
      <c r="BJ14" s="8">
        <f t="shared" si="30"/>
        <v>31</v>
      </c>
      <c r="BK14" s="8">
        <f t="shared" si="30"/>
        <v>30</v>
      </c>
      <c r="BL14" s="8">
        <f t="shared" si="30"/>
        <v>31</v>
      </c>
      <c r="BM14" s="8">
        <f t="shared" si="30"/>
        <v>30</v>
      </c>
      <c r="BN14" s="8">
        <f t="shared" si="30"/>
        <v>31</v>
      </c>
      <c r="BO14" s="8">
        <f t="shared" si="30"/>
        <v>31</v>
      </c>
      <c r="BP14" s="8">
        <f t="shared" si="30"/>
        <v>30</v>
      </c>
      <c r="BQ14" s="8">
        <f t="shared" si="30"/>
        <v>31</v>
      </c>
      <c r="BR14" s="8">
        <f t="shared" ref="BR14:EC14" si="31">BR11-BR10+1</f>
        <v>30</v>
      </c>
      <c r="BS14" s="8">
        <f t="shared" si="31"/>
        <v>31</v>
      </c>
      <c r="BT14" s="8">
        <f t="shared" si="31"/>
        <v>31</v>
      </c>
      <c r="BU14" s="8">
        <f t="shared" si="31"/>
        <v>29</v>
      </c>
      <c r="BV14" s="8">
        <f t="shared" si="31"/>
        <v>31</v>
      </c>
      <c r="BW14" s="8">
        <f t="shared" si="31"/>
        <v>30</v>
      </c>
      <c r="BX14" s="8">
        <f t="shared" si="31"/>
        <v>31</v>
      </c>
      <c r="BY14" s="8">
        <f t="shared" si="31"/>
        <v>30</v>
      </c>
      <c r="BZ14" s="8">
        <f t="shared" si="31"/>
        <v>31</v>
      </c>
      <c r="CA14" s="8">
        <f t="shared" si="31"/>
        <v>31</v>
      </c>
      <c r="CB14" s="8">
        <f t="shared" si="31"/>
        <v>30</v>
      </c>
      <c r="CC14" s="8">
        <f t="shared" si="31"/>
        <v>31</v>
      </c>
      <c r="CD14" s="8">
        <f t="shared" si="31"/>
        <v>30</v>
      </c>
      <c r="CE14" s="8">
        <f t="shared" si="31"/>
        <v>31</v>
      </c>
      <c r="CF14" s="8">
        <f t="shared" si="31"/>
        <v>31</v>
      </c>
      <c r="CG14" s="8">
        <f t="shared" si="31"/>
        <v>28</v>
      </c>
      <c r="CH14" s="8">
        <f t="shared" si="31"/>
        <v>31</v>
      </c>
      <c r="CI14" s="8">
        <f t="shared" si="31"/>
        <v>30</v>
      </c>
      <c r="CJ14" s="8">
        <f t="shared" si="31"/>
        <v>31</v>
      </c>
      <c r="CK14" s="8">
        <f t="shared" si="31"/>
        <v>30</v>
      </c>
      <c r="CL14" s="8">
        <f t="shared" si="31"/>
        <v>31</v>
      </c>
      <c r="CM14" s="8">
        <f t="shared" si="31"/>
        <v>31</v>
      </c>
      <c r="CN14" s="8">
        <f t="shared" si="31"/>
        <v>30</v>
      </c>
      <c r="CO14" s="8">
        <f t="shared" si="31"/>
        <v>31</v>
      </c>
      <c r="CP14" s="8">
        <f t="shared" si="31"/>
        <v>30</v>
      </c>
      <c r="CQ14" s="8">
        <f t="shared" si="31"/>
        <v>31</v>
      </c>
      <c r="CR14" s="8">
        <f t="shared" si="31"/>
        <v>31</v>
      </c>
      <c r="CS14" s="8">
        <f t="shared" si="31"/>
        <v>28</v>
      </c>
      <c r="CT14" s="8">
        <f t="shared" si="31"/>
        <v>31</v>
      </c>
      <c r="CU14" s="8">
        <f t="shared" si="31"/>
        <v>30</v>
      </c>
      <c r="CV14" s="8">
        <f t="shared" si="31"/>
        <v>31</v>
      </c>
      <c r="CW14" s="8">
        <f t="shared" si="31"/>
        <v>30</v>
      </c>
      <c r="CX14" s="8">
        <f t="shared" si="31"/>
        <v>31</v>
      </c>
      <c r="CY14" s="8">
        <f t="shared" si="31"/>
        <v>31</v>
      </c>
      <c r="CZ14" s="8">
        <f t="shared" si="31"/>
        <v>30</v>
      </c>
      <c r="DA14" s="8">
        <f t="shared" si="31"/>
        <v>31</v>
      </c>
      <c r="DB14" s="8">
        <f t="shared" si="31"/>
        <v>30</v>
      </c>
      <c r="DC14" s="8">
        <f t="shared" si="31"/>
        <v>31</v>
      </c>
      <c r="DD14" s="8">
        <f t="shared" si="31"/>
        <v>31</v>
      </c>
      <c r="DE14" s="8">
        <f t="shared" si="31"/>
        <v>28</v>
      </c>
      <c r="DF14" s="8">
        <f t="shared" si="31"/>
        <v>31</v>
      </c>
      <c r="DG14" s="8">
        <f t="shared" si="31"/>
        <v>30</v>
      </c>
      <c r="DH14" s="8">
        <f t="shared" si="31"/>
        <v>31</v>
      </c>
      <c r="DI14" s="8">
        <f t="shared" si="31"/>
        <v>30</v>
      </c>
      <c r="DJ14" s="8">
        <f t="shared" si="31"/>
        <v>31</v>
      </c>
      <c r="DK14" s="8">
        <f t="shared" si="31"/>
        <v>31</v>
      </c>
      <c r="DL14" s="8">
        <f t="shared" si="31"/>
        <v>30</v>
      </c>
      <c r="DM14" s="8">
        <f t="shared" si="31"/>
        <v>31</v>
      </c>
      <c r="DN14" s="8">
        <f t="shared" si="31"/>
        <v>30</v>
      </c>
      <c r="DO14" s="8">
        <f t="shared" si="31"/>
        <v>31</v>
      </c>
      <c r="DP14" s="8">
        <f t="shared" si="31"/>
        <v>31</v>
      </c>
      <c r="DQ14" s="8">
        <f t="shared" si="31"/>
        <v>29</v>
      </c>
      <c r="DR14" s="8">
        <f t="shared" si="31"/>
        <v>31</v>
      </c>
      <c r="DS14" s="8">
        <f t="shared" si="31"/>
        <v>30</v>
      </c>
      <c r="DT14" s="8">
        <f t="shared" si="31"/>
        <v>31</v>
      </c>
      <c r="DU14" s="8">
        <f t="shared" si="31"/>
        <v>30</v>
      </c>
      <c r="DV14" s="8">
        <f t="shared" si="31"/>
        <v>31</v>
      </c>
      <c r="DW14" s="8">
        <f t="shared" si="31"/>
        <v>31</v>
      </c>
      <c r="DX14" s="8">
        <f t="shared" si="31"/>
        <v>30</v>
      </c>
      <c r="DY14" s="8">
        <f t="shared" si="31"/>
        <v>31</v>
      </c>
      <c r="DZ14" s="8">
        <f t="shared" si="31"/>
        <v>30</v>
      </c>
      <c r="EA14" s="8">
        <f t="shared" si="31"/>
        <v>31</v>
      </c>
      <c r="EB14" s="8">
        <f t="shared" si="31"/>
        <v>31</v>
      </c>
      <c r="EC14" s="8">
        <f t="shared" si="31"/>
        <v>28</v>
      </c>
      <c r="ED14" s="8">
        <f t="shared" ref="ED14:GO14" si="32">ED11-ED10+1</f>
        <v>31</v>
      </c>
      <c r="EE14" s="8">
        <f t="shared" si="32"/>
        <v>30</v>
      </c>
      <c r="EF14" s="8">
        <f t="shared" si="32"/>
        <v>31</v>
      </c>
      <c r="EG14" s="8">
        <f t="shared" si="32"/>
        <v>30</v>
      </c>
      <c r="EH14" s="8">
        <f t="shared" si="32"/>
        <v>31</v>
      </c>
      <c r="EI14" s="8">
        <f t="shared" si="32"/>
        <v>31</v>
      </c>
      <c r="EJ14" s="8">
        <f t="shared" si="32"/>
        <v>30</v>
      </c>
      <c r="EK14" s="8">
        <f t="shared" si="32"/>
        <v>31</v>
      </c>
      <c r="EL14" s="8">
        <f t="shared" si="32"/>
        <v>30</v>
      </c>
      <c r="EM14" s="8">
        <f t="shared" si="32"/>
        <v>31</v>
      </c>
      <c r="EN14" s="8">
        <f t="shared" si="32"/>
        <v>31</v>
      </c>
      <c r="EO14" s="8">
        <f t="shared" si="32"/>
        <v>28</v>
      </c>
      <c r="EP14" s="8">
        <f t="shared" si="32"/>
        <v>31</v>
      </c>
      <c r="EQ14" s="8">
        <f t="shared" si="32"/>
        <v>30</v>
      </c>
      <c r="ER14" s="8">
        <f t="shared" si="32"/>
        <v>31</v>
      </c>
      <c r="ES14" s="8">
        <f t="shared" si="32"/>
        <v>30</v>
      </c>
      <c r="ET14" s="8">
        <f t="shared" si="32"/>
        <v>31</v>
      </c>
      <c r="EU14" s="8">
        <f t="shared" si="32"/>
        <v>31</v>
      </c>
      <c r="EV14" s="8">
        <f t="shared" si="32"/>
        <v>30</v>
      </c>
      <c r="EW14" s="8">
        <f t="shared" si="32"/>
        <v>31</v>
      </c>
      <c r="EX14" s="8">
        <f t="shared" si="32"/>
        <v>30</v>
      </c>
      <c r="EY14" s="8">
        <f t="shared" si="32"/>
        <v>31</v>
      </c>
      <c r="EZ14" s="8">
        <f t="shared" si="32"/>
        <v>31</v>
      </c>
      <c r="FA14" s="8">
        <f t="shared" si="32"/>
        <v>28</v>
      </c>
      <c r="FB14" s="8">
        <f t="shared" si="32"/>
        <v>31</v>
      </c>
      <c r="FC14" s="8">
        <f t="shared" si="32"/>
        <v>30</v>
      </c>
      <c r="FD14" s="8">
        <f t="shared" si="32"/>
        <v>31</v>
      </c>
      <c r="FE14" s="8">
        <f t="shared" si="32"/>
        <v>30</v>
      </c>
      <c r="FF14" s="8">
        <f t="shared" si="32"/>
        <v>31</v>
      </c>
      <c r="FG14" s="8">
        <f t="shared" si="32"/>
        <v>31</v>
      </c>
      <c r="FH14" s="8">
        <f t="shared" si="32"/>
        <v>30</v>
      </c>
      <c r="FI14" s="8">
        <f t="shared" si="32"/>
        <v>31</v>
      </c>
      <c r="FJ14" s="8">
        <f t="shared" si="32"/>
        <v>30</v>
      </c>
      <c r="FK14" s="8">
        <f t="shared" si="32"/>
        <v>31</v>
      </c>
      <c r="FL14" s="8">
        <f t="shared" si="32"/>
        <v>31</v>
      </c>
      <c r="FM14" s="8">
        <f t="shared" si="32"/>
        <v>29</v>
      </c>
      <c r="FN14" s="8">
        <f t="shared" si="32"/>
        <v>31</v>
      </c>
      <c r="FO14" s="8">
        <f t="shared" si="32"/>
        <v>30</v>
      </c>
      <c r="FP14" s="8">
        <f t="shared" si="32"/>
        <v>31</v>
      </c>
      <c r="FQ14" s="8">
        <f t="shared" si="32"/>
        <v>30</v>
      </c>
      <c r="FR14" s="8">
        <f t="shared" si="32"/>
        <v>31</v>
      </c>
      <c r="FS14" s="8">
        <f t="shared" si="32"/>
        <v>31</v>
      </c>
      <c r="FT14" s="8">
        <f t="shared" si="32"/>
        <v>30</v>
      </c>
      <c r="FU14" s="8">
        <f t="shared" si="32"/>
        <v>31</v>
      </c>
      <c r="FV14" s="8">
        <f t="shared" si="32"/>
        <v>30</v>
      </c>
      <c r="FW14" s="8">
        <f t="shared" si="32"/>
        <v>31</v>
      </c>
      <c r="FX14" s="8">
        <f t="shared" si="32"/>
        <v>31</v>
      </c>
      <c r="FY14" s="8">
        <f t="shared" si="32"/>
        <v>28</v>
      </c>
      <c r="FZ14" s="8">
        <f t="shared" si="32"/>
        <v>31</v>
      </c>
      <c r="GA14" s="8">
        <f t="shared" si="32"/>
        <v>30</v>
      </c>
      <c r="GB14" s="8">
        <f t="shared" si="32"/>
        <v>31</v>
      </c>
      <c r="GC14" s="8">
        <f t="shared" si="32"/>
        <v>30</v>
      </c>
      <c r="GD14" s="8">
        <f t="shared" si="32"/>
        <v>31</v>
      </c>
      <c r="GE14" s="8">
        <f t="shared" si="32"/>
        <v>31</v>
      </c>
      <c r="GF14" s="8">
        <f t="shared" si="32"/>
        <v>30</v>
      </c>
      <c r="GG14" s="8">
        <f t="shared" si="32"/>
        <v>31</v>
      </c>
      <c r="GH14" s="8">
        <f t="shared" si="32"/>
        <v>30</v>
      </c>
      <c r="GI14" s="8">
        <f t="shared" si="32"/>
        <v>31</v>
      </c>
      <c r="GJ14" s="8">
        <f t="shared" si="32"/>
        <v>31</v>
      </c>
      <c r="GK14" s="8">
        <f t="shared" si="32"/>
        <v>28</v>
      </c>
      <c r="GL14" s="8">
        <f t="shared" si="32"/>
        <v>31</v>
      </c>
      <c r="GM14" s="8">
        <f t="shared" si="32"/>
        <v>30</v>
      </c>
      <c r="GN14" s="8">
        <f t="shared" si="32"/>
        <v>31</v>
      </c>
      <c r="GO14" s="8">
        <f t="shared" si="32"/>
        <v>30</v>
      </c>
      <c r="GP14" s="8">
        <f t="shared" ref="GP14:JA14" si="33">GP11-GP10+1</f>
        <v>31</v>
      </c>
      <c r="GQ14" s="8">
        <f t="shared" si="33"/>
        <v>31</v>
      </c>
      <c r="GR14" s="8">
        <f t="shared" si="33"/>
        <v>30</v>
      </c>
      <c r="GS14" s="8">
        <f t="shared" si="33"/>
        <v>31</v>
      </c>
      <c r="GT14" s="8">
        <f t="shared" si="33"/>
        <v>30</v>
      </c>
      <c r="GU14" s="8">
        <f t="shared" si="33"/>
        <v>31</v>
      </c>
      <c r="GV14" s="8">
        <f t="shared" si="33"/>
        <v>31</v>
      </c>
      <c r="GW14" s="8">
        <f t="shared" si="33"/>
        <v>28</v>
      </c>
      <c r="GX14" s="8">
        <f t="shared" si="33"/>
        <v>31</v>
      </c>
      <c r="GY14" s="8">
        <f t="shared" si="33"/>
        <v>30</v>
      </c>
      <c r="GZ14" s="8">
        <f t="shared" si="33"/>
        <v>31</v>
      </c>
      <c r="HA14" s="8">
        <f t="shared" si="33"/>
        <v>30</v>
      </c>
      <c r="HB14" s="8">
        <f t="shared" si="33"/>
        <v>31</v>
      </c>
      <c r="HC14" s="8">
        <f t="shared" si="33"/>
        <v>31</v>
      </c>
      <c r="HD14" s="8">
        <f t="shared" si="33"/>
        <v>30</v>
      </c>
      <c r="HE14" s="8">
        <f t="shared" si="33"/>
        <v>31</v>
      </c>
      <c r="HF14" s="8">
        <f t="shared" si="33"/>
        <v>30</v>
      </c>
      <c r="HG14" s="8">
        <f t="shared" si="33"/>
        <v>31</v>
      </c>
      <c r="HH14" s="8">
        <f t="shared" si="33"/>
        <v>31</v>
      </c>
      <c r="HI14" s="8">
        <f t="shared" si="33"/>
        <v>29</v>
      </c>
      <c r="HJ14" s="8">
        <f t="shared" si="33"/>
        <v>31</v>
      </c>
      <c r="HK14" s="8">
        <f t="shared" si="33"/>
        <v>30</v>
      </c>
      <c r="HL14" s="8">
        <f t="shared" si="33"/>
        <v>31</v>
      </c>
      <c r="HM14" s="8">
        <f t="shared" si="33"/>
        <v>30</v>
      </c>
      <c r="HN14" s="8">
        <f t="shared" si="33"/>
        <v>31</v>
      </c>
      <c r="HO14" s="8">
        <f t="shared" si="33"/>
        <v>31</v>
      </c>
      <c r="HP14" s="8">
        <f t="shared" si="33"/>
        <v>30</v>
      </c>
      <c r="HQ14" s="8">
        <f t="shared" si="33"/>
        <v>31</v>
      </c>
      <c r="HR14" s="8">
        <f t="shared" si="33"/>
        <v>30</v>
      </c>
      <c r="HS14" s="8">
        <f t="shared" si="33"/>
        <v>31</v>
      </c>
      <c r="HT14" s="8">
        <f t="shared" si="33"/>
        <v>31</v>
      </c>
      <c r="HU14" s="8">
        <f t="shared" si="33"/>
        <v>28</v>
      </c>
      <c r="HV14" s="8">
        <f t="shared" si="33"/>
        <v>31</v>
      </c>
      <c r="HW14" s="8">
        <f t="shared" si="33"/>
        <v>30</v>
      </c>
      <c r="HX14" s="8">
        <f t="shared" si="33"/>
        <v>31</v>
      </c>
      <c r="HY14" s="8">
        <f t="shared" si="33"/>
        <v>30</v>
      </c>
      <c r="HZ14" s="8">
        <f t="shared" si="33"/>
        <v>31</v>
      </c>
      <c r="IA14" s="8">
        <f t="shared" si="33"/>
        <v>31</v>
      </c>
      <c r="IB14" s="8">
        <f t="shared" si="33"/>
        <v>30</v>
      </c>
      <c r="IC14" s="8">
        <f t="shared" si="33"/>
        <v>31</v>
      </c>
      <c r="ID14" s="8">
        <f t="shared" si="33"/>
        <v>30</v>
      </c>
      <c r="IE14" s="8">
        <f t="shared" si="33"/>
        <v>31</v>
      </c>
      <c r="IF14" s="8">
        <f t="shared" si="33"/>
        <v>31</v>
      </c>
      <c r="IG14" s="8">
        <f t="shared" si="33"/>
        <v>28</v>
      </c>
      <c r="IH14" s="8">
        <f t="shared" si="33"/>
        <v>31</v>
      </c>
      <c r="II14" s="8">
        <f t="shared" si="33"/>
        <v>30</v>
      </c>
      <c r="IJ14" s="8">
        <f t="shared" si="33"/>
        <v>31</v>
      </c>
      <c r="IK14" s="8">
        <f t="shared" si="33"/>
        <v>30</v>
      </c>
      <c r="IL14" s="8">
        <f t="shared" si="33"/>
        <v>31</v>
      </c>
      <c r="IM14" s="8">
        <f t="shared" si="33"/>
        <v>31</v>
      </c>
      <c r="IN14" s="8">
        <f t="shared" si="33"/>
        <v>30</v>
      </c>
      <c r="IO14" s="8">
        <f t="shared" si="33"/>
        <v>31</v>
      </c>
      <c r="IP14" s="8">
        <f t="shared" si="33"/>
        <v>30</v>
      </c>
      <c r="IQ14" s="8">
        <f t="shared" si="33"/>
        <v>31</v>
      </c>
      <c r="IR14" s="8">
        <f t="shared" si="33"/>
        <v>31</v>
      </c>
      <c r="IS14" s="8">
        <f t="shared" si="33"/>
        <v>28</v>
      </c>
      <c r="IT14" s="8">
        <f t="shared" si="33"/>
        <v>31</v>
      </c>
      <c r="IU14" s="8">
        <f t="shared" si="33"/>
        <v>30</v>
      </c>
      <c r="IV14" s="8">
        <f t="shared" si="33"/>
        <v>31</v>
      </c>
      <c r="IW14" s="8">
        <f t="shared" si="33"/>
        <v>30</v>
      </c>
      <c r="IX14" s="8">
        <f t="shared" si="33"/>
        <v>31</v>
      </c>
      <c r="IY14" s="8">
        <f t="shared" si="33"/>
        <v>31</v>
      </c>
      <c r="IZ14" s="8">
        <f t="shared" si="33"/>
        <v>30</v>
      </c>
      <c r="JA14" s="8">
        <f t="shared" si="33"/>
        <v>31</v>
      </c>
      <c r="JB14" s="8">
        <f t="shared" ref="JB14:KA14" si="34">JB11-JB10+1</f>
        <v>30</v>
      </c>
      <c r="JC14" s="8">
        <f t="shared" si="34"/>
        <v>31</v>
      </c>
      <c r="JD14" s="8">
        <f t="shared" si="34"/>
        <v>31</v>
      </c>
      <c r="JE14" s="8">
        <f t="shared" si="34"/>
        <v>29</v>
      </c>
      <c r="JF14" s="8">
        <f t="shared" si="34"/>
        <v>31</v>
      </c>
      <c r="JG14" s="8">
        <f t="shared" si="34"/>
        <v>30</v>
      </c>
      <c r="JH14" s="8">
        <f t="shared" si="34"/>
        <v>31</v>
      </c>
      <c r="JI14" s="8">
        <f t="shared" si="34"/>
        <v>30</v>
      </c>
      <c r="JJ14" s="8">
        <f t="shared" si="34"/>
        <v>31</v>
      </c>
      <c r="JK14" s="8">
        <f t="shared" si="34"/>
        <v>31</v>
      </c>
      <c r="JL14" s="8">
        <f t="shared" si="34"/>
        <v>30</v>
      </c>
      <c r="JM14" s="8">
        <f t="shared" si="34"/>
        <v>31</v>
      </c>
      <c r="JN14" s="8">
        <f t="shared" si="34"/>
        <v>30</v>
      </c>
      <c r="JO14" s="8">
        <f t="shared" si="34"/>
        <v>31</v>
      </c>
      <c r="JP14" s="8">
        <f t="shared" si="34"/>
        <v>31</v>
      </c>
      <c r="JQ14" s="8">
        <f t="shared" si="34"/>
        <v>28</v>
      </c>
      <c r="JR14" s="8">
        <f t="shared" si="34"/>
        <v>31</v>
      </c>
      <c r="JS14" s="8">
        <f t="shared" si="34"/>
        <v>30</v>
      </c>
      <c r="JT14" s="8">
        <f t="shared" si="34"/>
        <v>31</v>
      </c>
      <c r="JU14" s="8">
        <f t="shared" si="34"/>
        <v>30</v>
      </c>
      <c r="JV14" s="8">
        <f t="shared" si="34"/>
        <v>31</v>
      </c>
      <c r="JW14" s="8">
        <f t="shared" si="34"/>
        <v>31</v>
      </c>
      <c r="JX14" s="8">
        <f t="shared" si="34"/>
        <v>30</v>
      </c>
      <c r="JY14" s="8">
        <f t="shared" si="34"/>
        <v>31</v>
      </c>
      <c r="JZ14" s="8">
        <f t="shared" si="34"/>
        <v>30</v>
      </c>
      <c r="KA14" s="8">
        <f t="shared" si="34"/>
        <v>31</v>
      </c>
    </row>
    <row r="15" spans="2:287" x14ac:dyDescent="0.35">
      <c r="B15" s="1"/>
      <c r="C15" s="1"/>
      <c r="D15" s="1"/>
      <c r="E15" s="6" t="s">
        <v>17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</row>
    <row r="17" spans="2:287" x14ac:dyDescent="0.35">
      <c r="B17" s="10" t="s">
        <v>225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 s="10"/>
      <c r="GM17" s="10"/>
      <c r="GN17" s="10"/>
      <c r="GO17" s="10"/>
      <c r="GP17" s="10"/>
      <c r="GQ17" s="10"/>
      <c r="GR17" s="10"/>
      <c r="GS17" s="10"/>
      <c r="GT17" s="10"/>
      <c r="GU17" s="10"/>
      <c r="GV17" s="10"/>
      <c r="GW17" s="10"/>
      <c r="GX17" s="10"/>
      <c r="GY17" s="10"/>
      <c r="GZ17" s="10"/>
      <c r="HA17" s="10"/>
      <c r="HB17" s="10"/>
      <c r="HC17" s="10"/>
      <c r="HD17" s="10"/>
      <c r="HE17" s="10"/>
      <c r="HF17" s="10"/>
      <c r="HG17" s="10"/>
      <c r="HH17" s="10"/>
      <c r="HI17" s="10"/>
      <c r="HJ17" s="10"/>
      <c r="HK17" s="10"/>
      <c r="HL17" s="10"/>
      <c r="HM17" s="10"/>
      <c r="HN17" s="10"/>
      <c r="HO17" s="10"/>
      <c r="HP17" s="10"/>
      <c r="HQ17" s="10"/>
      <c r="HR17" s="10"/>
      <c r="HS17" s="10"/>
      <c r="HT17" s="10"/>
      <c r="HU17" s="10"/>
      <c r="HV17" s="10"/>
      <c r="HW17" s="10"/>
      <c r="HX17" s="10"/>
      <c r="HY17" s="10"/>
      <c r="HZ17" s="10"/>
      <c r="IA17" s="10"/>
      <c r="IB17" s="10"/>
      <c r="IC17" s="10"/>
      <c r="ID17" s="10"/>
      <c r="IE17" s="10"/>
      <c r="IF17" s="10"/>
      <c r="IG17" s="10"/>
      <c r="IH17" s="10"/>
      <c r="II17" s="10"/>
      <c r="IJ17" s="10"/>
      <c r="IK17" s="10"/>
      <c r="IL17" s="10"/>
      <c r="IM17" s="10"/>
      <c r="IN17" s="10"/>
      <c r="IO17" s="10"/>
      <c r="IP17" s="10"/>
      <c r="IQ17" s="10"/>
      <c r="IR17" s="10"/>
      <c r="IS17" s="10"/>
      <c r="IT17" s="10"/>
      <c r="IU17" s="10"/>
      <c r="IV17" s="10"/>
      <c r="IW17" s="10"/>
      <c r="IX17" s="10"/>
      <c r="IY17" s="10"/>
      <c r="IZ17" s="10"/>
      <c r="JA17" s="10"/>
      <c r="JB17" s="10"/>
      <c r="JC17" s="10"/>
      <c r="JD17" s="10"/>
      <c r="JE17" s="10"/>
      <c r="JF17" s="10"/>
      <c r="JG17" s="10"/>
      <c r="JH17" s="10"/>
      <c r="JI17" s="10"/>
      <c r="JJ17" s="10"/>
      <c r="JK17" s="10"/>
      <c r="JL17" s="10"/>
      <c r="JM17" s="10"/>
      <c r="JN17" s="10"/>
      <c r="JO17" s="10"/>
      <c r="JP17" s="10"/>
      <c r="JQ17" s="10"/>
      <c r="JR17" s="10"/>
      <c r="JS17" s="10"/>
      <c r="JT17" s="10"/>
      <c r="JU17" s="10"/>
      <c r="JV17" s="10"/>
      <c r="JW17" s="10"/>
      <c r="JX17" s="10"/>
      <c r="JY17" s="10"/>
      <c r="JZ17" s="10"/>
      <c r="KA17" s="10"/>
    </row>
    <row r="36" spans="2:287" x14ac:dyDescent="0.35">
      <c r="B36" s="10" t="s">
        <v>226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 s="10"/>
      <c r="GM36" s="10"/>
      <c r="GN36" s="10"/>
      <c r="GO36" s="10"/>
      <c r="GP36" s="10"/>
      <c r="GQ36" s="10"/>
      <c r="GR36" s="10"/>
      <c r="GS36" s="10"/>
      <c r="GT36" s="10"/>
      <c r="GU36" s="10"/>
      <c r="GV36" s="10"/>
      <c r="GW36" s="10"/>
      <c r="GX36" s="10"/>
      <c r="GY36" s="10"/>
      <c r="GZ36" s="10"/>
      <c r="HA36" s="10"/>
      <c r="HB36" s="10"/>
      <c r="HC36" s="10"/>
      <c r="HD36" s="10"/>
      <c r="HE36" s="10"/>
      <c r="HF36" s="10"/>
      <c r="HG36" s="10"/>
      <c r="HH36" s="10"/>
      <c r="HI36" s="10"/>
      <c r="HJ36" s="10"/>
      <c r="HK36" s="10"/>
      <c r="HL36" s="10"/>
      <c r="HM36" s="10"/>
      <c r="HN36" s="10"/>
      <c r="HO36" s="10"/>
      <c r="HP36" s="10"/>
      <c r="HQ36" s="10"/>
      <c r="HR36" s="10"/>
      <c r="HS36" s="10"/>
      <c r="HT36" s="10"/>
      <c r="HU36" s="10"/>
      <c r="HV36" s="10"/>
      <c r="HW36" s="10"/>
      <c r="HX36" s="10"/>
      <c r="HY36" s="10"/>
      <c r="HZ36" s="10"/>
      <c r="IA36" s="10"/>
      <c r="IB36" s="10"/>
      <c r="IC36" s="10"/>
      <c r="ID36" s="10"/>
      <c r="IE36" s="10"/>
      <c r="IF36" s="10"/>
      <c r="IG36" s="10"/>
      <c r="IH36" s="10"/>
      <c r="II36" s="10"/>
      <c r="IJ36" s="10"/>
      <c r="IK36" s="10"/>
      <c r="IL36" s="10"/>
      <c r="IM36" s="10"/>
      <c r="IN36" s="10"/>
      <c r="IO36" s="10"/>
      <c r="IP36" s="10"/>
      <c r="IQ36" s="10"/>
      <c r="IR36" s="10"/>
      <c r="IS36" s="10"/>
      <c r="IT36" s="10"/>
      <c r="IU36" s="10"/>
      <c r="IV36" s="10"/>
      <c r="IW36" s="10"/>
      <c r="IX36" s="10"/>
      <c r="IY36" s="10"/>
      <c r="IZ36" s="10"/>
      <c r="JA36" s="10"/>
      <c r="JB36" s="10"/>
      <c r="JC36" s="10"/>
      <c r="JD36" s="10"/>
      <c r="JE36" s="10"/>
      <c r="JF36" s="10"/>
      <c r="JG36" s="10"/>
      <c r="JH36" s="10"/>
      <c r="JI36" s="10"/>
      <c r="JJ36" s="10"/>
      <c r="JK36" s="10"/>
      <c r="JL36" s="10"/>
      <c r="JM36" s="10"/>
      <c r="JN36" s="10"/>
      <c r="JO36" s="10"/>
      <c r="JP36" s="10"/>
      <c r="JQ36" s="10"/>
      <c r="JR36" s="10"/>
      <c r="JS36" s="10"/>
      <c r="JT36" s="10"/>
      <c r="JU36" s="10"/>
      <c r="JV36" s="10"/>
      <c r="JW36" s="10"/>
      <c r="JX36" s="10"/>
      <c r="JY36" s="10"/>
      <c r="JZ36" s="10"/>
      <c r="KA36" s="10"/>
    </row>
    <row r="53" spans="4:9" x14ac:dyDescent="0.35">
      <c r="E53" s="1" t="s">
        <v>227</v>
      </c>
    </row>
    <row r="54" spans="4:9" x14ac:dyDescent="0.35">
      <c r="E54" s="1" t="s">
        <v>228</v>
      </c>
    </row>
    <row r="56" spans="4:9" x14ac:dyDescent="0.35">
      <c r="E56" t="s">
        <v>229</v>
      </c>
    </row>
    <row r="57" spans="4:9" x14ac:dyDescent="0.35">
      <c r="E57" s="6" t="s">
        <v>11</v>
      </c>
      <c r="F57" s="7">
        <f>DATE(2026,7,1)</f>
        <v>46204</v>
      </c>
      <c r="G57" s="7">
        <f t="shared" ref="G57:I57" si="35">F58+1</f>
        <v>46235</v>
      </c>
      <c r="H57" s="7">
        <f t="shared" si="35"/>
        <v>46266</v>
      </c>
      <c r="I57" s="7">
        <f t="shared" si="35"/>
        <v>46296</v>
      </c>
    </row>
    <row r="58" spans="4:9" x14ac:dyDescent="0.35">
      <c r="E58" s="6" t="s">
        <v>12</v>
      </c>
      <c r="F58" s="7">
        <f t="shared" ref="F58:G58" si="36">EOMONTH(F57,0)</f>
        <v>46234</v>
      </c>
      <c r="G58" s="7">
        <f t="shared" si="36"/>
        <v>46265</v>
      </c>
      <c r="H58" s="7">
        <f t="shared" ref="H58:I58" si="37">EOMONTH(H57,0)</f>
        <v>46295</v>
      </c>
      <c r="I58" s="7">
        <f t="shared" si="37"/>
        <v>46326</v>
      </c>
    </row>
    <row r="60" spans="4:9" x14ac:dyDescent="0.35">
      <c r="E60" t="s">
        <v>230</v>
      </c>
    </row>
    <row r="61" spans="4:9" x14ac:dyDescent="0.35">
      <c r="E61" s="6" t="s">
        <v>11</v>
      </c>
      <c r="F61" s="86" t="str">
        <f t="shared" ref="F61:I61" ca="1" si="38">_xlfn.FORMULATEXT(F57)</f>
        <v>=DATE(2026,7,1)</v>
      </c>
      <c r="G61" s="86" t="str">
        <f t="shared" ca="1" si="38"/>
        <v>=F58+1</v>
      </c>
      <c r="H61" s="13" t="str">
        <f t="shared" ca="1" si="38"/>
        <v>=G58+1</v>
      </c>
      <c r="I61" s="13" t="str">
        <f t="shared" ca="1" si="38"/>
        <v>=H58+1</v>
      </c>
    </row>
    <row r="62" spans="4:9" x14ac:dyDescent="0.35">
      <c r="E62" s="6" t="s">
        <v>12</v>
      </c>
      <c r="F62" s="86" t="str">
        <f t="shared" ref="F62:I62" ca="1" si="39">_xlfn.FORMULATEXT(F58)</f>
        <v>=EOMONTH(F57,0)</v>
      </c>
      <c r="G62" s="13" t="str">
        <f t="shared" ca="1" si="39"/>
        <v>=EOMONTH(G57,0)</v>
      </c>
      <c r="H62" s="13" t="str">
        <f t="shared" ca="1" si="39"/>
        <v>=EOMONTH(H57,0)</v>
      </c>
      <c r="I62" s="13" t="str">
        <f t="shared" ca="1" si="39"/>
        <v>=EOMONTH(I57,0)</v>
      </c>
    </row>
    <row r="64" spans="4:9" x14ac:dyDescent="0.35">
      <c r="D64" s="22" t="s">
        <v>240</v>
      </c>
      <c r="E64" s="88"/>
    </row>
    <row r="65" spans="4:8" x14ac:dyDescent="0.35">
      <c r="E65" s="1" t="s">
        <v>231</v>
      </c>
    </row>
    <row r="66" spans="4:8" x14ac:dyDescent="0.35">
      <c r="E66" s="1" t="s">
        <v>232</v>
      </c>
    </row>
    <row r="68" spans="4:8" x14ac:dyDescent="0.35">
      <c r="E68" s="47" t="s">
        <v>236</v>
      </c>
      <c r="F68" s="86" t="s">
        <v>233</v>
      </c>
      <c r="G68" s="86" t="s">
        <v>234</v>
      </c>
    </row>
    <row r="69" spans="4:8" x14ac:dyDescent="0.35">
      <c r="E69" s="15" t="s">
        <v>252</v>
      </c>
      <c r="F69" s="90">
        <f>DATE(2026,7,15)</f>
        <v>46218</v>
      </c>
      <c r="G69" s="87" t="str">
        <f ca="1">_xlfn.FORMULATEXT(F69)</f>
        <v>=DATE(2026,7,15)</v>
      </c>
      <c r="H69" s="89" t="s">
        <v>245</v>
      </c>
    </row>
    <row r="70" spans="4:8" x14ac:dyDescent="0.35">
      <c r="E70" s="47" t="s">
        <v>235</v>
      </c>
      <c r="F70" s="91">
        <f>EOMONTH(F69,0)</f>
        <v>46234</v>
      </c>
      <c r="G70" s="92" t="str">
        <f ca="1">_xlfn.FORMULATEXT(F70)</f>
        <v>=EOMONTH(F69,0)</v>
      </c>
    </row>
    <row r="71" spans="4:8" x14ac:dyDescent="0.35">
      <c r="E71" s="15" t="s">
        <v>237</v>
      </c>
      <c r="F71" s="36">
        <f>EOMONTH(F69,2)</f>
        <v>46295</v>
      </c>
      <c r="G71" s="87" t="str">
        <f ca="1">_xlfn.FORMULATEXT(F71)</f>
        <v>=EOMONTH(F69,2)</v>
      </c>
      <c r="H71" s="1" t="s">
        <v>243</v>
      </c>
    </row>
    <row r="72" spans="4:8" x14ac:dyDescent="0.35">
      <c r="E72" s="47" t="s">
        <v>244</v>
      </c>
      <c r="F72" s="91">
        <f>EOMONTH(F69,MOD(3-MONTH(F69),3))</f>
        <v>46295</v>
      </c>
      <c r="G72" s="92" t="str">
        <f ca="1">_xlfn.FORMULATEXT(F72)</f>
        <v>=EOMONTH(F69,MOD(3-MONTH(F69),3))</v>
      </c>
      <c r="H72" s="1" t="s">
        <v>246</v>
      </c>
    </row>
    <row r="73" spans="4:8" x14ac:dyDescent="0.35">
      <c r="E73" s="15" t="s">
        <v>238</v>
      </c>
      <c r="F73" s="36">
        <f>EOMONTH(F69,12)</f>
        <v>46599</v>
      </c>
      <c r="G73" s="87" t="str">
        <f ca="1">_xlfn.FORMULATEXT(F73)</f>
        <v>=EOMONTH(F69,12)</v>
      </c>
    </row>
    <row r="74" spans="4:8" x14ac:dyDescent="0.35">
      <c r="E74" s="94" t="s">
        <v>239</v>
      </c>
      <c r="F74" s="36">
        <f>EOMONTH(F69,-1)+1</f>
        <v>46204</v>
      </c>
      <c r="G74" s="87" t="str">
        <f ca="1">_xlfn.FORMULATEXT(F74)</f>
        <v>=EOMONTH(F69,-1)+1</v>
      </c>
    </row>
    <row r="76" spans="4:8" x14ac:dyDescent="0.35">
      <c r="D76" s="22" t="s">
        <v>241</v>
      </c>
      <c r="E76" s="88"/>
    </row>
    <row r="77" spans="4:8" x14ac:dyDescent="0.35">
      <c r="E77" s="1" t="s">
        <v>242</v>
      </c>
    </row>
    <row r="78" spans="4:8" x14ac:dyDescent="0.35">
      <c r="E78" s="47" t="s">
        <v>236</v>
      </c>
      <c r="F78" s="86" t="s">
        <v>233</v>
      </c>
      <c r="G78" s="86" t="s">
        <v>234</v>
      </c>
    </row>
    <row r="79" spans="4:8" x14ac:dyDescent="0.35">
      <c r="E79" s="15" t="s">
        <v>9</v>
      </c>
      <c r="F79" s="90">
        <f>DATE(2026,7,15)</f>
        <v>46218</v>
      </c>
      <c r="G79" s="87" t="str">
        <f ca="1">_xlfn.FORMULATEXT(F79)</f>
        <v>=DATE(2026,7,15)</v>
      </c>
    </row>
    <row r="80" spans="4:8" x14ac:dyDescent="0.35">
      <c r="E80" s="15" t="s">
        <v>235</v>
      </c>
      <c r="F80" s="36">
        <f>DATE(YEAR(F79),MONTH(F79)+1,1)-1</f>
        <v>46234</v>
      </c>
      <c r="G80" s="87" t="str">
        <f ca="1">_xlfn.FORMULATEXT(F80)</f>
        <v>=DATE(YEAR(F79),MONTH(F79)+1,1)-1</v>
      </c>
    </row>
    <row r="81" spans="4:8" x14ac:dyDescent="0.35">
      <c r="E81" s="15" t="s">
        <v>237</v>
      </c>
      <c r="F81" s="36">
        <f>DATE(YEAR(F80),MONTH(F80)+3,1)-1</f>
        <v>46295</v>
      </c>
      <c r="G81" s="87" t="str">
        <f ca="1">_xlfn.FORMULATEXT(F81)</f>
        <v>=DATE(YEAR(F80),MONTH(F80)+3,1)-1</v>
      </c>
      <c r="H81" s="1" t="s">
        <v>243</v>
      </c>
    </row>
    <row r="82" spans="4:8" x14ac:dyDescent="0.35">
      <c r="E82" s="15" t="s">
        <v>244</v>
      </c>
      <c r="F82" s="36">
        <f>DATE(YEAR(F69),CEILING(MONTH(F69),3)+1,0)</f>
        <v>46295</v>
      </c>
      <c r="G82" s="87" t="str">
        <f ca="1">_xlfn.FORMULATEXT(F82)</f>
        <v>=DATE(YEAR(F69),CEILING(MONTH(F69),3)+1,0)</v>
      </c>
      <c r="H82" s="1" t="s">
        <v>246</v>
      </c>
    </row>
    <row r="83" spans="4:8" x14ac:dyDescent="0.35">
      <c r="E83" s="15" t="s">
        <v>238</v>
      </c>
      <c r="F83" s="36">
        <f>EOMONTH(F79,12)</f>
        <v>46599</v>
      </c>
      <c r="G83" s="87" t="str">
        <f ca="1">_xlfn.FORMULATEXT(F83)</f>
        <v>=EOMONTH(F79,12)</v>
      </c>
    </row>
    <row r="84" spans="4:8" x14ac:dyDescent="0.35">
      <c r="E84" s="94" t="s">
        <v>239</v>
      </c>
      <c r="F84" s="36">
        <f>EOMONTH(F79,-1)+1</f>
        <v>46204</v>
      </c>
      <c r="G84" s="87" t="str">
        <f ca="1">_xlfn.FORMULATEXT(F84)</f>
        <v>=EOMONTH(F79,-1)+1</v>
      </c>
    </row>
    <row r="87" spans="4:8" x14ac:dyDescent="0.35">
      <c r="D87" s="22" t="s">
        <v>247</v>
      </c>
      <c r="E87" s="88"/>
    </row>
    <row r="88" spans="4:8" x14ac:dyDescent="0.35">
      <c r="E88" s="47" t="s">
        <v>236</v>
      </c>
      <c r="F88" s="86" t="s">
        <v>233</v>
      </c>
      <c r="G88" s="86" t="s">
        <v>234</v>
      </c>
    </row>
    <row r="89" spans="4:8" x14ac:dyDescent="0.35">
      <c r="E89" s="94" t="s">
        <v>249</v>
      </c>
      <c r="F89" s="36">
        <f>_xlfn.LET(
    _xlpm.RefDate,F69,
    _xlpm.QuarterEndMonth,CEILING(MONTH(_xlpm.RefDate),3),
    DATE(YEAR(_xlpm.RefDate),_xlpm.QuarterEndMonth+1,0)
)</f>
        <v>46295</v>
      </c>
      <c r="G89" s="93" t="str">
        <f ca="1">_xlfn.FORMULATEXT(F89)</f>
        <v>=LET(
    RefDate,F69,
    QuarterEndMonth,CEILING(MONTH(RefDate),3),
    DATE(YEAR(RefDate),QuarterEndMonth+1,0)
)</v>
      </c>
      <c r="H89" s="1" t="s">
        <v>248</v>
      </c>
    </row>
    <row r="91" spans="4:8" x14ac:dyDescent="0.35">
      <c r="D91" s="22" t="s">
        <v>250</v>
      </c>
    </row>
    <row r="92" spans="4:8" x14ac:dyDescent="0.35">
      <c r="E92" s="1" t="s">
        <v>251</v>
      </c>
    </row>
    <row r="94" spans="4:8" x14ac:dyDescent="0.35">
      <c r="E94" s="47" t="s">
        <v>236</v>
      </c>
      <c r="F94" s="86" t="s">
        <v>233</v>
      </c>
      <c r="G94" s="86" t="s">
        <v>234</v>
      </c>
    </row>
    <row r="95" spans="4:8" x14ac:dyDescent="0.35">
      <c r="E95" s="15" t="s">
        <v>252</v>
      </c>
      <c r="F95" s="90">
        <f>DATE(2026,7,15)</f>
        <v>46218</v>
      </c>
      <c r="G95" s="87" t="str">
        <f ca="1">_xlfn.FORMULATEXT(F95)</f>
        <v>=DATE(2026,7,15)</v>
      </c>
      <c r="H95" s="89" t="s">
        <v>245</v>
      </c>
    </row>
    <row r="96" spans="4:8" x14ac:dyDescent="0.35">
      <c r="E96" s="6" t="s">
        <v>13</v>
      </c>
      <c r="F96" s="6" t="str">
        <f>"CY"&amp;RIGHT(YEAR(F95),2)</f>
        <v>CY26</v>
      </c>
      <c r="G96" s="87" t="str">
        <f ca="1">_xlfn.FORMULATEXT(F96)</f>
        <v>="CY"&amp;RIGHT(YEAR(F95),2)</v>
      </c>
    </row>
    <row r="97" spans="5:8" x14ac:dyDescent="0.35">
      <c r="E97" s="6" t="s">
        <v>1</v>
      </c>
      <c r="F97" s="6" t="str">
        <f>"FY"&amp;IF(MONTH(F95)&gt;6,RIGHT(YEAR(F95)+1,2),RIGHT(YEAR(F95),2))</f>
        <v>FY27</v>
      </c>
      <c r="G97" s="93" t="str">
        <f ca="1">_xlfn.FORMULATEXT(F97)</f>
        <v>="FY"&amp;IF(MONTH(F95)&gt;6,RIGHT(YEAR(F95)+1,2),RIGHT(YEAR(F95),2))</v>
      </c>
      <c r="H97" t="s">
        <v>253</v>
      </c>
    </row>
    <row r="99" spans="5:8" x14ac:dyDescent="0.35">
      <c r="E99" s="88" t="s">
        <v>255</v>
      </c>
    </row>
    <row r="100" spans="5:8" x14ac:dyDescent="0.35">
      <c r="E100" s="47" t="s">
        <v>236</v>
      </c>
      <c r="F100" s="86" t="s">
        <v>233</v>
      </c>
      <c r="G100" s="86" t="s">
        <v>234</v>
      </c>
    </row>
    <row r="101" spans="5:8" x14ac:dyDescent="0.35">
      <c r="E101" s="15" t="s">
        <v>252</v>
      </c>
      <c r="F101" s="90">
        <f>DATE(2026,7,15)</f>
        <v>46218</v>
      </c>
      <c r="G101" s="93" t="str">
        <f ca="1">_xlfn.FORMULATEXT(F101)</f>
        <v>=DATE(2026,7,15)</v>
      </c>
    </row>
    <row r="102" spans="5:8" x14ac:dyDescent="0.35">
      <c r="E102" s="15" t="s">
        <v>254</v>
      </c>
      <c r="F102" s="95">
        <v>3</v>
      </c>
      <c r="G102" s="93"/>
    </row>
    <row r="103" spans="5:8" x14ac:dyDescent="0.35">
      <c r="E103" s="6" t="s">
        <v>1</v>
      </c>
      <c r="F103" s="13" t="str">
        <f>"FY"&amp;RIGHT(TEXT(YEAR(EDATE(F101,12-F102)),"00"),2)</f>
        <v>FY27</v>
      </c>
      <c r="G103" s="93" t="str">
        <f ca="1">_xlfn.FORMULATEXT(F103)</f>
        <v>="FY"&amp;RIGHT(TEXT(YEAR(EDATE(F101,12-F102)),"00"),2)</v>
      </c>
    </row>
    <row r="104" spans="5:8" x14ac:dyDescent="0.35">
      <c r="E104" s="1" t="s">
        <v>256</v>
      </c>
    </row>
    <row r="105" spans="5:8" x14ac:dyDescent="0.35">
      <c r="E105" s="1"/>
    </row>
    <row r="106" spans="5:8" x14ac:dyDescent="0.35">
      <c r="E106" s="1" t="s">
        <v>260</v>
      </c>
    </row>
    <row r="107" spans="5:8" x14ac:dyDescent="0.35">
      <c r="E107" s="15" t="s">
        <v>252</v>
      </c>
      <c r="F107" s="90">
        <f>DATE(2026,7,15)</f>
        <v>46218</v>
      </c>
    </row>
    <row r="108" spans="5:8" x14ac:dyDescent="0.35">
      <c r="E108" s="15" t="s">
        <v>254</v>
      </c>
      <c r="F108" s="95">
        <v>3</v>
      </c>
      <c r="G108" t="s">
        <v>258</v>
      </c>
    </row>
    <row r="109" spans="5:8" x14ac:dyDescent="0.35">
      <c r="E109" s="6" t="s">
        <v>257</v>
      </c>
      <c r="F109" s="36">
        <f>EDATE(F107,12-F108)</f>
        <v>46492</v>
      </c>
      <c r="G109" s="1" t="s">
        <v>259</v>
      </c>
    </row>
    <row r="110" spans="5:8" x14ac:dyDescent="0.35">
      <c r="E110" s="6" t="s">
        <v>1</v>
      </c>
      <c r="F110" s="13" t="str">
        <f>"FY "&amp;YEAR(F109)</f>
        <v>FY 2027</v>
      </c>
    </row>
    <row r="113" spans="4:8" x14ac:dyDescent="0.35">
      <c r="D113" s="22" t="s">
        <v>262</v>
      </c>
    </row>
    <row r="114" spans="4:8" x14ac:dyDescent="0.35">
      <c r="D114" s="22"/>
      <c r="E114" s="47" t="s">
        <v>236</v>
      </c>
      <c r="F114" s="86" t="s">
        <v>233</v>
      </c>
    </row>
    <row r="115" spans="4:8" x14ac:dyDescent="0.35">
      <c r="D115" s="22"/>
      <c r="E115" s="15" t="s">
        <v>261</v>
      </c>
      <c r="F115" s="90">
        <f>DATE(2026,7,1)</f>
        <v>46204</v>
      </c>
    </row>
    <row r="116" spans="4:8" x14ac:dyDescent="0.35">
      <c r="D116" s="22"/>
      <c r="E116" s="15" t="s">
        <v>263</v>
      </c>
      <c r="F116" s="90">
        <f>EOMONTH(F115,0)</f>
        <v>46234</v>
      </c>
    </row>
    <row r="117" spans="4:8" x14ac:dyDescent="0.35">
      <c r="E117" s="6" t="s">
        <v>15</v>
      </c>
      <c r="F117" s="8">
        <f>F116-F115+1</f>
        <v>31</v>
      </c>
      <c r="G117" s="93" t="str">
        <f ca="1">_xlfn.FORMULATEXT(F117)</f>
        <v>=F116-F115+1</v>
      </c>
    </row>
    <row r="118" spans="4:8" x14ac:dyDescent="0.35">
      <c r="E118" s="6" t="s">
        <v>264</v>
      </c>
      <c r="F118" s="8">
        <f>F116-F115</f>
        <v>30</v>
      </c>
      <c r="G118" s="93" t="str">
        <f ca="1">_xlfn.FORMULATEXT(F118)</f>
        <v>=F116-F115</v>
      </c>
      <c r="H118" s="1" t="s">
        <v>265</v>
      </c>
    </row>
    <row r="120" spans="4:8" x14ac:dyDescent="0.35">
      <c r="E120" s="47" t="s">
        <v>236</v>
      </c>
      <c r="F120" s="86" t="s">
        <v>233</v>
      </c>
    </row>
    <row r="121" spans="4:8" x14ac:dyDescent="0.35">
      <c r="E121" s="15" t="s">
        <v>266</v>
      </c>
      <c r="F121" s="90">
        <f>DATE(2026,6,30)</f>
        <v>46203</v>
      </c>
    </row>
    <row r="122" spans="4:8" x14ac:dyDescent="0.35">
      <c r="E122" s="15" t="s">
        <v>263</v>
      </c>
      <c r="F122" s="90">
        <f>EOMONTH(F121,1)</f>
        <v>46234</v>
      </c>
    </row>
    <row r="123" spans="4:8" x14ac:dyDescent="0.35">
      <c r="E123" s="6" t="s">
        <v>264</v>
      </c>
      <c r="F123" s="8">
        <f>F122-F121+1</f>
        <v>32</v>
      </c>
      <c r="G123" s="93" t="str">
        <f ca="1">_xlfn.FORMULATEXT(F123)</f>
        <v>=F122-F121+1</v>
      </c>
      <c r="H123" s="1" t="s">
        <v>267</v>
      </c>
    </row>
    <row r="124" spans="4:8" x14ac:dyDescent="0.35">
      <c r="E124" s="6" t="s">
        <v>15</v>
      </c>
      <c r="F124" s="8">
        <f>F122-F121</f>
        <v>31</v>
      </c>
      <c r="G124" s="93" t="str">
        <f ca="1">_xlfn.FORMULATEXT(F124)</f>
        <v>=F122-F121</v>
      </c>
      <c r="H124" s="1" t="s">
        <v>265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3E58-36CB-4D29-94ED-9456DD672821}">
  <dimension ref="B1:AA19"/>
  <sheetViews>
    <sheetView showGridLines="0" workbookViewId="0">
      <selection activeCell="G23" sqref="G23"/>
    </sheetView>
    <sheetView workbookViewId="1"/>
  </sheetViews>
  <sheetFormatPr defaultColWidth="9.19921875" defaultRowHeight="15.6" x14ac:dyDescent="0.35"/>
  <cols>
    <col min="1" max="1" width="9.19921875" style="70"/>
    <col min="2" max="2" width="16.3984375" style="70" bestFit="1" customWidth="1"/>
    <col min="3" max="3" width="8.59765625" style="70" bestFit="1" customWidth="1"/>
    <col min="4" max="4" width="8.09765625" style="70" bestFit="1" customWidth="1"/>
    <col min="5" max="5" width="8" style="70" bestFit="1" customWidth="1"/>
    <col min="6" max="27" width="7.8984375" style="70" bestFit="1" customWidth="1"/>
    <col min="28" max="16384" width="9.19921875" style="70"/>
  </cols>
  <sheetData>
    <row r="1" spans="2:27" x14ac:dyDescent="0.35">
      <c r="B1" s="70" t="s">
        <v>213</v>
      </c>
    </row>
    <row r="2" spans="2:27" x14ac:dyDescent="0.35">
      <c r="B2" s="71" t="s">
        <v>214</v>
      </c>
      <c r="C2" s="71">
        <v>0</v>
      </c>
      <c r="D2" s="71">
        <f>C2+1</f>
        <v>1</v>
      </c>
      <c r="E2" s="71">
        <f t="shared" ref="E2:AA2" si="0">D2+1</f>
        <v>2</v>
      </c>
      <c r="F2" s="71">
        <f t="shared" si="0"/>
        <v>3</v>
      </c>
      <c r="G2" s="71">
        <f t="shared" si="0"/>
        <v>4</v>
      </c>
      <c r="H2" s="71">
        <f t="shared" si="0"/>
        <v>5</v>
      </c>
      <c r="I2" s="71">
        <f t="shared" si="0"/>
        <v>6</v>
      </c>
      <c r="J2" s="71">
        <f t="shared" si="0"/>
        <v>7</v>
      </c>
      <c r="K2" s="71">
        <f t="shared" si="0"/>
        <v>8</v>
      </c>
      <c r="L2" s="71">
        <f t="shared" si="0"/>
        <v>9</v>
      </c>
      <c r="M2" s="71">
        <f t="shared" si="0"/>
        <v>10</v>
      </c>
      <c r="N2" s="71">
        <f t="shared" si="0"/>
        <v>11</v>
      </c>
      <c r="O2" s="71">
        <f t="shared" si="0"/>
        <v>12</v>
      </c>
      <c r="P2" s="71">
        <f t="shared" si="0"/>
        <v>13</v>
      </c>
      <c r="Q2" s="71">
        <f t="shared" si="0"/>
        <v>14</v>
      </c>
      <c r="R2" s="71">
        <f t="shared" si="0"/>
        <v>15</v>
      </c>
      <c r="S2" s="71">
        <f t="shared" si="0"/>
        <v>16</v>
      </c>
      <c r="T2" s="71">
        <f t="shared" si="0"/>
        <v>17</v>
      </c>
      <c r="U2" s="71">
        <f t="shared" si="0"/>
        <v>18</v>
      </c>
      <c r="V2" s="71">
        <f t="shared" si="0"/>
        <v>19</v>
      </c>
      <c r="W2" s="71">
        <f t="shared" si="0"/>
        <v>20</v>
      </c>
      <c r="X2" s="71">
        <f t="shared" si="0"/>
        <v>21</v>
      </c>
      <c r="Y2" s="71">
        <f t="shared" si="0"/>
        <v>22</v>
      </c>
      <c r="Z2" s="71">
        <f t="shared" si="0"/>
        <v>23</v>
      </c>
      <c r="AA2" s="71">
        <f t="shared" si="0"/>
        <v>24</v>
      </c>
    </row>
    <row r="3" spans="2:27" x14ac:dyDescent="0.35">
      <c r="B3" s="71" t="s">
        <v>9</v>
      </c>
      <c r="C3" s="72">
        <f>DATE(2026,12,31)</f>
        <v>46387</v>
      </c>
      <c r="D3" s="72">
        <f>EOMONTH(C3,12)</f>
        <v>46752</v>
      </c>
      <c r="E3" s="72">
        <f t="shared" ref="E3:AA3" si="1">EOMONTH(D3,12)</f>
        <v>47118</v>
      </c>
      <c r="F3" s="72">
        <f t="shared" si="1"/>
        <v>47483</v>
      </c>
      <c r="G3" s="72">
        <f t="shared" si="1"/>
        <v>47848</v>
      </c>
      <c r="H3" s="72">
        <f t="shared" si="1"/>
        <v>48213</v>
      </c>
      <c r="I3" s="72">
        <f t="shared" si="1"/>
        <v>48579</v>
      </c>
      <c r="J3" s="72">
        <f t="shared" si="1"/>
        <v>48944</v>
      </c>
      <c r="K3" s="72">
        <f t="shared" si="1"/>
        <v>49309</v>
      </c>
      <c r="L3" s="72">
        <f t="shared" si="1"/>
        <v>49674</v>
      </c>
      <c r="M3" s="72">
        <f t="shared" si="1"/>
        <v>50040</v>
      </c>
      <c r="N3" s="72">
        <f t="shared" si="1"/>
        <v>50405</v>
      </c>
      <c r="O3" s="72">
        <f t="shared" si="1"/>
        <v>50770</v>
      </c>
      <c r="P3" s="72">
        <f t="shared" si="1"/>
        <v>51135</v>
      </c>
      <c r="Q3" s="72">
        <f t="shared" si="1"/>
        <v>51501</v>
      </c>
      <c r="R3" s="72">
        <f t="shared" si="1"/>
        <v>51866</v>
      </c>
      <c r="S3" s="72">
        <f t="shared" si="1"/>
        <v>52231</v>
      </c>
      <c r="T3" s="72">
        <f t="shared" si="1"/>
        <v>52596</v>
      </c>
      <c r="U3" s="72">
        <f t="shared" si="1"/>
        <v>52962</v>
      </c>
      <c r="V3" s="72">
        <f t="shared" si="1"/>
        <v>53327</v>
      </c>
      <c r="W3" s="72">
        <f t="shared" si="1"/>
        <v>53692</v>
      </c>
      <c r="X3" s="72">
        <f t="shared" si="1"/>
        <v>54057</v>
      </c>
      <c r="Y3" s="72">
        <f t="shared" si="1"/>
        <v>54423</v>
      </c>
      <c r="Z3" s="72">
        <f t="shared" si="1"/>
        <v>54788</v>
      </c>
      <c r="AA3" s="72">
        <f t="shared" si="1"/>
        <v>55153</v>
      </c>
    </row>
    <row r="4" spans="2:27" x14ac:dyDescent="0.35">
      <c r="B4" s="71" t="s">
        <v>215</v>
      </c>
      <c r="C4" s="73">
        <v>-1000</v>
      </c>
      <c r="D4" s="73">
        <v>-250</v>
      </c>
      <c r="E4" s="73">
        <v>-100</v>
      </c>
      <c r="F4" s="73">
        <v>100</v>
      </c>
      <c r="G4" s="73">
        <v>175</v>
      </c>
      <c r="H4" s="73">
        <v>250</v>
      </c>
      <c r="I4" s="73">
        <v>325</v>
      </c>
      <c r="J4" s="73">
        <v>400</v>
      </c>
      <c r="K4" s="73">
        <v>400</v>
      </c>
      <c r="L4" s="73">
        <v>400</v>
      </c>
      <c r="M4" s="73">
        <v>400</v>
      </c>
      <c r="N4" s="73">
        <v>400</v>
      </c>
      <c r="O4" s="73">
        <v>400</v>
      </c>
      <c r="P4" s="73">
        <v>400</v>
      </c>
      <c r="Q4" s="73">
        <v>400</v>
      </c>
      <c r="R4" s="73">
        <v>400</v>
      </c>
      <c r="S4" s="73">
        <v>400</v>
      </c>
      <c r="T4" s="73">
        <v>400</v>
      </c>
      <c r="U4" s="73">
        <v>400</v>
      </c>
      <c r="V4" s="73">
        <v>400</v>
      </c>
      <c r="W4" s="73">
        <v>400</v>
      </c>
      <c r="X4" s="73">
        <v>400</v>
      </c>
      <c r="Y4" s="73">
        <v>400</v>
      </c>
      <c r="Z4" s="73">
        <v>400</v>
      </c>
      <c r="AA4" s="73">
        <v>400</v>
      </c>
    </row>
    <row r="5" spans="2:27" x14ac:dyDescent="0.35">
      <c r="B5" s="71" t="s">
        <v>216</v>
      </c>
      <c r="C5" s="74">
        <v>0.1</v>
      </c>
      <c r="D5" s="71"/>
      <c r="E5" s="71"/>
      <c r="F5" s="71"/>
      <c r="G5" s="71"/>
      <c r="H5" s="71"/>
      <c r="I5" s="71"/>
      <c r="J5" s="71"/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</row>
    <row r="6" spans="2:27" x14ac:dyDescent="0.35">
      <c r="B6" s="75" t="s">
        <v>217</v>
      </c>
      <c r="C6" s="73">
        <f>XNPV($C$5,C4:$AA4,C3:$AA3)</f>
        <v>1073.4181933553373</v>
      </c>
      <c r="D6" s="73">
        <f>XNPV($C$5,D4:$AA4,D3:$AA3)</f>
        <v>2280.7600126908719</v>
      </c>
      <c r="E6" s="73">
        <f>XNPV($C$5,E4:$AA4,E3:$AA3)</f>
        <v>2784.5630346606849</v>
      </c>
      <c r="F6" s="73">
        <f>XNPV($C$5,F4:$AA4,F3:$AA3)</f>
        <v>3173.0193381267545</v>
      </c>
      <c r="G6" s="73">
        <f>XNPV($C$5,G4:$AA4,G3:$AA3)</f>
        <v>3380.3212719394301</v>
      </c>
      <c r="H6" s="73">
        <f>XNPV($C$5,H4:$AA4,H3:$AA3)</f>
        <v>3525.8533991333729</v>
      </c>
      <c r="I6" s="73">
        <f>XNPV($C$5,I4:$AA4,I3:$AA3)</f>
        <v>3604.3798054543408</v>
      </c>
      <c r="J6" s="73">
        <f>XNPV($C$5,J4:$AA4,J3:$AA3)</f>
        <v>3607.317785999775</v>
      </c>
      <c r="K6" s="73">
        <f>XNPV($C$5,K4:$AA4,K3:$AA3)</f>
        <v>3528.0495645997526</v>
      </c>
      <c r="L6" s="73">
        <f>XNPV($C$5,L4:$AA4,L3:$AA3)</f>
        <v>3440.8545210597276</v>
      </c>
      <c r="M6" s="73">
        <f>XNPV($C$5,M4:$AA4,M3:$AA3)</f>
        <v>3345.8135305846677</v>
      </c>
      <c r="N6" s="73">
        <f>XNPV($C$5,N4:$AA4,N3:$AA3)</f>
        <v>3240.3948836431346</v>
      </c>
      <c r="O6" s="73">
        <f>XNPV($C$5,O4:$AA4,O3:$AA3)</f>
        <v>3124.4343720074485</v>
      </c>
      <c r="P6" s="73">
        <f>XNPV($C$5,P4:$AA4,P3:$AA3)</f>
        <v>2996.877809208193</v>
      </c>
      <c r="Q6" s="73">
        <f>XNPV($C$5,Q4:$AA4,Q3:$AA3)</f>
        <v>2857.3116047313797</v>
      </c>
      <c r="R6" s="73">
        <f>XNPV($C$5,R4:$AA4,R3:$AA3)</f>
        <v>2703.0427652045178</v>
      </c>
      <c r="S6" s="73">
        <f>XNPV($C$5,S4:$AA4,S3:$AA3)</f>
        <v>2533.3470417249696</v>
      </c>
      <c r="T6" s="73">
        <f>XNPV($C$5,T4:$AA4,T3:$AA3)</f>
        <v>2346.6817458974665</v>
      </c>
      <c r="U6" s="73">
        <f>XNPV($C$5,U4:$AA4,U3:$AA3)</f>
        <v>2141.9091508843662</v>
      </c>
      <c r="V6" s="73">
        <f>XNPV($C$5,V4:$AA4,V3:$AA3)</f>
        <v>1916.1000659728029</v>
      </c>
      <c r="W6" s="73">
        <f>XNPV($C$5,W4:$AA4,W3:$AA3)</f>
        <v>1667.7100725700832</v>
      </c>
      <c r="X6" s="73">
        <f>XNPV($C$5,X4:$AA4,X3:$AA3)</f>
        <v>1394.4810798270914</v>
      </c>
      <c r="Y6" s="73">
        <f>XNPV($C$5,Y4:$AA4,Y3:$AA3)</f>
        <v>1094.2148760330579</v>
      </c>
      <c r="Z6" s="73">
        <f>XNPV($C$5,Z4:$AA4,Z3:$AA3)</f>
        <v>763.63636363636363</v>
      </c>
      <c r="AA6" s="73">
        <f>XNPV($C$5,AA4:$AA4,AA3:$AA3)</f>
        <v>400</v>
      </c>
    </row>
    <row r="7" spans="2:27" x14ac:dyDescent="0.35">
      <c r="B7" s="75" t="s">
        <v>196</v>
      </c>
      <c r="C7" s="73">
        <f>NPV($C$5,D4:$AA4)+C4</f>
        <v>1075.2191656754353</v>
      </c>
      <c r="D7" s="73">
        <f>NPV($C$5,E4:$AA4)+D4</f>
        <v>2282.7410822429792</v>
      </c>
      <c r="E7" s="73">
        <f>NPV($C$5,F4:$AA4)+E4</f>
        <v>2786.0151904672784</v>
      </c>
      <c r="F7" s="73">
        <f>NPV($C$5,G4:$AA4)+F4</f>
        <v>3174.6167095140063</v>
      </c>
      <c r="G7" s="73">
        <f>NPV($C$5,H4:$AA4)+G4</f>
        <v>3382.0783804654066</v>
      </c>
      <c r="H7" s="73">
        <f>NPV($C$5,I4:$AA4)+H4</f>
        <v>3527.7862185119479</v>
      </c>
      <c r="I7" s="73">
        <f>NPV($C$5,J4:$AA4)+I4</f>
        <v>3605.564840363143</v>
      </c>
      <c r="J7" s="73">
        <f>NPV($C$5,K4:$AA4)+J4</f>
        <v>3608.6213243994575</v>
      </c>
      <c r="K7" s="73">
        <f>NPV($C$5,L4:$AA4)+K4</f>
        <v>3529.4834568394035</v>
      </c>
      <c r="L7" s="73">
        <f>NPV($C$5,M4:$AA4)+L4</f>
        <v>3442.4318025233442</v>
      </c>
      <c r="M7" s="73">
        <f>NPV($C$5,N4:$AA4)+M4</f>
        <v>3346.6749827756789</v>
      </c>
      <c r="N7" s="73">
        <f>NPV($C$5,O4:$AA4)+N4</f>
        <v>3241.342481053247</v>
      </c>
      <c r="O7" s="73">
        <f>NPV($C$5,P4:$AA4)+O4</f>
        <v>3125.4767291585717</v>
      </c>
      <c r="P7" s="73">
        <f>NPV($C$5,Q4:$AA4)+P4</f>
        <v>2998.024402074429</v>
      </c>
      <c r="Q7" s="73">
        <f>NPV($C$5,R4:$AA4)+Q4</f>
        <v>2857.8268422818719</v>
      </c>
      <c r="R7" s="73">
        <f>NPV($C$5,S4:$AA4)+R4</f>
        <v>2703.6095265100594</v>
      </c>
      <c r="S7" s="73">
        <f>NPV($C$5,T4:$AA4)+S4</f>
        <v>2533.9704791610657</v>
      </c>
      <c r="T7" s="73">
        <f>NPV($C$5,U4:$AA4)+T4</f>
        <v>2347.3675270771728</v>
      </c>
      <c r="U7" s="73">
        <f>NPV($C$5,V4:$AA4)+U4</f>
        <v>2142.1042797848895</v>
      </c>
      <c r="V7" s="73">
        <f>NPV($C$5,W4:$AA4)+V4</f>
        <v>1916.3147077633789</v>
      </c>
      <c r="W7" s="73">
        <f>NPV($C$5,X4:$AA4)+W4</f>
        <v>1667.946178539717</v>
      </c>
      <c r="X7" s="73">
        <f>NPV($C$5,Y4:$AA4)+X4</f>
        <v>1394.7407963936889</v>
      </c>
      <c r="Y7" s="73">
        <f>NPV($C$5,Z4:$AA4)+Y4</f>
        <v>1094.2148760330579</v>
      </c>
      <c r="Z7" s="73">
        <f>NPV($C$5,AA4:$AA4)+Z4</f>
        <v>763.63636363636363</v>
      </c>
      <c r="AA7" s="73"/>
    </row>
    <row r="9" spans="2:27" ht="16.2" thickBot="1" x14ac:dyDescent="0.4">
      <c r="B9" s="71" t="s">
        <v>218</v>
      </c>
      <c r="C9" s="76">
        <f>C4</f>
        <v>-1000</v>
      </c>
      <c r="D9" s="77">
        <f>D4/(1+$C$5)^((D3-$C$3)/365)</f>
        <v>-227.27272727272725</v>
      </c>
      <c r="E9" s="77">
        <f t="shared" ref="E9:AA9" si="2">E4/(1+$C$5)^((E3-$C$3)/365)</f>
        <v>-82.6230504388067</v>
      </c>
      <c r="F9" s="77">
        <f t="shared" si="2"/>
        <v>75.111864035278813</v>
      </c>
      <c r="G9" s="77">
        <f t="shared" si="2"/>
        <v>119.49614732885264</v>
      </c>
      <c r="H9" s="77">
        <f t="shared" si="2"/>
        <v>155.18980172578264</v>
      </c>
      <c r="I9" s="77">
        <f t="shared" si="2"/>
        <v>183.35824386276184</v>
      </c>
      <c r="J9" s="77">
        <f t="shared" si="2"/>
        <v>205.156077049244</v>
      </c>
      <c r="K9" s="77">
        <f t="shared" si="2"/>
        <v>186.50552459022182</v>
      </c>
      <c r="L9" s="77">
        <f t="shared" si="2"/>
        <v>169.55047690020163</v>
      </c>
      <c r="M9" s="77">
        <f t="shared" si="2"/>
        <v>154.09655365334001</v>
      </c>
      <c r="N9" s="77">
        <f t="shared" si="2"/>
        <v>140.08777604849092</v>
      </c>
      <c r="O9" s="77">
        <f t="shared" si="2"/>
        <v>127.35252368044627</v>
      </c>
      <c r="P9" s="77">
        <f t="shared" si="2"/>
        <v>115.77502152767842</v>
      </c>
      <c r="Q9" s="77">
        <f t="shared" si="2"/>
        <v>105.22253987558835</v>
      </c>
      <c r="R9" s="77">
        <f t="shared" si="2"/>
        <v>95.656854432353029</v>
      </c>
      <c r="S9" s="77">
        <f t="shared" si="2"/>
        <v>86.960776756684595</v>
      </c>
      <c r="T9" s="77">
        <f t="shared" si="2"/>
        <v>79.055251596985968</v>
      </c>
      <c r="U9" s="77">
        <f t="shared" si="2"/>
        <v>71.849646441653604</v>
      </c>
      <c r="V9" s="77">
        <f t="shared" si="2"/>
        <v>65.317860401503268</v>
      </c>
      <c r="W9" s="77">
        <f t="shared" si="2"/>
        <v>59.379873092275687</v>
      </c>
      <c r="X9" s="77">
        <f t="shared" si="2"/>
        <v>53.981702811159714</v>
      </c>
      <c r="Y9" s="77">
        <f t="shared" si="2"/>
        <v>49.061462495530364</v>
      </c>
      <c r="Z9" s="77">
        <f t="shared" si="2"/>
        <v>44.601329541391223</v>
      </c>
      <c r="AA9" s="77">
        <f t="shared" si="2"/>
        <v>40.546663219446565</v>
      </c>
    </row>
    <row r="10" spans="2:27" ht="16.2" thickBot="1" x14ac:dyDescent="0.4">
      <c r="B10" s="78" t="s">
        <v>219</v>
      </c>
      <c r="C10" s="79">
        <f>SUM(C9:AA9)</f>
        <v>1073.4181933553373</v>
      </c>
      <c r="D10" s="80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</row>
    <row r="11" spans="2:27" x14ac:dyDescent="0.35">
      <c r="B11" s="71" t="s">
        <v>220</v>
      </c>
      <c r="C11" s="81">
        <f>C10-C6</f>
        <v>0</v>
      </c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</row>
    <row r="12" spans="2:27" ht="16.2" thickBot="1" x14ac:dyDescent="0.4">
      <c r="B12" s="71" t="s">
        <v>221</v>
      </c>
      <c r="C12" s="82">
        <f>C4/(1+$C$5)^C2</f>
        <v>-1000</v>
      </c>
      <c r="D12" s="73">
        <f t="shared" ref="D12:AA12" si="3">D4/(1+$C$5)^D2</f>
        <v>-227.27272727272725</v>
      </c>
      <c r="E12" s="73">
        <f t="shared" si="3"/>
        <v>-82.644628099173545</v>
      </c>
      <c r="F12" s="73">
        <f t="shared" si="3"/>
        <v>75.131480090157751</v>
      </c>
      <c r="G12" s="73">
        <f t="shared" si="3"/>
        <v>119.52735468888734</v>
      </c>
      <c r="H12" s="73">
        <f t="shared" si="3"/>
        <v>155.23033076478873</v>
      </c>
      <c r="I12" s="73">
        <f t="shared" si="3"/>
        <v>183.45402726747758</v>
      </c>
      <c r="J12" s="73">
        <f t="shared" si="3"/>
        <v>205.26324729228259</v>
      </c>
      <c r="K12" s="73">
        <f t="shared" si="3"/>
        <v>186.60295208389326</v>
      </c>
      <c r="L12" s="73">
        <f t="shared" si="3"/>
        <v>169.63904734899387</v>
      </c>
      <c r="M12" s="73">
        <f t="shared" si="3"/>
        <v>154.21731577181259</v>
      </c>
      <c r="N12" s="73">
        <f t="shared" si="3"/>
        <v>140.19755979255689</v>
      </c>
      <c r="O12" s="73">
        <f t="shared" si="3"/>
        <v>127.45232708414262</v>
      </c>
      <c r="P12" s="73">
        <f t="shared" si="3"/>
        <v>115.86575189467511</v>
      </c>
      <c r="Q12" s="73">
        <f t="shared" si="3"/>
        <v>105.3325017224319</v>
      </c>
      <c r="R12" s="73">
        <f t="shared" si="3"/>
        <v>95.756819747665361</v>
      </c>
      <c r="S12" s="73">
        <f t="shared" si="3"/>
        <v>87.051654316059413</v>
      </c>
      <c r="T12" s="73">
        <f t="shared" si="3"/>
        <v>79.137867560054005</v>
      </c>
      <c r="U12" s="73">
        <f t="shared" si="3"/>
        <v>71.943515963685456</v>
      </c>
      <c r="V12" s="73">
        <f t="shared" si="3"/>
        <v>65.403196330623132</v>
      </c>
      <c r="W12" s="73">
        <f t="shared" si="3"/>
        <v>59.457451209657393</v>
      </c>
      <c r="X12" s="73">
        <f t="shared" si="3"/>
        <v>54.052228372415804</v>
      </c>
      <c r="Y12" s="73">
        <f t="shared" si="3"/>
        <v>49.138389429468909</v>
      </c>
      <c r="Z12" s="73">
        <f t="shared" si="3"/>
        <v>44.671263117699006</v>
      </c>
      <c r="AA12" s="73">
        <f t="shared" si="3"/>
        <v>40.610239197908193</v>
      </c>
    </row>
    <row r="13" spans="2:27" ht="16.2" thickBot="1" x14ac:dyDescent="0.4">
      <c r="B13" s="78" t="s">
        <v>222</v>
      </c>
      <c r="C13" s="83">
        <f>SUM(C12:$AA12)</f>
        <v>1075.219165675436</v>
      </c>
      <c r="D13" s="84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</row>
    <row r="14" spans="2:27" x14ac:dyDescent="0.35">
      <c r="B14" s="71" t="s">
        <v>220</v>
      </c>
      <c r="C14" s="85">
        <f>C13-C7</f>
        <v>0</v>
      </c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</row>
    <row r="19" spans="2:2" x14ac:dyDescent="0.35">
      <c r="B19" s="70" t="s">
        <v>223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Props1.xml><?xml version="1.0" encoding="utf-8"?>
<ds:datastoreItem xmlns:ds="http://schemas.openxmlformats.org/officeDocument/2006/customXml" ds:itemID="{1EFD2387-7411-4993-A3BF-4F2CE1DFE03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0CD8FD2-594D-4734-965D-4139AC782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79107A4-1E22-4D38-942F-62BC41A4BFC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TM03986991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MODEL&gt;&gt;</vt:lpstr>
      <vt:lpstr>Outputs</vt:lpstr>
      <vt:lpstr>Inputs</vt:lpstr>
      <vt:lpstr>Control</vt:lpstr>
      <vt:lpstr>TRAINING &gt;&gt;</vt:lpstr>
      <vt:lpstr>Dates</vt:lpstr>
      <vt:lpstr>NPV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2023-10-22T11:00:12Z</dcterms:created>
  <dcterms:modified xsi:type="dcterms:W3CDTF">2026-07-21T23:14:44Z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